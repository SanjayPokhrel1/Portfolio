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06db468522aca8/Documents/"/>
    </mc:Choice>
  </mc:AlternateContent>
  <xr:revisionPtr revIDLastSave="0" documentId="8_{1C49091F-49C3-471E-A860-AC9AC5A95884}" xr6:coauthVersionLast="47" xr6:coauthVersionMax="47" xr10:uidLastSave="{00000000-0000-0000-0000-000000000000}"/>
  <bookViews>
    <workbookView xWindow="10140" yWindow="0" windowWidth="10455" windowHeight="10905" activeTab="2" xr2:uid="{04D55C52-B515-4A24-8580-8E10F4B64889}"/>
  </bookViews>
  <sheets>
    <sheet name="Dim_Hotel" sheetId="1" r:id="rId1"/>
    <sheet name="Fact_Events" sheetId="2" r:id="rId2"/>
    <sheet name="Fact_Daily_Performance" sheetId="7" r:id="rId3"/>
  </sheets>
  <definedNames>
    <definedName name="HotelList">Fact_Daily_Performance!$O$2:$O$11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E2883" i="7"/>
  <c r="E2884" i="7"/>
  <c r="E2885" i="7"/>
  <c r="E2886" i="7"/>
  <c r="E2887" i="7"/>
  <c r="E2888" i="7"/>
  <c r="E2889" i="7"/>
  <c r="E2890" i="7"/>
  <c r="E2891" i="7"/>
  <c r="E2892" i="7"/>
  <c r="E2893" i="7"/>
  <c r="E2894" i="7"/>
  <c r="E2895" i="7"/>
  <c r="E2896" i="7"/>
  <c r="E2897" i="7"/>
  <c r="E2898" i="7"/>
  <c r="E2899" i="7"/>
  <c r="E2900" i="7"/>
  <c r="E2901" i="7"/>
  <c r="E2902" i="7"/>
  <c r="E2903" i="7"/>
  <c r="E2904" i="7"/>
  <c r="E2905" i="7"/>
  <c r="E2906" i="7"/>
  <c r="E2907" i="7"/>
  <c r="E2908" i="7"/>
  <c r="E2909" i="7"/>
  <c r="E2910" i="7"/>
  <c r="E2911" i="7"/>
  <c r="E2912" i="7"/>
  <c r="E2913" i="7"/>
  <c r="E2914" i="7"/>
  <c r="E2915" i="7"/>
  <c r="E2916" i="7"/>
  <c r="E2917" i="7"/>
  <c r="E2918" i="7"/>
  <c r="E2919" i="7"/>
  <c r="E2920" i="7"/>
  <c r="E2921" i="7"/>
  <c r="E2922" i="7"/>
  <c r="E2923" i="7"/>
  <c r="E2924" i="7"/>
  <c r="E2925" i="7"/>
  <c r="E2926" i="7"/>
  <c r="E2927" i="7"/>
  <c r="E2928" i="7"/>
  <c r="E2929" i="7"/>
  <c r="E2930" i="7"/>
  <c r="E2931" i="7"/>
  <c r="E2932" i="7"/>
  <c r="E2933" i="7"/>
  <c r="E2934" i="7"/>
  <c r="E2935" i="7"/>
  <c r="E2936" i="7"/>
  <c r="E2937" i="7"/>
  <c r="E2938" i="7"/>
  <c r="E2939" i="7"/>
  <c r="E2940" i="7"/>
  <c r="E2941" i="7"/>
  <c r="E2942" i="7"/>
  <c r="E2943" i="7"/>
  <c r="E2944" i="7"/>
  <c r="E2945" i="7"/>
  <c r="E2946" i="7"/>
  <c r="E2947" i="7"/>
  <c r="E2948" i="7"/>
  <c r="E2949" i="7"/>
  <c r="E2950" i="7"/>
  <c r="E2951" i="7"/>
  <c r="E2952" i="7"/>
  <c r="E2953" i="7"/>
  <c r="E2954" i="7"/>
  <c r="E2955" i="7"/>
  <c r="E2956" i="7"/>
  <c r="E2957" i="7"/>
  <c r="E2958" i="7"/>
  <c r="E2959" i="7"/>
  <c r="E2960" i="7"/>
  <c r="E2961" i="7"/>
  <c r="E2962" i="7"/>
  <c r="E2963" i="7"/>
  <c r="E2964" i="7"/>
  <c r="E2965" i="7"/>
  <c r="E2966" i="7"/>
  <c r="E2967" i="7"/>
  <c r="E2968" i="7"/>
  <c r="E2969" i="7"/>
  <c r="E2970" i="7"/>
  <c r="E2971" i="7"/>
  <c r="E2972" i="7"/>
  <c r="E2973" i="7"/>
  <c r="E2974" i="7"/>
  <c r="E2975" i="7"/>
  <c r="E2976" i="7"/>
  <c r="E2977" i="7"/>
  <c r="E2978" i="7"/>
  <c r="E2979" i="7"/>
  <c r="E2980" i="7"/>
  <c r="E2981" i="7"/>
  <c r="E2982" i="7"/>
  <c r="E2983" i="7"/>
  <c r="E2984" i="7"/>
  <c r="E2985" i="7"/>
  <c r="E2986" i="7"/>
  <c r="E2987" i="7"/>
  <c r="E2988" i="7"/>
  <c r="E2989" i="7"/>
  <c r="E2990" i="7"/>
  <c r="E2991" i="7"/>
  <c r="E2992" i="7"/>
  <c r="E2993" i="7"/>
  <c r="E2994" i="7"/>
  <c r="E2995" i="7"/>
  <c r="E2996" i="7"/>
  <c r="E2997" i="7"/>
  <c r="E2998" i="7"/>
  <c r="E2999" i="7"/>
  <c r="E3000" i="7"/>
  <c r="E3001" i="7"/>
  <c r="E3002" i="7"/>
  <c r="E3003" i="7"/>
  <c r="E3004" i="7"/>
  <c r="E3005" i="7"/>
  <c r="E3006" i="7"/>
  <c r="E3007" i="7"/>
  <c r="E3008" i="7"/>
  <c r="E3009" i="7"/>
  <c r="E3010" i="7"/>
  <c r="E3011" i="7"/>
  <c r="E3012" i="7"/>
  <c r="E3013" i="7"/>
  <c r="E3014" i="7"/>
  <c r="E3015" i="7"/>
  <c r="E3016" i="7"/>
  <c r="E3017" i="7"/>
  <c r="E3018" i="7"/>
  <c r="E3019" i="7"/>
  <c r="E3020" i="7"/>
  <c r="E3021" i="7"/>
  <c r="E3022" i="7"/>
  <c r="E3023" i="7"/>
  <c r="E3024" i="7"/>
  <c r="E3025" i="7"/>
  <c r="E3026" i="7"/>
  <c r="E3027" i="7"/>
  <c r="E3028" i="7"/>
  <c r="E3029" i="7"/>
  <c r="E3030" i="7"/>
  <c r="E3031" i="7"/>
  <c r="E3032" i="7"/>
  <c r="E3033" i="7"/>
  <c r="E3034" i="7"/>
  <c r="E3035" i="7"/>
  <c r="E3036" i="7"/>
  <c r="E3037" i="7"/>
  <c r="E3038" i="7"/>
  <c r="E3039" i="7"/>
  <c r="E3040" i="7"/>
  <c r="E3041" i="7"/>
  <c r="E3042" i="7"/>
  <c r="E3043" i="7"/>
  <c r="E3044" i="7"/>
  <c r="E3045" i="7"/>
  <c r="E3046" i="7"/>
  <c r="E3047" i="7"/>
  <c r="E3048" i="7"/>
  <c r="E3049" i="7"/>
  <c r="E3050" i="7"/>
  <c r="E3051" i="7"/>
  <c r="E3052" i="7"/>
  <c r="E3053" i="7"/>
  <c r="E3054" i="7"/>
  <c r="E3055" i="7"/>
  <c r="E3056" i="7"/>
  <c r="E3057" i="7"/>
  <c r="E3058" i="7"/>
  <c r="E3059" i="7"/>
  <c r="E3060" i="7"/>
  <c r="E3061" i="7"/>
  <c r="E3062" i="7"/>
  <c r="E3063" i="7"/>
  <c r="E3064" i="7"/>
  <c r="E3065" i="7"/>
  <c r="E3066" i="7"/>
  <c r="E3067" i="7"/>
  <c r="E3068" i="7"/>
  <c r="E3069" i="7"/>
  <c r="E3070" i="7"/>
  <c r="E3071" i="7"/>
  <c r="E3072" i="7"/>
  <c r="E3073" i="7"/>
  <c r="E3074" i="7"/>
  <c r="E3075" i="7"/>
  <c r="E3076" i="7"/>
  <c r="E3077" i="7"/>
  <c r="E3078" i="7"/>
  <c r="E3079" i="7"/>
  <c r="E3080" i="7"/>
  <c r="E3081" i="7"/>
  <c r="E3082" i="7"/>
  <c r="E3083" i="7"/>
  <c r="E3084" i="7"/>
  <c r="E3085" i="7"/>
  <c r="E3086" i="7"/>
  <c r="E3087" i="7"/>
  <c r="E3088" i="7"/>
  <c r="E3089" i="7"/>
  <c r="E3090" i="7"/>
  <c r="E3091" i="7"/>
  <c r="E3092" i="7"/>
  <c r="E3093" i="7"/>
  <c r="E3094" i="7"/>
  <c r="E3095" i="7"/>
  <c r="E3096" i="7"/>
  <c r="E3097" i="7"/>
  <c r="E3098" i="7"/>
  <c r="E3099" i="7"/>
  <c r="E3100" i="7"/>
  <c r="E3101" i="7"/>
  <c r="E3102" i="7"/>
  <c r="E3103" i="7"/>
  <c r="E3104" i="7"/>
  <c r="E3105" i="7"/>
  <c r="E3106" i="7"/>
  <c r="E3107" i="7"/>
  <c r="E3108" i="7"/>
  <c r="E3109" i="7"/>
  <c r="E3110" i="7"/>
  <c r="E3111" i="7"/>
  <c r="E3112" i="7"/>
  <c r="E3113" i="7"/>
  <c r="E3114" i="7"/>
  <c r="E3115" i="7"/>
  <c r="E3116" i="7"/>
  <c r="E3117" i="7"/>
  <c r="E3118" i="7"/>
  <c r="E3119" i="7"/>
  <c r="E3120" i="7"/>
  <c r="E3121" i="7"/>
  <c r="E3122" i="7"/>
  <c r="E3123" i="7"/>
  <c r="E3124" i="7"/>
  <c r="E3125" i="7"/>
  <c r="E3126" i="7"/>
  <c r="E3127" i="7"/>
  <c r="E3128" i="7"/>
  <c r="E3129" i="7"/>
  <c r="E3130" i="7"/>
  <c r="E3131" i="7"/>
  <c r="E3132" i="7"/>
  <c r="E3133" i="7"/>
  <c r="E3134" i="7"/>
  <c r="E3135" i="7"/>
  <c r="E3136" i="7"/>
  <c r="E3137" i="7"/>
  <c r="E3138" i="7"/>
  <c r="E3139" i="7"/>
  <c r="E3140" i="7"/>
  <c r="E3141" i="7"/>
  <c r="E3142" i="7"/>
  <c r="E3143" i="7"/>
  <c r="E3144" i="7"/>
  <c r="E3145" i="7"/>
  <c r="E3146" i="7"/>
  <c r="E3147" i="7"/>
  <c r="E3148" i="7"/>
  <c r="E3149" i="7"/>
  <c r="E3150" i="7"/>
  <c r="E3151" i="7"/>
  <c r="E3152" i="7"/>
  <c r="E3153" i="7"/>
  <c r="E3154" i="7"/>
  <c r="E3155" i="7"/>
  <c r="E3156" i="7"/>
  <c r="E3157" i="7"/>
  <c r="E3158" i="7"/>
  <c r="E3159" i="7"/>
  <c r="E3160" i="7"/>
  <c r="E3161" i="7"/>
  <c r="E3162" i="7"/>
  <c r="E3163" i="7"/>
  <c r="E3164" i="7"/>
  <c r="E3165" i="7"/>
  <c r="E3166" i="7"/>
  <c r="E3167" i="7"/>
  <c r="E3168" i="7"/>
  <c r="E3169" i="7"/>
  <c r="E3170" i="7"/>
  <c r="E3171" i="7"/>
  <c r="E3172" i="7"/>
  <c r="E3173" i="7"/>
  <c r="E3174" i="7"/>
  <c r="E3175" i="7"/>
  <c r="E3176" i="7"/>
  <c r="E3177" i="7"/>
  <c r="E3178" i="7"/>
  <c r="E3179" i="7"/>
  <c r="E3180" i="7"/>
  <c r="E3181" i="7"/>
  <c r="E3182" i="7"/>
  <c r="E3183" i="7"/>
  <c r="E3184" i="7"/>
  <c r="E3185" i="7"/>
  <c r="E3186" i="7"/>
  <c r="E3187" i="7"/>
  <c r="E3188" i="7"/>
  <c r="E3189" i="7"/>
  <c r="E3190" i="7"/>
  <c r="E3191" i="7"/>
  <c r="E3192" i="7"/>
  <c r="E3193" i="7"/>
  <c r="E3194" i="7"/>
  <c r="E3195" i="7"/>
  <c r="E3196" i="7"/>
  <c r="E3197" i="7"/>
  <c r="E3198" i="7"/>
  <c r="E3199" i="7"/>
  <c r="E3200" i="7"/>
  <c r="E3201" i="7"/>
  <c r="E3202" i="7"/>
  <c r="E3203" i="7"/>
  <c r="E3204" i="7"/>
  <c r="E3205" i="7"/>
  <c r="E3206" i="7"/>
  <c r="E3207" i="7"/>
  <c r="E3208" i="7"/>
  <c r="E3209" i="7"/>
  <c r="E3210" i="7"/>
  <c r="E3211" i="7"/>
  <c r="E3212" i="7"/>
  <c r="E3213" i="7"/>
  <c r="E3214" i="7"/>
  <c r="E3215" i="7"/>
  <c r="E3216" i="7"/>
  <c r="E3217" i="7"/>
  <c r="E3218" i="7"/>
  <c r="E3219" i="7"/>
  <c r="E3220" i="7"/>
  <c r="E3221" i="7"/>
  <c r="E3222" i="7"/>
  <c r="E3223" i="7"/>
  <c r="E3224" i="7"/>
  <c r="E3225" i="7"/>
  <c r="E3226" i="7"/>
  <c r="E3227" i="7"/>
  <c r="E3228" i="7"/>
  <c r="E3229" i="7"/>
  <c r="E3230" i="7"/>
  <c r="E3231" i="7"/>
  <c r="E3232" i="7"/>
  <c r="E3233" i="7"/>
  <c r="E3234" i="7"/>
  <c r="E3235" i="7"/>
  <c r="E3236" i="7"/>
  <c r="E3237" i="7"/>
  <c r="E3238" i="7"/>
  <c r="E3239" i="7"/>
  <c r="E3240" i="7"/>
  <c r="E3241" i="7"/>
  <c r="E3242" i="7"/>
  <c r="E3243" i="7"/>
  <c r="E3244" i="7"/>
  <c r="E3245" i="7"/>
  <c r="E3246" i="7"/>
  <c r="E3247" i="7"/>
  <c r="E3248" i="7"/>
  <c r="E3249" i="7"/>
  <c r="E3250" i="7"/>
  <c r="E3251" i="7"/>
  <c r="E3252" i="7"/>
  <c r="E3253" i="7"/>
  <c r="E3254" i="7"/>
  <c r="E3255" i="7"/>
  <c r="E3256" i="7"/>
  <c r="E3257" i="7"/>
  <c r="E3258" i="7"/>
  <c r="E3259" i="7"/>
  <c r="E3260" i="7"/>
  <c r="E3261" i="7"/>
  <c r="E3262" i="7"/>
  <c r="E3263" i="7"/>
  <c r="E3264" i="7"/>
  <c r="E3265" i="7"/>
  <c r="E3266" i="7"/>
  <c r="E3267" i="7"/>
  <c r="E3268" i="7"/>
  <c r="E3269" i="7"/>
  <c r="E3270" i="7"/>
  <c r="E3271" i="7"/>
  <c r="E3272" i="7"/>
  <c r="E3273" i="7"/>
  <c r="E3274" i="7"/>
  <c r="E3275" i="7"/>
  <c r="E3276" i="7"/>
  <c r="E3277" i="7"/>
  <c r="E3278" i="7"/>
  <c r="E3279" i="7"/>
  <c r="E3280" i="7"/>
  <c r="E3281" i="7"/>
  <c r="E3282" i="7"/>
  <c r="E3283" i="7"/>
  <c r="E3284" i="7"/>
  <c r="E3285" i="7"/>
  <c r="E3286" i="7"/>
  <c r="E3287" i="7"/>
  <c r="E3288" i="7"/>
  <c r="E3289" i="7"/>
  <c r="E3290" i="7"/>
  <c r="E3291" i="7"/>
  <c r="E3292" i="7"/>
  <c r="E3293" i="7"/>
  <c r="E3294" i="7"/>
  <c r="E3295" i="7"/>
  <c r="E3296" i="7"/>
  <c r="E3297" i="7"/>
  <c r="E3298" i="7"/>
  <c r="E3299" i="7"/>
  <c r="E3300" i="7"/>
  <c r="E3301" i="7"/>
  <c r="E3302" i="7"/>
  <c r="E3303" i="7"/>
  <c r="E3304" i="7"/>
  <c r="E3305" i="7"/>
  <c r="E3306" i="7"/>
  <c r="E3307" i="7"/>
  <c r="E3308" i="7"/>
  <c r="E3309" i="7"/>
  <c r="E3310" i="7"/>
  <c r="E3311" i="7"/>
  <c r="E3312" i="7"/>
  <c r="E3313" i="7"/>
  <c r="E3314" i="7"/>
  <c r="E3315" i="7"/>
  <c r="E3316" i="7"/>
  <c r="E3317" i="7"/>
  <c r="E3318" i="7"/>
  <c r="E3319" i="7"/>
  <c r="E3320" i="7"/>
  <c r="E3321" i="7"/>
  <c r="E3322" i="7"/>
  <c r="E3323" i="7"/>
  <c r="E3324" i="7"/>
  <c r="E3325" i="7"/>
  <c r="E3326" i="7"/>
  <c r="E3327" i="7"/>
  <c r="E3328" i="7"/>
  <c r="E3329" i="7"/>
  <c r="E3330" i="7"/>
  <c r="E3331" i="7"/>
  <c r="E3332" i="7"/>
  <c r="E3333" i="7"/>
  <c r="E3334" i="7"/>
  <c r="E3335" i="7"/>
  <c r="E3336" i="7"/>
  <c r="E3337" i="7"/>
  <c r="E3338" i="7"/>
  <c r="E3339" i="7"/>
  <c r="E3340" i="7"/>
  <c r="E3341" i="7"/>
  <c r="E3342" i="7"/>
  <c r="E3343" i="7"/>
  <c r="E3344" i="7"/>
  <c r="E3345" i="7"/>
  <c r="E3346" i="7"/>
  <c r="E3347" i="7"/>
  <c r="E3348" i="7"/>
  <c r="E3349" i="7"/>
  <c r="E3350" i="7"/>
  <c r="E3351" i="7"/>
  <c r="E3352" i="7"/>
  <c r="E3353" i="7"/>
  <c r="E3354" i="7"/>
  <c r="E3355" i="7"/>
  <c r="E3356" i="7"/>
  <c r="E3357" i="7"/>
  <c r="E3358" i="7"/>
  <c r="E3359" i="7"/>
  <c r="E3360" i="7"/>
  <c r="E3361" i="7"/>
  <c r="E3362" i="7"/>
  <c r="E3363" i="7"/>
  <c r="E3364" i="7"/>
  <c r="E3365" i="7"/>
  <c r="E3366" i="7"/>
  <c r="E3367" i="7"/>
  <c r="E3368" i="7"/>
  <c r="E3369" i="7"/>
  <c r="E3370" i="7"/>
  <c r="E3371" i="7"/>
  <c r="E3372" i="7"/>
  <c r="E3373" i="7"/>
  <c r="E3374" i="7"/>
  <c r="E3375" i="7"/>
  <c r="E3376" i="7"/>
  <c r="E3377" i="7"/>
  <c r="E3378" i="7"/>
  <c r="E3379" i="7"/>
  <c r="E3380" i="7"/>
  <c r="E3381" i="7"/>
  <c r="E3382" i="7"/>
  <c r="E3383" i="7"/>
  <c r="E3384" i="7"/>
  <c r="E3385" i="7"/>
  <c r="E3386" i="7"/>
  <c r="E3387" i="7"/>
  <c r="E3388" i="7"/>
  <c r="E3389" i="7"/>
  <c r="E3390" i="7"/>
  <c r="E3391" i="7"/>
  <c r="E3392" i="7"/>
  <c r="E3393" i="7"/>
  <c r="E3394" i="7"/>
  <c r="E3395" i="7"/>
  <c r="E3396" i="7"/>
  <c r="E3397" i="7"/>
  <c r="E3398" i="7"/>
  <c r="E3399" i="7"/>
  <c r="E3400" i="7"/>
  <c r="E3401" i="7"/>
  <c r="E3402" i="7"/>
  <c r="E3403" i="7"/>
  <c r="E3404" i="7"/>
  <c r="E3405" i="7"/>
  <c r="E3406" i="7"/>
  <c r="E3407" i="7"/>
  <c r="E3408" i="7"/>
  <c r="E3409" i="7"/>
  <c r="E3410" i="7"/>
  <c r="E3411" i="7"/>
  <c r="E3412" i="7"/>
  <c r="E3413" i="7"/>
  <c r="E3414" i="7"/>
  <c r="E3415" i="7"/>
  <c r="E3416" i="7"/>
  <c r="E3417" i="7"/>
  <c r="E3418" i="7"/>
  <c r="E3419" i="7"/>
  <c r="E3420" i="7"/>
  <c r="E3421" i="7"/>
  <c r="E3422" i="7"/>
  <c r="E3423" i="7"/>
  <c r="E3424" i="7"/>
  <c r="E3425" i="7"/>
  <c r="E3426" i="7"/>
  <c r="E3427" i="7"/>
  <c r="E3428" i="7"/>
  <c r="E3429" i="7"/>
  <c r="E3430" i="7"/>
  <c r="E3431" i="7"/>
  <c r="E3432" i="7"/>
  <c r="E3433" i="7"/>
  <c r="E3434" i="7"/>
  <c r="E3435" i="7"/>
  <c r="E3436" i="7"/>
  <c r="E3437" i="7"/>
  <c r="E3438" i="7"/>
  <c r="E3439" i="7"/>
  <c r="E3440" i="7"/>
  <c r="E3441" i="7"/>
  <c r="E3442" i="7"/>
  <c r="E3443" i="7"/>
  <c r="E3444" i="7"/>
  <c r="E3445" i="7"/>
  <c r="E3446" i="7"/>
  <c r="E3447" i="7"/>
  <c r="E3448" i="7"/>
  <c r="E3449" i="7"/>
  <c r="E3450" i="7"/>
  <c r="E3451" i="7"/>
  <c r="E3452" i="7"/>
  <c r="E3453" i="7"/>
  <c r="E3454" i="7"/>
  <c r="E3455" i="7"/>
  <c r="E3456" i="7"/>
  <c r="E3457" i="7"/>
  <c r="E3458" i="7"/>
  <c r="E3459" i="7"/>
  <c r="E3460" i="7"/>
  <c r="E3461" i="7"/>
  <c r="E3462" i="7"/>
  <c r="E3463" i="7"/>
  <c r="E3464" i="7"/>
  <c r="E3465" i="7"/>
  <c r="E3466" i="7"/>
  <c r="E3467" i="7"/>
  <c r="E3468" i="7"/>
  <c r="E3469" i="7"/>
  <c r="E3470" i="7"/>
  <c r="E3471" i="7"/>
  <c r="E3472" i="7"/>
  <c r="E3473" i="7"/>
  <c r="E3474" i="7"/>
  <c r="E3475" i="7"/>
  <c r="E3476" i="7"/>
  <c r="E3477" i="7"/>
  <c r="E3478" i="7"/>
  <c r="E3479" i="7"/>
  <c r="E3480" i="7"/>
  <c r="E3481" i="7"/>
  <c r="E3482" i="7"/>
  <c r="E3483" i="7"/>
  <c r="E3484" i="7"/>
  <c r="E3485" i="7"/>
  <c r="E3486" i="7"/>
  <c r="E3487" i="7"/>
  <c r="E3488" i="7"/>
  <c r="E3489" i="7"/>
  <c r="E3490" i="7"/>
  <c r="E3491" i="7"/>
  <c r="E3492" i="7"/>
  <c r="E3493" i="7"/>
  <c r="E3494" i="7"/>
  <c r="E3495" i="7"/>
  <c r="E3496" i="7"/>
  <c r="E3497" i="7"/>
  <c r="E3498" i="7"/>
  <c r="E3499" i="7"/>
  <c r="E3500" i="7"/>
  <c r="E3501" i="7"/>
  <c r="E3502" i="7"/>
  <c r="E3503" i="7"/>
  <c r="E3504" i="7"/>
  <c r="E3505" i="7"/>
  <c r="E3506" i="7"/>
  <c r="E3507" i="7"/>
  <c r="E3508" i="7"/>
  <c r="E3509" i="7"/>
  <c r="E3510" i="7"/>
  <c r="E3511" i="7"/>
  <c r="E3512" i="7"/>
  <c r="E3513" i="7"/>
  <c r="E3514" i="7"/>
  <c r="E3515" i="7"/>
  <c r="E3516" i="7"/>
  <c r="E3517" i="7"/>
  <c r="E3518" i="7"/>
  <c r="E3519" i="7"/>
  <c r="E3520" i="7"/>
  <c r="E3521" i="7"/>
  <c r="E3522" i="7"/>
  <c r="E3523" i="7"/>
  <c r="E3524" i="7"/>
  <c r="E3525" i="7"/>
  <c r="E3526" i="7"/>
  <c r="E3527" i="7"/>
  <c r="E3528" i="7"/>
  <c r="E3529" i="7"/>
  <c r="E3530" i="7"/>
  <c r="E3531" i="7"/>
  <c r="E3532" i="7"/>
  <c r="E3533" i="7"/>
  <c r="E3534" i="7"/>
  <c r="E3535" i="7"/>
  <c r="E3536" i="7"/>
  <c r="E3537" i="7"/>
  <c r="E3538" i="7"/>
  <c r="E3539" i="7"/>
  <c r="E3540" i="7"/>
  <c r="E3541" i="7"/>
  <c r="E3542" i="7"/>
  <c r="E3543" i="7"/>
  <c r="E3544" i="7"/>
  <c r="E3545" i="7"/>
  <c r="E3546" i="7"/>
  <c r="E3547" i="7"/>
  <c r="E3548" i="7"/>
  <c r="E3549" i="7"/>
  <c r="E3550" i="7"/>
  <c r="E3551" i="7"/>
  <c r="E3552" i="7"/>
  <c r="E3553" i="7"/>
  <c r="E3554" i="7"/>
  <c r="E3555" i="7"/>
  <c r="E3556" i="7"/>
  <c r="E3557" i="7"/>
  <c r="E3558" i="7"/>
  <c r="E3559" i="7"/>
  <c r="E3560" i="7"/>
  <c r="E3561" i="7"/>
  <c r="E3562" i="7"/>
  <c r="E3563" i="7"/>
  <c r="E3564" i="7"/>
  <c r="E3565" i="7"/>
  <c r="E3566" i="7"/>
  <c r="E3567" i="7"/>
  <c r="E3568" i="7"/>
  <c r="E3569" i="7"/>
  <c r="E3570" i="7"/>
  <c r="E3571" i="7"/>
  <c r="E3572" i="7"/>
  <c r="E3573" i="7"/>
  <c r="E3574" i="7"/>
  <c r="E3575" i="7"/>
  <c r="E3576" i="7"/>
  <c r="E3577" i="7"/>
  <c r="E3578" i="7"/>
  <c r="E3579" i="7"/>
  <c r="E3580" i="7"/>
  <c r="E3581" i="7"/>
  <c r="E3582" i="7"/>
  <c r="E3583" i="7"/>
  <c r="E3584" i="7"/>
  <c r="E3585" i="7"/>
  <c r="E3586" i="7"/>
  <c r="E3587" i="7"/>
  <c r="E3588" i="7"/>
  <c r="E3589" i="7"/>
  <c r="E3590" i="7"/>
  <c r="E3591" i="7"/>
  <c r="E3592" i="7"/>
  <c r="E3593" i="7"/>
  <c r="E3594" i="7"/>
  <c r="E3595" i="7"/>
  <c r="E3596" i="7"/>
  <c r="E3597" i="7"/>
  <c r="E3598" i="7"/>
  <c r="E3599" i="7"/>
  <c r="E3600" i="7"/>
  <c r="E3601" i="7"/>
  <c r="E3602" i="7"/>
  <c r="E3603" i="7"/>
  <c r="E3604" i="7"/>
  <c r="E3605" i="7"/>
  <c r="E3606" i="7"/>
  <c r="E3607" i="7"/>
  <c r="E3608" i="7"/>
  <c r="E3609" i="7"/>
  <c r="E3610" i="7"/>
  <c r="E3611" i="7"/>
  <c r="E3612" i="7"/>
  <c r="E3613" i="7"/>
  <c r="E3614" i="7"/>
  <c r="E3615" i="7"/>
  <c r="E3616" i="7"/>
  <c r="E3617" i="7"/>
  <c r="E3618" i="7"/>
  <c r="E3619" i="7"/>
  <c r="E3620" i="7"/>
  <c r="E3621" i="7"/>
  <c r="E3622" i="7"/>
  <c r="E3623" i="7"/>
  <c r="E3624" i="7"/>
  <c r="E3625" i="7"/>
  <c r="E3626" i="7"/>
  <c r="E3627" i="7"/>
  <c r="E3628" i="7"/>
  <c r="E3629" i="7"/>
  <c r="E3630" i="7"/>
  <c r="E3631" i="7"/>
  <c r="E3632" i="7"/>
  <c r="E3633" i="7"/>
  <c r="E3634" i="7"/>
  <c r="E3635" i="7"/>
  <c r="E3636" i="7"/>
  <c r="E3637" i="7"/>
  <c r="E3638" i="7"/>
  <c r="E3639" i="7"/>
  <c r="E3640" i="7"/>
  <c r="E3641" i="7"/>
  <c r="E3642" i="7"/>
  <c r="E3643" i="7"/>
  <c r="E3644" i="7"/>
  <c r="E3645" i="7"/>
  <c r="E3646" i="7"/>
  <c r="E3647" i="7"/>
  <c r="E3648" i="7"/>
  <c r="E3649" i="7"/>
  <c r="E3650" i="7"/>
  <c r="E3651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L3536" i="7"/>
  <c r="L3537" i="7"/>
  <c r="L3538" i="7"/>
  <c r="L3539" i="7"/>
  <c r="L3540" i="7"/>
  <c r="L3541" i="7"/>
  <c r="L3542" i="7"/>
  <c r="L3543" i="7"/>
  <c r="L3544" i="7"/>
  <c r="L3545" i="7"/>
  <c r="L3546" i="7"/>
  <c r="L3547" i="7"/>
  <c r="L3548" i="7"/>
  <c r="L3549" i="7"/>
  <c r="L3550" i="7"/>
  <c r="L3551" i="7"/>
  <c r="L3552" i="7"/>
  <c r="L3553" i="7"/>
  <c r="L3554" i="7"/>
  <c r="L3555" i="7"/>
  <c r="L3556" i="7"/>
  <c r="L3557" i="7"/>
  <c r="L3558" i="7"/>
  <c r="L3559" i="7"/>
  <c r="L3560" i="7"/>
  <c r="L3561" i="7"/>
  <c r="L3562" i="7"/>
  <c r="L3563" i="7"/>
  <c r="L3564" i="7"/>
  <c r="L3565" i="7"/>
  <c r="L3566" i="7"/>
  <c r="L3567" i="7"/>
  <c r="L3568" i="7"/>
  <c r="L3569" i="7"/>
  <c r="L3570" i="7"/>
  <c r="L3571" i="7"/>
  <c r="L3572" i="7"/>
  <c r="L3573" i="7"/>
  <c r="L3574" i="7"/>
  <c r="L3575" i="7"/>
  <c r="L3576" i="7"/>
  <c r="L3577" i="7"/>
  <c r="L3578" i="7"/>
  <c r="L3579" i="7"/>
  <c r="L3580" i="7"/>
  <c r="L3581" i="7"/>
  <c r="L3582" i="7"/>
  <c r="L3583" i="7"/>
  <c r="L3584" i="7"/>
  <c r="L3585" i="7"/>
  <c r="L3586" i="7"/>
  <c r="L3587" i="7"/>
  <c r="L3588" i="7"/>
  <c r="L3589" i="7"/>
  <c r="L3590" i="7"/>
  <c r="L3591" i="7"/>
  <c r="L3592" i="7"/>
  <c r="L3593" i="7"/>
  <c r="L3594" i="7"/>
  <c r="L3595" i="7"/>
  <c r="L3596" i="7"/>
  <c r="L3597" i="7"/>
  <c r="L3598" i="7"/>
  <c r="L3599" i="7"/>
  <c r="L3600" i="7"/>
  <c r="L3601" i="7"/>
  <c r="L3602" i="7"/>
  <c r="L3603" i="7"/>
  <c r="L3604" i="7"/>
  <c r="L3605" i="7"/>
  <c r="L3606" i="7"/>
  <c r="L3607" i="7"/>
  <c r="L3608" i="7"/>
  <c r="L3609" i="7"/>
  <c r="L3610" i="7"/>
  <c r="L3611" i="7"/>
  <c r="L3612" i="7"/>
  <c r="L3613" i="7"/>
  <c r="L3614" i="7"/>
  <c r="L3615" i="7"/>
  <c r="L3616" i="7"/>
  <c r="L3617" i="7"/>
  <c r="L3618" i="7"/>
  <c r="L3619" i="7"/>
  <c r="L3620" i="7"/>
  <c r="L3621" i="7"/>
  <c r="L3622" i="7"/>
  <c r="L3623" i="7"/>
  <c r="L3624" i="7"/>
  <c r="L3625" i="7"/>
  <c r="L3626" i="7"/>
  <c r="L3627" i="7"/>
  <c r="L3628" i="7"/>
  <c r="L3629" i="7"/>
  <c r="L3630" i="7"/>
  <c r="L3631" i="7"/>
  <c r="L3632" i="7"/>
  <c r="L3633" i="7"/>
  <c r="L3634" i="7"/>
  <c r="L3635" i="7"/>
  <c r="L3636" i="7"/>
  <c r="L3637" i="7"/>
  <c r="L3638" i="7"/>
  <c r="L3639" i="7"/>
  <c r="L3640" i="7"/>
  <c r="L3641" i="7"/>
  <c r="L3642" i="7"/>
  <c r="L3643" i="7"/>
  <c r="L3644" i="7"/>
  <c r="L3645" i="7"/>
  <c r="L3646" i="7"/>
  <c r="L3647" i="7"/>
  <c r="L3648" i="7"/>
  <c r="L3649" i="7"/>
  <c r="L3650" i="7"/>
  <c r="L365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3394" i="7"/>
  <c r="K3395" i="7"/>
  <c r="K3396" i="7"/>
  <c r="K3397" i="7"/>
  <c r="K3398" i="7"/>
  <c r="K3399" i="7"/>
  <c r="K3400" i="7"/>
  <c r="K3401" i="7"/>
  <c r="K3402" i="7"/>
  <c r="K3403" i="7"/>
  <c r="K3404" i="7"/>
  <c r="K3405" i="7"/>
  <c r="K3406" i="7"/>
  <c r="K3407" i="7"/>
  <c r="K3408" i="7"/>
  <c r="K3409" i="7"/>
  <c r="K3410" i="7"/>
  <c r="K3411" i="7"/>
  <c r="K3412" i="7"/>
  <c r="K3413" i="7"/>
  <c r="K3414" i="7"/>
  <c r="K3415" i="7"/>
  <c r="K3416" i="7"/>
  <c r="K3417" i="7"/>
  <c r="K3418" i="7"/>
  <c r="K3419" i="7"/>
  <c r="K3420" i="7"/>
  <c r="K3421" i="7"/>
  <c r="K3422" i="7"/>
  <c r="K3423" i="7"/>
  <c r="K3424" i="7"/>
  <c r="K3425" i="7"/>
  <c r="K3426" i="7"/>
  <c r="K3427" i="7"/>
  <c r="K3428" i="7"/>
  <c r="K3429" i="7"/>
  <c r="K3430" i="7"/>
  <c r="K3431" i="7"/>
  <c r="K3432" i="7"/>
  <c r="K3433" i="7"/>
  <c r="K3434" i="7"/>
  <c r="K3435" i="7"/>
  <c r="K3436" i="7"/>
  <c r="K3437" i="7"/>
  <c r="K3438" i="7"/>
  <c r="K3439" i="7"/>
  <c r="K3440" i="7"/>
  <c r="K3441" i="7"/>
  <c r="K3442" i="7"/>
  <c r="K3443" i="7"/>
  <c r="K3444" i="7"/>
  <c r="K3445" i="7"/>
  <c r="K3446" i="7"/>
  <c r="K3447" i="7"/>
  <c r="K3448" i="7"/>
  <c r="K3449" i="7"/>
  <c r="K3450" i="7"/>
  <c r="K3451" i="7"/>
  <c r="K3452" i="7"/>
  <c r="K3453" i="7"/>
  <c r="K3454" i="7"/>
  <c r="K3455" i="7"/>
  <c r="K3456" i="7"/>
  <c r="K3457" i="7"/>
  <c r="K3458" i="7"/>
  <c r="K3459" i="7"/>
  <c r="K3460" i="7"/>
  <c r="K3461" i="7"/>
  <c r="K3462" i="7"/>
  <c r="K3463" i="7"/>
  <c r="K3464" i="7"/>
  <c r="K3465" i="7"/>
  <c r="K3466" i="7"/>
  <c r="K3467" i="7"/>
  <c r="K3468" i="7"/>
  <c r="K3469" i="7"/>
  <c r="K3470" i="7"/>
  <c r="K3471" i="7"/>
  <c r="K3472" i="7"/>
  <c r="K3473" i="7"/>
  <c r="K3474" i="7"/>
  <c r="K3475" i="7"/>
  <c r="K3476" i="7"/>
  <c r="K3477" i="7"/>
  <c r="K3478" i="7"/>
  <c r="K3479" i="7"/>
  <c r="K3480" i="7"/>
  <c r="K3481" i="7"/>
  <c r="K3482" i="7"/>
  <c r="K3483" i="7"/>
  <c r="K3484" i="7"/>
  <c r="K3485" i="7"/>
  <c r="K3486" i="7"/>
  <c r="K3487" i="7"/>
  <c r="K3488" i="7"/>
  <c r="K3489" i="7"/>
  <c r="K3490" i="7"/>
  <c r="K3491" i="7"/>
  <c r="K3492" i="7"/>
  <c r="K3493" i="7"/>
  <c r="K3494" i="7"/>
  <c r="K3495" i="7"/>
  <c r="K3496" i="7"/>
  <c r="K3497" i="7"/>
  <c r="K3498" i="7"/>
  <c r="K3499" i="7"/>
  <c r="K3500" i="7"/>
  <c r="K3501" i="7"/>
  <c r="K3502" i="7"/>
  <c r="K3503" i="7"/>
  <c r="K3504" i="7"/>
  <c r="K3505" i="7"/>
  <c r="K3506" i="7"/>
  <c r="K3507" i="7"/>
  <c r="K3508" i="7"/>
  <c r="K3509" i="7"/>
  <c r="K3510" i="7"/>
  <c r="K3511" i="7"/>
  <c r="K3512" i="7"/>
  <c r="K3513" i="7"/>
  <c r="K3514" i="7"/>
  <c r="K3515" i="7"/>
  <c r="K3516" i="7"/>
  <c r="K3517" i="7"/>
  <c r="K3518" i="7"/>
  <c r="K3519" i="7"/>
  <c r="K3520" i="7"/>
  <c r="K3521" i="7"/>
  <c r="K3522" i="7"/>
  <c r="K3523" i="7"/>
  <c r="K3524" i="7"/>
  <c r="K3525" i="7"/>
  <c r="K3526" i="7"/>
  <c r="K3527" i="7"/>
  <c r="K3528" i="7"/>
  <c r="K3529" i="7"/>
  <c r="K3530" i="7"/>
  <c r="K3531" i="7"/>
  <c r="K3532" i="7"/>
  <c r="K3533" i="7"/>
  <c r="K3534" i="7"/>
  <c r="K3535" i="7"/>
  <c r="K3536" i="7"/>
  <c r="K3537" i="7"/>
  <c r="K3538" i="7"/>
  <c r="K3539" i="7"/>
  <c r="K3540" i="7"/>
  <c r="K3541" i="7"/>
  <c r="K3542" i="7"/>
  <c r="K3543" i="7"/>
  <c r="K3544" i="7"/>
  <c r="K3545" i="7"/>
  <c r="K3546" i="7"/>
  <c r="K3547" i="7"/>
  <c r="K3548" i="7"/>
  <c r="K3549" i="7"/>
  <c r="K3550" i="7"/>
  <c r="K3551" i="7"/>
  <c r="K3552" i="7"/>
  <c r="K3553" i="7"/>
  <c r="K3554" i="7"/>
  <c r="K3555" i="7"/>
  <c r="K3556" i="7"/>
  <c r="K3557" i="7"/>
  <c r="K3558" i="7"/>
  <c r="K3559" i="7"/>
  <c r="K3560" i="7"/>
  <c r="K3561" i="7"/>
  <c r="K3562" i="7"/>
  <c r="K3563" i="7"/>
  <c r="K3564" i="7"/>
  <c r="K3565" i="7"/>
  <c r="K3566" i="7"/>
  <c r="K3567" i="7"/>
  <c r="K3568" i="7"/>
  <c r="K3569" i="7"/>
  <c r="K3570" i="7"/>
  <c r="K3571" i="7"/>
  <c r="K3572" i="7"/>
  <c r="K3573" i="7"/>
  <c r="K3574" i="7"/>
  <c r="K3575" i="7"/>
  <c r="K3576" i="7"/>
  <c r="K3577" i="7"/>
  <c r="K3578" i="7"/>
  <c r="K3579" i="7"/>
  <c r="K3580" i="7"/>
  <c r="K3581" i="7"/>
  <c r="K3582" i="7"/>
  <c r="K3583" i="7"/>
  <c r="K3584" i="7"/>
  <c r="K3585" i="7"/>
  <c r="K3586" i="7"/>
  <c r="K3587" i="7"/>
  <c r="K3588" i="7"/>
  <c r="K3589" i="7"/>
  <c r="K3590" i="7"/>
  <c r="K3591" i="7"/>
  <c r="K3592" i="7"/>
  <c r="K3593" i="7"/>
  <c r="K3594" i="7"/>
  <c r="K3595" i="7"/>
  <c r="K3596" i="7"/>
  <c r="K3597" i="7"/>
  <c r="K3598" i="7"/>
  <c r="K3599" i="7"/>
  <c r="K3600" i="7"/>
  <c r="K3601" i="7"/>
  <c r="K3602" i="7"/>
  <c r="K3603" i="7"/>
  <c r="K3604" i="7"/>
  <c r="K3605" i="7"/>
  <c r="K3606" i="7"/>
  <c r="K3607" i="7"/>
  <c r="K3608" i="7"/>
  <c r="K3609" i="7"/>
  <c r="K3610" i="7"/>
  <c r="K3611" i="7"/>
  <c r="K3612" i="7"/>
  <c r="K3613" i="7"/>
  <c r="K3614" i="7"/>
  <c r="K3615" i="7"/>
  <c r="K3616" i="7"/>
  <c r="K3617" i="7"/>
  <c r="K3618" i="7"/>
  <c r="K3619" i="7"/>
  <c r="K3620" i="7"/>
  <c r="K3621" i="7"/>
  <c r="K3622" i="7"/>
  <c r="K3623" i="7"/>
  <c r="K3624" i="7"/>
  <c r="K3625" i="7"/>
  <c r="K3626" i="7"/>
  <c r="K3627" i="7"/>
  <c r="K3628" i="7"/>
  <c r="K3629" i="7"/>
  <c r="K3630" i="7"/>
  <c r="K3631" i="7"/>
  <c r="K3632" i="7"/>
  <c r="K3633" i="7"/>
  <c r="K3634" i="7"/>
  <c r="K3635" i="7"/>
  <c r="K3636" i="7"/>
  <c r="K3637" i="7"/>
  <c r="K3638" i="7"/>
  <c r="K3639" i="7"/>
  <c r="K3640" i="7"/>
  <c r="K3641" i="7"/>
  <c r="K3642" i="7"/>
  <c r="K3643" i="7"/>
  <c r="K3644" i="7"/>
  <c r="K3645" i="7"/>
  <c r="K3646" i="7"/>
  <c r="K3647" i="7"/>
  <c r="K3648" i="7"/>
  <c r="K3649" i="7"/>
  <c r="K3650" i="7"/>
  <c r="K3651" i="7"/>
  <c r="K2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3003" i="7"/>
  <c r="J3004" i="7"/>
  <c r="J3005" i="7"/>
  <c r="J3006" i="7"/>
  <c r="J3007" i="7"/>
  <c r="J3008" i="7"/>
  <c r="J3009" i="7"/>
  <c r="J3010" i="7"/>
  <c r="J3011" i="7"/>
  <c r="J3012" i="7"/>
  <c r="J3013" i="7"/>
  <c r="J3014" i="7"/>
  <c r="J3015" i="7"/>
  <c r="J3016" i="7"/>
  <c r="J3017" i="7"/>
  <c r="J3018" i="7"/>
  <c r="J3019" i="7"/>
  <c r="J3020" i="7"/>
  <c r="J3021" i="7"/>
  <c r="J3022" i="7"/>
  <c r="J3023" i="7"/>
  <c r="J3024" i="7"/>
  <c r="J3025" i="7"/>
  <c r="J3026" i="7"/>
  <c r="J3027" i="7"/>
  <c r="J3028" i="7"/>
  <c r="J3029" i="7"/>
  <c r="J3030" i="7"/>
  <c r="J3031" i="7"/>
  <c r="J3032" i="7"/>
  <c r="J3033" i="7"/>
  <c r="J3034" i="7"/>
  <c r="J3035" i="7"/>
  <c r="J3036" i="7"/>
  <c r="J3037" i="7"/>
  <c r="J3038" i="7"/>
  <c r="J3039" i="7"/>
  <c r="J3040" i="7"/>
  <c r="J3041" i="7"/>
  <c r="J3042" i="7"/>
  <c r="J3043" i="7"/>
  <c r="J3044" i="7"/>
  <c r="J3045" i="7"/>
  <c r="J3046" i="7"/>
  <c r="J3047" i="7"/>
  <c r="J3048" i="7"/>
  <c r="J3049" i="7"/>
  <c r="J3050" i="7"/>
  <c r="J3051" i="7"/>
  <c r="J3052" i="7"/>
  <c r="J3053" i="7"/>
  <c r="J3054" i="7"/>
  <c r="J3055" i="7"/>
  <c r="J3056" i="7"/>
  <c r="J3057" i="7"/>
  <c r="J3058" i="7"/>
  <c r="J3059" i="7"/>
  <c r="J3060" i="7"/>
  <c r="J3061" i="7"/>
  <c r="J3062" i="7"/>
  <c r="J3063" i="7"/>
  <c r="J3064" i="7"/>
  <c r="J3065" i="7"/>
  <c r="J3066" i="7"/>
  <c r="J3067" i="7"/>
  <c r="J3068" i="7"/>
  <c r="J3069" i="7"/>
  <c r="J3070" i="7"/>
  <c r="J3071" i="7"/>
  <c r="J3072" i="7"/>
  <c r="J3073" i="7"/>
  <c r="J3074" i="7"/>
  <c r="J3075" i="7"/>
  <c r="J3076" i="7"/>
  <c r="J3077" i="7"/>
  <c r="J3078" i="7"/>
  <c r="J3079" i="7"/>
  <c r="J3080" i="7"/>
  <c r="J3081" i="7"/>
  <c r="J3082" i="7"/>
  <c r="J3083" i="7"/>
  <c r="J3084" i="7"/>
  <c r="J3085" i="7"/>
  <c r="J3086" i="7"/>
  <c r="J3087" i="7"/>
  <c r="J3088" i="7"/>
  <c r="J3089" i="7"/>
  <c r="J3090" i="7"/>
  <c r="J3091" i="7"/>
  <c r="J3092" i="7"/>
  <c r="J3093" i="7"/>
  <c r="J3094" i="7"/>
  <c r="J3095" i="7"/>
  <c r="J3096" i="7"/>
  <c r="J3097" i="7"/>
  <c r="J3098" i="7"/>
  <c r="J3099" i="7"/>
  <c r="J3100" i="7"/>
  <c r="J3101" i="7"/>
  <c r="J3102" i="7"/>
  <c r="J3103" i="7"/>
  <c r="J3104" i="7"/>
  <c r="J3105" i="7"/>
  <c r="J3106" i="7"/>
  <c r="J3107" i="7"/>
  <c r="J3108" i="7"/>
  <c r="J3109" i="7"/>
  <c r="J3110" i="7"/>
  <c r="J3111" i="7"/>
  <c r="J3112" i="7"/>
  <c r="J3113" i="7"/>
  <c r="J3114" i="7"/>
  <c r="J3115" i="7"/>
  <c r="J3116" i="7"/>
  <c r="J3117" i="7"/>
  <c r="J3118" i="7"/>
  <c r="J3119" i="7"/>
  <c r="J3120" i="7"/>
  <c r="J3121" i="7"/>
  <c r="J3122" i="7"/>
  <c r="J3123" i="7"/>
  <c r="J3124" i="7"/>
  <c r="J3125" i="7"/>
  <c r="J3126" i="7"/>
  <c r="J3127" i="7"/>
  <c r="J3128" i="7"/>
  <c r="J3129" i="7"/>
  <c r="J3130" i="7"/>
  <c r="J3131" i="7"/>
  <c r="J3132" i="7"/>
  <c r="J3133" i="7"/>
  <c r="J3134" i="7"/>
  <c r="J3135" i="7"/>
  <c r="J3136" i="7"/>
  <c r="J3137" i="7"/>
  <c r="J3138" i="7"/>
  <c r="J3139" i="7"/>
  <c r="J3140" i="7"/>
  <c r="J3141" i="7"/>
  <c r="J3142" i="7"/>
  <c r="J3143" i="7"/>
  <c r="J3144" i="7"/>
  <c r="J3145" i="7"/>
  <c r="J3146" i="7"/>
  <c r="J3147" i="7"/>
  <c r="J3148" i="7"/>
  <c r="J3149" i="7"/>
  <c r="J3150" i="7"/>
  <c r="J3151" i="7"/>
  <c r="J3152" i="7"/>
  <c r="J3153" i="7"/>
  <c r="J3154" i="7"/>
  <c r="J3155" i="7"/>
  <c r="J3156" i="7"/>
  <c r="J3157" i="7"/>
  <c r="J3158" i="7"/>
  <c r="J3159" i="7"/>
  <c r="J3160" i="7"/>
  <c r="J3161" i="7"/>
  <c r="J3162" i="7"/>
  <c r="J3163" i="7"/>
  <c r="J3164" i="7"/>
  <c r="J3165" i="7"/>
  <c r="J3166" i="7"/>
  <c r="J3167" i="7"/>
  <c r="J3168" i="7"/>
  <c r="J3169" i="7"/>
  <c r="J3170" i="7"/>
  <c r="J3171" i="7"/>
  <c r="J3172" i="7"/>
  <c r="J3173" i="7"/>
  <c r="J3174" i="7"/>
  <c r="J3175" i="7"/>
  <c r="J3176" i="7"/>
  <c r="J3177" i="7"/>
  <c r="J3178" i="7"/>
  <c r="J3179" i="7"/>
  <c r="J3180" i="7"/>
  <c r="J3181" i="7"/>
  <c r="J3182" i="7"/>
  <c r="J3183" i="7"/>
  <c r="J3184" i="7"/>
  <c r="J3185" i="7"/>
  <c r="J3186" i="7"/>
  <c r="J3187" i="7"/>
  <c r="J3188" i="7"/>
  <c r="J3189" i="7"/>
  <c r="J3190" i="7"/>
  <c r="J3191" i="7"/>
  <c r="J3192" i="7"/>
  <c r="J3193" i="7"/>
  <c r="J3194" i="7"/>
  <c r="J3195" i="7"/>
  <c r="J3196" i="7"/>
  <c r="J3197" i="7"/>
  <c r="J3198" i="7"/>
  <c r="J3199" i="7"/>
  <c r="J3200" i="7"/>
  <c r="J3201" i="7"/>
  <c r="J3202" i="7"/>
  <c r="J3203" i="7"/>
  <c r="J3204" i="7"/>
  <c r="J3205" i="7"/>
  <c r="J3206" i="7"/>
  <c r="J3207" i="7"/>
  <c r="J3208" i="7"/>
  <c r="J3209" i="7"/>
  <c r="J3210" i="7"/>
  <c r="J3211" i="7"/>
  <c r="J3212" i="7"/>
  <c r="J3213" i="7"/>
  <c r="J3214" i="7"/>
  <c r="J3215" i="7"/>
  <c r="J3216" i="7"/>
  <c r="J3217" i="7"/>
  <c r="J3218" i="7"/>
  <c r="J3219" i="7"/>
  <c r="J3220" i="7"/>
  <c r="J3221" i="7"/>
  <c r="J3222" i="7"/>
  <c r="J3223" i="7"/>
  <c r="J3224" i="7"/>
  <c r="J3225" i="7"/>
  <c r="J3226" i="7"/>
  <c r="J3227" i="7"/>
  <c r="J3228" i="7"/>
  <c r="J3229" i="7"/>
  <c r="J3230" i="7"/>
  <c r="J3231" i="7"/>
  <c r="J3232" i="7"/>
  <c r="J3233" i="7"/>
  <c r="J3234" i="7"/>
  <c r="J3235" i="7"/>
  <c r="J3236" i="7"/>
  <c r="J3237" i="7"/>
  <c r="J3238" i="7"/>
  <c r="J3239" i="7"/>
  <c r="J3240" i="7"/>
  <c r="J3241" i="7"/>
  <c r="J3242" i="7"/>
  <c r="J3243" i="7"/>
  <c r="J3244" i="7"/>
  <c r="J3245" i="7"/>
  <c r="J3246" i="7"/>
  <c r="J3247" i="7"/>
  <c r="J3248" i="7"/>
  <c r="J3249" i="7"/>
  <c r="J3250" i="7"/>
  <c r="J3251" i="7"/>
  <c r="J3252" i="7"/>
  <c r="J3253" i="7"/>
  <c r="J3254" i="7"/>
  <c r="J3255" i="7"/>
  <c r="J3256" i="7"/>
  <c r="J3257" i="7"/>
  <c r="J3258" i="7"/>
  <c r="J3259" i="7"/>
  <c r="J3260" i="7"/>
  <c r="J3261" i="7"/>
  <c r="J3262" i="7"/>
  <c r="J3263" i="7"/>
  <c r="J3264" i="7"/>
  <c r="J3265" i="7"/>
  <c r="J3266" i="7"/>
  <c r="J3267" i="7"/>
  <c r="J3268" i="7"/>
  <c r="J3269" i="7"/>
  <c r="J3270" i="7"/>
  <c r="J3271" i="7"/>
  <c r="J3272" i="7"/>
  <c r="J3273" i="7"/>
  <c r="J3274" i="7"/>
  <c r="J3275" i="7"/>
  <c r="J3276" i="7"/>
  <c r="J3277" i="7"/>
  <c r="J3278" i="7"/>
  <c r="J3279" i="7"/>
  <c r="J3280" i="7"/>
  <c r="J3281" i="7"/>
  <c r="J3282" i="7"/>
  <c r="J3283" i="7"/>
  <c r="J3284" i="7"/>
  <c r="J3285" i="7"/>
  <c r="J3286" i="7"/>
  <c r="J3287" i="7"/>
  <c r="J3288" i="7"/>
  <c r="J3289" i="7"/>
  <c r="J3290" i="7"/>
  <c r="J3291" i="7"/>
  <c r="J3292" i="7"/>
  <c r="J3293" i="7"/>
  <c r="J3294" i="7"/>
  <c r="J3295" i="7"/>
  <c r="J3296" i="7"/>
  <c r="J3297" i="7"/>
  <c r="J3298" i="7"/>
  <c r="J3299" i="7"/>
  <c r="J3300" i="7"/>
  <c r="J3301" i="7"/>
  <c r="J3302" i="7"/>
  <c r="J3303" i="7"/>
  <c r="J3304" i="7"/>
  <c r="J3305" i="7"/>
  <c r="J3306" i="7"/>
  <c r="J3307" i="7"/>
  <c r="J3308" i="7"/>
  <c r="J3309" i="7"/>
  <c r="J3310" i="7"/>
  <c r="J3311" i="7"/>
  <c r="J3312" i="7"/>
  <c r="J3313" i="7"/>
  <c r="J3314" i="7"/>
  <c r="J3315" i="7"/>
  <c r="J3316" i="7"/>
  <c r="J3317" i="7"/>
  <c r="J3318" i="7"/>
  <c r="J3319" i="7"/>
  <c r="J3320" i="7"/>
  <c r="J3321" i="7"/>
  <c r="J3322" i="7"/>
  <c r="J3323" i="7"/>
  <c r="J3324" i="7"/>
  <c r="J3325" i="7"/>
  <c r="J3326" i="7"/>
  <c r="J3327" i="7"/>
  <c r="J3328" i="7"/>
  <c r="J3329" i="7"/>
  <c r="J3330" i="7"/>
  <c r="J3331" i="7"/>
  <c r="J3332" i="7"/>
  <c r="J3333" i="7"/>
  <c r="J3334" i="7"/>
  <c r="J3335" i="7"/>
  <c r="J3336" i="7"/>
  <c r="J3337" i="7"/>
  <c r="J3338" i="7"/>
  <c r="J3339" i="7"/>
  <c r="J3340" i="7"/>
  <c r="J3341" i="7"/>
  <c r="J3342" i="7"/>
  <c r="J3343" i="7"/>
  <c r="J3344" i="7"/>
  <c r="J3345" i="7"/>
  <c r="J3346" i="7"/>
  <c r="J3347" i="7"/>
  <c r="J3348" i="7"/>
  <c r="J3349" i="7"/>
  <c r="J3350" i="7"/>
  <c r="J3351" i="7"/>
  <c r="J3352" i="7"/>
  <c r="J3353" i="7"/>
  <c r="J3354" i="7"/>
  <c r="J3355" i="7"/>
  <c r="J3356" i="7"/>
  <c r="J3357" i="7"/>
  <c r="J3358" i="7"/>
  <c r="J3359" i="7"/>
  <c r="J3360" i="7"/>
  <c r="J3361" i="7"/>
  <c r="J3362" i="7"/>
  <c r="J3363" i="7"/>
  <c r="J3364" i="7"/>
  <c r="J3365" i="7"/>
  <c r="J3366" i="7"/>
  <c r="J3367" i="7"/>
  <c r="J3368" i="7"/>
  <c r="J3369" i="7"/>
  <c r="J3370" i="7"/>
  <c r="J3371" i="7"/>
  <c r="J3372" i="7"/>
  <c r="J3373" i="7"/>
  <c r="J3374" i="7"/>
  <c r="J3375" i="7"/>
  <c r="J3376" i="7"/>
  <c r="J3377" i="7"/>
  <c r="J3378" i="7"/>
  <c r="J3379" i="7"/>
  <c r="J3380" i="7"/>
  <c r="J3381" i="7"/>
  <c r="J3382" i="7"/>
  <c r="J3383" i="7"/>
  <c r="J3384" i="7"/>
  <c r="J3385" i="7"/>
  <c r="J3386" i="7"/>
  <c r="J3387" i="7"/>
  <c r="J3388" i="7"/>
  <c r="J3389" i="7"/>
  <c r="J3390" i="7"/>
  <c r="J3391" i="7"/>
  <c r="J3392" i="7"/>
  <c r="J3393" i="7"/>
  <c r="J3394" i="7"/>
  <c r="J3395" i="7"/>
  <c r="J3396" i="7"/>
  <c r="J3397" i="7"/>
  <c r="J3398" i="7"/>
  <c r="J3399" i="7"/>
  <c r="J3400" i="7"/>
  <c r="J3401" i="7"/>
  <c r="J3402" i="7"/>
  <c r="J3403" i="7"/>
  <c r="J3404" i="7"/>
  <c r="J3405" i="7"/>
  <c r="J3406" i="7"/>
  <c r="J3407" i="7"/>
  <c r="J3408" i="7"/>
  <c r="J3409" i="7"/>
  <c r="J3410" i="7"/>
  <c r="J3411" i="7"/>
  <c r="J3412" i="7"/>
  <c r="J3413" i="7"/>
  <c r="J3414" i="7"/>
  <c r="J3415" i="7"/>
  <c r="J3416" i="7"/>
  <c r="J3417" i="7"/>
  <c r="J3418" i="7"/>
  <c r="J3419" i="7"/>
  <c r="J3420" i="7"/>
  <c r="J3421" i="7"/>
  <c r="J3422" i="7"/>
  <c r="J3423" i="7"/>
  <c r="J3424" i="7"/>
  <c r="J3425" i="7"/>
  <c r="J3426" i="7"/>
  <c r="J3427" i="7"/>
  <c r="J3428" i="7"/>
  <c r="J3429" i="7"/>
  <c r="J3430" i="7"/>
  <c r="J3431" i="7"/>
  <c r="J3432" i="7"/>
  <c r="J3433" i="7"/>
  <c r="J3434" i="7"/>
  <c r="J3435" i="7"/>
  <c r="J3436" i="7"/>
  <c r="J3437" i="7"/>
  <c r="J3438" i="7"/>
  <c r="J3439" i="7"/>
  <c r="J3440" i="7"/>
  <c r="J3441" i="7"/>
  <c r="J3442" i="7"/>
  <c r="J3443" i="7"/>
  <c r="J3444" i="7"/>
  <c r="J3445" i="7"/>
  <c r="J3446" i="7"/>
  <c r="J3447" i="7"/>
  <c r="J3448" i="7"/>
  <c r="J3449" i="7"/>
  <c r="J3450" i="7"/>
  <c r="J3451" i="7"/>
  <c r="J3452" i="7"/>
  <c r="J3453" i="7"/>
  <c r="J3454" i="7"/>
  <c r="J3455" i="7"/>
  <c r="J3456" i="7"/>
  <c r="J3457" i="7"/>
  <c r="J3458" i="7"/>
  <c r="J3459" i="7"/>
  <c r="J3460" i="7"/>
  <c r="J3461" i="7"/>
  <c r="J3462" i="7"/>
  <c r="J3463" i="7"/>
  <c r="J3464" i="7"/>
  <c r="J3465" i="7"/>
  <c r="J3466" i="7"/>
  <c r="J3467" i="7"/>
  <c r="J3468" i="7"/>
  <c r="J3469" i="7"/>
  <c r="J3470" i="7"/>
  <c r="J3471" i="7"/>
  <c r="J3472" i="7"/>
  <c r="J3473" i="7"/>
  <c r="J3474" i="7"/>
  <c r="J3475" i="7"/>
  <c r="J3476" i="7"/>
  <c r="J3477" i="7"/>
  <c r="J3478" i="7"/>
  <c r="J3479" i="7"/>
  <c r="J3480" i="7"/>
  <c r="J3481" i="7"/>
  <c r="J3482" i="7"/>
  <c r="J3483" i="7"/>
  <c r="J3484" i="7"/>
  <c r="J3485" i="7"/>
  <c r="J3486" i="7"/>
  <c r="J3487" i="7"/>
  <c r="J3488" i="7"/>
  <c r="J3489" i="7"/>
  <c r="J3490" i="7"/>
  <c r="J3491" i="7"/>
  <c r="J3492" i="7"/>
  <c r="J3493" i="7"/>
  <c r="J3494" i="7"/>
  <c r="J3495" i="7"/>
  <c r="J3496" i="7"/>
  <c r="J3497" i="7"/>
  <c r="J3498" i="7"/>
  <c r="J3499" i="7"/>
  <c r="J3500" i="7"/>
  <c r="J3501" i="7"/>
  <c r="J3502" i="7"/>
  <c r="J3503" i="7"/>
  <c r="J3504" i="7"/>
  <c r="J3505" i="7"/>
  <c r="J3506" i="7"/>
  <c r="J3507" i="7"/>
  <c r="J3508" i="7"/>
  <c r="J3509" i="7"/>
  <c r="J3510" i="7"/>
  <c r="J3511" i="7"/>
  <c r="J3512" i="7"/>
  <c r="J3513" i="7"/>
  <c r="J3514" i="7"/>
  <c r="J3515" i="7"/>
  <c r="J3516" i="7"/>
  <c r="J3517" i="7"/>
  <c r="J3518" i="7"/>
  <c r="J3519" i="7"/>
  <c r="J3520" i="7"/>
  <c r="J3521" i="7"/>
  <c r="J3522" i="7"/>
  <c r="J3523" i="7"/>
  <c r="J3524" i="7"/>
  <c r="J3525" i="7"/>
  <c r="J3526" i="7"/>
  <c r="J3527" i="7"/>
  <c r="J3528" i="7"/>
  <c r="J3529" i="7"/>
  <c r="J3530" i="7"/>
  <c r="J3531" i="7"/>
  <c r="J3532" i="7"/>
  <c r="J3533" i="7"/>
  <c r="J3534" i="7"/>
  <c r="J3535" i="7"/>
  <c r="J3536" i="7"/>
  <c r="J3537" i="7"/>
  <c r="J3538" i="7"/>
  <c r="J3539" i="7"/>
  <c r="J3540" i="7"/>
  <c r="J3541" i="7"/>
  <c r="J3542" i="7"/>
  <c r="J3543" i="7"/>
  <c r="J3544" i="7"/>
  <c r="J3545" i="7"/>
  <c r="J3546" i="7"/>
  <c r="J3547" i="7"/>
  <c r="J3548" i="7"/>
  <c r="J3549" i="7"/>
  <c r="J3550" i="7"/>
  <c r="J3551" i="7"/>
  <c r="J3552" i="7"/>
  <c r="J3553" i="7"/>
  <c r="J3554" i="7"/>
  <c r="J3555" i="7"/>
  <c r="J3556" i="7"/>
  <c r="J3557" i="7"/>
  <c r="J3558" i="7"/>
  <c r="J3559" i="7"/>
  <c r="J3560" i="7"/>
  <c r="J3561" i="7"/>
  <c r="J3562" i="7"/>
  <c r="J3563" i="7"/>
  <c r="J3564" i="7"/>
  <c r="J3565" i="7"/>
  <c r="J3566" i="7"/>
  <c r="J3567" i="7"/>
  <c r="J3568" i="7"/>
  <c r="J3569" i="7"/>
  <c r="J3570" i="7"/>
  <c r="J3571" i="7"/>
  <c r="J3572" i="7"/>
  <c r="J3573" i="7"/>
  <c r="J3574" i="7"/>
  <c r="J3575" i="7"/>
  <c r="J3576" i="7"/>
  <c r="J3577" i="7"/>
  <c r="J3578" i="7"/>
  <c r="J3579" i="7"/>
  <c r="J3580" i="7"/>
  <c r="J3581" i="7"/>
  <c r="J3582" i="7"/>
  <c r="J3583" i="7"/>
  <c r="J3584" i="7"/>
  <c r="J3585" i="7"/>
  <c r="J3586" i="7"/>
  <c r="J3587" i="7"/>
  <c r="J3588" i="7"/>
  <c r="J3589" i="7"/>
  <c r="J3590" i="7"/>
  <c r="J3591" i="7"/>
  <c r="J3592" i="7"/>
  <c r="J3593" i="7"/>
  <c r="J3594" i="7"/>
  <c r="J3595" i="7"/>
  <c r="J3596" i="7"/>
  <c r="J3597" i="7"/>
  <c r="J3598" i="7"/>
  <c r="J3599" i="7"/>
  <c r="J3600" i="7"/>
  <c r="J3601" i="7"/>
  <c r="J3602" i="7"/>
  <c r="J3603" i="7"/>
  <c r="J3604" i="7"/>
  <c r="J3605" i="7"/>
  <c r="J3606" i="7"/>
  <c r="J3607" i="7"/>
  <c r="J3608" i="7"/>
  <c r="J3609" i="7"/>
  <c r="J3610" i="7"/>
  <c r="J3611" i="7"/>
  <c r="J3612" i="7"/>
  <c r="J3613" i="7"/>
  <c r="J3614" i="7"/>
  <c r="J3615" i="7"/>
  <c r="J3616" i="7"/>
  <c r="J3617" i="7"/>
  <c r="J3618" i="7"/>
  <c r="J3619" i="7"/>
  <c r="J3620" i="7"/>
  <c r="J3621" i="7"/>
  <c r="J3622" i="7"/>
  <c r="J3623" i="7"/>
  <c r="J3624" i="7"/>
  <c r="J3625" i="7"/>
  <c r="J3626" i="7"/>
  <c r="J3627" i="7"/>
  <c r="J3628" i="7"/>
  <c r="J3629" i="7"/>
  <c r="J3630" i="7"/>
  <c r="J3631" i="7"/>
  <c r="J3632" i="7"/>
  <c r="J3633" i="7"/>
  <c r="J3634" i="7"/>
  <c r="J3635" i="7"/>
  <c r="J3636" i="7"/>
  <c r="J3637" i="7"/>
  <c r="J3638" i="7"/>
  <c r="J3639" i="7"/>
  <c r="J3640" i="7"/>
  <c r="J3641" i="7"/>
  <c r="J3642" i="7"/>
  <c r="J3643" i="7"/>
  <c r="J3644" i="7"/>
  <c r="J3645" i="7"/>
  <c r="J3646" i="7"/>
  <c r="J3647" i="7"/>
  <c r="J3648" i="7"/>
  <c r="J3649" i="7"/>
  <c r="J3650" i="7"/>
  <c r="J3651" i="7"/>
  <c r="B2" i="7" a="1"/>
  <c r="B2" i="7" s="1"/>
  <c r="C2" i="7" s="1"/>
  <c r="B3" i="7" a="1"/>
  <c r="B3" i="7" s="1"/>
  <c r="C3" i="7" s="1"/>
  <c r="B4" i="7" a="1"/>
  <c r="B4" i="7" s="1"/>
  <c r="C4" i="7" s="1"/>
  <c r="B5" i="7" a="1"/>
  <c r="B5" i="7" s="1"/>
  <c r="C5" i="7" s="1"/>
  <c r="B6" i="7" a="1"/>
  <c r="B6" i="7" s="1"/>
  <c r="C6" i="7" s="1"/>
  <c r="B7" i="7" a="1"/>
  <c r="B7" i="7" s="1"/>
  <c r="C7" i="7" s="1"/>
  <c r="B8" i="7" a="1"/>
  <c r="B8" i="7" s="1"/>
  <c r="C8" i="7" s="1"/>
  <c r="B9" i="7" a="1"/>
  <c r="B9" i="7" s="1"/>
  <c r="C9" i="7" s="1"/>
  <c r="B10" i="7" a="1"/>
  <c r="B10" i="7" s="1"/>
  <c r="C10" i="7" s="1"/>
  <c r="B11" i="7" a="1"/>
  <c r="B11" i="7" s="1"/>
  <c r="C11" i="7" s="1"/>
  <c r="B12" i="7" a="1"/>
  <c r="B12" i="7" s="1"/>
  <c r="C12" i="7" s="1"/>
  <c r="B13" i="7" a="1"/>
  <c r="B13" i="7" s="1"/>
  <c r="C13" i="7" s="1"/>
  <c r="B14" i="7" a="1"/>
  <c r="B14" i="7" s="1"/>
  <c r="C14" i="7" s="1"/>
  <c r="B15" i="7" a="1"/>
  <c r="B15" i="7" s="1"/>
  <c r="C15" i="7" s="1"/>
  <c r="B16" i="7" a="1"/>
  <c r="B16" i="7" s="1"/>
  <c r="C16" i="7" s="1"/>
  <c r="B17" i="7" a="1"/>
  <c r="B17" i="7" s="1"/>
  <c r="C17" i="7" s="1"/>
  <c r="B18" i="7" a="1"/>
  <c r="B18" i="7" s="1"/>
  <c r="C18" i="7" s="1"/>
  <c r="B19" i="7" a="1"/>
  <c r="B19" i="7" s="1"/>
  <c r="C19" i="7" s="1"/>
  <c r="B20" i="7" a="1"/>
  <c r="B20" i="7" s="1"/>
  <c r="C20" i="7" s="1"/>
  <c r="B21" i="7" a="1"/>
  <c r="B21" i="7" s="1"/>
  <c r="C21" i="7" s="1"/>
  <c r="B22" i="7" a="1"/>
  <c r="B22" i="7" s="1"/>
  <c r="C22" i="7" s="1"/>
  <c r="B23" i="7" a="1"/>
  <c r="B23" i="7" s="1"/>
  <c r="C23" i="7" s="1"/>
  <c r="B24" i="7" a="1"/>
  <c r="B24" i="7" s="1"/>
  <c r="C24" i="7" s="1"/>
  <c r="B25" i="7" a="1"/>
  <c r="B25" i="7" s="1"/>
  <c r="C25" i="7" s="1"/>
  <c r="B26" i="7" a="1"/>
  <c r="B26" i="7" s="1"/>
  <c r="C26" i="7" s="1"/>
  <c r="B27" i="7" a="1"/>
  <c r="B27" i="7" s="1"/>
  <c r="C27" i="7" s="1"/>
  <c r="B28" i="7" a="1"/>
  <c r="B28" i="7" s="1"/>
  <c r="C28" i="7" s="1"/>
  <c r="B29" i="7" a="1"/>
  <c r="B29" i="7" s="1"/>
  <c r="C29" i="7" s="1"/>
  <c r="B30" i="7" a="1"/>
  <c r="B30" i="7" s="1"/>
  <c r="C30" i="7" s="1"/>
  <c r="B31" i="7" a="1"/>
  <c r="B31" i="7" s="1"/>
  <c r="C31" i="7" s="1"/>
  <c r="B32" i="7" a="1"/>
  <c r="B32" i="7" s="1"/>
  <c r="C32" i="7" s="1"/>
  <c r="B33" i="7" a="1"/>
  <c r="B33" i="7" s="1"/>
  <c r="C33" i="7" s="1"/>
  <c r="B34" i="7" a="1"/>
  <c r="B34" i="7" s="1"/>
  <c r="C34" i="7" s="1"/>
  <c r="B35" i="7" a="1"/>
  <c r="B35" i="7" s="1"/>
  <c r="C35" i="7" s="1"/>
  <c r="B36" i="7" a="1"/>
  <c r="B36" i="7" s="1"/>
  <c r="C36" i="7" s="1"/>
  <c r="B37" i="7" a="1"/>
  <c r="B37" i="7" s="1"/>
  <c r="C37" i="7" s="1"/>
  <c r="B38" i="7" a="1"/>
  <c r="B38" i="7" s="1"/>
  <c r="C38" i="7" s="1"/>
  <c r="B39" i="7" a="1"/>
  <c r="B39" i="7" s="1"/>
  <c r="C39" i="7" s="1"/>
  <c r="B40" i="7" a="1"/>
  <c r="B40" i="7" s="1"/>
  <c r="C40" i="7" s="1"/>
  <c r="B41" i="7" a="1"/>
  <c r="B41" i="7" s="1"/>
  <c r="C41" i="7" s="1"/>
  <c r="B42" i="7" a="1"/>
  <c r="B42" i="7" s="1"/>
  <c r="C42" i="7" s="1"/>
  <c r="B43" i="7" a="1"/>
  <c r="B43" i="7" s="1"/>
  <c r="C43" i="7" s="1"/>
  <c r="B44" i="7" a="1"/>
  <c r="B44" i="7" s="1"/>
  <c r="C44" i="7" s="1"/>
  <c r="B45" i="7" a="1"/>
  <c r="B45" i="7" s="1"/>
  <c r="C45" i="7" s="1"/>
  <c r="B46" i="7" a="1"/>
  <c r="B46" i="7" s="1"/>
  <c r="C46" i="7" s="1"/>
  <c r="B47" i="7" a="1"/>
  <c r="B47" i="7" s="1"/>
  <c r="C47" i="7" s="1"/>
  <c r="B48" i="7" a="1"/>
  <c r="B48" i="7" s="1"/>
  <c r="C48" i="7" s="1"/>
  <c r="B49" i="7" a="1"/>
  <c r="B49" i="7" s="1"/>
  <c r="C49" i="7" s="1"/>
  <c r="B50" i="7" a="1"/>
  <c r="B50" i="7" s="1"/>
  <c r="C50" i="7" s="1"/>
  <c r="B51" i="7" a="1"/>
  <c r="B51" i="7" s="1"/>
  <c r="C51" i="7" s="1"/>
  <c r="B52" i="7" a="1"/>
  <c r="B52" i="7" s="1"/>
  <c r="C52" i="7" s="1"/>
  <c r="B53" i="7" a="1"/>
  <c r="B53" i="7" s="1"/>
  <c r="C53" i="7" s="1"/>
  <c r="B54" i="7" a="1"/>
  <c r="B54" i="7" s="1"/>
  <c r="C54" i="7" s="1"/>
  <c r="B55" i="7" a="1"/>
  <c r="B55" i="7" s="1"/>
  <c r="C55" i="7" s="1"/>
  <c r="B56" i="7" a="1"/>
  <c r="B56" i="7" s="1"/>
  <c r="C56" i="7" s="1"/>
  <c r="B57" i="7" a="1"/>
  <c r="B57" i="7" s="1"/>
  <c r="C57" i="7" s="1"/>
  <c r="B58" i="7" a="1"/>
  <c r="B58" i="7" s="1"/>
  <c r="C58" i="7" s="1"/>
  <c r="B59" i="7" a="1"/>
  <c r="B59" i="7" s="1"/>
  <c r="C59" i="7" s="1"/>
  <c r="B60" i="7" a="1"/>
  <c r="B60" i="7" s="1"/>
  <c r="C60" i="7" s="1"/>
  <c r="B61" i="7" a="1"/>
  <c r="B61" i="7" s="1"/>
  <c r="C61" i="7" s="1"/>
  <c r="B62" i="7" a="1"/>
  <c r="B62" i="7" s="1"/>
  <c r="C62" i="7" s="1"/>
  <c r="B63" i="7" a="1"/>
  <c r="B63" i="7" s="1"/>
  <c r="C63" i="7" s="1"/>
  <c r="B64" i="7" a="1"/>
  <c r="B64" i="7" s="1"/>
  <c r="C64" i="7" s="1"/>
  <c r="B65" i="7" a="1"/>
  <c r="B65" i="7" s="1"/>
  <c r="C65" i="7" s="1"/>
  <c r="B66" i="7" a="1"/>
  <c r="B66" i="7" s="1"/>
  <c r="C66" i="7" s="1"/>
  <c r="B67" i="7" a="1"/>
  <c r="B67" i="7" s="1"/>
  <c r="C67" i="7" s="1"/>
  <c r="B68" i="7" a="1"/>
  <c r="B68" i="7" s="1"/>
  <c r="C68" i="7" s="1"/>
  <c r="B69" i="7" a="1"/>
  <c r="B69" i="7" s="1"/>
  <c r="C69" i="7" s="1"/>
  <c r="B70" i="7" a="1"/>
  <c r="B70" i="7" s="1"/>
  <c r="C70" i="7" s="1"/>
  <c r="B71" i="7" a="1"/>
  <c r="B71" i="7" s="1"/>
  <c r="C71" i="7" s="1"/>
  <c r="B72" i="7" a="1"/>
  <c r="B72" i="7" s="1"/>
  <c r="C72" i="7" s="1"/>
  <c r="B73" i="7" a="1"/>
  <c r="B73" i="7" s="1"/>
  <c r="C73" i="7" s="1"/>
  <c r="B74" i="7" a="1"/>
  <c r="B74" i="7" s="1"/>
  <c r="C74" i="7" s="1"/>
  <c r="B75" i="7" a="1"/>
  <c r="B75" i="7" s="1"/>
  <c r="C75" i="7" s="1"/>
  <c r="B76" i="7" a="1"/>
  <c r="B76" i="7" s="1"/>
  <c r="C76" i="7" s="1"/>
  <c r="B77" i="7" a="1"/>
  <c r="B77" i="7" s="1"/>
  <c r="C77" i="7" s="1"/>
  <c r="B78" i="7" a="1"/>
  <c r="B78" i="7" s="1"/>
  <c r="C78" i="7" s="1"/>
  <c r="B79" i="7" a="1"/>
  <c r="B79" i="7" s="1"/>
  <c r="C79" i="7" s="1"/>
  <c r="B80" i="7" a="1"/>
  <c r="B80" i="7" s="1"/>
  <c r="C80" i="7" s="1"/>
  <c r="B81" i="7" a="1"/>
  <c r="B81" i="7" s="1"/>
  <c r="C81" i="7" s="1"/>
  <c r="B82" i="7" a="1"/>
  <c r="B82" i="7" s="1"/>
  <c r="C82" i="7" s="1"/>
  <c r="B83" i="7" a="1"/>
  <c r="B83" i="7" s="1"/>
  <c r="C83" i="7" s="1"/>
  <c r="B84" i="7" a="1"/>
  <c r="B84" i="7" s="1"/>
  <c r="C84" i="7" s="1"/>
  <c r="B85" i="7" a="1"/>
  <c r="B85" i="7" s="1"/>
  <c r="C85" i="7" s="1"/>
  <c r="B86" i="7" a="1"/>
  <c r="B86" i="7" s="1"/>
  <c r="C86" i="7" s="1"/>
  <c r="B87" i="7" a="1"/>
  <c r="B87" i="7" s="1"/>
  <c r="C87" i="7" s="1"/>
  <c r="B88" i="7" a="1"/>
  <c r="B88" i="7" s="1"/>
  <c r="C88" i="7" s="1"/>
  <c r="B89" i="7" a="1"/>
  <c r="B89" i="7" s="1"/>
  <c r="C89" i="7" s="1"/>
  <c r="B90" i="7" a="1"/>
  <c r="B90" i="7" s="1"/>
  <c r="C90" i="7" s="1"/>
  <c r="B91" i="7" a="1"/>
  <c r="B91" i="7" s="1"/>
  <c r="C91" i="7" s="1"/>
  <c r="B92" i="7" a="1"/>
  <c r="B92" i="7" s="1"/>
  <c r="C92" i="7" s="1"/>
  <c r="B93" i="7" a="1"/>
  <c r="B93" i="7" s="1"/>
  <c r="C93" i="7" s="1"/>
  <c r="B94" i="7" a="1"/>
  <c r="B94" i="7" s="1"/>
  <c r="C94" i="7" s="1"/>
  <c r="B95" i="7" a="1"/>
  <c r="B95" i="7" s="1"/>
  <c r="C95" i="7" s="1"/>
  <c r="B96" i="7" a="1"/>
  <c r="B96" i="7" s="1"/>
  <c r="C96" i="7" s="1"/>
  <c r="B97" i="7" a="1"/>
  <c r="B97" i="7" s="1"/>
  <c r="C97" i="7" s="1"/>
  <c r="B98" i="7" a="1"/>
  <c r="B98" i="7" s="1"/>
  <c r="C98" i="7" s="1"/>
  <c r="B99" i="7" a="1"/>
  <c r="B99" i="7" s="1"/>
  <c r="C99" i="7" s="1"/>
  <c r="B100" i="7" a="1"/>
  <c r="B100" i="7" s="1"/>
  <c r="C100" i="7" s="1"/>
  <c r="B101" i="7" a="1"/>
  <c r="B101" i="7" s="1"/>
  <c r="C101" i="7" s="1"/>
  <c r="B102" i="7" a="1"/>
  <c r="B102" i="7" s="1"/>
  <c r="C102" i="7" s="1"/>
  <c r="B103" i="7" a="1"/>
  <c r="B103" i="7" s="1"/>
  <c r="C103" i="7" s="1"/>
  <c r="B104" i="7" a="1"/>
  <c r="B104" i="7" s="1"/>
  <c r="C104" i="7" s="1"/>
  <c r="B105" i="7" a="1"/>
  <c r="B105" i="7" s="1"/>
  <c r="C105" i="7" s="1"/>
  <c r="B106" i="7" a="1"/>
  <c r="B106" i="7"/>
  <c r="C106" i="7" s="1"/>
  <c r="B107" i="7" a="1"/>
  <c r="B107" i="7" s="1"/>
  <c r="C107" i="7" s="1"/>
  <c r="B108" i="7" a="1"/>
  <c r="B108" i="7" s="1"/>
  <c r="C108" i="7" s="1"/>
  <c r="B109" i="7" a="1"/>
  <c r="B109" i="7" s="1"/>
  <c r="C109" i="7" s="1"/>
  <c r="B110" i="7" a="1"/>
  <c r="B110" i="7" s="1"/>
  <c r="C110" i="7" s="1"/>
  <c r="B111" i="7" a="1"/>
  <c r="B111" i="7" s="1"/>
  <c r="C111" i="7" s="1"/>
  <c r="B112" i="7" a="1"/>
  <c r="B112" i="7" s="1"/>
  <c r="C112" i="7" s="1"/>
  <c r="B113" i="7" a="1"/>
  <c r="B113" i="7" s="1"/>
  <c r="C113" i="7" s="1"/>
  <c r="B114" i="7" a="1"/>
  <c r="B114" i="7" s="1"/>
  <c r="C114" i="7" s="1"/>
  <c r="B115" i="7" a="1"/>
  <c r="B115" i="7" s="1"/>
  <c r="C115" i="7" s="1"/>
  <c r="B116" i="7" a="1"/>
  <c r="B116" i="7" s="1"/>
  <c r="C116" i="7" s="1"/>
  <c r="B117" i="7" a="1"/>
  <c r="B117" i="7" s="1"/>
  <c r="C117" i="7" s="1"/>
  <c r="B118" i="7" a="1"/>
  <c r="B118" i="7" s="1"/>
  <c r="C118" i="7" s="1"/>
  <c r="B119" i="7" a="1"/>
  <c r="B119" i="7" s="1"/>
  <c r="C119" i="7" s="1"/>
  <c r="B120" i="7" a="1"/>
  <c r="B120" i="7" s="1"/>
  <c r="C120" i="7" s="1"/>
  <c r="B121" i="7" a="1"/>
  <c r="B121" i="7" s="1"/>
  <c r="C121" i="7" s="1"/>
  <c r="B122" i="7" a="1"/>
  <c r="B122" i="7" s="1"/>
  <c r="C122" i="7" s="1"/>
  <c r="B123" i="7" a="1"/>
  <c r="B123" i="7" s="1"/>
  <c r="C123" i="7" s="1"/>
  <c r="B124" i="7" a="1"/>
  <c r="B124" i="7" s="1"/>
  <c r="C124" i="7" s="1"/>
  <c r="B125" i="7" a="1"/>
  <c r="B125" i="7" s="1"/>
  <c r="C125" i="7" s="1"/>
  <c r="B126" i="7" a="1"/>
  <c r="B126" i="7" s="1"/>
  <c r="C126" i="7" s="1"/>
  <c r="B127" i="7" a="1"/>
  <c r="B127" i="7" s="1"/>
  <c r="C127" i="7" s="1"/>
  <c r="B128" i="7" a="1"/>
  <c r="B128" i="7" s="1"/>
  <c r="C128" i="7" s="1"/>
  <c r="B129" i="7" a="1"/>
  <c r="B129" i="7" s="1"/>
  <c r="C129" i="7" s="1"/>
  <c r="B130" i="7" a="1"/>
  <c r="B130" i="7" s="1"/>
  <c r="C130" i="7" s="1"/>
  <c r="B131" i="7" a="1"/>
  <c r="B131" i="7" s="1"/>
  <c r="C131" i="7" s="1"/>
  <c r="B132" i="7" a="1"/>
  <c r="B132" i="7" s="1"/>
  <c r="C132" i="7" s="1"/>
  <c r="B133" i="7" a="1"/>
  <c r="B133" i="7" s="1"/>
  <c r="C133" i="7" s="1"/>
  <c r="B134" i="7" a="1"/>
  <c r="B134" i="7" s="1"/>
  <c r="C134" i="7" s="1"/>
  <c r="B135" i="7" a="1"/>
  <c r="B135" i="7" s="1"/>
  <c r="C135" i="7" s="1"/>
  <c r="B136" i="7" a="1"/>
  <c r="B136" i="7" s="1"/>
  <c r="C136" i="7" s="1"/>
  <c r="B137" i="7" a="1"/>
  <c r="B137" i="7" s="1"/>
  <c r="C137" i="7" s="1"/>
  <c r="B138" i="7" a="1"/>
  <c r="B138" i="7" s="1"/>
  <c r="C138" i="7" s="1"/>
  <c r="B139" i="7" a="1"/>
  <c r="B139" i="7" s="1"/>
  <c r="C139" i="7" s="1"/>
  <c r="B140" i="7" a="1"/>
  <c r="B140" i="7" s="1"/>
  <c r="C140" i="7" s="1"/>
  <c r="B141" i="7" a="1"/>
  <c r="B141" i="7" s="1"/>
  <c r="C141" i="7" s="1"/>
  <c r="B142" i="7" a="1"/>
  <c r="B142" i="7" s="1"/>
  <c r="C142" i="7" s="1"/>
  <c r="B143" i="7" a="1"/>
  <c r="B143" i="7" s="1"/>
  <c r="C143" i="7" s="1"/>
  <c r="B144" i="7" a="1"/>
  <c r="B144" i="7" s="1"/>
  <c r="C144" i="7" s="1"/>
  <c r="B145" i="7" a="1"/>
  <c r="B145" i="7" s="1"/>
  <c r="C145" i="7" s="1"/>
  <c r="B146" i="7" a="1"/>
  <c r="B146" i="7" s="1"/>
  <c r="C146" i="7" s="1"/>
  <c r="B147" i="7" a="1"/>
  <c r="B147" i="7" s="1"/>
  <c r="C147" i="7" s="1"/>
  <c r="B148" i="7" a="1"/>
  <c r="B148" i="7" s="1"/>
  <c r="C148" i="7" s="1"/>
  <c r="B149" i="7" a="1"/>
  <c r="B149" i="7" s="1"/>
  <c r="C149" i="7" s="1"/>
  <c r="B150" i="7" a="1"/>
  <c r="B150" i="7" s="1"/>
  <c r="C150" i="7" s="1"/>
  <c r="B151" i="7" a="1"/>
  <c r="B151" i="7" s="1"/>
  <c r="C151" i="7" s="1"/>
  <c r="B152" i="7" a="1"/>
  <c r="B152" i="7" s="1"/>
  <c r="C152" i="7" s="1"/>
  <c r="B153" i="7" a="1"/>
  <c r="B153" i="7" s="1"/>
  <c r="C153" i="7" s="1"/>
  <c r="B154" i="7" a="1"/>
  <c r="B154" i="7" s="1"/>
  <c r="C154" i="7" s="1"/>
  <c r="B155" i="7" a="1"/>
  <c r="B155" i="7" s="1"/>
  <c r="C155" i="7" s="1"/>
  <c r="B156" i="7" a="1"/>
  <c r="B156" i="7"/>
  <c r="C156" i="7" s="1"/>
  <c r="B157" i="7" a="1"/>
  <c r="B157" i="7" s="1"/>
  <c r="C157" i="7" s="1"/>
  <c r="B158" i="7" a="1"/>
  <c r="B158" i="7" s="1"/>
  <c r="C158" i="7" s="1"/>
  <c r="B159" i="7" a="1"/>
  <c r="B159" i="7" s="1"/>
  <c r="C159" i="7" s="1"/>
  <c r="B160" i="7" a="1"/>
  <c r="B160" i="7" s="1"/>
  <c r="C160" i="7" s="1"/>
  <c r="B161" i="7" a="1"/>
  <c r="B161" i="7" s="1"/>
  <c r="C161" i="7" s="1"/>
  <c r="B162" i="7" a="1"/>
  <c r="B162" i="7" s="1"/>
  <c r="C162" i="7" s="1"/>
  <c r="B163" i="7" a="1"/>
  <c r="B163" i="7" s="1"/>
  <c r="C163" i="7" s="1"/>
  <c r="B164" i="7" a="1"/>
  <c r="B164" i="7"/>
  <c r="C164" i="7" s="1"/>
  <c r="B165" i="7" a="1"/>
  <c r="B165" i="7" s="1"/>
  <c r="C165" i="7" s="1"/>
  <c r="B166" i="7" a="1"/>
  <c r="B166" i="7" s="1"/>
  <c r="C166" i="7" s="1"/>
  <c r="B167" i="7" a="1"/>
  <c r="B167" i="7" s="1"/>
  <c r="C167" i="7" s="1"/>
  <c r="B168" i="7" a="1"/>
  <c r="B168" i="7" s="1"/>
  <c r="C168" i="7" s="1"/>
  <c r="B169" i="7" a="1"/>
  <c r="B169" i="7" s="1"/>
  <c r="C169" i="7" s="1"/>
  <c r="B170" i="7" a="1"/>
  <c r="B170" i="7" s="1"/>
  <c r="C170" i="7" s="1"/>
  <c r="B171" i="7" a="1"/>
  <c r="B171" i="7" s="1"/>
  <c r="C171" i="7" s="1"/>
  <c r="B172" i="7" a="1"/>
  <c r="B172" i="7" s="1"/>
  <c r="C172" i="7" s="1"/>
  <c r="B173" i="7" a="1"/>
  <c r="B173" i="7" s="1"/>
  <c r="C173" i="7" s="1"/>
  <c r="B174" i="7" a="1"/>
  <c r="B174" i="7" s="1"/>
  <c r="C174" i="7" s="1"/>
  <c r="B175" i="7" a="1"/>
  <c r="B175" i="7" s="1"/>
  <c r="C175" i="7" s="1"/>
  <c r="B176" i="7" a="1"/>
  <c r="B176" i="7" s="1"/>
  <c r="C176" i="7" s="1"/>
  <c r="B177" i="7" a="1"/>
  <c r="B177" i="7" s="1"/>
  <c r="C177" i="7" s="1"/>
  <c r="B178" i="7" a="1"/>
  <c r="B178" i="7" s="1"/>
  <c r="C178" i="7" s="1"/>
  <c r="B179" i="7" a="1"/>
  <c r="B179" i="7" s="1"/>
  <c r="C179" i="7" s="1"/>
  <c r="B180" i="7" a="1"/>
  <c r="B180" i="7" s="1"/>
  <c r="C180" i="7" s="1"/>
  <c r="B181" i="7" a="1"/>
  <c r="B181" i="7" s="1"/>
  <c r="C181" i="7" s="1"/>
  <c r="B182" i="7" a="1"/>
  <c r="B182" i="7" s="1"/>
  <c r="C182" i="7" s="1"/>
  <c r="B183" i="7" a="1"/>
  <c r="B183" i="7" s="1"/>
  <c r="C183" i="7" s="1"/>
  <c r="B184" i="7" a="1"/>
  <c r="B184" i="7" s="1"/>
  <c r="C184" i="7" s="1"/>
  <c r="B185" i="7" a="1"/>
  <c r="B185" i="7" s="1"/>
  <c r="C185" i="7" s="1"/>
  <c r="B186" i="7" a="1"/>
  <c r="B186" i="7" s="1"/>
  <c r="C186" i="7" s="1"/>
  <c r="B187" i="7" a="1"/>
  <c r="B187" i="7" s="1"/>
  <c r="C187" i="7" s="1"/>
  <c r="B188" i="7" a="1"/>
  <c r="B188" i="7" s="1"/>
  <c r="C188" i="7" s="1"/>
  <c r="B189" i="7" a="1"/>
  <c r="B189" i="7" s="1"/>
  <c r="C189" i="7" s="1"/>
  <c r="B190" i="7" a="1"/>
  <c r="B190" i="7" s="1"/>
  <c r="C190" i="7" s="1"/>
  <c r="B191" i="7" a="1"/>
  <c r="B191" i="7" s="1"/>
  <c r="C191" i="7" s="1"/>
  <c r="B192" i="7" a="1"/>
  <c r="B192" i="7" s="1"/>
  <c r="C192" i="7" s="1"/>
  <c r="B193" i="7" a="1"/>
  <c r="B193" i="7" s="1"/>
  <c r="C193" i="7" s="1"/>
  <c r="B194" i="7" a="1"/>
  <c r="B194" i="7" s="1"/>
  <c r="C194" i="7" s="1"/>
  <c r="B195" i="7" a="1"/>
  <c r="B195" i="7" s="1"/>
  <c r="C195" i="7" s="1"/>
  <c r="B196" i="7" a="1"/>
  <c r="B196" i="7" s="1"/>
  <c r="C196" i="7" s="1"/>
  <c r="B197" i="7" a="1"/>
  <c r="B197" i="7" s="1"/>
  <c r="C197" i="7" s="1"/>
  <c r="B198" i="7" a="1"/>
  <c r="B198" i="7" s="1"/>
  <c r="C198" i="7" s="1"/>
  <c r="B199" i="7" a="1"/>
  <c r="B199" i="7" s="1"/>
  <c r="C199" i="7" s="1"/>
  <c r="B200" i="7" a="1"/>
  <c r="B200" i="7" s="1"/>
  <c r="C200" i="7" s="1"/>
  <c r="B201" i="7" a="1"/>
  <c r="B201" i="7" s="1"/>
  <c r="C201" i="7" s="1"/>
  <c r="B202" i="7" a="1"/>
  <c r="B202" i="7" s="1"/>
  <c r="C202" i="7" s="1"/>
  <c r="B203" i="7" a="1"/>
  <c r="B203" i="7" s="1"/>
  <c r="C203" i="7" s="1"/>
  <c r="B204" i="7" a="1"/>
  <c r="B204" i="7" s="1"/>
  <c r="C204" i="7" s="1"/>
  <c r="B205" i="7" a="1"/>
  <c r="B205" i="7" s="1"/>
  <c r="C205" i="7" s="1"/>
  <c r="B206" i="7" a="1"/>
  <c r="B206" i="7" s="1"/>
  <c r="C206" i="7" s="1"/>
  <c r="B207" i="7" a="1"/>
  <c r="B207" i="7" s="1"/>
  <c r="C207" i="7" s="1"/>
  <c r="B208" i="7" a="1"/>
  <c r="B208" i="7" s="1"/>
  <c r="C208" i="7" s="1"/>
  <c r="B209" i="7" a="1"/>
  <c r="B209" i="7" s="1"/>
  <c r="C209" i="7" s="1"/>
  <c r="B210" i="7" a="1"/>
  <c r="B210" i="7" s="1"/>
  <c r="C210" i="7" s="1"/>
  <c r="B211" i="7" a="1"/>
  <c r="B211" i="7" s="1"/>
  <c r="C211" i="7" s="1"/>
  <c r="B212" i="7" a="1"/>
  <c r="B212" i="7" s="1"/>
  <c r="C212" i="7" s="1"/>
  <c r="B213" i="7" a="1"/>
  <c r="B213" i="7" s="1"/>
  <c r="C213" i="7" s="1"/>
  <c r="B214" i="7" a="1"/>
  <c r="B214" i="7" s="1"/>
  <c r="C214" i="7" s="1"/>
  <c r="B215" i="7" a="1"/>
  <c r="B215" i="7" s="1"/>
  <c r="C215" i="7" s="1"/>
  <c r="B216" i="7" a="1"/>
  <c r="B216" i="7" s="1"/>
  <c r="C216" i="7" s="1"/>
  <c r="B217" i="7" a="1"/>
  <c r="B217" i="7" s="1"/>
  <c r="C217" i="7" s="1"/>
  <c r="B218" i="7" a="1"/>
  <c r="B218" i="7" s="1"/>
  <c r="C218" i="7" s="1"/>
  <c r="B219" i="7" a="1"/>
  <c r="B219" i="7" s="1"/>
  <c r="C219" i="7" s="1"/>
  <c r="B220" i="7" a="1"/>
  <c r="B220" i="7" s="1"/>
  <c r="C220" i="7" s="1"/>
  <c r="B221" i="7" a="1"/>
  <c r="B221" i="7" s="1"/>
  <c r="C221" i="7" s="1"/>
  <c r="B222" i="7" a="1"/>
  <c r="B222" i="7" s="1"/>
  <c r="C222" i="7" s="1"/>
  <c r="B223" i="7" a="1"/>
  <c r="B223" i="7" s="1"/>
  <c r="C223" i="7" s="1"/>
  <c r="B224" i="7" a="1"/>
  <c r="B224" i="7" s="1"/>
  <c r="C224" i="7" s="1"/>
  <c r="B225" i="7" a="1"/>
  <c r="B225" i="7" s="1"/>
  <c r="C225" i="7" s="1"/>
  <c r="B226" i="7" a="1"/>
  <c r="B226" i="7" s="1"/>
  <c r="C226" i="7" s="1"/>
  <c r="B227" i="7" a="1"/>
  <c r="B227" i="7" s="1"/>
  <c r="C227" i="7" s="1"/>
  <c r="B228" i="7" a="1"/>
  <c r="B228" i="7" s="1"/>
  <c r="C228" i="7" s="1"/>
  <c r="B229" i="7" a="1"/>
  <c r="B229" i="7" s="1"/>
  <c r="C229" i="7" s="1"/>
  <c r="B230" i="7" a="1"/>
  <c r="B230" i="7" s="1"/>
  <c r="C230" i="7" s="1"/>
  <c r="B231" i="7" a="1"/>
  <c r="B231" i="7" s="1"/>
  <c r="C231" i="7" s="1"/>
  <c r="B232" i="7" a="1"/>
  <c r="B232" i="7" s="1"/>
  <c r="C232" i="7" s="1"/>
  <c r="B233" i="7" a="1"/>
  <c r="B233" i="7" s="1"/>
  <c r="C233" i="7" s="1"/>
  <c r="B234" i="7" a="1"/>
  <c r="B234" i="7" s="1"/>
  <c r="C234" i="7" s="1"/>
  <c r="B235" i="7" a="1"/>
  <c r="B235" i="7" s="1"/>
  <c r="C235" i="7" s="1"/>
  <c r="B236" i="7" a="1"/>
  <c r="B236" i="7" s="1"/>
  <c r="C236" i="7" s="1"/>
  <c r="B237" i="7" a="1"/>
  <c r="B237" i="7" s="1"/>
  <c r="C237" i="7" s="1"/>
  <c r="B238" i="7" a="1"/>
  <c r="B238" i="7" s="1"/>
  <c r="C238" i="7" s="1"/>
  <c r="B239" i="7" a="1"/>
  <c r="B239" i="7" s="1"/>
  <c r="C239" i="7" s="1"/>
  <c r="B240" i="7" a="1"/>
  <c r="B240" i="7" s="1"/>
  <c r="C240" i="7" s="1"/>
  <c r="B241" i="7" a="1"/>
  <c r="B241" i="7" s="1"/>
  <c r="C241" i="7" s="1"/>
  <c r="B242" i="7" a="1"/>
  <c r="B242" i="7" s="1"/>
  <c r="C242" i="7" s="1"/>
  <c r="B243" i="7" a="1"/>
  <c r="B243" i="7" s="1"/>
  <c r="C243" i="7" s="1"/>
  <c r="B244" i="7" a="1"/>
  <c r="B244" i="7" s="1"/>
  <c r="C244" i="7" s="1"/>
  <c r="B245" i="7" a="1"/>
  <c r="B245" i="7" s="1"/>
  <c r="C245" i="7" s="1"/>
  <c r="B246" i="7" a="1"/>
  <c r="B246" i="7" s="1"/>
  <c r="C246" i="7" s="1"/>
  <c r="B247" i="7" a="1"/>
  <c r="B247" i="7" s="1"/>
  <c r="C247" i="7" s="1"/>
  <c r="B248" i="7" a="1"/>
  <c r="B248" i="7" s="1"/>
  <c r="C248" i="7" s="1"/>
  <c r="B249" i="7" a="1"/>
  <c r="B249" i="7" s="1"/>
  <c r="C249" i="7" s="1"/>
  <c r="B250" i="7" a="1"/>
  <c r="B250" i="7" s="1"/>
  <c r="C250" i="7" s="1"/>
  <c r="B251" i="7" a="1"/>
  <c r="B251" i="7" s="1"/>
  <c r="C251" i="7" s="1"/>
  <c r="B252" i="7" a="1"/>
  <c r="B252" i="7" s="1"/>
  <c r="C252" i="7" s="1"/>
  <c r="B253" i="7" a="1"/>
  <c r="B253" i="7" s="1"/>
  <c r="C253" i="7" s="1"/>
  <c r="B254" i="7" a="1"/>
  <c r="B254" i="7" s="1"/>
  <c r="C254" i="7" s="1"/>
  <c r="B255" i="7" a="1"/>
  <c r="B255" i="7" s="1"/>
  <c r="C255" i="7" s="1"/>
  <c r="B256" i="7" a="1"/>
  <c r="B256" i="7" s="1"/>
  <c r="C256" i="7" s="1"/>
  <c r="B257" i="7" a="1"/>
  <c r="B257" i="7" s="1"/>
  <c r="C257" i="7" s="1"/>
  <c r="B258" i="7" a="1"/>
  <c r="B258" i="7" s="1"/>
  <c r="C258" i="7" s="1"/>
  <c r="B259" i="7" a="1"/>
  <c r="B259" i="7" s="1"/>
  <c r="C259" i="7" s="1"/>
  <c r="B260" i="7" a="1"/>
  <c r="B260" i="7" s="1"/>
  <c r="C260" i="7" s="1"/>
  <c r="B261" i="7" a="1"/>
  <c r="B261" i="7" s="1"/>
  <c r="C261" i="7" s="1"/>
  <c r="B262" i="7" a="1"/>
  <c r="B262" i="7" s="1"/>
  <c r="C262" i="7" s="1"/>
  <c r="B263" i="7" a="1"/>
  <c r="B263" i="7" s="1"/>
  <c r="C263" i="7" s="1"/>
  <c r="B264" i="7" a="1"/>
  <c r="B264" i="7" s="1"/>
  <c r="C264" i="7" s="1"/>
  <c r="B265" i="7" a="1"/>
  <c r="B265" i="7" s="1"/>
  <c r="C265" i="7" s="1"/>
  <c r="B266" i="7" a="1"/>
  <c r="B266" i="7" s="1"/>
  <c r="C266" i="7" s="1"/>
  <c r="B267" i="7" a="1"/>
  <c r="B267" i="7" s="1"/>
  <c r="C267" i="7" s="1"/>
  <c r="B268" i="7" a="1"/>
  <c r="B268" i="7" s="1"/>
  <c r="C268" i="7" s="1"/>
  <c r="B269" i="7" a="1"/>
  <c r="B269" i="7" s="1"/>
  <c r="C269" i="7" s="1"/>
  <c r="B270" i="7" a="1"/>
  <c r="B270" i="7" s="1"/>
  <c r="C270" i="7" s="1"/>
  <c r="B271" i="7" a="1"/>
  <c r="B271" i="7" s="1"/>
  <c r="C271" i="7" s="1"/>
  <c r="B272" i="7" a="1"/>
  <c r="B272" i="7" s="1"/>
  <c r="C272" i="7" s="1"/>
  <c r="B273" i="7" a="1"/>
  <c r="B273" i="7" s="1"/>
  <c r="C273" i="7" s="1"/>
  <c r="B274" i="7" a="1"/>
  <c r="B274" i="7" s="1"/>
  <c r="C274" i="7" s="1"/>
  <c r="B275" i="7" a="1"/>
  <c r="B275" i="7" s="1"/>
  <c r="C275" i="7" s="1"/>
  <c r="B276" i="7" a="1"/>
  <c r="B276" i="7" s="1"/>
  <c r="C276" i="7" s="1"/>
  <c r="B277" i="7" a="1"/>
  <c r="B277" i="7" s="1"/>
  <c r="C277" i="7" s="1"/>
  <c r="B278" i="7" a="1"/>
  <c r="B278" i="7" s="1"/>
  <c r="C278" i="7" s="1"/>
  <c r="B279" i="7" a="1"/>
  <c r="B279" i="7" s="1"/>
  <c r="C279" i="7" s="1"/>
  <c r="B280" i="7" a="1"/>
  <c r="B280" i="7" s="1"/>
  <c r="C280" i="7" s="1"/>
  <c r="B281" i="7" a="1"/>
  <c r="B281" i="7" s="1"/>
  <c r="C281" i="7" s="1"/>
  <c r="B282" i="7" a="1"/>
  <c r="B282" i="7" s="1"/>
  <c r="C282" i="7" s="1"/>
  <c r="B283" i="7" a="1"/>
  <c r="B283" i="7" s="1"/>
  <c r="C283" i="7" s="1"/>
  <c r="B284" i="7" a="1"/>
  <c r="B284" i="7" s="1"/>
  <c r="C284" i="7" s="1"/>
  <c r="B285" i="7" a="1"/>
  <c r="B285" i="7" s="1"/>
  <c r="C285" i="7" s="1"/>
  <c r="B286" i="7" a="1"/>
  <c r="B286" i="7" s="1"/>
  <c r="C286" i="7" s="1"/>
  <c r="B287" i="7" a="1"/>
  <c r="B287" i="7" s="1"/>
  <c r="C287" i="7" s="1"/>
  <c r="B288" i="7" a="1"/>
  <c r="B288" i="7" s="1"/>
  <c r="C288" i="7" s="1"/>
  <c r="B289" i="7" a="1"/>
  <c r="B289" i="7" s="1"/>
  <c r="C289" i="7" s="1"/>
  <c r="B290" i="7" a="1"/>
  <c r="B290" i="7" s="1"/>
  <c r="C290" i="7" s="1"/>
  <c r="B291" i="7" a="1"/>
  <c r="B291" i="7" s="1"/>
  <c r="C291" i="7" s="1"/>
  <c r="B292" i="7" a="1"/>
  <c r="B292" i="7" s="1"/>
  <c r="C292" i="7" s="1"/>
  <c r="B293" i="7" a="1"/>
  <c r="B293" i="7" s="1"/>
  <c r="C293" i="7" s="1"/>
  <c r="B294" i="7" a="1"/>
  <c r="B294" i="7" s="1"/>
  <c r="C294" i="7" s="1"/>
  <c r="B295" i="7" a="1"/>
  <c r="B295" i="7" s="1"/>
  <c r="C295" i="7" s="1"/>
  <c r="B296" i="7" a="1"/>
  <c r="B296" i="7" s="1"/>
  <c r="C296" i="7" s="1"/>
  <c r="B297" i="7" a="1"/>
  <c r="B297" i="7" s="1"/>
  <c r="C297" i="7" s="1"/>
  <c r="B298" i="7" a="1"/>
  <c r="B298" i="7" s="1"/>
  <c r="C298" i="7" s="1"/>
  <c r="B299" i="7" a="1"/>
  <c r="B299" i="7" s="1"/>
  <c r="C299" i="7" s="1"/>
  <c r="B300" i="7" a="1"/>
  <c r="B300" i="7" s="1"/>
  <c r="C300" i="7" s="1"/>
  <c r="B301" i="7" a="1"/>
  <c r="B301" i="7" s="1"/>
  <c r="C301" i="7" s="1"/>
  <c r="B302" i="7" a="1"/>
  <c r="B302" i="7" s="1"/>
  <c r="C302" i="7" s="1"/>
  <c r="B303" i="7" a="1"/>
  <c r="B303" i="7" s="1"/>
  <c r="C303" i="7" s="1"/>
  <c r="B304" i="7" a="1"/>
  <c r="B304" i="7" s="1"/>
  <c r="C304" i="7" s="1"/>
  <c r="B305" i="7" a="1"/>
  <c r="B305" i="7" s="1"/>
  <c r="C305" i="7" s="1"/>
  <c r="B306" i="7" a="1"/>
  <c r="B306" i="7" s="1"/>
  <c r="C306" i="7" s="1"/>
  <c r="B307" i="7" a="1"/>
  <c r="B307" i="7" s="1"/>
  <c r="C307" i="7" s="1"/>
  <c r="B308" i="7" a="1"/>
  <c r="B308" i="7" s="1"/>
  <c r="C308" i="7" s="1"/>
  <c r="B309" i="7" a="1"/>
  <c r="B309" i="7" s="1"/>
  <c r="C309" i="7" s="1"/>
  <c r="B310" i="7" a="1"/>
  <c r="B310" i="7" s="1"/>
  <c r="C310" i="7" s="1"/>
  <c r="B311" i="7" a="1"/>
  <c r="B311" i="7" s="1"/>
  <c r="C311" i="7" s="1"/>
  <c r="B312" i="7" a="1"/>
  <c r="B312" i="7" s="1"/>
  <c r="C312" i="7" s="1"/>
  <c r="B313" i="7" a="1"/>
  <c r="B313" i="7" s="1"/>
  <c r="C313" i="7" s="1"/>
  <c r="B314" i="7" a="1"/>
  <c r="B314" i="7" s="1"/>
  <c r="C314" i="7" s="1"/>
  <c r="B315" i="7" a="1"/>
  <c r="B315" i="7" s="1"/>
  <c r="C315" i="7" s="1"/>
  <c r="B316" i="7" a="1"/>
  <c r="B316" i="7" s="1"/>
  <c r="C316" i="7" s="1"/>
  <c r="B317" i="7" a="1"/>
  <c r="B317" i="7" s="1"/>
  <c r="C317" i="7" s="1"/>
  <c r="B318" i="7" a="1"/>
  <c r="B318" i="7" s="1"/>
  <c r="C318" i="7" s="1"/>
  <c r="B319" i="7" a="1"/>
  <c r="B319" i="7" s="1"/>
  <c r="C319" i="7" s="1"/>
  <c r="B320" i="7" a="1"/>
  <c r="B320" i="7" s="1"/>
  <c r="C320" i="7" s="1"/>
  <c r="B321" i="7" a="1"/>
  <c r="B321" i="7" s="1"/>
  <c r="C321" i="7" s="1"/>
  <c r="B322" i="7" a="1"/>
  <c r="B322" i="7" s="1"/>
  <c r="C322" i="7" s="1"/>
  <c r="B323" i="7" a="1"/>
  <c r="B323" i="7" s="1"/>
  <c r="C323" i="7" s="1"/>
  <c r="B324" i="7" a="1"/>
  <c r="B324" i="7" s="1"/>
  <c r="C324" i="7" s="1"/>
  <c r="B325" i="7" a="1"/>
  <c r="B325" i="7" s="1"/>
  <c r="C325" i="7" s="1"/>
  <c r="B326" i="7" a="1"/>
  <c r="B326" i="7" s="1"/>
  <c r="C326" i="7" s="1"/>
  <c r="B327" i="7" a="1"/>
  <c r="B327" i="7" s="1"/>
  <c r="C327" i="7" s="1"/>
  <c r="B328" i="7" a="1"/>
  <c r="B328" i="7" s="1"/>
  <c r="C328" i="7" s="1"/>
  <c r="B329" i="7" a="1"/>
  <c r="B329" i="7" s="1"/>
  <c r="C329" i="7" s="1"/>
  <c r="B330" i="7" a="1"/>
  <c r="B330" i="7" s="1"/>
  <c r="C330" i="7" s="1"/>
  <c r="B331" i="7" a="1"/>
  <c r="B331" i="7" s="1"/>
  <c r="C331" i="7" s="1"/>
  <c r="B332" i="7" a="1"/>
  <c r="B332" i="7" s="1"/>
  <c r="C332" i="7" s="1"/>
  <c r="B333" i="7" a="1"/>
  <c r="B333" i="7" s="1"/>
  <c r="C333" i="7" s="1"/>
  <c r="B334" i="7" a="1"/>
  <c r="B334" i="7"/>
  <c r="C334" i="7" s="1"/>
  <c r="B335" i="7" a="1"/>
  <c r="B335" i="7" s="1"/>
  <c r="C335" i="7" s="1"/>
  <c r="B336" i="7" a="1"/>
  <c r="B336" i="7" s="1"/>
  <c r="C336" i="7" s="1"/>
  <c r="B337" i="7" a="1"/>
  <c r="B337" i="7" s="1"/>
  <c r="C337" i="7" s="1"/>
  <c r="B338" i="7" a="1"/>
  <c r="B338" i="7" s="1"/>
  <c r="C338" i="7" s="1"/>
  <c r="B339" i="7" a="1"/>
  <c r="B339" i="7" s="1"/>
  <c r="C339" i="7" s="1"/>
  <c r="B340" i="7" a="1"/>
  <c r="B340" i="7" s="1"/>
  <c r="C340" i="7" s="1"/>
  <c r="B341" i="7" a="1"/>
  <c r="B341" i="7" s="1"/>
  <c r="C341" i="7" s="1"/>
  <c r="B342" i="7" a="1"/>
  <c r="B342" i="7" s="1"/>
  <c r="C342" i="7" s="1"/>
  <c r="B343" i="7" a="1"/>
  <c r="B343" i="7" s="1"/>
  <c r="C343" i="7" s="1"/>
  <c r="B344" i="7" a="1"/>
  <c r="B344" i="7" s="1"/>
  <c r="C344" i="7" s="1"/>
  <c r="B345" i="7" a="1"/>
  <c r="B345" i="7" s="1"/>
  <c r="C345" i="7" s="1"/>
  <c r="B346" i="7" a="1"/>
  <c r="B346" i="7" s="1"/>
  <c r="C346" i="7" s="1"/>
  <c r="B347" i="7" a="1"/>
  <c r="B347" i="7" s="1"/>
  <c r="C347" i="7" s="1"/>
  <c r="B348" i="7" a="1"/>
  <c r="B348" i="7" s="1"/>
  <c r="C348" i="7" s="1"/>
  <c r="B349" i="7" a="1"/>
  <c r="B349" i="7" s="1"/>
  <c r="C349" i="7" s="1"/>
  <c r="B350" i="7" a="1"/>
  <c r="B350" i="7"/>
  <c r="C350" i="7" s="1"/>
  <c r="B351" i="7" a="1"/>
  <c r="B351" i="7" s="1"/>
  <c r="C351" i="7" s="1"/>
  <c r="B352" i="7" a="1"/>
  <c r="B352" i="7" s="1"/>
  <c r="C352" i="7" s="1"/>
  <c r="B353" i="7" a="1"/>
  <c r="B353" i="7" s="1"/>
  <c r="C353" i="7" s="1"/>
  <c r="B354" i="7" a="1"/>
  <c r="B354" i="7" s="1"/>
  <c r="C354" i="7" s="1"/>
  <c r="B355" i="7" a="1"/>
  <c r="B355" i="7" s="1"/>
  <c r="C355" i="7" s="1"/>
  <c r="B356" i="7" a="1"/>
  <c r="B356" i="7" s="1"/>
  <c r="C356" i="7" s="1"/>
  <c r="B357" i="7" a="1"/>
  <c r="B357" i="7" s="1"/>
  <c r="C357" i="7" s="1"/>
  <c r="B358" i="7" a="1"/>
  <c r="B358" i="7" s="1"/>
  <c r="C358" i="7" s="1"/>
  <c r="B359" i="7" a="1"/>
  <c r="B359" i="7" s="1"/>
  <c r="C359" i="7" s="1"/>
  <c r="B360" i="7" a="1"/>
  <c r="B360" i="7"/>
  <c r="C360" i="7" s="1"/>
  <c r="B361" i="7" a="1"/>
  <c r="B361" i="7" s="1"/>
  <c r="C361" i="7" s="1"/>
  <c r="B362" i="7" a="1"/>
  <c r="B362" i="7" s="1"/>
  <c r="C362" i="7" s="1"/>
  <c r="B363" i="7" a="1"/>
  <c r="B363" i="7" s="1"/>
  <c r="C363" i="7" s="1"/>
  <c r="B364" i="7" a="1"/>
  <c r="B364" i="7" s="1"/>
  <c r="C364" i="7" s="1"/>
  <c r="B365" i="7" a="1"/>
  <c r="B365" i="7" s="1"/>
  <c r="C365" i="7" s="1"/>
  <c r="B366" i="7" a="1"/>
  <c r="B366" i="7" s="1"/>
  <c r="C366" i="7" s="1"/>
  <c r="B367" i="7" a="1"/>
  <c r="B367" i="7" s="1"/>
  <c r="C367" i="7" s="1"/>
  <c r="B368" i="7" a="1"/>
  <c r="B368" i="7" s="1"/>
  <c r="C368" i="7" s="1"/>
  <c r="B369" i="7" a="1"/>
  <c r="B369" i="7" s="1"/>
  <c r="C369" i="7" s="1"/>
  <c r="B370" i="7" a="1"/>
  <c r="B370" i="7" s="1"/>
  <c r="C370" i="7" s="1"/>
  <c r="B371" i="7" a="1"/>
  <c r="B371" i="7" s="1"/>
  <c r="C371" i="7" s="1"/>
  <c r="B372" i="7" a="1"/>
  <c r="B372" i="7" s="1"/>
  <c r="C372" i="7" s="1"/>
  <c r="B373" i="7" a="1"/>
  <c r="B373" i="7" s="1"/>
  <c r="C373" i="7" s="1"/>
  <c r="B374" i="7" a="1"/>
  <c r="B374" i="7" s="1"/>
  <c r="C374" i="7" s="1"/>
  <c r="B375" i="7" a="1"/>
  <c r="B375" i="7" s="1"/>
  <c r="C375" i="7" s="1"/>
  <c r="B376" i="7" a="1"/>
  <c r="B376" i="7" s="1"/>
  <c r="C376" i="7" s="1"/>
  <c r="B377" i="7" a="1"/>
  <c r="B377" i="7" s="1"/>
  <c r="C377" i="7" s="1"/>
  <c r="B378" i="7" a="1"/>
  <c r="B378" i="7" s="1"/>
  <c r="C378" i="7" s="1"/>
  <c r="B379" i="7" a="1"/>
  <c r="B379" i="7" s="1"/>
  <c r="C379" i="7" s="1"/>
  <c r="B380" i="7" a="1"/>
  <c r="B380" i="7" s="1"/>
  <c r="C380" i="7" s="1"/>
  <c r="B381" i="7" a="1"/>
  <c r="B381" i="7" s="1"/>
  <c r="C381" i="7" s="1"/>
  <c r="B382" i="7" a="1"/>
  <c r="B382" i="7" s="1"/>
  <c r="C382" i="7" s="1"/>
  <c r="B383" i="7" a="1"/>
  <c r="B383" i="7" s="1"/>
  <c r="C383" i="7" s="1"/>
  <c r="B384" i="7" a="1"/>
  <c r="B384" i="7" s="1"/>
  <c r="C384" i="7" s="1"/>
  <c r="B385" i="7" a="1"/>
  <c r="B385" i="7" s="1"/>
  <c r="C385" i="7" s="1"/>
  <c r="B386" i="7" a="1"/>
  <c r="B386" i="7" s="1"/>
  <c r="C386" i="7" s="1"/>
  <c r="B387" i="7" a="1"/>
  <c r="B387" i="7" s="1"/>
  <c r="C387" i="7" s="1"/>
  <c r="B388" i="7" a="1"/>
  <c r="B388" i="7" s="1"/>
  <c r="C388" i="7" s="1"/>
  <c r="B389" i="7" a="1"/>
  <c r="B389" i="7" s="1"/>
  <c r="C389" i="7" s="1"/>
  <c r="B390" i="7" a="1"/>
  <c r="B390" i="7" s="1"/>
  <c r="C390" i="7" s="1"/>
  <c r="B391" i="7" a="1"/>
  <c r="B391" i="7" s="1"/>
  <c r="C391" i="7" s="1"/>
  <c r="B392" i="7" a="1"/>
  <c r="B392" i="7" s="1"/>
  <c r="C392" i="7" s="1"/>
  <c r="B393" i="7" a="1"/>
  <c r="B393" i="7" s="1"/>
  <c r="C393" i="7" s="1"/>
  <c r="B394" i="7" a="1"/>
  <c r="B394" i="7" s="1"/>
  <c r="C394" i="7" s="1"/>
  <c r="B395" i="7" a="1"/>
  <c r="B395" i="7" s="1"/>
  <c r="C395" i="7" s="1"/>
  <c r="B396" i="7" a="1"/>
  <c r="B396" i="7" s="1"/>
  <c r="C396" i="7" s="1"/>
  <c r="B397" i="7" a="1"/>
  <c r="B397" i="7" s="1"/>
  <c r="C397" i="7" s="1"/>
  <c r="B398" i="7" a="1"/>
  <c r="B398" i="7" s="1"/>
  <c r="C398" i="7" s="1"/>
  <c r="B399" i="7" a="1"/>
  <c r="B399" i="7" s="1"/>
  <c r="C399" i="7" s="1"/>
  <c r="B400" i="7" a="1"/>
  <c r="B400" i="7"/>
  <c r="C400" i="7" s="1"/>
  <c r="B401" i="7" a="1"/>
  <c r="B401" i="7" s="1"/>
  <c r="C401" i="7" s="1"/>
  <c r="B402" i="7" a="1"/>
  <c r="B402" i="7" s="1"/>
  <c r="C402" i="7" s="1"/>
  <c r="B403" i="7" a="1"/>
  <c r="B403" i="7" s="1"/>
  <c r="C403" i="7" s="1"/>
  <c r="B404" i="7" a="1"/>
  <c r="B404" i="7" s="1"/>
  <c r="C404" i="7" s="1"/>
  <c r="B405" i="7" a="1"/>
  <c r="B405" i="7" s="1"/>
  <c r="C405" i="7" s="1"/>
  <c r="B406" i="7" a="1"/>
  <c r="B406" i="7" s="1"/>
  <c r="C406" i="7" s="1"/>
  <c r="B407" i="7" a="1"/>
  <c r="B407" i="7" s="1"/>
  <c r="C407" i="7" s="1"/>
  <c r="B408" i="7" a="1"/>
  <c r="B408" i="7" s="1"/>
  <c r="C408" i="7" s="1"/>
  <c r="B409" i="7" a="1"/>
  <c r="B409" i="7" s="1"/>
  <c r="C409" i="7" s="1"/>
  <c r="B410" i="7" a="1"/>
  <c r="B410" i="7" s="1"/>
  <c r="C410" i="7" s="1"/>
  <c r="B411" i="7" a="1"/>
  <c r="B411" i="7" s="1"/>
  <c r="C411" i="7" s="1"/>
  <c r="B412" i="7" a="1"/>
  <c r="B412" i="7" s="1"/>
  <c r="C412" i="7" s="1"/>
  <c r="B413" i="7" a="1"/>
  <c r="B413" i="7" s="1"/>
  <c r="C413" i="7" s="1"/>
  <c r="B414" i="7" a="1"/>
  <c r="B414" i="7" s="1"/>
  <c r="C414" i="7" s="1"/>
  <c r="B415" i="7" a="1"/>
  <c r="B415" i="7" s="1"/>
  <c r="C415" i="7" s="1"/>
  <c r="B416" i="7" a="1"/>
  <c r="B416" i="7" s="1"/>
  <c r="C416" i="7" s="1"/>
  <c r="B417" i="7" a="1"/>
  <c r="B417" i="7" s="1"/>
  <c r="C417" i="7" s="1"/>
  <c r="B418" i="7" a="1"/>
  <c r="B418" i="7" s="1"/>
  <c r="C418" i="7" s="1"/>
  <c r="B419" i="7" a="1"/>
  <c r="B419" i="7" s="1"/>
  <c r="C419" i="7" s="1"/>
  <c r="B420" i="7" a="1"/>
  <c r="B420" i="7" s="1"/>
  <c r="C420" i="7" s="1"/>
  <c r="B421" i="7" a="1"/>
  <c r="B421" i="7" s="1"/>
  <c r="C421" i="7" s="1"/>
  <c r="B422" i="7" a="1"/>
  <c r="B422" i="7" s="1"/>
  <c r="C422" i="7" s="1"/>
  <c r="B423" i="7" a="1"/>
  <c r="B423" i="7" s="1"/>
  <c r="C423" i="7" s="1"/>
  <c r="B424" i="7" a="1"/>
  <c r="B424" i="7" s="1"/>
  <c r="C424" i="7" s="1"/>
  <c r="B425" i="7" a="1"/>
  <c r="B425" i="7" s="1"/>
  <c r="C425" i="7" s="1"/>
  <c r="B426" i="7" a="1"/>
  <c r="B426" i="7" s="1"/>
  <c r="C426" i="7" s="1"/>
  <c r="B427" i="7" a="1"/>
  <c r="B427" i="7" s="1"/>
  <c r="C427" i="7" s="1"/>
  <c r="B428" i="7" a="1"/>
  <c r="B428" i="7" s="1"/>
  <c r="C428" i="7" s="1"/>
  <c r="B429" i="7" a="1"/>
  <c r="B429" i="7" s="1"/>
  <c r="C429" i="7" s="1"/>
  <c r="B430" i="7" a="1"/>
  <c r="B430" i="7" s="1"/>
  <c r="C430" i="7" s="1"/>
  <c r="B431" i="7" a="1"/>
  <c r="B431" i="7" s="1"/>
  <c r="C431" i="7" s="1"/>
  <c r="B432" i="7" a="1"/>
  <c r="B432" i="7" s="1"/>
  <c r="C432" i="7" s="1"/>
  <c r="B433" i="7" a="1"/>
  <c r="B433" i="7" s="1"/>
  <c r="C433" i="7" s="1"/>
  <c r="B434" i="7" a="1"/>
  <c r="B434" i="7" s="1"/>
  <c r="C434" i="7" s="1"/>
  <c r="B435" i="7" a="1"/>
  <c r="B435" i="7" s="1"/>
  <c r="C435" i="7" s="1"/>
  <c r="B436" i="7" a="1"/>
  <c r="B436" i="7" s="1"/>
  <c r="C436" i="7" s="1"/>
  <c r="B437" i="7" a="1"/>
  <c r="B437" i="7" s="1"/>
  <c r="C437" i="7" s="1"/>
  <c r="B438" i="7" a="1"/>
  <c r="B438" i="7" s="1"/>
  <c r="C438" i="7" s="1"/>
  <c r="B439" i="7" a="1"/>
  <c r="B439" i="7" s="1"/>
  <c r="C439" i="7" s="1"/>
  <c r="B440" i="7" a="1"/>
  <c r="B440" i="7" s="1"/>
  <c r="C440" i="7" s="1"/>
  <c r="B441" i="7" a="1"/>
  <c r="B441" i="7" s="1"/>
  <c r="C441" i="7" s="1"/>
  <c r="B442" i="7" a="1"/>
  <c r="B442" i="7" s="1"/>
  <c r="C442" i="7" s="1"/>
  <c r="B443" i="7" a="1"/>
  <c r="B443" i="7" s="1"/>
  <c r="C443" i="7" s="1"/>
  <c r="B444" i="7" a="1"/>
  <c r="B444" i="7" s="1"/>
  <c r="C444" i="7" s="1"/>
  <c r="B445" i="7" a="1"/>
  <c r="B445" i="7" s="1"/>
  <c r="C445" i="7" s="1"/>
  <c r="B446" i="7" a="1"/>
  <c r="B446" i="7" s="1"/>
  <c r="C446" i="7" s="1"/>
  <c r="B447" i="7" a="1"/>
  <c r="B447" i="7" s="1"/>
  <c r="C447" i="7" s="1"/>
  <c r="B448" i="7" a="1"/>
  <c r="B448" i="7" s="1"/>
  <c r="C448" i="7" s="1"/>
  <c r="B449" i="7" a="1"/>
  <c r="B449" i="7" s="1"/>
  <c r="C449" i="7" s="1"/>
  <c r="B450" i="7" a="1"/>
  <c r="B450" i="7" s="1"/>
  <c r="C450" i="7" s="1"/>
  <c r="B451" i="7" a="1"/>
  <c r="B451" i="7" s="1"/>
  <c r="C451" i="7" s="1"/>
  <c r="B452" i="7" a="1"/>
  <c r="B452" i="7" s="1"/>
  <c r="C452" i="7" s="1"/>
  <c r="B453" i="7" a="1"/>
  <c r="B453" i="7" s="1"/>
  <c r="C453" i="7" s="1"/>
  <c r="B454" i="7" a="1"/>
  <c r="B454" i="7" s="1"/>
  <c r="C454" i="7" s="1"/>
  <c r="B455" i="7" a="1"/>
  <c r="B455" i="7" s="1"/>
  <c r="C455" i="7" s="1"/>
  <c r="B456" i="7" a="1"/>
  <c r="B456" i="7" s="1"/>
  <c r="C456" i="7" s="1"/>
  <c r="B457" i="7" a="1"/>
  <c r="B457" i="7" s="1"/>
  <c r="C457" i="7" s="1"/>
  <c r="B458" i="7" a="1"/>
  <c r="B458" i="7" s="1"/>
  <c r="C458" i="7" s="1"/>
  <c r="B459" i="7" a="1"/>
  <c r="B459" i="7" s="1"/>
  <c r="C459" i="7" s="1"/>
  <c r="B460" i="7" a="1"/>
  <c r="B460" i="7" s="1"/>
  <c r="C460" i="7" s="1"/>
  <c r="B461" i="7" a="1"/>
  <c r="B461" i="7" s="1"/>
  <c r="C461" i="7" s="1"/>
  <c r="B462" i="7" a="1"/>
  <c r="B462" i="7" s="1"/>
  <c r="C462" i="7" s="1"/>
  <c r="B463" i="7" a="1"/>
  <c r="B463" i="7" s="1"/>
  <c r="C463" i="7" s="1"/>
  <c r="B464" i="7" a="1"/>
  <c r="B464" i="7" s="1"/>
  <c r="C464" i="7" s="1"/>
  <c r="B465" i="7" a="1"/>
  <c r="B465" i="7" s="1"/>
  <c r="C465" i="7" s="1"/>
  <c r="B466" i="7" a="1"/>
  <c r="B466" i="7" s="1"/>
  <c r="C466" i="7" s="1"/>
  <c r="B467" i="7" a="1"/>
  <c r="B467" i="7" s="1"/>
  <c r="C467" i="7" s="1"/>
  <c r="B468" i="7" a="1"/>
  <c r="B468" i="7" s="1"/>
  <c r="C468" i="7" s="1"/>
  <c r="B469" i="7" a="1"/>
  <c r="B469" i="7" s="1"/>
  <c r="C469" i="7" s="1"/>
  <c r="B470" i="7" a="1"/>
  <c r="B470" i="7" s="1"/>
  <c r="C470" i="7" s="1"/>
  <c r="B471" i="7" a="1"/>
  <c r="B471" i="7" s="1"/>
  <c r="C471" i="7" s="1"/>
  <c r="B472" i="7" a="1"/>
  <c r="B472" i="7" s="1"/>
  <c r="C472" i="7" s="1"/>
  <c r="B473" i="7" a="1"/>
  <c r="B473" i="7" s="1"/>
  <c r="C473" i="7" s="1"/>
  <c r="B474" i="7" a="1"/>
  <c r="B474" i="7" s="1"/>
  <c r="C474" i="7" s="1"/>
  <c r="B475" i="7" a="1"/>
  <c r="B475" i="7" s="1"/>
  <c r="C475" i="7" s="1"/>
  <c r="B476" i="7" a="1"/>
  <c r="B476" i="7" s="1"/>
  <c r="C476" i="7" s="1"/>
  <c r="B477" i="7" a="1"/>
  <c r="B477" i="7" s="1"/>
  <c r="C477" i="7" s="1"/>
  <c r="B478" i="7" a="1"/>
  <c r="B478" i="7"/>
  <c r="C478" i="7" s="1"/>
  <c r="B479" i="7" a="1"/>
  <c r="B479" i="7" s="1"/>
  <c r="C479" i="7" s="1"/>
  <c r="B480" i="7" a="1"/>
  <c r="B480" i="7" s="1"/>
  <c r="C480" i="7" s="1"/>
  <c r="B481" i="7" a="1"/>
  <c r="B481" i="7" s="1"/>
  <c r="C481" i="7" s="1"/>
  <c r="B482" i="7" a="1"/>
  <c r="B482" i="7" s="1"/>
  <c r="C482" i="7" s="1"/>
  <c r="B483" i="7" a="1"/>
  <c r="B483" i="7" s="1"/>
  <c r="C483" i="7" s="1"/>
  <c r="B484" i="7" a="1"/>
  <c r="B484" i="7" s="1"/>
  <c r="C484" i="7" s="1"/>
  <c r="B485" i="7" a="1"/>
  <c r="B485" i="7" s="1"/>
  <c r="C485" i="7" s="1"/>
  <c r="B486" i="7" a="1"/>
  <c r="B486" i="7" s="1"/>
  <c r="C486" i="7" s="1"/>
  <c r="B487" i="7" a="1"/>
  <c r="B487" i="7" s="1"/>
  <c r="C487" i="7" s="1"/>
  <c r="B488" i="7" a="1"/>
  <c r="B488" i="7" s="1"/>
  <c r="C488" i="7" s="1"/>
  <c r="B489" i="7" a="1"/>
  <c r="B489" i="7" s="1"/>
  <c r="C489" i="7" s="1"/>
  <c r="B490" i="7" a="1"/>
  <c r="B490" i="7" s="1"/>
  <c r="C490" i="7" s="1"/>
  <c r="B491" i="7" a="1"/>
  <c r="B491" i="7" s="1"/>
  <c r="C491" i="7" s="1"/>
  <c r="B492" i="7" a="1"/>
  <c r="B492" i="7" s="1"/>
  <c r="C492" i="7" s="1"/>
  <c r="B493" i="7" a="1"/>
  <c r="B493" i="7" s="1"/>
  <c r="C493" i="7" s="1"/>
  <c r="B494" i="7" a="1"/>
  <c r="B494" i="7" s="1"/>
  <c r="C494" i="7" s="1"/>
  <c r="B495" i="7" a="1"/>
  <c r="B495" i="7" s="1"/>
  <c r="C495" i="7" s="1"/>
  <c r="B496" i="7" a="1"/>
  <c r="B496" i="7" s="1"/>
  <c r="C496" i="7" s="1"/>
  <c r="B497" i="7" a="1"/>
  <c r="B497" i="7" s="1"/>
  <c r="C497" i="7" s="1"/>
  <c r="B498" i="7" a="1"/>
  <c r="B498" i="7" s="1"/>
  <c r="C498" i="7" s="1"/>
  <c r="B499" i="7" a="1"/>
  <c r="B499" i="7" s="1"/>
  <c r="C499" i="7" s="1"/>
  <c r="B500" i="7" a="1"/>
  <c r="B500" i="7" s="1"/>
  <c r="C500" i="7" s="1"/>
  <c r="B501" i="7" a="1"/>
  <c r="B501" i="7" s="1"/>
  <c r="C501" i="7" s="1"/>
  <c r="B502" i="7" a="1"/>
  <c r="B502" i="7" s="1"/>
  <c r="C502" i="7" s="1"/>
  <c r="B503" i="7" a="1"/>
  <c r="B503" i="7" s="1"/>
  <c r="C503" i="7" s="1"/>
  <c r="B504" i="7" a="1"/>
  <c r="B504" i="7" s="1"/>
  <c r="C504" i="7" s="1"/>
  <c r="B505" i="7" a="1"/>
  <c r="B505" i="7" s="1"/>
  <c r="C505" i="7" s="1"/>
  <c r="B506" i="7" a="1"/>
  <c r="B506" i="7" s="1"/>
  <c r="C506" i="7" s="1"/>
  <c r="B507" i="7" a="1"/>
  <c r="B507" i="7" s="1"/>
  <c r="C507" i="7" s="1"/>
  <c r="B508" i="7" a="1"/>
  <c r="B508" i="7" s="1"/>
  <c r="C508" i="7" s="1"/>
  <c r="B509" i="7" a="1"/>
  <c r="B509" i="7" s="1"/>
  <c r="C509" i="7" s="1"/>
  <c r="B510" i="7" a="1"/>
  <c r="B510" i="7" s="1"/>
  <c r="C510" i="7" s="1"/>
  <c r="B511" i="7" a="1"/>
  <c r="B511" i="7" s="1"/>
  <c r="C511" i="7" s="1"/>
  <c r="B512" i="7" a="1"/>
  <c r="B512" i="7" s="1"/>
  <c r="C512" i="7" s="1"/>
  <c r="B513" i="7" a="1"/>
  <c r="B513" i="7" s="1"/>
  <c r="C513" i="7" s="1"/>
  <c r="B514" i="7" a="1"/>
  <c r="B514" i="7" s="1"/>
  <c r="C514" i="7" s="1"/>
  <c r="B515" i="7" a="1"/>
  <c r="B515" i="7" s="1"/>
  <c r="C515" i="7" s="1"/>
  <c r="B516" i="7" a="1"/>
  <c r="B516" i="7" s="1"/>
  <c r="C516" i="7" s="1"/>
  <c r="B517" i="7" a="1"/>
  <c r="B517" i="7" s="1"/>
  <c r="C517" i="7" s="1"/>
  <c r="B518" i="7" a="1"/>
  <c r="B518" i="7" s="1"/>
  <c r="C518" i="7" s="1"/>
  <c r="B519" i="7" a="1"/>
  <c r="B519" i="7" s="1"/>
  <c r="C519" i="7" s="1"/>
  <c r="B520" i="7" a="1"/>
  <c r="B520" i="7" s="1"/>
  <c r="C520" i="7" s="1"/>
  <c r="B521" i="7" a="1"/>
  <c r="B521" i="7" s="1"/>
  <c r="C521" i="7" s="1"/>
  <c r="B522" i="7" a="1"/>
  <c r="B522" i="7" s="1"/>
  <c r="C522" i="7" s="1"/>
  <c r="B523" i="7" a="1"/>
  <c r="B523" i="7" s="1"/>
  <c r="C523" i="7" s="1"/>
  <c r="B524" i="7" a="1"/>
  <c r="B524" i="7" s="1"/>
  <c r="C524" i="7" s="1"/>
  <c r="B525" i="7" a="1"/>
  <c r="B525" i="7" s="1"/>
  <c r="C525" i="7" s="1"/>
  <c r="B526" i="7" a="1"/>
  <c r="B526" i="7" s="1"/>
  <c r="C526" i="7" s="1"/>
  <c r="B527" i="7" a="1"/>
  <c r="B527" i="7" s="1"/>
  <c r="C527" i="7" s="1"/>
  <c r="B528" i="7" a="1"/>
  <c r="B528" i="7" s="1"/>
  <c r="C528" i="7" s="1"/>
  <c r="B529" i="7" a="1"/>
  <c r="B529" i="7" s="1"/>
  <c r="C529" i="7" s="1"/>
  <c r="B530" i="7" a="1"/>
  <c r="B530" i="7" s="1"/>
  <c r="C530" i="7" s="1"/>
  <c r="B531" i="7" a="1"/>
  <c r="B531" i="7" s="1"/>
  <c r="C531" i="7" s="1"/>
  <c r="B532" i="7" a="1"/>
  <c r="B532" i="7" s="1"/>
  <c r="C532" i="7" s="1"/>
  <c r="B533" i="7" a="1"/>
  <c r="B533" i="7" s="1"/>
  <c r="C533" i="7" s="1"/>
  <c r="B534" i="7" a="1"/>
  <c r="B534" i="7" s="1"/>
  <c r="C534" i="7" s="1"/>
  <c r="B535" i="7" a="1"/>
  <c r="B535" i="7" s="1"/>
  <c r="C535" i="7" s="1"/>
  <c r="B536" i="7" a="1"/>
  <c r="B536" i="7" s="1"/>
  <c r="C536" i="7" s="1"/>
  <c r="B537" i="7" a="1"/>
  <c r="B537" i="7" s="1"/>
  <c r="C537" i="7" s="1"/>
  <c r="B538" i="7" a="1"/>
  <c r="B538" i="7" s="1"/>
  <c r="C538" i="7" s="1"/>
  <c r="B539" i="7" a="1"/>
  <c r="B539" i="7" s="1"/>
  <c r="C539" i="7" s="1"/>
  <c r="B540" i="7" a="1"/>
  <c r="B540" i="7" s="1"/>
  <c r="C540" i="7" s="1"/>
  <c r="B541" i="7" a="1"/>
  <c r="B541" i="7" s="1"/>
  <c r="C541" i="7" s="1"/>
  <c r="B542" i="7" a="1"/>
  <c r="B542" i="7" s="1"/>
  <c r="C542" i="7" s="1"/>
  <c r="B543" i="7" a="1"/>
  <c r="B543" i="7" s="1"/>
  <c r="C543" i="7" s="1"/>
  <c r="B544" i="7" a="1"/>
  <c r="B544" i="7" s="1"/>
  <c r="C544" i="7" s="1"/>
  <c r="B545" i="7" a="1"/>
  <c r="B545" i="7" s="1"/>
  <c r="C545" i="7" s="1"/>
  <c r="B546" i="7" a="1"/>
  <c r="B546" i="7" s="1"/>
  <c r="C546" i="7" s="1"/>
  <c r="B547" i="7" a="1"/>
  <c r="B547" i="7" s="1"/>
  <c r="C547" i="7" s="1"/>
  <c r="B548" i="7" a="1"/>
  <c r="B548" i="7" s="1"/>
  <c r="C548" i="7" s="1"/>
  <c r="B549" i="7" a="1"/>
  <c r="B549" i="7" s="1"/>
  <c r="C549" i="7" s="1"/>
  <c r="B550" i="7" a="1"/>
  <c r="B550" i="7" s="1"/>
  <c r="C550" i="7" s="1"/>
  <c r="B551" i="7" a="1"/>
  <c r="B551" i="7" s="1"/>
  <c r="C551" i="7" s="1"/>
  <c r="B552" i="7" a="1"/>
  <c r="B552" i="7" s="1"/>
  <c r="C552" i="7" s="1"/>
  <c r="B553" i="7" a="1"/>
  <c r="B553" i="7" s="1"/>
  <c r="C553" i="7" s="1"/>
  <c r="B554" i="7" a="1"/>
  <c r="B554" i="7" s="1"/>
  <c r="C554" i="7" s="1"/>
  <c r="B555" i="7" a="1"/>
  <c r="B555" i="7" s="1"/>
  <c r="C555" i="7" s="1"/>
  <c r="B556" i="7" a="1"/>
  <c r="B556" i="7" s="1"/>
  <c r="C556" i="7" s="1"/>
  <c r="B557" i="7" a="1"/>
  <c r="B557" i="7" s="1"/>
  <c r="C557" i="7" s="1"/>
  <c r="B558" i="7" a="1"/>
  <c r="B558" i="7" s="1"/>
  <c r="C558" i="7" s="1"/>
  <c r="B559" i="7" a="1"/>
  <c r="B559" i="7" s="1"/>
  <c r="C559" i="7" s="1"/>
  <c r="B560" i="7" a="1"/>
  <c r="B560" i="7" s="1"/>
  <c r="C560" i="7" s="1"/>
  <c r="B561" i="7" a="1"/>
  <c r="B561" i="7" s="1"/>
  <c r="C561" i="7" s="1"/>
  <c r="B562" i="7" a="1"/>
  <c r="B562" i="7" s="1"/>
  <c r="C562" i="7" s="1"/>
  <c r="B563" i="7" a="1"/>
  <c r="B563" i="7" s="1"/>
  <c r="C563" i="7" s="1"/>
  <c r="B564" i="7" a="1"/>
  <c r="B564" i="7" s="1"/>
  <c r="C564" i="7" s="1"/>
  <c r="B565" i="7" a="1"/>
  <c r="B565" i="7" s="1"/>
  <c r="C565" i="7" s="1"/>
  <c r="B566" i="7" a="1"/>
  <c r="B566" i="7" s="1"/>
  <c r="C566" i="7" s="1"/>
  <c r="B567" i="7" a="1"/>
  <c r="B567" i="7" s="1"/>
  <c r="C567" i="7" s="1"/>
  <c r="B568" i="7" a="1"/>
  <c r="B568" i="7" s="1"/>
  <c r="C568" i="7" s="1"/>
  <c r="B569" i="7" a="1"/>
  <c r="B569" i="7" s="1"/>
  <c r="C569" i="7" s="1"/>
  <c r="B570" i="7" a="1"/>
  <c r="B570" i="7" s="1"/>
  <c r="C570" i="7" s="1"/>
  <c r="B571" i="7" a="1"/>
  <c r="B571" i="7" s="1"/>
  <c r="C571" i="7" s="1"/>
  <c r="B572" i="7" a="1"/>
  <c r="B572" i="7" s="1"/>
  <c r="C572" i="7" s="1"/>
  <c r="B573" i="7" a="1"/>
  <c r="B573" i="7" s="1"/>
  <c r="C573" i="7" s="1"/>
  <c r="B574" i="7" a="1"/>
  <c r="B574" i="7" s="1"/>
  <c r="C574" i="7" s="1"/>
  <c r="B575" i="7" a="1"/>
  <c r="B575" i="7" s="1"/>
  <c r="C575" i="7" s="1"/>
  <c r="B576" i="7" a="1"/>
  <c r="B576" i="7" s="1"/>
  <c r="C576" i="7" s="1"/>
  <c r="B577" i="7" a="1"/>
  <c r="B577" i="7" s="1"/>
  <c r="C577" i="7" s="1"/>
  <c r="B578" i="7" a="1"/>
  <c r="B578" i="7" s="1"/>
  <c r="C578" i="7" s="1"/>
  <c r="B579" i="7" a="1"/>
  <c r="B579" i="7" s="1"/>
  <c r="C579" i="7" s="1"/>
  <c r="B580" i="7" a="1"/>
  <c r="B580" i="7" s="1"/>
  <c r="C580" i="7" s="1"/>
  <c r="B581" i="7" a="1"/>
  <c r="B581" i="7" s="1"/>
  <c r="C581" i="7" s="1"/>
  <c r="B582" i="7" a="1"/>
  <c r="B582" i="7"/>
  <c r="C582" i="7" s="1"/>
  <c r="B583" i="7" a="1"/>
  <c r="B583" i="7" s="1"/>
  <c r="C583" i="7" s="1"/>
  <c r="B584" i="7" a="1"/>
  <c r="B584" i="7" s="1"/>
  <c r="C584" i="7" s="1"/>
  <c r="B585" i="7" a="1"/>
  <c r="B585" i="7" s="1"/>
  <c r="C585" i="7" s="1"/>
  <c r="B586" i="7" a="1"/>
  <c r="B586" i="7" s="1"/>
  <c r="C586" i="7" s="1"/>
  <c r="B587" i="7" a="1"/>
  <c r="B587" i="7" s="1"/>
  <c r="C587" i="7" s="1"/>
  <c r="B588" i="7" a="1"/>
  <c r="B588" i="7" s="1"/>
  <c r="C588" i="7" s="1"/>
  <c r="B589" i="7" a="1"/>
  <c r="B589" i="7" s="1"/>
  <c r="C589" i="7" s="1"/>
  <c r="B590" i="7" a="1"/>
  <c r="B590" i="7" s="1"/>
  <c r="C590" i="7" s="1"/>
  <c r="B591" i="7" a="1"/>
  <c r="B591" i="7" s="1"/>
  <c r="C591" i="7" s="1"/>
  <c r="B592" i="7" a="1"/>
  <c r="B592" i="7" s="1"/>
  <c r="C592" i="7" s="1"/>
  <c r="B593" i="7" a="1"/>
  <c r="B593" i="7" s="1"/>
  <c r="C593" i="7" s="1"/>
  <c r="B594" i="7" a="1"/>
  <c r="B594" i="7" s="1"/>
  <c r="C594" i="7" s="1"/>
  <c r="B595" i="7" a="1"/>
  <c r="B595" i="7" s="1"/>
  <c r="C595" i="7" s="1"/>
  <c r="B596" i="7" a="1"/>
  <c r="B596" i="7" s="1"/>
  <c r="C596" i="7" s="1"/>
  <c r="B597" i="7" a="1"/>
  <c r="B597" i="7" s="1"/>
  <c r="C597" i="7" s="1"/>
  <c r="B598" i="7" a="1"/>
  <c r="B598" i="7" s="1"/>
  <c r="C598" i="7" s="1"/>
  <c r="B599" i="7" a="1"/>
  <c r="B599" i="7" s="1"/>
  <c r="C599" i="7" s="1"/>
  <c r="B600" i="7" a="1"/>
  <c r="B600" i="7" s="1"/>
  <c r="C600" i="7" s="1"/>
  <c r="B601" i="7" a="1"/>
  <c r="B601" i="7" s="1"/>
  <c r="C601" i="7" s="1"/>
  <c r="B602" i="7" a="1"/>
  <c r="B602" i="7" s="1"/>
  <c r="C602" i="7" s="1"/>
  <c r="B603" i="7" a="1"/>
  <c r="B603" i="7" s="1"/>
  <c r="C603" i="7" s="1"/>
  <c r="B604" i="7" a="1"/>
  <c r="B604" i="7" s="1"/>
  <c r="C604" i="7" s="1"/>
  <c r="B605" i="7" a="1"/>
  <c r="B605" i="7" s="1"/>
  <c r="C605" i="7" s="1"/>
  <c r="B606" i="7" a="1"/>
  <c r="B606" i="7" s="1"/>
  <c r="C606" i="7" s="1"/>
  <c r="B607" i="7" a="1"/>
  <c r="B607" i="7" s="1"/>
  <c r="C607" i="7" s="1"/>
  <c r="B608" i="7" a="1"/>
  <c r="B608" i="7" s="1"/>
  <c r="C608" i="7" s="1"/>
  <c r="B609" i="7" a="1"/>
  <c r="B609" i="7" s="1"/>
  <c r="C609" i="7" s="1"/>
  <c r="B610" i="7" a="1"/>
  <c r="B610" i="7" s="1"/>
  <c r="C610" i="7" s="1"/>
  <c r="B611" i="7" a="1"/>
  <c r="B611" i="7" s="1"/>
  <c r="C611" i="7" s="1"/>
  <c r="B612" i="7" a="1"/>
  <c r="B612" i="7" s="1"/>
  <c r="C612" i="7" s="1"/>
  <c r="B613" i="7" a="1"/>
  <c r="B613" i="7" s="1"/>
  <c r="C613" i="7" s="1"/>
  <c r="B614" i="7" a="1"/>
  <c r="B614" i="7" s="1"/>
  <c r="C614" i="7" s="1"/>
  <c r="B615" i="7" a="1"/>
  <c r="B615" i="7" s="1"/>
  <c r="C615" i="7" s="1"/>
  <c r="B616" i="7" a="1"/>
  <c r="B616" i="7" s="1"/>
  <c r="C616" i="7" s="1"/>
  <c r="B617" i="7" a="1"/>
  <c r="B617" i="7" s="1"/>
  <c r="C617" i="7" s="1"/>
  <c r="B618" i="7" a="1"/>
  <c r="B618" i="7" s="1"/>
  <c r="C618" i="7" s="1"/>
  <c r="B619" i="7" a="1"/>
  <c r="B619" i="7" s="1"/>
  <c r="C619" i="7" s="1"/>
  <c r="B620" i="7" a="1"/>
  <c r="B620" i="7" s="1"/>
  <c r="C620" i="7" s="1"/>
  <c r="B621" i="7" a="1"/>
  <c r="B621" i="7" s="1"/>
  <c r="C621" i="7" s="1"/>
  <c r="B622" i="7" a="1"/>
  <c r="B622" i="7" s="1"/>
  <c r="C622" i="7" s="1"/>
  <c r="B623" i="7" a="1"/>
  <c r="B623" i="7" s="1"/>
  <c r="C623" i="7" s="1"/>
  <c r="B624" i="7" a="1"/>
  <c r="B624" i="7" s="1"/>
  <c r="C624" i="7" s="1"/>
  <c r="B625" i="7" a="1"/>
  <c r="B625" i="7" s="1"/>
  <c r="C625" i="7" s="1"/>
  <c r="B626" i="7" a="1"/>
  <c r="B626" i="7" s="1"/>
  <c r="C626" i="7" s="1"/>
  <c r="B627" i="7" a="1"/>
  <c r="B627" i="7" s="1"/>
  <c r="C627" i="7" s="1"/>
  <c r="B628" i="7" a="1"/>
  <c r="B628" i="7" s="1"/>
  <c r="C628" i="7" s="1"/>
  <c r="B629" i="7" a="1"/>
  <c r="B629" i="7" s="1"/>
  <c r="C629" i="7" s="1"/>
  <c r="B630" i="7" a="1"/>
  <c r="B630" i="7" s="1"/>
  <c r="C630" i="7" s="1"/>
  <c r="B631" i="7" a="1"/>
  <c r="B631" i="7" s="1"/>
  <c r="C631" i="7" s="1"/>
  <c r="B632" i="7" a="1"/>
  <c r="B632" i="7" s="1"/>
  <c r="C632" i="7" s="1"/>
  <c r="B633" i="7" a="1"/>
  <c r="B633" i="7" s="1"/>
  <c r="C633" i="7" s="1"/>
  <c r="B634" i="7" a="1"/>
  <c r="B634" i="7" s="1"/>
  <c r="C634" i="7" s="1"/>
  <c r="B635" i="7" a="1"/>
  <c r="B635" i="7" s="1"/>
  <c r="C635" i="7" s="1"/>
  <c r="B636" i="7" a="1"/>
  <c r="B636" i="7" s="1"/>
  <c r="C636" i="7" s="1"/>
  <c r="B637" i="7" a="1"/>
  <c r="B637" i="7" s="1"/>
  <c r="C637" i="7" s="1"/>
  <c r="B638" i="7" a="1"/>
  <c r="B638" i="7"/>
  <c r="C638" i="7" s="1"/>
  <c r="B639" i="7" a="1"/>
  <c r="B639" i="7" s="1"/>
  <c r="C639" i="7" s="1"/>
  <c r="B640" i="7" a="1"/>
  <c r="B640" i="7" s="1"/>
  <c r="C640" i="7" s="1"/>
  <c r="B641" i="7" a="1"/>
  <c r="B641" i="7" s="1"/>
  <c r="C641" i="7" s="1"/>
  <c r="B642" i="7" a="1"/>
  <c r="B642" i="7" s="1"/>
  <c r="C642" i="7" s="1"/>
  <c r="B643" i="7" a="1"/>
  <c r="B643" i="7" s="1"/>
  <c r="C643" i="7" s="1"/>
  <c r="B644" i="7" a="1"/>
  <c r="B644" i="7" s="1"/>
  <c r="C644" i="7" s="1"/>
  <c r="B645" i="7" a="1"/>
  <c r="B645" i="7" s="1"/>
  <c r="C645" i="7" s="1"/>
  <c r="B646" i="7" a="1"/>
  <c r="B646" i="7" s="1"/>
  <c r="C646" i="7" s="1"/>
  <c r="B647" i="7" a="1"/>
  <c r="B647" i="7" s="1"/>
  <c r="C647" i="7" s="1"/>
  <c r="B648" i="7" a="1"/>
  <c r="B648" i="7" s="1"/>
  <c r="C648" i="7" s="1"/>
  <c r="B649" i="7" a="1"/>
  <c r="B649" i="7" s="1"/>
  <c r="C649" i="7" s="1"/>
  <c r="B650" i="7" a="1"/>
  <c r="B650" i="7" s="1"/>
  <c r="C650" i="7" s="1"/>
  <c r="B651" i="7" a="1"/>
  <c r="B651" i="7" s="1"/>
  <c r="C651" i="7" s="1"/>
  <c r="B652" i="7" a="1"/>
  <c r="B652" i="7" s="1"/>
  <c r="C652" i="7" s="1"/>
  <c r="B653" i="7" a="1"/>
  <c r="B653" i="7" s="1"/>
  <c r="C653" i="7" s="1"/>
  <c r="B654" i="7" a="1"/>
  <c r="B654" i="7" s="1"/>
  <c r="C654" i="7" s="1"/>
  <c r="B655" i="7" a="1"/>
  <c r="B655" i="7" s="1"/>
  <c r="C655" i="7" s="1"/>
  <c r="B656" i="7" a="1"/>
  <c r="B656" i="7" s="1"/>
  <c r="C656" i="7" s="1"/>
  <c r="B657" i="7" a="1"/>
  <c r="B657" i="7" s="1"/>
  <c r="C657" i="7" s="1"/>
  <c r="B658" i="7" a="1"/>
  <c r="B658" i="7" s="1"/>
  <c r="C658" i="7" s="1"/>
  <c r="B659" i="7" a="1"/>
  <c r="B659" i="7" s="1"/>
  <c r="C659" i="7" s="1"/>
  <c r="B660" i="7" a="1"/>
  <c r="B660" i="7" s="1"/>
  <c r="C660" i="7" s="1"/>
  <c r="B661" i="7" a="1"/>
  <c r="B661" i="7" s="1"/>
  <c r="C661" i="7" s="1"/>
  <c r="B662" i="7" a="1"/>
  <c r="B662" i="7" s="1"/>
  <c r="C662" i="7" s="1"/>
  <c r="B663" i="7" a="1"/>
  <c r="B663" i="7" s="1"/>
  <c r="C663" i="7" s="1"/>
  <c r="B664" i="7" a="1"/>
  <c r="B664" i="7" s="1"/>
  <c r="C664" i="7" s="1"/>
  <c r="B665" i="7" a="1"/>
  <c r="B665" i="7" s="1"/>
  <c r="C665" i="7" s="1"/>
  <c r="B666" i="7" a="1"/>
  <c r="B666" i="7" s="1"/>
  <c r="C666" i="7" s="1"/>
  <c r="B667" i="7" a="1"/>
  <c r="B667" i="7" s="1"/>
  <c r="C667" i="7" s="1"/>
  <c r="B668" i="7" a="1"/>
  <c r="B668" i="7" s="1"/>
  <c r="C668" i="7" s="1"/>
  <c r="B669" i="7" a="1"/>
  <c r="B669" i="7" s="1"/>
  <c r="C669" i="7" s="1"/>
  <c r="B670" i="7" a="1"/>
  <c r="B670" i="7" s="1"/>
  <c r="C670" i="7" s="1"/>
  <c r="B671" i="7" a="1"/>
  <c r="B671" i="7" s="1"/>
  <c r="C671" i="7" s="1"/>
  <c r="B672" i="7" a="1"/>
  <c r="B672" i="7" s="1"/>
  <c r="C672" i="7" s="1"/>
  <c r="B673" i="7" a="1"/>
  <c r="B673" i="7" s="1"/>
  <c r="C673" i="7" s="1"/>
  <c r="B674" i="7" a="1"/>
  <c r="B674" i="7" s="1"/>
  <c r="C674" i="7" s="1"/>
  <c r="B675" i="7" a="1"/>
  <c r="B675" i="7" s="1"/>
  <c r="C675" i="7" s="1"/>
  <c r="B676" i="7" a="1"/>
  <c r="B676" i="7" s="1"/>
  <c r="C676" i="7" s="1"/>
  <c r="B677" i="7" a="1"/>
  <c r="B677" i="7" s="1"/>
  <c r="C677" i="7" s="1"/>
  <c r="B678" i="7" a="1"/>
  <c r="B678" i="7" s="1"/>
  <c r="C678" i="7" s="1"/>
  <c r="B679" i="7" a="1"/>
  <c r="B679" i="7" s="1"/>
  <c r="C679" i="7" s="1"/>
  <c r="B680" i="7" a="1"/>
  <c r="B680" i="7" s="1"/>
  <c r="C680" i="7" s="1"/>
  <c r="B681" i="7" a="1"/>
  <c r="B681" i="7" s="1"/>
  <c r="C681" i="7" s="1"/>
  <c r="B682" i="7" a="1"/>
  <c r="B682" i="7" s="1"/>
  <c r="C682" i="7" s="1"/>
  <c r="B683" i="7" a="1"/>
  <c r="B683" i="7" s="1"/>
  <c r="C683" i="7" s="1"/>
  <c r="B684" i="7" a="1"/>
  <c r="B684" i="7" s="1"/>
  <c r="C684" i="7" s="1"/>
  <c r="B685" i="7" a="1"/>
  <c r="B685" i="7" s="1"/>
  <c r="C685" i="7" s="1"/>
  <c r="B686" i="7" a="1"/>
  <c r="B686" i="7" s="1"/>
  <c r="C686" i="7" s="1"/>
  <c r="B687" i="7" a="1"/>
  <c r="B687" i="7" s="1"/>
  <c r="C687" i="7" s="1"/>
  <c r="B688" i="7" a="1"/>
  <c r="B688" i="7" s="1"/>
  <c r="C688" i="7" s="1"/>
  <c r="B689" i="7" a="1"/>
  <c r="B689" i="7" s="1"/>
  <c r="C689" i="7" s="1"/>
  <c r="B690" i="7" a="1"/>
  <c r="B690" i="7" s="1"/>
  <c r="C690" i="7" s="1"/>
  <c r="B691" i="7" a="1"/>
  <c r="B691" i="7" s="1"/>
  <c r="C691" i="7" s="1"/>
  <c r="B692" i="7" a="1"/>
  <c r="B692" i="7" s="1"/>
  <c r="C692" i="7" s="1"/>
  <c r="B693" i="7" a="1"/>
  <c r="B693" i="7" s="1"/>
  <c r="C693" i="7" s="1"/>
  <c r="B694" i="7" a="1"/>
  <c r="B694" i="7" s="1"/>
  <c r="C694" i="7" s="1"/>
  <c r="B695" i="7" a="1"/>
  <c r="B695" i="7" s="1"/>
  <c r="C695" i="7" s="1"/>
  <c r="B696" i="7" a="1"/>
  <c r="B696" i="7" s="1"/>
  <c r="C696" i="7" s="1"/>
  <c r="B697" i="7" a="1"/>
  <c r="B697" i="7" s="1"/>
  <c r="C697" i="7" s="1"/>
  <c r="B698" i="7" a="1"/>
  <c r="B698" i="7" s="1"/>
  <c r="C698" i="7" s="1"/>
  <c r="B699" i="7" a="1"/>
  <c r="B699" i="7" s="1"/>
  <c r="C699" i="7" s="1"/>
  <c r="B700" i="7" a="1"/>
  <c r="B700" i="7" s="1"/>
  <c r="C700" i="7" s="1"/>
  <c r="B701" i="7" a="1"/>
  <c r="B701" i="7" s="1"/>
  <c r="C701" i="7" s="1"/>
  <c r="B702" i="7" a="1"/>
  <c r="B702" i="7" s="1"/>
  <c r="C702" i="7" s="1"/>
  <c r="B703" i="7" a="1"/>
  <c r="B703" i="7" s="1"/>
  <c r="C703" i="7" s="1"/>
  <c r="B704" i="7" a="1"/>
  <c r="B704" i="7" s="1"/>
  <c r="C704" i="7" s="1"/>
  <c r="B705" i="7" a="1"/>
  <c r="B705" i="7" s="1"/>
  <c r="C705" i="7" s="1"/>
  <c r="B706" i="7" a="1"/>
  <c r="B706" i="7" s="1"/>
  <c r="C706" i="7" s="1"/>
  <c r="B707" i="7" a="1"/>
  <c r="B707" i="7" s="1"/>
  <c r="C707" i="7" s="1"/>
  <c r="B708" i="7" a="1"/>
  <c r="B708" i="7" s="1"/>
  <c r="C708" i="7" s="1"/>
  <c r="B709" i="7" a="1"/>
  <c r="B709" i="7" s="1"/>
  <c r="C709" i="7" s="1"/>
  <c r="B710" i="7" a="1"/>
  <c r="B710" i="7" s="1"/>
  <c r="C710" i="7" s="1"/>
  <c r="B711" i="7" a="1"/>
  <c r="B711" i="7" s="1"/>
  <c r="C711" i="7" s="1"/>
  <c r="B712" i="7" a="1"/>
  <c r="B712" i="7" s="1"/>
  <c r="C712" i="7" s="1"/>
  <c r="B713" i="7" a="1"/>
  <c r="B713" i="7" s="1"/>
  <c r="C713" i="7" s="1"/>
  <c r="B714" i="7" a="1"/>
  <c r="B714" i="7" s="1"/>
  <c r="C714" i="7" s="1"/>
  <c r="B715" i="7" a="1"/>
  <c r="B715" i="7" s="1"/>
  <c r="C715" i="7" s="1"/>
  <c r="B716" i="7" a="1"/>
  <c r="B716" i="7" s="1"/>
  <c r="C716" i="7" s="1"/>
  <c r="B717" i="7" a="1"/>
  <c r="B717" i="7" s="1"/>
  <c r="C717" i="7" s="1"/>
  <c r="B718" i="7" a="1"/>
  <c r="B718" i="7" s="1"/>
  <c r="C718" i="7" s="1"/>
  <c r="B719" i="7" a="1"/>
  <c r="B719" i="7" s="1"/>
  <c r="C719" i="7" s="1"/>
  <c r="B720" i="7" a="1"/>
  <c r="B720" i="7" s="1"/>
  <c r="C720" i="7" s="1"/>
  <c r="B721" i="7" a="1"/>
  <c r="B721" i="7" s="1"/>
  <c r="C721" i="7" s="1"/>
  <c r="B722" i="7" a="1"/>
  <c r="B722" i="7" s="1"/>
  <c r="C722" i="7" s="1"/>
  <c r="B723" i="7" a="1"/>
  <c r="B723" i="7" s="1"/>
  <c r="C723" i="7" s="1"/>
  <c r="B724" i="7" a="1"/>
  <c r="B724" i="7" s="1"/>
  <c r="C724" i="7" s="1"/>
  <c r="B725" i="7" a="1"/>
  <c r="B725" i="7" s="1"/>
  <c r="C725" i="7" s="1"/>
  <c r="B726" i="7" a="1"/>
  <c r="B726" i="7" s="1"/>
  <c r="C726" i="7" s="1"/>
  <c r="B727" i="7" a="1"/>
  <c r="B727" i="7" s="1"/>
  <c r="C727" i="7" s="1"/>
  <c r="B728" i="7" a="1"/>
  <c r="B728" i="7" s="1"/>
  <c r="C728" i="7" s="1"/>
  <c r="B729" i="7" a="1"/>
  <c r="B729" i="7" s="1"/>
  <c r="C729" i="7" s="1"/>
  <c r="B730" i="7" a="1"/>
  <c r="B730" i="7" s="1"/>
  <c r="C730" i="7" s="1"/>
  <c r="B731" i="7" a="1"/>
  <c r="B731" i="7" s="1"/>
  <c r="C731" i="7" s="1"/>
  <c r="B732" i="7" a="1"/>
  <c r="B732" i="7" s="1"/>
  <c r="C732" i="7" s="1"/>
  <c r="B733" i="7" a="1"/>
  <c r="B733" i="7" s="1"/>
  <c r="C733" i="7" s="1"/>
  <c r="B734" i="7" a="1"/>
  <c r="B734" i="7" s="1"/>
  <c r="C734" i="7" s="1"/>
  <c r="B735" i="7" a="1"/>
  <c r="B735" i="7" s="1"/>
  <c r="C735" i="7" s="1"/>
  <c r="B736" i="7" a="1"/>
  <c r="B736" i="7" s="1"/>
  <c r="C736" i="7" s="1"/>
  <c r="B737" i="7" a="1"/>
  <c r="B737" i="7" s="1"/>
  <c r="C737" i="7" s="1"/>
  <c r="B738" i="7" a="1"/>
  <c r="B738" i="7" s="1"/>
  <c r="C738" i="7" s="1"/>
  <c r="B739" i="7" a="1"/>
  <c r="B739" i="7" s="1"/>
  <c r="C739" i="7" s="1"/>
  <c r="B740" i="7" a="1"/>
  <c r="B740" i="7" s="1"/>
  <c r="C740" i="7" s="1"/>
  <c r="B741" i="7" a="1"/>
  <c r="B741" i="7" s="1"/>
  <c r="C741" i="7" s="1"/>
  <c r="B742" i="7" a="1"/>
  <c r="B742" i="7" s="1"/>
  <c r="C742" i="7" s="1"/>
  <c r="B743" i="7" a="1"/>
  <c r="B743" i="7" s="1"/>
  <c r="C743" i="7" s="1"/>
  <c r="B744" i="7" a="1"/>
  <c r="B744" i="7" s="1"/>
  <c r="C744" i="7" s="1"/>
  <c r="B745" i="7" a="1"/>
  <c r="B745" i="7" s="1"/>
  <c r="C745" i="7" s="1"/>
  <c r="B746" i="7" a="1"/>
  <c r="B746" i="7" s="1"/>
  <c r="C746" i="7" s="1"/>
  <c r="B747" i="7" a="1"/>
  <c r="B747" i="7" s="1"/>
  <c r="C747" i="7" s="1"/>
  <c r="B748" i="7" a="1"/>
  <c r="B748" i="7" s="1"/>
  <c r="C748" i="7" s="1"/>
  <c r="B749" i="7" a="1"/>
  <c r="B749" i="7" s="1"/>
  <c r="C749" i="7" s="1"/>
  <c r="B750" i="7" a="1"/>
  <c r="B750" i="7" s="1"/>
  <c r="C750" i="7" s="1"/>
  <c r="B751" i="7" a="1"/>
  <c r="B751" i="7" s="1"/>
  <c r="C751" i="7" s="1"/>
  <c r="B752" i="7" a="1"/>
  <c r="B752" i="7" s="1"/>
  <c r="C752" i="7" s="1"/>
  <c r="B753" i="7" a="1"/>
  <c r="B753" i="7" s="1"/>
  <c r="C753" i="7" s="1"/>
  <c r="B754" i="7" a="1"/>
  <c r="B754" i="7" s="1"/>
  <c r="C754" i="7" s="1"/>
  <c r="B755" i="7" a="1"/>
  <c r="B755" i="7" s="1"/>
  <c r="C755" i="7" s="1"/>
  <c r="B756" i="7" a="1"/>
  <c r="B756" i="7" s="1"/>
  <c r="C756" i="7" s="1"/>
  <c r="B757" i="7" a="1"/>
  <c r="B757" i="7" s="1"/>
  <c r="C757" i="7" s="1"/>
  <c r="B758" i="7" a="1"/>
  <c r="B758" i="7" s="1"/>
  <c r="C758" i="7" s="1"/>
  <c r="B759" i="7" a="1"/>
  <c r="B759" i="7" s="1"/>
  <c r="C759" i="7" s="1"/>
  <c r="B760" i="7" a="1"/>
  <c r="B760" i="7" s="1"/>
  <c r="C760" i="7" s="1"/>
  <c r="B761" i="7" a="1"/>
  <c r="B761" i="7" s="1"/>
  <c r="C761" i="7" s="1"/>
  <c r="B762" i="7" a="1"/>
  <c r="B762" i="7" s="1"/>
  <c r="C762" i="7" s="1"/>
  <c r="B763" i="7" a="1"/>
  <c r="B763" i="7" s="1"/>
  <c r="C763" i="7" s="1"/>
  <c r="B764" i="7" a="1"/>
  <c r="B764" i="7" s="1"/>
  <c r="C764" i="7" s="1"/>
  <c r="B765" i="7" a="1"/>
  <c r="B765" i="7" s="1"/>
  <c r="C765" i="7" s="1"/>
  <c r="B766" i="7" a="1"/>
  <c r="B766" i="7" s="1"/>
  <c r="C766" i="7" s="1"/>
  <c r="B767" i="7" a="1"/>
  <c r="B767" i="7" s="1"/>
  <c r="C767" i="7" s="1"/>
  <c r="B768" i="7" a="1"/>
  <c r="B768" i="7" s="1"/>
  <c r="C768" i="7" s="1"/>
  <c r="B769" i="7" a="1"/>
  <c r="B769" i="7" s="1"/>
  <c r="C769" i="7" s="1"/>
  <c r="B770" i="7" a="1"/>
  <c r="B770" i="7" s="1"/>
  <c r="C770" i="7" s="1"/>
  <c r="B771" i="7" a="1"/>
  <c r="B771" i="7" s="1"/>
  <c r="C771" i="7" s="1"/>
  <c r="B772" i="7" a="1"/>
  <c r="B772" i="7" s="1"/>
  <c r="C772" i="7" s="1"/>
  <c r="B773" i="7" a="1"/>
  <c r="B773" i="7" s="1"/>
  <c r="C773" i="7" s="1"/>
  <c r="B774" i="7" a="1"/>
  <c r="B774" i="7" s="1"/>
  <c r="C774" i="7" s="1"/>
  <c r="B775" i="7" a="1"/>
  <c r="B775" i="7" s="1"/>
  <c r="C775" i="7" s="1"/>
  <c r="B776" i="7" a="1"/>
  <c r="B776" i="7" s="1"/>
  <c r="C776" i="7" s="1"/>
  <c r="B777" i="7" a="1"/>
  <c r="B777" i="7" s="1"/>
  <c r="C777" i="7" s="1"/>
  <c r="B778" i="7" a="1"/>
  <c r="B778" i="7" s="1"/>
  <c r="C778" i="7" s="1"/>
  <c r="B779" i="7" a="1"/>
  <c r="B779" i="7" s="1"/>
  <c r="C779" i="7" s="1"/>
  <c r="B780" i="7" a="1"/>
  <c r="B780" i="7" s="1"/>
  <c r="C780" i="7" s="1"/>
  <c r="B781" i="7" a="1"/>
  <c r="B781" i="7" s="1"/>
  <c r="C781" i="7" s="1"/>
  <c r="B782" i="7" a="1"/>
  <c r="B782" i="7" s="1"/>
  <c r="C782" i="7" s="1"/>
  <c r="B783" i="7" a="1"/>
  <c r="B783" i="7" s="1"/>
  <c r="C783" i="7" s="1"/>
  <c r="B784" i="7" a="1"/>
  <c r="B784" i="7" s="1"/>
  <c r="C784" i="7" s="1"/>
  <c r="B785" i="7" a="1"/>
  <c r="B785" i="7" s="1"/>
  <c r="C785" i="7" s="1"/>
  <c r="B786" i="7" a="1"/>
  <c r="B786" i="7" s="1"/>
  <c r="C786" i="7" s="1"/>
  <c r="B787" i="7" a="1"/>
  <c r="B787" i="7" s="1"/>
  <c r="C787" i="7" s="1"/>
  <c r="B788" i="7" a="1"/>
  <c r="B788" i="7" s="1"/>
  <c r="C788" i="7" s="1"/>
  <c r="B789" i="7" a="1"/>
  <c r="B789" i="7" s="1"/>
  <c r="C789" i="7" s="1"/>
  <c r="B790" i="7" a="1"/>
  <c r="B790" i="7" s="1"/>
  <c r="C790" i="7" s="1"/>
  <c r="B791" i="7" a="1"/>
  <c r="B791" i="7" s="1"/>
  <c r="C791" i="7" s="1"/>
  <c r="B792" i="7" a="1"/>
  <c r="B792" i="7" s="1"/>
  <c r="C792" i="7" s="1"/>
  <c r="B793" i="7" a="1"/>
  <c r="B793" i="7" s="1"/>
  <c r="C793" i="7" s="1"/>
  <c r="B794" i="7" a="1"/>
  <c r="B794" i="7" s="1"/>
  <c r="C794" i="7" s="1"/>
  <c r="B795" i="7" a="1"/>
  <c r="B795" i="7" s="1"/>
  <c r="C795" i="7" s="1"/>
  <c r="B796" i="7" a="1"/>
  <c r="B796" i="7" s="1"/>
  <c r="C796" i="7" s="1"/>
  <c r="B797" i="7" a="1"/>
  <c r="B797" i="7" s="1"/>
  <c r="C797" i="7" s="1"/>
  <c r="B798" i="7" a="1"/>
  <c r="B798" i="7" s="1"/>
  <c r="C798" i="7" s="1"/>
  <c r="B799" i="7" a="1"/>
  <c r="B799" i="7" s="1"/>
  <c r="C799" i="7" s="1"/>
  <c r="B800" i="7" a="1"/>
  <c r="B800" i="7" s="1"/>
  <c r="C800" i="7" s="1"/>
  <c r="B801" i="7" a="1"/>
  <c r="B801" i="7" s="1"/>
  <c r="C801" i="7" s="1"/>
  <c r="B802" i="7" a="1"/>
  <c r="B802" i="7" s="1"/>
  <c r="C802" i="7" s="1"/>
  <c r="B803" i="7" a="1"/>
  <c r="B803" i="7"/>
  <c r="C803" i="7" s="1"/>
  <c r="B804" i="7" a="1"/>
  <c r="B804" i="7" s="1"/>
  <c r="C804" i="7" s="1"/>
  <c r="B805" i="7" a="1"/>
  <c r="B805" i="7" s="1"/>
  <c r="C805" i="7" s="1"/>
  <c r="B806" i="7" a="1"/>
  <c r="B806" i="7" s="1"/>
  <c r="C806" i="7" s="1"/>
  <c r="B807" i="7" a="1"/>
  <c r="B807" i="7"/>
  <c r="C807" i="7" s="1"/>
  <c r="B808" i="7" a="1"/>
  <c r="B808" i="7" s="1"/>
  <c r="C808" i="7" s="1"/>
  <c r="B809" i="7" a="1"/>
  <c r="B809" i="7" s="1"/>
  <c r="C809" i="7" s="1"/>
  <c r="B810" i="7" a="1"/>
  <c r="B810" i="7" s="1"/>
  <c r="C810" i="7" s="1"/>
  <c r="B811" i="7" a="1"/>
  <c r="B811" i="7" s="1"/>
  <c r="C811" i="7" s="1"/>
  <c r="B812" i="7" a="1"/>
  <c r="B812" i="7" s="1"/>
  <c r="C812" i="7" s="1"/>
  <c r="B813" i="7" a="1"/>
  <c r="B813" i="7" s="1"/>
  <c r="C813" i="7" s="1"/>
  <c r="B814" i="7" a="1"/>
  <c r="B814" i="7" s="1"/>
  <c r="C814" i="7" s="1"/>
  <c r="B815" i="7" a="1"/>
  <c r="B815" i="7" s="1"/>
  <c r="C815" i="7" s="1"/>
  <c r="B816" i="7" a="1"/>
  <c r="B816" i="7" s="1"/>
  <c r="C816" i="7" s="1"/>
  <c r="B817" i="7" a="1"/>
  <c r="B817" i="7" s="1"/>
  <c r="C817" i="7" s="1"/>
  <c r="B818" i="7" a="1"/>
  <c r="B818" i="7" s="1"/>
  <c r="C818" i="7" s="1"/>
  <c r="B819" i="7" a="1"/>
  <c r="B819" i="7" s="1"/>
  <c r="C819" i="7" s="1"/>
  <c r="B820" i="7" a="1"/>
  <c r="B820" i="7" s="1"/>
  <c r="C820" i="7" s="1"/>
  <c r="B821" i="7" a="1"/>
  <c r="B821" i="7" s="1"/>
  <c r="C821" i="7" s="1"/>
  <c r="B822" i="7" a="1"/>
  <c r="B822" i="7" s="1"/>
  <c r="C822" i="7" s="1"/>
  <c r="B823" i="7" a="1"/>
  <c r="B823" i="7"/>
  <c r="C823" i="7" s="1"/>
  <c r="B824" i="7" a="1"/>
  <c r="B824" i="7" s="1"/>
  <c r="C824" i="7" s="1"/>
  <c r="B825" i="7" a="1"/>
  <c r="B825" i="7" s="1"/>
  <c r="C825" i="7" s="1"/>
  <c r="B826" i="7" a="1"/>
  <c r="B826" i="7" s="1"/>
  <c r="C826" i="7" s="1"/>
  <c r="B827" i="7" a="1"/>
  <c r="B827" i="7" s="1"/>
  <c r="C827" i="7" s="1"/>
  <c r="B828" i="7" a="1"/>
  <c r="B828" i="7" s="1"/>
  <c r="C828" i="7" s="1"/>
  <c r="B829" i="7" a="1"/>
  <c r="B829" i="7" s="1"/>
  <c r="C829" i="7" s="1"/>
  <c r="B830" i="7" a="1"/>
  <c r="B830" i="7" s="1"/>
  <c r="C830" i="7" s="1"/>
  <c r="B831" i="7" a="1"/>
  <c r="B831" i="7" s="1"/>
  <c r="C831" i="7" s="1"/>
  <c r="B832" i="7" a="1"/>
  <c r="B832" i="7" s="1"/>
  <c r="C832" i="7" s="1"/>
  <c r="B833" i="7" a="1"/>
  <c r="B833" i="7" s="1"/>
  <c r="C833" i="7" s="1"/>
  <c r="B834" i="7" a="1"/>
  <c r="B834" i="7" s="1"/>
  <c r="C834" i="7" s="1"/>
  <c r="B835" i="7" a="1"/>
  <c r="B835" i="7" s="1"/>
  <c r="C835" i="7" s="1"/>
  <c r="B836" i="7" a="1"/>
  <c r="B836" i="7" s="1"/>
  <c r="C836" i="7" s="1"/>
  <c r="B837" i="7" a="1"/>
  <c r="B837" i="7" s="1"/>
  <c r="C837" i="7" s="1"/>
  <c r="B838" i="7" a="1"/>
  <c r="B838" i="7" s="1"/>
  <c r="C838" i="7" s="1"/>
  <c r="B839" i="7" a="1"/>
  <c r="B839" i="7" s="1"/>
  <c r="C839" i="7" s="1"/>
  <c r="B840" i="7" a="1"/>
  <c r="B840" i="7" s="1"/>
  <c r="C840" i="7" s="1"/>
  <c r="B841" i="7" a="1"/>
  <c r="B841" i="7" s="1"/>
  <c r="C841" i="7" s="1"/>
  <c r="B842" i="7" a="1"/>
  <c r="B842" i="7" s="1"/>
  <c r="C842" i="7" s="1"/>
  <c r="B843" i="7" a="1"/>
  <c r="B843" i="7" s="1"/>
  <c r="C843" i="7" s="1"/>
  <c r="B844" i="7" a="1"/>
  <c r="B844" i="7" s="1"/>
  <c r="C844" i="7" s="1"/>
  <c r="B845" i="7" a="1"/>
  <c r="B845" i="7" s="1"/>
  <c r="C845" i="7" s="1"/>
  <c r="B846" i="7" a="1"/>
  <c r="B846" i="7" s="1"/>
  <c r="C846" i="7" s="1"/>
  <c r="B847" i="7" a="1"/>
  <c r="B847" i="7" s="1"/>
  <c r="C847" i="7" s="1"/>
  <c r="B848" i="7" a="1"/>
  <c r="B848" i="7" s="1"/>
  <c r="C848" i="7" s="1"/>
  <c r="B849" i="7" a="1"/>
  <c r="B849" i="7" s="1"/>
  <c r="C849" i="7" s="1"/>
  <c r="B850" i="7" a="1"/>
  <c r="B850" i="7" s="1"/>
  <c r="C850" i="7" s="1"/>
  <c r="B851" i="7" a="1"/>
  <c r="B851" i="7"/>
  <c r="C851" i="7" s="1"/>
  <c r="B852" i="7" a="1"/>
  <c r="B852" i="7" s="1"/>
  <c r="C852" i="7" s="1"/>
  <c r="B853" i="7" a="1"/>
  <c r="B853" i="7" s="1"/>
  <c r="C853" i="7" s="1"/>
  <c r="B854" i="7" a="1"/>
  <c r="B854" i="7" s="1"/>
  <c r="C854" i="7" s="1"/>
  <c r="B855" i="7" a="1"/>
  <c r="B855" i="7" s="1"/>
  <c r="C855" i="7" s="1"/>
  <c r="B856" i="7" a="1"/>
  <c r="B856" i="7" s="1"/>
  <c r="C856" i="7" s="1"/>
  <c r="B857" i="7" a="1"/>
  <c r="B857" i="7" s="1"/>
  <c r="C857" i="7" s="1"/>
  <c r="B858" i="7" a="1"/>
  <c r="B858" i="7" s="1"/>
  <c r="C858" i="7" s="1"/>
  <c r="B859" i="7" a="1"/>
  <c r="B859" i="7" s="1"/>
  <c r="C859" i="7" s="1"/>
  <c r="B860" i="7" a="1"/>
  <c r="B860" i="7" s="1"/>
  <c r="C860" i="7" s="1"/>
  <c r="B861" i="7" a="1"/>
  <c r="B861" i="7" s="1"/>
  <c r="C861" i="7" s="1"/>
  <c r="B862" i="7" a="1"/>
  <c r="B862" i="7" s="1"/>
  <c r="C862" i="7" s="1"/>
  <c r="B863" i="7" a="1"/>
  <c r="B863" i="7" s="1"/>
  <c r="C863" i="7" s="1"/>
  <c r="B864" i="7" a="1"/>
  <c r="B864" i="7" s="1"/>
  <c r="C864" i="7" s="1"/>
  <c r="B865" i="7" a="1"/>
  <c r="B865" i="7" s="1"/>
  <c r="C865" i="7" s="1"/>
  <c r="B866" i="7" a="1"/>
  <c r="B866" i="7" s="1"/>
  <c r="C866" i="7" s="1"/>
  <c r="B867" i="7" a="1"/>
  <c r="B867" i="7"/>
  <c r="C867" i="7" s="1"/>
  <c r="B868" i="7" a="1"/>
  <c r="B868" i="7" s="1"/>
  <c r="C868" i="7" s="1"/>
  <c r="B869" i="7" a="1"/>
  <c r="B869" i="7" s="1"/>
  <c r="C869" i="7" s="1"/>
  <c r="B870" i="7" a="1"/>
  <c r="B870" i="7" s="1"/>
  <c r="C870" i="7" s="1"/>
  <c r="B871" i="7" a="1"/>
  <c r="B871" i="7" s="1"/>
  <c r="C871" i="7" s="1"/>
  <c r="B872" i="7" a="1"/>
  <c r="B872" i="7" s="1"/>
  <c r="C872" i="7" s="1"/>
  <c r="B873" i="7" a="1"/>
  <c r="B873" i="7" s="1"/>
  <c r="C873" i="7" s="1"/>
  <c r="B874" i="7" a="1"/>
  <c r="B874" i="7" s="1"/>
  <c r="C874" i="7" s="1"/>
  <c r="B875" i="7" a="1"/>
  <c r="B875" i="7" s="1"/>
  <c r="C875" i="7" s="1"/>
  <c r="B876" i="7" a="1"/>
  <c r="B876" i="7" s="1"/>
  <c r="C876" i="7" s="1"/>
  <c r="B877" i="7" a="1"/>
  <c r="B877" i="7" s="1"/>
  <c r="C877" i="7" s="1"/>
  <c r="B878" i="7" a="1"/>
  <c r="B878" i="7" s="1"/>
  <c r="C878" i="7" s="1"/>
  <c r="B879" i="7" a="1"/>
  <c r="B879" i="7" s="1"/>
  <c r="C879" i="7" s="1"/>
  <c r="B880" i="7" a="1"/>
  <c r="B880" i="7" s="1"/>
  <c r="C880" i="7" s="1"/>
  <c r="B881" i="7" a="1"/>
  <c r="B881" i="7" s="1"/>
  <c r="C881" i="7" s="1"/>
  <c r="B882" i="7" a="1"/>
  <c r="B882" i="7" s="1"/>
  <c r="C882" i="7" s="1"/>
  <c r="B883" i="7" a="1"/>
  <c r="B883" i="7" s="1"/>
  <c r="C883" i="7" s="1"/>
  <c r="B884" i="7" a="1"/>
  <c r="B884" i="7" s="1"/>
  <c r="C884" i="7" s="1"/>
  <c r="B885" i="7" a="1"/>
  <c r="B885" i="7" s="1"/>
  <c r="C885" i="7" s="1"/>
  <c r="B886" i="7" a="1"/>
  <c r="B886" i="7" s="1"/>
  <c r="C886" i="7" s="1"/>
  <c r="B887" i="7" a="1"/>
  <c r="B887" i="7"/>
  <c r="C887" i="7" s="1"/>
  <c r="B888" i="7" a="1"/>
  <c r="B888" i="7" s="1"/>
  <c r="C888" i="7" s="1"/>
  <c r="B889" i="7" a="1"/>
  <c r="B889" i="7" s="1"/>
  <c r="C889" i="7" s="1"/>
  <c r="B890" i="7" a="1"/>
  <c r="B890" i="7" s="1"/>
  <c r="C890" i="7" s="1"/>
  <c r="B891" i="7" a="1"/>
  <c r="B891" i="7" s="1"/>
  <c r="C891" i="7" s="1"/>
  <c r="B892" i="7" a="1"/>
  <c r="B892" i="7" s="1"/>
  <c r="C892" i="7" s="1"/>
  <c r="B893" i="7" a="1"/>
  <c r="B893" i="7" s="1"/>
  <c r="C893" i="7" s="1"/>
  <c r="B894" i="7" a="1"/>
  <c r="B894" i="7" s="1"/>
  <c r="C894" i="7" s="1"/>
  <c r="B895" i="7" a="1"/>
  <c r="B895" i="7" s="1"/>
  <c r="C895" i="7" s="1"/>
  <c r="B896" i="7" a="1"/>
  <c r="B896" i="7" s="1"/>
  <c r="C896" i="7" s="1"/>
  <c r="B897" i="7" a="1"/>
  <c r="B897" i="7" s="1"/>
  <c r="C897" i="7" s="1"/>
  <c r="B898" i="7" a="1"/>
  <c r="B898" i="7" s="1"/>
  <c r="C898" i="7" s="1"/>
  <c r="B899" i="7" a="1"/>
  <c r="B899" i="7" s="1"/>
  <c r="C899" i="7" s="1"/>
  <c r="B900" i="7" a="1"/>
  <c r="B900" i="7" s="1"/>
  <c r="C900" i="7" s="1"/>
  <c r="B901" i="7" a="1"/>
  <c r="B901" i="7" s="1"/>
  <c r="C901" i="7" s="1"/>
  <c r="B902" i="7" a="1"/>
  <c r="B902" i="7" s="1"/>
  <c r="C902" i="7" s="1"/>
  <c r="B903" i="7" a="1"/>
  <c r="B903" i="7" s="1"/>
  <c r="C903" i="7" s="1"/>
  <c r="B904" i="7" a="1"/>
  <c r="B904" i="7" s="1"/>
  <c r="C904" i="7" s="1"/>
  <c r="B905" i="7" a="1"/>
  <c r="B905" i="7" s="1"/>
  <c r="C905" i="7" s="1"/>
  <c r="B906" i="7" a="1"/>
  <c r="B906" i="7" s="1"/>
  <c r="C906" i="7" s="1"/>
  <c r="B907" i="7" a="1"/>
  <c r="B907" i="7"/>
  <c r="C907" i="7" s="1"/>
  <c r="B908" i="7" a="1"/>
  <c r="B908" i="7" s="1"/>
  <c r="C908" i="7" s="1"/>
  <c r="B909" i="7" a="1"/>
  <c r="B909" i="7" s="1"/>
  <c r="C909" i="7" s="1"/>
  <c r="B910" i="7" a="1"/>
  <c r="B910" i="7" s="1"/>
  <c r="C910" i="7" s="1"/>
  <c r="B911" i="7" a="1"/>
  <c r="B911" i="7" s="1"/>
  <c r="C911" i="7" s="1"/>
  <c r="B912" i="7" a="1"/>
  <c r="B912" i="7" s="1"/>
  <c r="C912" i="7" s="1"/>
  <c r="B913" i="7" a="1"/>
  <c r="B913" i="7" s="1"/>
  <c r="C913" i="7" s="1"/>
  <c r="B914" i="7" a="1"/>
  <c r="B914" i="7" s="1"/>
  <c r="C914" i="7" s="1"/>
  <c r="B915" i="7" a="1"/>
  <c r="B915" i="7" s="1"/>
  <c r="C915" i="7" s="1"/>
  <c r="B916" i="7" a="1"/>
  <c r="B916" i="7" s="1"/>
  <c r="C916" i="7" s="1"/>
  <c r="B917" i="7" a="1"/>
  <c r="B917" i="7" s="1"/>
  <c r="C917" i="7" s="1"/>
  <c r="B918" i="7" a="1"/>
  <c r="B918" i="7" s="1"/>
  <c r="C918" i="7" s="1"/>
  <c r="B919" i="7" a="1"/>
  <c r="B919" i="7" s="1"/>
  <c r="C919" i="7" s="1"/>
  <c r="B920" i="7" a="1"/>
  <c r="B920" i="7" s="1"/>
  <c r="C920" i="7" s="1"/>
  <c r="B921" i="7" a="1"/>
  <c r="B921" i="7" s="1"/>
  <c r="C921" i="7" s="1"/>
  <c r="B922" i="7" a="1"/>
  <c r="B922" i="7" s="1"/>
  <c r="C922" i="7" s="1"/>
  <c r="B923" i="7" a="1"/>
  <c r="B923" i="7" s="1"/>
  <c r="C923" i="7" s="1"/>
  <c r="B924" i="7" a="1"/>
  <c r="B924" i="7" s="1"/>
  <c r="C924" i="7" s="1"/>
  <c r="B925" i="7" a="1"/>
  <c r="B925" i="7" s="1"/>
  <c r="C925" i="7" s="1"/>
  <c r="B926" i="7" a="1"/>
  <c r="B926" i="7" s="1"/>
  <c r="C926" i="7" s="1"/>
  <c r="B927" i="7" a="1"/>
  <c r="B927" i="7" s="1"/>
  <c r="C927" i="7" s="1"/>
  <c r="B928" i="7" a="1"/>
  <c r="B928" i="7" s="1"/>
  <c r="C928" i="7" s="1"/>
  <c r="B929" i="7" a="1"/>
  <c r="B929" i="7" s="1"/>
  <c r="C929" i="7" s="1"/>
  <c r="B930" i="7" a="1"/>
  <c r="B930" i="7" s="1"/>
  <c r="C930" i="7" s="1"/>
  <c r="B931" i="7" a="1"/>
  <c r="B931" i="7"/>
  <c r="C931" i="7" s="1"/>
  <c r="B932" i="7" a="1"/>
  <c r="B932" i="7" s="1"/>
  <c r="C932" i="7" s="1"/>
  <c r="B933" i="7" a="1"/>
  <c r="B933" i="7" s="1"/>
  <c r="C933" i="7" s="1"/>
  <c r="B934" i="7" a="1"/>
  <c r="B934" i="7" s="1"/>
  <c r="C934" i="7" s="1"/>
  <c r="B935" i="7" a="1"/>
  <c r="B935" i="7"/>
  <c r="C935" i="7" s="1"/>
  <c r="B936" i="7" a="1"/>
  <c r="B936" i="7" s="1"/>
  <c r="C936" i="7" s="1"/>
  <c r="B937" i="7" a="1"/>
  <c r="B937" i="7" s="1"/>
  <c r="C937" i="7" s="1"/>
  <c r="B938" i="7" a="1"/>
  <c r="B938" i="7" s="1"/>
  <c r="C938" i="7" s="1"/>
  <c r="B939" i="7" a="1"/>
  <c r="B939" i="7" s="1"/>
  <c r="C939" i="7" s="1"/>
  <c r="B940" i="7" a="1"/>
  <c r="B940" i="7" s="1"/>
  <c r="C940" i="7" s="1"/>
  <c r="B941" i="7" a="1"/>
  <c r="B941" i="7" s="1"/>
  <c r="C941" i="7" s="1"/>
  <c r="B942" i="7" a="1"/>
  <c r="B942" i="7" s="1"/>
  <c r="C942" i="7" s="1"/>
  <c r="B943" i="7" a="1"/>
  <c r="B943" i="7" s="1"/>
  <c r="C943" i="7" s="1"/>
  <c r="B944" i="7" a="1"/>
  <c r="B944" i="7" s="1"/>
  <c r="C944" i="7" s="1"/>
  <c r="B945" i="7" a="1"/>
  <c r="B945" i="7" s="1"/>
  <c r="C945" i="7" s="1"/>
  <c r="B946" i="7" a="1"/>
  <c r="B946" i="7" s="1"/>
  <c r="C946" i="7" s="1"/>
  <c r="B947" i="7" a="1"/>
  <c r="B947" i="7" s="1"/>
  <c r="C947" i="7" s="1"/>
  <c r="B948" i="7" a="1"/>
  <c r="B948" i="7" s="1"/>
  <c r="C948" i="7" s="1"/>
  <c r="B949" i="7" a="1"/>
  <c r="B949" i="7" s="1"/>
  <c r="C949" i="7" s="1"/>
  <c r="B950" i="7" a="1"/>
  <c r="B950" i="7" s="1"/>
  <c r="C950" i="7" s="1"/>
  <c r="B951" i="7" a="1"/>
  <c r="B951" i="7" s="1"/>
  <c r="C951" i="7" s="1"/>
  <c r="B952" i="7" a="1"/>
  <c r="B952" i="7" s="1"/>
  <c r="C952" i="7" s="1"/>
  <c r="B953" i="7" a="1"/>
  <c r="B953" i="7" s="1"/>
  <c r="C953" i="7" s="1"/>
  <c r="B954" i="7" a="1"/>
  <c r="B954" i="7" s="1"/>
  <c r="C954" i="7" s="1"/>
  <c r="B955" i="7" a="1"/>
  <c r="B955" i="7" s="1"/>
  <c r="C955" i="7" s="1"/>
  <c r="B956" i="7" a="1"/>
  <c r="B956" i="7" s="1"/>
  <c r="C956" i="7" s="1"/>
  <c r="B957" i="7" a="1"/>
  <c r="B957" i="7" s="1"/>
  <c r="C957" i="7" s="1"/>
  <c r="B958" i="7" a="1"/>
  <c r="B958" i="7" s="1"/>
  <c r="C958" i="7" s="1"/>
  <c r="B959" i="7" a="1"/>
  <c r="B959" i="7" s="1"/>
  <c r="C959" i="7" s="1"/>
  <c r="B960" i="7" a="1"/>
  <c r="B960" i="7" s="1"/>
  <c r="C960" i="7" s="1"/>
  <c r="B961" i="7" a="1"/>
  <c r="B961" i="7" s="1"/>
  <c r="C961" i="7" s="1"/>
  <c r="B962" i="7" a="1"/>
  <c r="B962" i="7" s="1"/>
  <c r="C962" i="7" s="1"/>
  <c r="B963" i="7" a="1"/>
  <c r="B963" i="7" s="1"/>
  <c r="C963" i="7" s="1"/>
  <c r="B964" i="7" a="1"/>
  <c r="B964" i="7" s="1"/>
  <c r="C964" i="7" s="1"/>
  <c r="B965" i="7" a="1"/>
  <c r="B965" i="7" s="1"/>
  <c r="C965" i="7" s="1"/>
  <c r="B966" i="7" a="1"/>
  <c r="B966" i="7" s="1"/>
  <c r="C966" i="7" s="1"/>
  <c r="B967" i="7" a="1"/>
  <c r="B967" i="7" s="1"/>
  <c r="C967" i="7" s="1"/>
  <c r="B968" i="7" a="1"/>
  <c r="B968" i="7" s="1"/>
  <c r="C968" i="7" s="1"/>
  <c r="B969" i="7" a="1"/>
  <c r="B969" i="7" s="1"/>
  <c r="C969" i="7" s="1"/>
  <c r="B970" i="7" a="1"/>
  <c r="B970" i="7" s="1"/>
  <c r="C970" i="7" s="1"/>
  <c r="B971" i="7" a="1"/>
  <c r="B971" i="7" s="1"/>
  <c r="C971" i="7" s="1"/>
  <c r="B972" i="7" a="1"/>
  <c r="B972" i="7" s="1"/>
  <c r="C972" i="7" s="1"/>
  <c r="B973" i="7" a="1"/>
  <c r="B973" i="7" s="1"/>
  <c r="C973" i="7" s="1"/>
  <c r="B974" i="7" a="1"/>
  <c r="B974" i="7" s="1"/>
  <c r="C974" i="7" s="1"/>
  <c r="B975" i="7" a="1"/>
  <c r="B975" i="7" s="1"/>
  <c r="C975" i="7" s="1"/>
  <c r="B976" i="7" a="1"/>
  <c r="B976" i="7" s="1"/>
  <c r="C976" i="7" s="1"/>
  <c r="B977" i="7" a="1"/>
  <c r="B977" i="7" s="1"/>
  <c r="C977" i="7" s="1"/>
  <c r="B978" i="7" a="1"/>
  <c r="B978" i="7" s="1"/>
  <c r="C978" i="7" s="1"/>
  <c r="B979" i="7" a="1"/>
  <c r="B979" i="7" s="1"/>
  <c r="C979" i="7" s="1"/>
  <c r="B980" i="7" a="1"/>
  <c r="B980" i="7" s="1"/>
  <c r="C980" i="7" s="1"/>
  <c r="B981" i="7" a="1"/>
  <c r="B981" i="7" s="1"/>
  <c r="C981" i="7" s="1"/>
  <c r="B982" i="7" a="1"/>
  <c r="B982" i="7" s="1"/>
  <c r="C982" i="7" s="1"/>
  <c r="B983" i="7" a="1"/>
  <c r="B983" i="7" s="1"/>
  <c r="C983" i="7" s="1"/>
  <c r="B984" i="7" a="1"/>
  <c r="B984" i="7" s="1"/>
  <c r="C984" i="7" s="1"/>
  <c r="B985" i="7" a="1"/>
  <c r="B985" i="7" s="1"/>
  <c r="C985" i="7" s="1"/>
  <c r="B986" i="7" a="1"/>
  <c r="B986" i="7" s="1"/>
  <c r="C986" i="7" s="1"/>
  <c r="B987" i="7" a="1"/>
  <c r="B987" i="7" s="1"/>
  <c r="C987" i="7" s="1"/>
  <c r="B988" i="7" a="1"/>
  <c r="B988" i="7" s="1"/>
  <c r="C988" i="7" s="1"/>
  <c r="B989" i="7" a="1"/>
  <c r="B989" i="7" s="1"/>
  <c r="C989" i="7" s="1"/>
  <c r="B990" i="7" a="1"/>
  <c r="B990" i="7" s="1"/>
  <c r="C990" i="7" s="1"/>
  <c r="B991" i="7" a="1"/>
  <c r="B991" i="7" s="1"/>
  <c r="C991" i="7" s="1"/>
  <c r="B992" i="7" a="1"/>
  <c r="B992" i="7" s="1"/>
  <c r="C992" i="7" s="1"/>
  <c r="B993" i="7" a="1"/>
  <c r="B993" i="7" s="1"/>
  <c r="C993" i="7" s="1"/>
  <c r="B994" i="7" a="1"/>
  <c r="B994" i="7" s="1"/>
  <c r="C994" i="7" s="1"/>
  <c r="B995" i="7" a="1"/>
  <c r="B995" i="7" s="1"/>
  <c r="C995" i="7" s="1"/>
  <c r="B996" i="7" a="1"/>
  <c r="B996" i="7" s="1"/>
  <c r="C996" i="7" s="1"/>
  <c r="B997" i="7" a="1"/>
  <c r="B997" i="7" s="1"/>
  <c r="C997" i="7" s="1"/>
  <c r="B998" i="7" a="1"/>
  <c r="B998" i="7" s="1"/>
  <c r="C998" i="7" s="1"/>
  <c r="B999" i="7" a="1"/>
  <c r="B999" i="7" s="1"/>
  <c r="C999" i="7" s="1"/>
  <c r="B1000" i="7" a="1"/>
  <c r="B1000" i="7" s="1"/>
  <c r="C1000" i="7" s="1"/>
  <c r="B1001" i="7" a="1"/>
  <c r="B1001" i="7" s="1"/>
  <c r="C1001" i="7" s="1"/>
  <c r="B1002" i="7" a="1"/>
  <c r="B1002" i="7" s="1"/>
  <c r="C1002" i="7" s="1"/>
  <c r="B1003" i="7" a="1"/>
  <c r="B1003" i="7" s="1"/>
  <c r="C1003" i="7" s="1"/>
  <c r="B1004" i="7" a="1"/>
  <c r="B1004" i="7" s="1"/>
  <c r="C1004" i="7" s="1"/>
  <c r="B1005" i="7" a="1"/>
  <c r="B1005" i="7" s="1"/>
  <c r="C1005" i="7" s="1"/>
  <c r="B1006" i="7" a="1"/>
  <c r="B1006" i="7" s="1"/>
  <c r="C1006" i="7" s="1"/>
  <c r="B1007" i="7" a="1"/>
  <c r="B1007" i="7" s="1"/>
  <c r="C1007" i="7" s="1"/>
  <c r="B1008" i="7" a="1"/>
  <c r="B1008" i="7" s="1"/>
  <c r="C1008" i="7" s="1"/>
  <c r="B1009" i="7" a="1"/>
  <c r="B1009" i="7" s="1"/>
  <c r="C1009" i="7" s="1"/>
  <c r="B1010" i="7" a="1"/>
  <c r="B1010" i="7" s="1"/>
  <c r="C1010" i="7" s="1"/>
  <c r="B1011" i="7" a="1"/>
  <c r="B1011" i="7" s="1"/>
  <c r="C1011" i="7" s="1"/>
  <c r="B1012" i="7" a="1"/>
  <c r="B1012" i="7" s="1"/>
  <c r="C1012" i="7" s="1"/>
  <c r="B1013" i="7" a="1"/>
  <c r="B1013" i="7" s="1"/>
  <c r="C1013" i="7" s="1"/>
  <c r="B1014" i="7" a="1"/>
  <c r="B1014" i="7" s="1"/>
  <c r="C1014" i="7" s="1"/>
  <c r="B1015" i="7" a="1"/>
  <c r="B1015" i="7" s="1"/>
  <c r="C1015" i="7" s="1"/>
  <c r="B1016" i="7" a="1"/>
  <c r="B1016" i="7" s="1"/>
  <c r="C1016" i="7" s="1"/>
  <c r="B1017" i="7" a="1"/>
  <c r="B1017" i="7" s="1"/>
  <c r="C1017" i="7" s="1"/>
  <c r="B1018" i="7" a="1"/>
  <c r="B1018" i="7" s="1"/>
  <c r="C1018" i="7" s="1"/>
  <c r="B1019" i="7" a="1"/>
  <c r="B1019" i="7" s="1"/>
  <c r="C1019" i="7" s="1"/>
  <c r="B1020" i="7" a="1"/>
  <c r="B1020" i="7" s="1"/>
  <c r="C1020" i="7" s="1"/>
  <c r="B1021" i="7" a="1"/>
  <c r="B1021" i="7" s="1"/>
  <c r="C1021" i="7" s="1"/>
  <c r="B1022" i="7" a="1"/>
  <c r="B1022" i="7" s="1"/>
  <c r="C1022" i="7" s="1"/>
  <c r="B1023" i="7" a="1"/>
  <c r="B1023" i="7" s="1"/>
  <c r="C1023" i="7" s="1"/>
  <c r="B1024" i="7" a="1"/>
  <c r="B1024" i="7" s="1"/>
  <c r="C1024" i="7" s="1"/>
  <c r="B1025" i="7" a="1"/>
  <c r="B1025" i="7" s="1"/>
  <c r="C1025" i="7" s="1"/>
  <c r="B1026" i="7" a="1"/>
  <c r="B1026" i="7" s="1"/>
  <c r="C1026" i="7" s="1"/>
  <c r="B1027" i="7" a="1"/>
  <c r="B1027" i="7" s="1"/>
  <c r="C1027" i="7" s="1"/>
  <c r="B1028" i="7" a="1"/>
  <c r="B1028" i="7" s="1"/>
  <c r="C1028" i="7" s="1"/>
  <c r="B1029" i="7" a="1"/>
  <c r="B1029" i="7" s="1"/>
  <c r="C1029" i="7" s="1"/>
  <c r="B1030" i="7" a="1"/>
  <c r="B1030" i="7" s="1"/>
  <c r="C1030" i="7" s="1"/>
  <c r="B1031" i="7" a="1"/>
  <c r="B1031" i="7" s="1"/>
  <c r="C1031" i="7" s="1"/>
  <c r="B1032" i="7" a="1"/>
  <c r="B1032" i="7" s="1"/>
  <c r="C1032" i="7" s="1"/>
  <c r="B1033" i="7" a="1"/>
  <c r="B1033" i="7" s="1"/>
  <c r="C1033" i="7" s="1"/>
  <c r="B1034" i="7" a="1"/>
  <c r="B1034" i="7" s="1"/>
  <c r="C1034" i="7" s="1"/>
  <c r="B1035" i="7" a="1"/>
  <c r="B1035" i="7" s="1"/>
  <c r="C1035" i="7" s="1"/>
  <c r="B1036" i="7" a="1"/>
  <c r="B1036" i="7" s="1"/>
  <c r="C1036" i="7" s="1"/>
  <c r="B1037" i="7" a="1"/>
  <c r="B1037" i="7" s="1"/>
  <c r="C1037" i="7" s="1"/>
  <c r="B1038" i="7" a="1"/>
  <c r="B1038" i="7" s="1"/>
  <c r="C1038" i="7" s="1"/>
  <c r="B1039" i="7" a="1"/>
  <c r="B1039" i="7"/>
  <c r="C1039" i="7" s="1"/>
  <c r="B1040" i="7" a="1"/>
  <c r="B1040" i="7" s="1"/>
  <c r="C1040" i="7" s="1"/>
  <c r="B1041" i="7" a="1"/>
  <c r="B1041" i="7" s="1"/>
  <c r="C1041" i="7" s="1"/>
  <c r="B1042" i="7" a="1"/>
  <c r="B1042" i="7" s="1"/>
  <c r="C1042" i="7" s="1"/>
  <c r="B1043" i="7" a="1"/>
  <c r="B1043" i="7" s="1"/>
  <c r="C1043" i="7" s="1"/>
  <c r="B1044" i="7" a="1"/>
  <c r="B1044" i="7" s="1"/>
  <c r="C1044" i="7" s="1"/>
  <c r="B1045" i="7" a="1"/>
  <c r="B1045" i="7" s="1"/>
  <c r="C1045" i="7" s="1"/>
  <c r="B1046" i="7" a="1"/>
  <c r="B1046" i="7" s="1"/>
  <c r="C1046" i="7" s="1"/>
  <c r="B1047" i="7" a="1"/>
  <c r="B1047" i="7" s="1"/>
  <c r="C1047" i="7" s="1"/>
  <c r="B1048" i="7" a="1"/>
  <c r="B1048" i="7" s="1"/>
  <c r="C1048" i="7" s="1"/>
  <c r="B1049" i="7" a="1"/>
  <c r="B1049" i="7" s="1"/>
  <c r="C1049" i="7" s="1"/>
  <c r="B1050" i="7" a="1"/>
  <c r="B1050" i="7" s="1"/>
  <c r="C1050" i="7" s="1"/>
  <c r="B1051" i="7" a="1"/>
  <c r="B1051" i="7" s="1"/>
  <c r="C1051" i="7" s="1"/>
  <c r="B1052" i="7" a="1"/>
  <c r="B1052" i="7" s="1"/>
  <c r="C1052" i="7" s="1"/>
  <c r="B1053" i="7" a="1"/>
  <c r="B1053" i="7" s="1"/>
  <c r="C1053" i="7" s="1"/>
  <c r="B1054" i="7" a="1"/>
  <c r="B1054" i="7" s="1"/>
  <c r="C1054" i="7" s="1"/>
  <c r="B1055" i="7" a="1"/>
  <c r="B1055" i="7" s="1"/>
  <c r="C1055" i="7" s="1"/>
  <c r="B1056" i="7" a="1"/>
  <c r="B1056" i="7" s="1"/>
  <c r="C1056" i="7" s="1"/>
  <c r="B1057" i="7" a="1"/>
  <c r="B1057" i="7" s="1"/>
  <c r="C1057" i="7" s="1"/>
  <c r="B1058" i="7" a="1"/>
  <c r="B1058" i="7" s="1"/>
  <c r="C1058" i="7" s="1"/>
  <c r="B1059" i="7" a="1"/>
  <c r="B1059" i="7" s="1"/>
  <c r="C1059" i="7" s="1"/>
  <c r="B1060" i="7" a="1"/>
  <c r="B1060" i="7" s="1"/>
  <c r="C1060" i="7" s="1"/>
  <c r="B1061" i="7" a="1"/>
  <c r="B1061" i="7" s="1"/>
  <c r="C1061" i="7" s="1"/>
  <c r="B1062" i="7" a="1"/>
  <c r="B1062" i="7" s="1"/>
  <c r="C1062" i="7" s="1"/>
  <c r="B1063" i="7" a="1"/>
  <c r="B1063" i="7" s="1"/>
  <c r="C1063" i="7" s="1"/>
  <c r="B1064" i="7" a="1"/>
  <c r="B1064" i="7" s="1"/>
  <c r="C1064" i="7" s="1"/>
  <c r="B1065" i="7" a="1"/>
  <c r="B1065" i="7" s="1"/>
  <c r="C1065" i="7" s="1"/>
  <c r="B1066" i="7" a="1"/>
  <c r="B1066" i="7" s="1"/>
  <c r="C1066" i="7" s="1"/>
  <c r="B1067" i="7" a="1"/>
  <c r="B1067" i="7" s="1"/>
  <c r="C1067" i="7" s="1"/>
  <c r="B1068" i="7" a="1"/>
  <c r="B1068" i="7" s="1"/>
  <c r="C1068" i="7" s="1"/>
  <c r="B1069" i="7" a="1"/>
  <c r="B1069" i="7" s="1"/>
  <c r="C1069" i="7" s="1"/>
  <c r="B1070" i="7" a="1"/>
  <c r="B1070" i="7" s="1"/>
  <c r="C1070" i="7" s="1"/>
  <c r="B1071" i="7" a="1"/>
  <c r="B1071" i="7"/>
  <c r="C1071" i="7" s="1"/>
  <c r="B1072" i="7" a="1"/>
  <c r="B1072" i="7" s="1"/>
  <c r="C1072" i="7" s="1"/>
  <c r="B1073" i="7" a="1"/>
  <c r="B1073" i="7" s="1"/>
  <c r="C1073" i="7" s="1"/>
  <c r="B1074" i="7" a="1"/>
  <c r="B1074" i="7" s="1"/>
  <c r="C1074" i="7" s="1"/>
  <c r="B1075" i="7" a="1"/>
  <c r="B1075" i="7" s="1"/>
  <c r="C1075" i="7" s="1"/>
  <c r="B1076" i="7" a="1"/>
  <c r="B1076" i="7" s="1"/>
  <c r="C1076" i="7" s="1"/>
  <c r="B1077" i="7" a="1"/>
  <c r="B1077" i="7" s="1"/>
  <c r="C1077" i="7" s="1"/>
  <c r="B1078" i="7" a="1"/>
  <c r="B1078" i="7" s="1"/>
  <c r="C1078" i="7" s="1"/>
  <c r="B1079" i="7" a="1"/>
  <c r="B1079" i="7" s="1"/>
  <c r="C1079" i="7" s="1"/>
  <c r="B1080" i="7" a="1"/>
  <c r="B1080" i="7" s="1"/>
  <c r="C1080" i="7" s="1"/>
  <c r="B1081" i="7" a="1"/>
  <c r="B1081" i="7" s="1"/>
  <c r="C1081" i="7" s="1"/>
  <c r="B1082" i="7" a="1"/>
  <c r="B1082" i="7" s="1"/>
  <c r="C1082" i="7" s="1"/>
  <c r="B1083" i="7" a="1"/>
  <c r="B1083" i="7" s="1"/>
  <c r="C1083" i="7" s="1"/>
  <c r="B1084" i="7" a="1"/>
  <c r="B1084" i="7" s="1"/>
  <c r="C1084" i="7" s="1"/>
  <c r="B1085" i="7" a="1"/>
  <c r="B1085" i="7" s="1"/>
  <c r="C1085" i="7" s="1"/>
  <c r="B1086" i="7" a="1"/>
  <c r="B1086" i="7" s="1"/>
  <c r="C1086" i="7" s="1"/>
  <c r="B1087" i="7" a="1"/>
  <c r="B1087" i="7" s="1"/>
  <c r="C1087" i="7" s="1"/>
  <c r="B1088" i="7" a="1"/>
  <c r="B1088" i="7" s="1"/>
  <c r="C1088" i="7" s="1"/>
  <c r="B1089" i="7" a="1"/>
  <c r="B1089" i="7" s="1"/>
  <c r="C1089" i="7" s="1"/>
  <c r="B1090" i="7" a="1"/>
  <c r="B1090" i="7" s="1"/>
  <c r="C1090" i="7" s="1"/>
  <c r="B1091" i="7" a="1"/>
  <c r="B1091" i="7" s="1"/>
  <c r="C1091" i="7" s="1"/>
  <c r="B1092" i="7" a="1"/>
  <c r="B1092" i="7" s="1"/>
  <c r="C1092" i="7" s="1"/>
  <c r="B1093" i="7" a="1"/>
  <c r="B1093" i="7" s="1"/>
  <c r="C1093" i="7" s="1"/>
  <c r="B1094" i="7" a="1"/>
  <c r="B1094" i="7" s="1"/>
  <c r="C1094" i="7" s="1"/>
  <c r="B1095" i="7" a="1"/>
  <c r="B1095" i="7" s="1"/>
  <c r="C1095" i="7" s="1"/>
  <c r="B1096" i="7" a="1"/>
  <c r="B1096" i="7" s="1"/>
  <c r="C1096" i="7" s="1"/>
  <c r="B1097" i="7" a="1"/>
  <c r="B1097" i="7" s="1"/>
  <c r="C1097" i="7" s="1"/>
  <c r="B1098" i="7" a="1"/>
  <c r="B1098" i="7" s="1"/>
  <c r="C1098" i="7" s="1"/>
  <c r="B1099" i="7" a="1"/>
  <c r="B1099" i="7" s="1"/>
  <c r="C1099" i="7" s="1"/>
  <c r="B1100" i="7" a="1"/>
  <c r="B1100" i="7" s="1"/>
  <c r="C1100" i="7" s="1"/>
  <c r="B1101" i="7" a="1"/>
  <c r="B1101" i="7" s="1"/>
  <c r="C1101" i="7" s="1"/>
  <c r="B1102" i="7" a="1"/>
  <c r="B1102" i="7" s="1"/>
  <c r="C1102" i="7" s="1"/>
  <c r="B1103" i="7" a="1"/>
  <c r="B1103" i="7" s="1"/>
  <c r="C1103" i="7" s="1"/>
  <c r="B1104" i="7" a="1"/>
  <c r="B1104" i="7" s="1"/>
  <c r="C1104" i="7" s="1"/>
  <c r="B1105" i="7" a="1"/>
  <c r="B1105" i="7" s="1"/>
  <c r="C1105" i="7" s="1"/>
  <c r="B1106" i="7" a="1"/>
  <c r="B1106" i="7" s="1"/>
  <c r="C1106" i="7" s="1"/>
  <c r="B1107" i="7" a="1"/>
  <c r="B1107" i="7" s="1"/>
  <c r="C1107" i="7" s="1"/>
  <c r="B1108" i="7" a="1"/>
  <c r="B1108" i="7" s="1"/>
  <c r="C1108" i="7" s="1"/>
  <c r="B1109" i="7" a="1"/>
  <c r="B1109" i="7" s="1"/>
  <c r="C1109" i="7" s="1"/>
  <c r="B1110" i="7" a="1"/>
  <c r="B1110" i="7" s="1"/>
  <c r="C1110" i="7" s="1"/>
  <c r="B1111" i="7" a="1"/>
  <c r="B1111" i="7" s="1"/>
  <c r="C1111" i="7" s="1"/>
  <c r="B1112" i="7" a="1"/>
  <c r="B1112" i="7" s="1"/>
  <c r="C1112" i="7" s="1"/>
  <c r="B1113" i="7" a="1"/>
  <c r="B1113" i="7" s="1"/>
  <c r="C1113" i="7" s="1"/>
  <c r="B1114" i="7" a="1"/>
  <c r="B1114" i="7" s="1"/>
  <c r="C1114" i="7" s="1"/>
  <c r="B1115" i="7" a="1"/>
  <c r="B1115" i="7" s="1"/>
  <c r="C1115" i="7" s="1"/>
  <c r="B1116" i="7" a="1"/>
  <c r="B1116" i="7" s="1"/>
  <c r="C1116" i="7" s="1"/>
  <c r="B1117" i="7" a="1"/>
  <c r="B1117" i="7" s="1"/>
  <c r="C1117" i="7" s="1"/>
  <c r="B1118" i="7" a="1"/>
  <c r="B1118" i="7" s="1"/>
  <c r="C1118" i="7" s="1"/>
  <c r="B1119" i="7" a="1"/>
  <c r="B1119" i="7" s="1"/>
  <c r="C1119" i="7" s="1"/>
  <c r="B1120" i="7" a="1"/>
  <c r="B1120" i="7" s="1"/>
  <c r="C1120" i="7" s="1"/>
  <c r="B1121" i="7" a="1"/>
  <c r="B1121" i="7" s="1"/>
  <c r="C1121" i="7" s="1"/>
  <c r="B1122" i="7" a="1"/>
  <c r="B1122" i="7" s="1"/>
  <c r="C1122" i="7" s="1"/>
  <c r="B1123" i="7" a="1"/>
  <c r="B1123" i="7" s="1"/>
  <c r="C1123" i="7" s="1"/>
  <c r="B1124" i="7" a="1"/>
  <c r="B1124" i="7" s="1"/>
  <c r="C1124" i="7" s="1"/>
  <c r="B1125" i="7" a="1"/>
  <c r="B1125" i="7" s="1"/>
  <c r="C1125" i="7" s="1"/>
  <c r="B1126" i="7" a="1"/>
  <c r="B1126" i="7" s="1"/>
  <c r="C1126" i="7" s="1"/>
  <c r="B1127" i="7" a="1"/>
  <c r="B1127" i="7" s="1"/>
  <c r="C1127" i="7" s="1"/>
  <c r="B1128" i="7" a="1"/>
  <c r="B1128" i="7" s="1"/>
  <c r="C1128" i="7" s="1"/>
  <c r="B1129" i="7" a="1"/>
  <c r="B1129" i="7" s="1"/>
  <c r="C1129" i="7" s="1"/>
  <c r="B1130" i="7" a="1"/>
  <c r="B1130" i="7" s="1"/>
  <c r="C1130" i="7" s="1"/>
  <c r="B1131" i="7" a="1"/>
  <c r="B1131" i="7" s="1"/>
  <c r="C1131" i="7" s="1"/>
  <c r="B1132" i="7" a="1"/>
  <c r="B1132" i="7" s="1"/>
  <c r="C1132" i="7" s="1"/>
  <c r="B1133" i="7" a="1"/>
  <c r="B1133" i="7" s="1"/>
  <c r="C1133" i="7" s="1"/>
  <c r="B1134" i="7" a="1"/>
  <c r="B1134" i="7" s="1"/>
  <c r="C1134" i="7" s="1"/>
  <c r="B1135" i="7" a="1"/>
  <c r="B1135" i="7"/>
  <c r="C1135" i="7" s="1"/>
  <c r="B1136" i="7" a="1"/>
  <c r="B1136" i="7" s="1"/>
  <c r="C1136" i="7" s="1"/>
  <c r="B1137" i="7" a="1"/>
  <c r="B1137" i="7" s="1"/>
  <c r="C1137" i="7" s="1"/>
  <c r="B1138" i="7" a="1"/>
  <c r="B1138" i="7" s="1"/>
  <c r="C1138" i="7" s="1"/>
  <c r="B1139" i="7" a="1"/>
  <c r="B1139" i="7" s="1"/>
  <c r="C1139" i="7" s="1"/>
  <c r="B1140" i="7" a="1"/>
  <c r="B1140" i="7" s="1"/>
  <c r="C1140" i="7" s="1"/>
  <c r="B1141" i="7" a="1"/>
  <c r="B1141" i="7" s="1"/>
  <c r="C1141" i="7" s="1"/>
  <c r="B1142" i="7" a="1"/>
  <c r="B1142" i="7" s="1"/>
  <c r="C1142" i="7" s="1"/>
  <c r="B1143" i="7" a="1"/>
  <c r="B1143" i="7" s="1"/>
  <c r="C1143" i="7" s="1"/>
  <c r="B1144" i="7" a="1"/>
  <c r="B1144" i="7" s="1"/>
  <c r="C1144" i="7" s="1"/>
  <c r="B1145" i="7" a="1"/>
  <c r="B1145" i="7" s="1"/>
  <c r="C1145" i="7" s="1"/>
  <c r="B1146" i="7" a="1"/>
  <c r="B1146" i="7" s="1"/>
  <c r="C1146" i="7" s="1"/>
  <c r="B1147" i="7" a="1"/>
  <c r="B1147" i="7" s="1"/>
  <c r="C1147" i="7" s="1"/>
  <c r="B1148" i="7" a="1"/>
  <c r="B1148" i="7" s="1"/>
  <c r="C1148" i="7" s="1"/>
  <c r="B1149" i="7" a="1"/>
  <c r="B1149" i="7" s="1"/>
  <c r="C1149" i="7" s="1"/>
  <c r="B1150" i="7" a="1"/>
  <c r="B1150" i="7" s="1"/>
  <c r="C1150" i="7" s="1"/>
  <c r="B1151" i="7" a="1"/>
  <c r="B1151" i="7" s="1"/>
  <c r="C1151" i="7" s="1"/>
  <c r="B1152" i="7" a="1"/>
  <c r="B1152" i="7" s="1"/>
  <c r="C1152" i="7" s="1"/>
  <c r="B1153" i="7" a="1"/>
  <c r="B1153" i="7" s="1"/>
  <c r="C1153" i="7" s="1"/>
  <c r="B1154" i="7" a="1"/>
  <c r="B1154" i="7" s="1"/>
  <c r="C1154" i="7" s="1"/>
  <c r="B1155" i="7" a="1"/>
  <c r="B1155" i="7" s="1"/>
  <c r="C1155" i="7" s="1"/>
  <c r="B1156" i="7" a="1"/>
  <c r="B1156" i="7" s="1"/>
  <c r="C1156" i="7" s="1"/>
  <c r="B1157" i="7" a="1"/>
  <c r="B1157" i="7" s="1"/>
  <c r="C1157" i="7" s="1"/>
  <c r="B1158" i="7" a="1"/>
  <c r="B1158" i="7" s="1"/>
  <c r="C1158" i="7" s="1"/>
  <c r="B1159" i="7" a="1"/>
  <c r="B1159" i="7" s="1"/>
  <c r="C1159" i="7" s="1"/>
  <c r="B1160" i="7" a="1"/>
  <c r="B1160" i="7" s="1"/>
  <c r="C1160" i="7" s="1"/>
  <c r="B1161" i="7" a="1"/>
  <c r="B1161" i="7" s="1"/>
  <c r="C1161" i="7" s="1"/>
  <c r="B1162" i="7" a="1"/>
  <c r="B1162" i="7" s="1"/>
  <c r="C1162" i="7" s="1"/>
  <c r="B1163" i="7" a="1"/>
  <c r="B1163" i="7" s="1"/>
  <c r="C1163" i="7" s="1"/>
  <c r="B1164" i="7" a="1"/>
  <c r="B1164" i="7" s="1"/>
  <c r="C1164" i="7" s="1"/>
  <c r="B1165" i="7" a="1"/>
  <c r="B1165" i="7" s="1"/>
  <c r="C1165" i="7" s="1"/>
  <c r="B1166" i="7" a="1"/>
  <c r="B1166" i="7" s="1"/>
  <c r="C1166" i="7" s="1"/>
  <c r="B1167" i="7" a="1"/>
  <c r="B1167" i="7" s="1"/>
  <c r="C1167" i="7" s="1"/>
  <c r="B1168" i="7" a="1"/>
  <c r="B1168" i="7" s="1"/>
  <c r="C1168" i="7" s="1"/>
  <c r="B1169" i="7" a="1"/>
  <c r="B1169" i="7" s="1"/>
  <c r="C1169" i="7" s="1"/>
  <c r="B1170" i="7" a="1"/>
  <c r="B1170" i="7" s="1"/>
  <c r="C1170" i="7" s="1"/>
  <c r="B1171" i="7" a="1"/>
  <c r="B1171" i="7" s="1"/>
  <c r="C1171" i="7" s="1"/>
  <c r="B1172" i="7" a="1"/>
  <c r="B1172" i="7" s="1"/>
  <c r="C1172" i="7" s="1"/>
  <c r="B1173" i="7" a="1"/>
  <c r="B1173" i="7" s="1"/>
  <c r="C1173" i="7" s="1"/>
  <c r="B1174" i="7" a="1"/>
  <c r="B1174" i="7" s="1"/>
  <c r="C1174" i="7" s="1"/>
  <c r="B1175" i="7" a="1"/>
  <c r="B1175" i="7" s="1"/>
  <c r="C1175" i="7" s="1"/>
  <c r="B1176" i="7" a="1"/>
  <c r="B1176" i="7" s="1"/>
  <c r="C1176" i="7" s="1"/>
  <c r="B1177" i="7" a="1"/>
  <c r="B1177" i="7" s="1"/>
  <c r="C1177" i="7" s="1"/>
  <c r="B1178" i="7" a="1"/>
  <c r="B1178" i="7" s="1"/>
  <c r="C1178" i="7" s="1"/>
  <c r="B1179" i="7" a="1"/>
  <c r="B1179" i="7" s="1"/>
  <c r="C1179" i="7" s="1"/>
  <c r="B1180" i="7" a="1"/>
  <c r="B1180" i="7" s="1"/>
  <c r="C1180" i="7" s="1"/>
  <c r="B1181" i="7" a="1"/>
  <c r="B1181" i="7" s="1"/>
  <c r="C1181" i="7" s="1"/>
  <c r="B1182" i="7" a="1"/>
  <c r="B1182" i="7" s="1"/>
  <c r="C1182" i="7" s="1"/>
  <c r="B1183" i="7" a="1"/>
  <c r="B1183" i="7" s="1"/>
  <c r="C1183" i="7" s="1"/>
  <c r="B1184" i="7" a="1"/>
  <c r="B1184" i="7" s="1"/>
  <c r="C1184" i="7" s="1"/>
  <c r="B1185" i="7" a="1"/>
  <c r="B1185" i="7" s="1"/>
  <c r="C1185" i="7" s="1"/>
  <c r="B1186" i="7" a="1"/>
  <c r="B1186" i="7" s="1"/>
  <c r="C1186" i="7" s="1"/>
  <c r="B1187" i="7" a="1"/>
  <c r="B1187" i="7" s="1"/>
  <c r="C1187" i="7" s="1"/>
  <c r="B1188" i="7" a="1"/>
  <c r="B1188" i="7" s="1"/>
  <c r="C1188" i="7" s="1"/>
  <c r="B1189" i="7" a="1"/>
  <c r="B1189" i="7" s="1"/>
  <c r="C1189" i="7" s="1"/>
  <c r="B1190" i="7" a="1"/>
  <c r="B1190" i="7" s="1"/>
  <c r="C1190" i="7" s="1"/>
  <c r="B1191" i="7" a="1"/>
  <c r="B1191" i="7" s="1"/>
  <c r="C1191" i="7" s="1"/>
  <c r="B1192" i="7" a="1"/>
  <c r="B1192" i="7" s="1"/>
  <c r="C1192" i="7" s="1"/>
  <c r="B1193" i="7" a="1"/>
  <c r="B1193" i="7" s="1"/>
  <c r="C1193" i="7" s="1"/>
  <c r="B1194" i="7" a="1"/>
  <c r="B1194" i="7" s="1"/>
  <c r="C1194" i="7" s="1"/>
  <c r="B1195" i="7" a="1"/>
  <c r="B1195" i="7" s="1"/>
  <c r="C1195" i="7" s="1"/>
  <c r="B1196" i="7" a="1"/>
  <c r="B1196" i="7" s="1"/>
  <c r="C1196" i="7" s="1"/>
  <c r="B1197" i="7" a="1"/>
  <c r="B1197" i="7" s="1"/>
  <c r="C1197" i="7" s="1"/>
  <c r="B1198" i="7" a="1"/>
  <c r="B1198" i="7" s="1"/>
  <c r="C1198" i="7" s="1"/>
  <c r="B1199" i="7" a="1"/>
  <c r="B1199" i="7" s="1"/>
  <c r="C1199" i="7" s="1"/>
  <c r="B1200" i="7" a="1"/>
  <c r="B1200" i="7" s="1"/>
  <c r="C1200" i="7" s="1"/>
  <c r="B1201" i="7" a="1"/>
  <c r="B1201" i="7" s="1"/>
  <c r="C1201" i="7" s="1"/>
  <c r="B1202" i="7" a="1"/>
  <c r="B1202" i="7" s="1"/>
  <c r="C1202" i="7" s="1"/>
  <c r="B1203" i="7" a="1"/>
  <c r="B1203" i="7" s="1"/>
  <c r="C1203" i="7" s="1"/>
  <c r="B1204" i="7" a="1"/>
  <c r="B1204" i="7" s="1"/>
  <c r="C1204" i="7" s="1"/>
  <c r="B1205" i="7" a="1"/>
  <c r="B1205" i="7" s="1"/>
  <c r="C1205" i="7" s="1"/>
  <c r="B1206" i="7" a="1"/>
  <c r="B1206" i="7" s="1"/>
  <c r="C1206" i="7" s="1"/>
  <c r="B1207" i="7" a="1"/>
  <c r="B1207" i="7" s="1"/>
  <c r="C1207" i="7" s="1"/>
  <c r="B1208" i="7" a="1"/>
  <c r="B1208" i="7" s="1"/>
  <c r="C1208" i="7" s="1"/>
  <c r="B1209" i="7" a="1"/>
  <c r="B1209" i="7" s="1"/>
  <c r="C1209" i="7" s="1"/>
  <c r="B1210" i="7" a="1"/>
  <c r="B1210" i="7" s="1"/>
  <c r="C1210" i="7" s="1"/>
  <c r="B1211" i="7" a="1"/>
  <c r="B1211" i="7" s="1"/>
  <c r="C1211" i="7" s="1"/>
  <c r="B1212" i="7" a="1"/>
  <c r="B1212" i="7" s="1"/>
  <c r="C1212" i="7" s="1"/>
  <c r="B1213" i="7" a="1"/>
  <c r="B1213" i="7" s="1"/>
  <c r="C1213" i="7" s="1"/>
  <c r="B1214" i="7" a="1"/>
  <c r="B1214" i="7" s="1"/>
  <c r="C1214" i="7" s="1"/>
  <c r="B1215" i="7" a="1"/>
  <c r="B1215" i="7" s="1"/>
  <c r="C1215" i="7" s="1"/>
  <c r="B1216" i="7" a="1"/>
  <c r="B1216" i="7" s="1"/>
  <c r="C1216" i="7" s="1"/>
  <c r="B1217" i="7" a="1"/>
  <c r="B1217" i="7" s="1"/>
  <c r="C1217" i="7" s="1"/>
  <c r="B1218" i="7" a="1"/>
  <c r="B1218" i="7" s="1"/>
  <c r="C1218" i="7" s="1"/>
  <c r="B1219" i="7" a="1"/>
  <c r="B1219" i="7" s="1"/>
  <c r="C1219" i="7" s="1"/>
  <c r="B1220" i="7" a="1"/>
  <c r="B1220" i="7" s="1"/>
  <c r="C1220" i="7" s="1"/>
  <c r="B1221" i="7" a="1"/>
  <c r="B1221" i="7" s="1"/>
  <c r="C1221" i="7" s="1"/>
  <c r="B1222" i="7" a="1"/>
  <c r="B1222" i="7" s="1"/>
  <c r="C1222" i="7" s="1"/>
  <c r="B1223" i="7" a="1"/>
  <c r="B1223" i="7" s="1"/>
  <c r="C1223" i="7" s="1"/>
  <c r="B1224" i="7" a="1"/>
  <c r="B1224" i="7" s="1"/>
  <c r="C1224" i="7" s="1"/>
  <c r="B1225" i="7" a="1"/>
  <c r="B1225" i="7" s="1"/>
  <c r="C1225" i="7" s="1"/>
  <c r="B1226" i="7" a="1"/>
  <c r="B1226" i="7" s="1"/>
  <c r="C1226" i="7" s="1"/>
  <c r="B1227" i="7" a="1"/>
  <c r="B1227" i="7" s="1"/>
  <c r="C1227" i="7" s="1"/>
  <c r="B1228" i="7" a="1"/>
  <c r="B1228" i="7" s="1"/>
  <c r="C1228" i="7" s="1"/>
  <c r="B1229" i="7" a="1"/>
  <c r="B1229" i="7" s="1"/>
  <c r="C1229" i="7" s="1"/>
  <c r="B1230" i="7" a="1"/>
  <c r="B1230" i="7" s="1"/>
  <c r="C1230" i="7" s="1"/>
  <c r="B1231" i="7" a="1"/>
  <c r="B1231" i="7"/>
  <c r="C1231" i="7" s="1"/>
  <c r="B1232" i="7" a="1"/>
  <c r="B1232" i="7" s="1"/>
  <c r="C1232" i="7" s="1"/>
  <c r="B1233" i="7" a="1"/>
  <c r="B1233" i="7" s="1"/>
  <c r="C1233" i="7" s="1"/>
  <c r="B1234" i="7" a="1"/>
  <c r="B1234" i="7" s="1"/>
  <c r="C1234" i="7" s="1"/>
  <c r="B1235" i="7" a="1"/>
  <c r="B1235" i="7" s="1"/>
  <c r="C1235" i="7" s="1"/>
  <c r="B1236" i="7" a="1"/>
  <c r="B1236" i="7" s="1"/>
  <c r="C1236" i="7" s="1"/>
  <c r="B1237" i="7" a="1"/>
  <c r="B1237" i="7" s="1"/>
  <c r="C1237" i="7" s="1"/>
  <c r="B1238" i="7" a="1"/>
  <c r="B1238" i="7" s="1"/>
  <c r="C1238" i="7" s="1"/>
  <c r="B1239" i="7" a="1"/>
  <c r="B1239" i="7" s="1"/>
  <c r="C1239" i="7" s="1"/>
  <c r="B1240" i="7" a="1"/>
  <c r="B1240" i="7" s="1"/>
  <c r="C1240" i="7" s="1"/>
  <c r="B1241" i="7" a="1"/>
  <c r="B1241" i="7" s="1"/>
  <c r="C1241" i="7" s="1"/>
  <c r="B1242" i="7" a="1"/>
  <c r="B1242" i="7" s="1"/>
  <c r="C1242" i="7" s="1"/>
  <c r="B1243" i="7" a="1"/>
  <c r="B1243" i="7" s="1"/>
  <c r="C1243" i="7" s="1"/>
  <c r="B1244" i="7" a="1"/>
  <c r="B1244" i="7" s="1"/>
  <c r="C1244" i="7" s="1"/>
  <c r="B1245" i="7" a="1"/>
  <c r="B1245" i="7" s="1"/>
  <c r="C1245" i="7" s="1"/>
  <c r="B1246" i="7" a="1"/>
  <c r="B1246" i="7" s="1"/>
  <c r="C1246" i="7" s="1"/>
  <c r="B1247" i="7" a="1"/>
  <c r="B1247" i="7" s="1"/>
  <c r="C1247" i="7" s="1"/>
  <c r="B1248" i="7" a="1"/>
  <c r="B1248" i="7" s="1"/>
  <c r="C1248" i="7" s="1"/>
  <c r="B1249" i="7" a="1"/>
  <c r="B1249" i="7" s="1"/>
  <c r="C1249" i="7" s="1"/>
  <c r="B1250" i="7" a="1"/>
  <c r="B1250" i="7" s="1"/>
  <c r="C1250" i="7" s="1"/>
  <c r="B1251" i="7" a="1"/>
  <c r="B1251" i="7" s="1"/>
  <c r="C1251" i="7" s="1"/>
  <c r="B1252" i="7" a="1"/>
  <c r="B1252" i="7" s="1"/>
  <c r="C1252" i="7" s="1"/>
  <c r="B1253" i="7" a="1"/>
  <c r="B1253" i="7" s="1"/>
  <c r="C1253" i="7" s="1"/>
  <c r="B1254" i="7" a="1"/>
  <c r="B1254" i="7" s="1"/>
  <c r="C1254" i="7" s="1"/>
  <c r="B1255" i="7" a="1"/>
  <c r="B1255" i="7" s="1"/>
  <c r="C1255" i="7" s="1"/>
  <c r="B1256" i="7" a="1"/>
  <c r="B1256" i="7" s="1"/>
  <c r="C1256" i="7" s="1"/>
  <c r="B1257" i="7" a="1"/>
  <c r="B1257" i="7" s="1"/>
  <c r="C1257" i="7" s="1"/>
  <c r="B1258" i="7" a="1"/>
  <c r="B1258" i="7" s="1"/>
  <c r="C1258" i="7" s="1"/>
  <c r="B1259" i="7" a="1"/>
  <c r="B1259" i="7" s="1"/>
  <c r="C1259" i="7" s="1"/>
  <c r="B1260" i="7" a="1"/>
  <c r="B1260" i="7" s="1"/>
  <c r="C1260" i="7" s="1"/>
  <c r="B1261" i="7" a="1"/>
  <c r="B1261" i="7" s="1"/>
  <c r="C1261" i="7" s="1"/>
  <c r="B1262" i="7" a="1"/>
  <c r="B1262" i="7" s="1"/>
  <c r="C1262" i="7" s="1"/>
  <c r="B1263" i="7" a="1"/>
  <c r="B1263" i="7" s="1"/>
  <c r="C1263" i="7" s="1"/>
  <c r="B1264" i="7" a="1"/>
  <c r="B1264" i="7" s="1"/>
  <c r="C1264" i="7" s="1"/>
  <c r="B1265" i="7" a="1"/>
  <c r="B1265" i="7" s="1"/>
  <c r="C1265" i="7" s="1"/>
  <c r="B1266" i="7" a="1"/>
  <c r="B1266" i="7" s="1"/>
  <c r="C1266" i="7" s="1"/>
  <c r="B1267" i="7" a="1"/>
  <c r="B1267" i="7" s="1"/>
  <c r="C1267" i="7" s="1"/>
  <c r="B1268" i="7" a="1"/>
  <c r="B1268" i="7" s="1"/>
  <c r="C1268" i="7" s="1"/>
  <c r="B1269" i="7" a="1"/>
  <c r="B1269" i="7" s="1"/>
  <c r="C1269" i="7" s="1"/>
  <c r="B1270" i="7" a="1"/>
  <c r="B1270" i="7" s="1"/>
  <c r="C1270" i="7" s="1"/>
  <c r="B1271" i="7" a="1"/>
  <c r="B1271" i="7" s="1"/>
  <c r="C1271" i="7" s="1"/>
  <c r="B1272" i="7" a="1"/>
  <c r="B1272" i="7" s="1"/>
  <c r="C1272" i="7" s="1"/>
  <c r="B1273" i="7" a="1"/>
  <c r="B1273" i="7" s="1"/>
  <c r="C1273" i="7" s="1"/>
  <c r="B1274" i="7" a="1"/>
  <c r="B1274" i="7" s="1"/>
  <c r="C1274" i="7" s="1"/>
  <c r="B1275" i="7" a="1"/>
  <c r="B1275" i="7" s="1"/>
  <c r="C1275" i="7" s="1"/>
  <c r="B1276" i="7" a="1"/>
  <c r="B1276" i="7" s="1"/>
  <c r="C1276" i="7" s="1"/>
  <c r="B1277" i="7" a="1"/>
  <c r="B1277" i="7" s="1"/>
  <c r="C1277" i="7" s="1"/>
  <c r="B1278" i="7" a="1"/>
  <c r="B1278" i="7" s="1"/>
  <c r="C1278" i="7" s="1"/>
  <c r="B1279" i="7" a="1"/>
  <c r="B1279" i="7"/>
  <c r="C1279" i="7" s="1"/>
  <c r="B1280" i="7" a="1"/>
  <c r="B1280" i="7" s="1"/>
  <c r="C1280" i="7" s="1"/>
  <c r="B1281" i="7" a="1"/>
  <c r="B1281" i="7" s="1"/>
  <c r="C1281" i="7" s="1"/>
  <c r="B1282" i="7" a="1"/>
  <c r="B1282" i="7" s="1"/>
  <c r="C1282" i="7" s="1"/>
  <c r="B1283" i="7" a="1"/>
  <c r="B1283" i="7" s="1"/>
  <c r="C1283" i="7" s="1"/>
  <c r="B1284" i="7" a="1"/>
  <c r="B1284" i="7" s="1"/>
  <c r="C1284" i="7" s="1"/>
  <c r="B1285" i="7" a="1"/>
  <c r="B1285" i="7" s="1"/>
  <c r="C1285" i="7" s="1"/>
  <c r="B1286" i="7" a="1"/>
  <c r="B1286" i="7" s="1"/>
  <c r="C1286" i="7" s="1"/>
  <c r="B1287" i="7" a="1"/>
  <c r="B1287" i="7" s="1"/>
  <c r="C1287" i="7" s="1"/>
  <c r="B1288" i="7" a="1"/>
  <c r="B1288" i="7" s="1"/>
  <c r="C1288" i="7" s="1"/>
  <c r="B1289" i="7" a="1"/>
  <c r="B1289" i="7" s="1"/>
  <c r="C1289" i="7" s="1"/>
  <c r="B1290" i="7" a="1"/>
  <c r="B1290" i="7" s="1"/>
  <c r="C1290" i="7" s="1"/>
  <c r="B1291" i="7" a="1"/>
  <c r="B1291" i="7" s="1"/>
  <c r="C1291" i="7" s="1"/>
  <c r="B1292" i="7" a="1"/>
  <c r="B1292" i="7" s="1"/>
  <c r="C1292" i="7" s="1"/>
  <c r="B1293" i="7" a="1"/>
  <c r="B1293" i="7" s="1"/>
  <c r="C1293" i="7" s="1"/>
  <c r="B1294" i="7" a="1"/>
  <c r="B1294" i="7" s="1"/>
  <c r="C1294" i="7" s="1"/>
  <c r="B1295" i="7" a="1"/>
  <c r="B1295" i="7" s="1"/>
  <c r="C1295" i="7" s="1"/>
  <c r="B1296" i="7" a="1"/>
  <c r="B1296" i="7" s="1"/>
  <c r="C1296" i="7" s="1"/>
  <c r="B1297" i="7" a="1"/>
  <c r="B1297" i="7" s="1"/>
  <c r="C1297" i="7" s="1"/>
  <c r="B1298" i="7" a="1"/>
  <c r="B1298" i="7" s="1"/>
  <c r="C1298" i="7" s="1"/>
  <c r="B1299" i="7" a="1"/>
  <c r="B1299" i="7" s="1"/>
  <c r="C1299" i="7" s="1"/>
  <c r="B1300" i="7" a="1"/>
  <c r="B1300" i="7" s="1"/>
  <c r="C1300" i="7" s="1"/>
  <c r="B1301" i="7" a="1"/>
  <c r="B1301" i="7" s="1"/>
  <c r="C1301" i="7" s="1"/>
  <c r="B1302" i="7" a="1"/>
  <c r="B1302" i="7" s="1"/>
  <c r="C1302" i="7" s="1"/>
  <c r="B1303" i="7" a="1"/>
  <c r="B1303" i="7" s="1"/>
  <c r="C1303" i="7" s="1"/>
  <c r="B1304" i="7" a="1"/>
  <c r="B1304" i="7" s="1"/>
  <c r="C1304" i="7" s="1"/>
  <c r="B1305" i="7" a="1"/>
  <c r="B1305" i="7" s="1"/>
  <c r="C1305" i="7" s="1"/>
  <c r="B1306" i="7" a="1"/>
  <c r="B1306" i="7" s="1"/>
  <c r="C1306" i="7" s="1"/>
  <c r="B1307" i="7" a="1"/>
  <c r="B1307" i="7" s="1"/>
  <c r="C1307" i="7" s="1"/>
  <c r="B1308" i="7" a="1"/>
  <c r="B1308" i="7" s="1"/>
  <c r="C1308" i="7" s="1"/>
  <c r="B1309" i="7" a="1"/>
  <c r="B1309" i="7" s="1"/>
  <c r="C1309" i="7" s="1"/>
  <c r="B1310" i="7" a="1"/>
  <c r="B1310" i="7" s="1"/>
  <c r="C1310" i="7" s="1"/>
  <c r="B1311" i="7" a="1"/>
  <c r="B1311" i="7" s="1"/>
  <c r="C1311" i="7" s="1"/>
  <c r="B1312" i="7" a="1"/>
  <c r="B1312" i="7" s="1"/>
  <c r="C1312" i="7" s="1"/>
  <c r="B1313" i="7" a="1"/>
  <c r="B1313" i="7" s="1"/>
  <c r="C1313" i="7" s="1"/>
  <c r="B1314" i="7" a="1"/>
  <c r="B1314" i="7" s="1"/>
  <c r="C1314" i="7" s="1"/>
  <c r="B1315" i="7" a="1"/>
  <c r="B1315" i="7" s="1"/>
  <c r="C1315" i="7" s="1"/>
  <c r="B1316" i="7" a="1"/>
  <c r="B1316" i="7" s="1"/>
  <c r="C1316" i="7" s="1"/>
  <c r="B1317" i="7" a="1"/>
  <c r="B1317" i="7" s="1"/>
  <c r="C1317" i="7" s="1"/>
  <c r="B1318" i="7" a="1"/>
  <c r="B1318" i="7" s="1"/>
  <c r="C1318" i="7" s="1"/>
  <c r="B1319" i="7" a="1"/>
  <c r="B1319" i="7" s="1"/>
  <c r="C1319" i="7" s="1"/>
  <c r="B1320" i="7" a="1"/>
  <c r="B1320" i="7" s="1"/>
  <c r="C1320" i="7" s="1"/>
  <c r="B1321" i="7" a="1"/>
  <c r="B1321" i="7" s="1"/>
  <c r="C1321" i="7" s="1"/>
  <c r="B1322" i="7" a="1"/>
  <c r="B1322" i="7" s="1"/>
  <c r="C1322" i="7" s="1"/>
  <c r="B1323" i="7" a="1"/>
  <c r="B1323" i="7" s="1"/>
  <c r="C1323" i="7" s="1"/>
  <c r="B1324" i="7" a="1"/>
  <c r="B1324" i="7" s="1"/>
  <c r="C1324" i="7" s="1"/>
  <c r="B1325" i="7" a="1"/>
  <c r="B1325" i="7" s="1"/>
  <c r="C1325" i="7" s="1"/>
  <c r="B1326" i="7" a="1"/>
  <c r="B1326" i="7" s="1"/>
  <c r="C1326" i="7" s="1"/>
  <c r="B1327" i="7" a="1"/>
  <c r="B1327" i="7" s="1"/>
  <c r="C1327" i="7" s="1"/>
  <c r="B1328" i="7" a="1"/>
  <c r="B1328" i="7" s="1"/>
  <c r="C1328" i="7" s="1"/>
  <c r="B1329" i="7" a="1"/>
  <c r="B1329" i="7" s="1"/>
  <c r="C1329" i="7" s="1"/>
  <c r="B1330" i="7" a="1"/>
  <c r="B1330" i="7" s="1"/>
  <c r="C1330" i="7" s="1"/>
  <c r="B1331" i="7" a="1"/>
  <c r="B1331" i="7" s="1"/>
  <c r="C1331" i="7" s="1"/>
  <c r="B1332" i="7" a="1"/>
  <c r="B1332" i="7" s="1"/>
  <c r="C1332" i="7" s="1"/>
  <c r="B1333" i="7" a="1"/>
  <c r="B1333" i="7" s="1"/>
  <c r="C1333" i="7" s="1"/>
  <c r="B1334" i="7" a="1"/>
  <c r="B1334" i="7" s="1"/>
  <c r="C1334" i="7" s="1"/>
  <c r="B1335" i="7" a="1"/>
  <c r="B1335" i="7" s="1"/>
  <c r="C1335" i="7" s="1"/>
  <c r="B1336" i="7" a="1"/>
  <c r="B1336" i="7" s="1"/>
  <c r="C1336" i="7" s="1"/>
  <c r="B1337" i="7" a="1"/>
  <c r="B1337" i="7" s="1"/>
  <c r="C1337" i="7" s="1"/>
  <c r="B1338" i="7" a="1"/>
  <c r="B1338" i="7" s="1"/>
  <c r="C1338" i="7" s="1"/>
  <c r="B1339" i="7" a="1"/>
  <c r="B1339" i="7" s="1"/>
  <c r="C1339" i="7" s="1"/>
  <c r="B1340" i="7" a="1"/>
  <c r="B1340" i="7" s="1"/>
  <c r="C1340" i="7" s="1"/>
  <c r="B1341" i="7" a="1"/>
  <c r="B1341" i="7" s="1"/>
  <c r="C1341" i="7" s="1"/>
  <c r="B1342" i="7" a="1"/>
  <c r="B1342" i="7" s="1"/>
  <c r="C1342" i="7" s="1"/>
  <c r="B1343" i="7" a="1"/>
  <c r="B1343" i="7" s="1"/>
  <c r="C1343" i="7" s="1"/>
  <c r="B1344" i="7" a="1"/>
  <c r="B1344" i="7" s="1"/>
  <c r="C1344" i="7" s="1"/>
  <c r="B1345" i="7" a="1"/>
  <c r="B1345" i="7" s="1"/>
  <c r="C1345" i="7" s="1"/>
  <c r="B1346" i="7" a="1"/>
  <c r="B1346" i="7" s="1"/>
  <c r="C1346" i="7" s="1"/>
  <c r="B1347" i="7" a="1"/>
  <c r="B1347" i="7" s="1"/>
  <c r="C1347" i="7" s="1"/>
  <c r="B1348" i="7" a="1"/>
  <c r="B1348" i="7" s="1"/>
  <c r="C1348" i="7" s="1"/>
  <c r="B1349" i="7" a="1"/>
  <c r="B1349" i="7" s="1"/>
  <c r="C1349" i="7" s="1"/>
  <c r="B1350" i="7" a="1"/>
  <c r="B1350" i="7" s="1"/>
  <c r="C1350" i="7" s="1"/>
  <c r="B1351" i="7" a="1"/>
  <c r="B1351" i="7" s="1"/>
  <c r="C1351" i="7" s="1"/>
  <c r="B1352" i="7" a="1"/>
  <c r="B1352" i="7" s="1"/>
  <c r="C1352" i="7" s="1"/>
  <c r="B1353" i="7" a="1"/>
  <c r="B1353" i="7" s="1"/>
  <c r="C1353" i="7" s="1"/>
  <c r="B1354" i="7" a="1"/>
  <c r="B1354" i="7" s="1"/>
  <c r="C1354" i="7" s="1"/>
  <c r="B1355" i="7" a="1"/>
  <c r="B1355" i="7" s="1"/>
  <c r="C1355" i="7" s="1"/>
  <c r="B1356" i="7" a="1"/>
  <c r="B1356" i="7" s="1"/>
  <c r="C1356" i="7" s="1"/>
  <c r="B1357" i="7" a="1"/>
  <c r="B1357" i="7" s="1"/>
  <c r="C1357" i="7" s="1"/>
  <c r="B1358" i="7" a="1"/>
  <c r="B1358" i="7" s="1"/>
  <c r="C1358" i="7" s="1"/>
  <c r="B1359" i="7" a="1"/>
  <c r="B1359" i="7" s="1"/>
  <c r="C1359" i="7" s="1"/>
  <c r="B1360" i="7" a="1"/>
  <c r="B1360" i="7" s="1"/>
  <c r="C1360" i="7" s="1"/>
  <c r="B1361" i="7" a="1"/>
  <c r="B1361" i="7" s="1"/>
  <c r="C1361" i="7" s="1"/>
  <c r="B1362" i="7" a="1"/>
  <c r="B1362" i="7" s="1"/>
  <c r="C1362" i="7" s="1"/>
  <c r="B1363" i="7" a="1"/>
  <c r="B1363" i="7" s="1"/>
  <c r="C1363" i="7" s="1"/>
  <c r="B1364" i="7" a="1"/>
  <c r="B1364" i="7" s="1"/>
  <c r="C1364" i="7" s="1"/>
  <c r="B1365" i="7" a="1"/>
  <c r="B1365" i="7" s="1"/>
  <c r="C1365" i="7" s="1"/>
  <c r="B1366" i="7" a="1"/>
  <c r="B1366" i="7" s="1"/>
  <c r="C1366" i="7" s="1"/>
  <c r="B1367" i="7" a="1"/>
  <c r="B1367" i="7" s="1"/>
  <c r="C1367" i="7" s="1"/>
  <c r="B1368" i="7" a="1"/>
  <c r="B1368" i="7" s="1"/>
  <c r="C1368" i="7" s="1"/>
  <c r="B1369" i="7" a="1"/>
  <c r="B1369" i="7" s="1"/>
  <c r="C1369" i="7" s="1"/>
  <c r="B1370" i="7" a="1"/>
  <c r="B1370" i="7" s="1"/>
  <c r="C1370" i="7" s="1"/>
  <c r="B1371" i="7" a="1"/>
  <c r="B1371" i="7" s="1"/>
  <c r="C1371" i="7" s="1"/>
  <c r="B1372" i="7" a="1"/>
  <c r="B1372" i="7" s="1"/>
  <c r="C1372" i="7" s="1"/>
  <c r="B1373" i="7" a="1"/>
  <c r="B1373" i="7" s="1"/>
  <c r="C1373" i="7" s="1"/>
  <c r="B1374" i="7" a="1"/>
  <c r="B1374" i="7" s="1"/>
  <c r="C1374" i="7" s="1"/>
  <c r="B1375" i="7" a="1"/>
  <c r="B1375" i="7"/>
  <c r="C1375" i="7" s="1"/>
  <c r="B1376" i="7" a="1"/>
  <c r="B1376" i="7" s="1"/>
  <c r="C1376" i="7" s="1"/>
  <c r="B1377" i="7" a="1"/>
  <c r="B1377" i="7" s="1"/>
  <c r="C1377" i="7" s="1"/>
  <c r="B1378" i="7" a="1"/>
  <c r="B1378" i="7" s="1"/>
  <c r="C1378" i="7" s="1"/>
  <c r="B1379" i="7" a="1"/>
  <c r="B1379" i="7" s="1"/>
  <c r="C1379" i="7" s="1"/>
  <c r="B1380" i="7" a="1"/>
  <c r="B1380" i="7" s="1"/>
  <c r="C1380" i="7" s="1"/>
  <c r="B1381" i="7" a="1"/>
  <c r="B1381" i="7" s="1"/>
  <c r="C1381" i="7" s="1"/>
  <c r="B1382" i="7" a="1"/>
  <c r="B1382" i="7" s="1"/>
  <c r="C1382" i="7" s="1"/>
  <c r="B1383" i="7" a="1"/>
  <c r="B1383" i="7" s="1"/>
  <c r="C1383" i="7" s="1"/>
  <c r="B1384" i="7" a="1"/>
  <c r="B1384" i="7" s="1"/>
  <c r="C1384" i="7" s="1"/>
  <c r="B1385" i="7" a="1"/>
  <c r="B1385" i="7" s="1"/>
  <c r="C1385" i="7" s="1"/>
  <c r="B1386" i="7" a="1"/>
  <c r="B1386" i="7" s="1"/>
  <c r="C1386" i="7" s="1"/>
  <c r="B1387" i="7" a="1"/>
  <c r="B1387" i="7" s="1"/>
  <c r="C1387" i="7" s="1"/>
  <c r="B1388" i="7" a="1"/>
  <c r="B1388" i="7" s="1"/>
  <c r="C1388" i="7" s="1"/>
  <c r="B1389" i="7" a="1"/>
  <c r="B1389" i="7" s="1"/>
  <c r="C1389" i="7" s="1"/>
  <c r="B1390" i="7" a="1"/>
  <c r="B1390" i="7" s="1"/>
  <c r="C1390" i="7" s="1"/>
  <c r="B1391" i="7" a="1"/>
  <c r="B1391" i="7" s="1"/>
  <c r="C1391" i="7" s="1"/>
  <c r="B1392" i="7" a="1"/>
  <c r="B1392" i="7" s="1"/>
  <c r="C1392" i="7" s="1"/>
  <c r="B1393" i="7" a="1"/>
  <c r="B1393" i="7" s="1"/>
  <c r="C1393" i="7" s="1"/>
  <c r="B1394" i="7" a="1"/>
  <c r="B1394" i="7" s="1"/>
  <c r="C1394" i="7" s="1"/>
  <c r="B1395" i="7" a="1"/>
  <c r="B1395" i="7" s="1"/>
  <c r="C1395" i="7" s="1"/>
  <c r="B1396" i="7" a="1"/>
  <c r="B1396" i="7" s="1"/>
  <c r="C1396" i="7" s="1"/>
  <c r="B1397" i="7" a="1"/>
  <c r="B1397" i="7" s="1"/>
  <c r="C1397" i="7" s="1"/>
  <c r="B1398" i="7" a="1"/>
  <c r="B1398" i="7" s="1"/>
  <c r="C1398" i="7" s="1"/>
  <c r="B1399" i="7" a="1"/>
  <c r="B1399" i="7" s="1"/>
  <c r="C1399" i="7" s="1"/>
  <c r="B1400" i="7" a="1"/>
  <c r="B1400" i="7" s="1"/>
  <c r="C1400" i="7" s="1"/>
  <c r="B1401" i="7" a="1"/>
  <c r="B1401" i="7" s="1"/>
  <c r="C1401" i="7" s="1"/>
  <c r="B1402" i="7" a="1"/>
  <c r="B1402" i="7" s="1"/>
  <c r="C1402" i="7" s="1"/>
  <c r="B1403" i="7" a="1"/>
  <c r="B1403" i="7" s="1"/>
  <c r="C1403" i="7" s="1"/>
  <c r="B1404" i="7" a="1"/>
  <c r="B1404" i="7" s="1"/>
  <c r="C1404" i="7" s="1"/>
  <c r="B1405" i="7" a="1"/>
  <c r="B1405" i="7" s="1"/>
  <c r="C1405" i="7" s="1"/>
  <c r="B1406" i="7" a="1"/>
  <c r="B1406" i="7" s="1"/>
  <c r="C1406" i="7" s="1"/>
  <c r="B1407" i="7" a="1"/>
  <c r="B1407" i="7" s="1"/>
  <c r="C1407" i="7" s="1"/>
  <c r="B1408" i="7" a="1"/>
  <c r="B1408" i="7" s="1"/>
  <c r="C1408" i="7" s="1"/>
  <c r="B1409" i="7" a="1"/>
  <c r="B1409" i="7" s="1"/>
  <c r="C1409" i="7" s="1"/>
  <c r="B1410" i="7" a="1"/>
  <c r="B1410" i="7" s="1"/>
  <c r="C1410" i="7" s="1"/>
  <c r="B1411" i="7" a="1"/>
  <c r="B1411" i="7" s="1"/>
  <c r="C1411" i="7" s="1"/>
  <c r="B1412" i="7" a="1"/>
  <c r="B1412" i="7" s="1"/>
  <c r="C1412" i="7" s="1"/>
  <c r="B1413" i="7" a="1"/>
  <c r="B1413" i="7" s="1"/>
  <c r="C1413" i="7" s="1"/>
  <c r="B1414" i="7" a="1"/>
  <c r="B1414" i="7" s="1"/>
  <c r="C1414" i="7" s="1"/>
  <c r="B1415" i="7" a="1"/>
  <c r="B1415" i="7" s="1"/>
  <c r="C1415" i="7" s="1"/>
  <c r="B1416" i="7" a="1"/>
  <c r="B1416" i="7" s="1"/>
  <c r="C1416" i="7" s="1"/>
  <c r="B1417" i="7" a="1"/>
  <c r="B1417" i="7" s="1"/>
  <c r="C1417" i="7" s="1"/>
  <c r="B1418" i="7" a="1"/>
  <c r="B1418" i="7" s="1"/>
  <c r="C1418" i="7" s="1"/>
  <c r="B1419" i="7" a="1"/>
  <c r="B1419" i="7" s="1"/>
  <c r="C1419" i="7" s="1"/>
  <c r="B1420" i="7" a="1"/>
  <c r="B1420" i="7" s="1"/>
  <c r="C1420" i="7" s="1"/>
  <c r="B1421" i="7" a="1"/>
  <c r="B1421" i="7" s="1"/>
  <c r="C1421" i="7" s="1"/>
  <c r="B1422" i="7" a="1"/>
  <c r="B1422" i="7" s="1"/>
  <c r="C1422" i="7" s="1"/>
  <c r="B1423" i="7" a="1"/>
  <c r="B1423" i="7" s="1"/>
  <c r="C1423" i="7" s="1"/>
  <c r="B1424" i="7" a="1"/>
  <c r="B1424" i="7" s="1"/>
  <c r="C1424" i="7" s="1"/>
  <c r="B1425" i="7" a="1"/>
  <c r="B1425" i="7" s="1"/>
  <c r="C1425" i="7" s="1"/>
  <c r="B1426" i="7" a="1"/>
  <c r="B1426" i="7" s="1"/>
  <c r="C1426" i="7" s="1"/>
  <c r="B1427" i="7" a="1"/>
  <c r="B1427" i="7" s="1"/>
  <c r="C1427" i="7" s="1"/>
  <c r="B1428" i="7" a="1"/>
  <c r="B1428" i="7" s="1"/>
  <c r="C1428" i="7" s="1"/>
  <c r="B1429" i="7" a="1"/>
  <c r="B1429" i="7" s="1"/>
  <c r="C1429" i="7" s="1"/>
  <c r="B1430" i="7" a="1"/>
  <c r="B1430" i="7" s="1"/>
  <c r="C1430" i="7" s="1"/>
  <c r="B1431" i="7" a="1"/>
  <c r="B1431" i="7" s="1"/>
  <c r="C1431" i="7" s="1"/>
  <c r="B1432" i="7" a="1"/>
  <c r="B1432" i="7" s="1"/>
  <c r="C1432" i="7" s="1"/>
  <c r="B1433" i="7" a="1"/>
  <c r="B1433" i="7" s="1"/>
  <c r="C1433" i="7" s="1"/>
  <c r="B1434" i="7" a="1"/>
  <c r="B1434" i="7" s="1"/>
  <c r="C1434" i="7" s="1"/>
  <c r="B1435" i="7" a="1"/>
  <c r="B1435" i="7" s="1"/>
  <c r="C1435" i="7" s="1"/>
  <c r="B1436" i="7" a="1"/>
  <c r="B1436" i="7" s="1"/>
  <c r="C1436" i="7" s="1"/>
  <c r="B1437" i="7" a="1"/>
  <c r="B1437" i="7" s="1"/>
  <c r="C1437" i="7" s="1"/>
  <c r="B1438" i="7" a="1"/>
  <c r="B1438" i="7" s="1"/>
  <c r="C1438" i="7" s="1"/>
  <c r="B1439" i="7" a="1"/>
  <c r="B1439" i="7" s="1"/>
  <c r="C1439" i="7" s="1"/>
  <c r="B1440" i="7" a="1"/>
  <c r="B1440" i="7" s="1"/>
  <c r="C1440" i="7" s="1"/>
  <c r="B1441" i="7" a="1"/>
  <c r="B1441" i="7" s="1"/>
  <c r="C1441" i="7" s="1"/>
  <c r="B1442" i="7" a="1"/>
  <c r="B1442" i="7" s="1"/>
  <c r="C1442" i="7" s="1"/>
  <c r="B1443" i="7" a="1"/>
  <c r="B1443" i="7" s="1"/>
  <c r="C1443" i="7" s="1"/>
  <c r="B1444" i="7" a="1"/>
  <c r="B1444" i="7" s="1"/>
  <c r="C1444" i="7" s="1"/>
  <c r="B1445" i="7" a="1"/>
  <c r="B1445" i="7" s="1"/>
  <c r="C1445" i="7" s="1"/>
  <c r="B1446" i="7" a="1"/>
  <c r="B1446" i="7" s="1"/>
  <c r="C1446" i="7" s="1"/>
  <c r="B1447" i="7" a="1"/>
  <c r="B1447" i="7" s="1"/>
  <c r="C1447" i="7" s="1"/>
  <c r="B1448" i="7" a="1"/>
  <c r="B1448" i="7" s="1"/>
  <c r="C1448" i="7" s="1"/>
  <c r="B1449" i="7" a="1"/>
  <c r="B1449" i="7" s="1"/>
  <c r="C1449" i="7" s="1"/>
  <c r="B1450" i="7" a="1"/>
  <c r="B1450" i="7" s="1"/>
  <c r="C1450" i="7" s="1"/>
  <c r="B1451" i="7" a="1"/>
  <c r="B1451" i="7" s="1"/>
  <c r="C1451" i="7" s="1"/>
  <c r="B1452" i="7" a="1"/>
  <c r="B1452" i="7" s="1"/>
  <c r="C1452" i="7" s="1"/>
  <c r="B1453" i="7" a="1"/>
  <c r="B1453" i="7" s="1"/>
  <c r="C1453" i="7" s="1"/>
  <c r="B1454" i="7" a="1"/>
  <c r="B1454" i="7" s="1"/>
  <c r="C1454" i="7" s="1"/>
  <c r="B1455" i="7" a="1"/>
  <c r="B1455" i="7"/>
  <c r="C1455" i="7" s="1"/>
  <c r="B1456" i="7" a="1"/>
  <c r="B1456" i="7" s="1"/>
  <c r="C1456" i="7" s="1"/>
  <c r="B1457" i="7" a="1"/>
  <c r="B1457" i="7" s="1"/>
  <c r="C1457" i="7" s="1"/>
  <c r="B1458" i="7" a="1"/>
  <c r="B1458" i="7" s="1"/>
  <c r="C1458" i="7" s="1"/>
  <c r="B1459" i="7" a="1"/>
  <c r="B1459" i="7" s="1"/>
  <c r="C1459" i="7" s="1"/>
  <c r="B1460" i="7" a="1"/>
  <c r="B1460" i="7" s="1"/>
  <c r="C1460" i="7" s="1"/>
  <c r="B1461" i="7" a="1"/>
  <c r="B1461" i="7" s="1"/>
  <c r="C1461" i="7" s="1"/>
  <c r="B1462" i="7" a="1"/>
  <c r="B1462" i="7" s="1"/>
  <c r="C1462" i="7" s="1"/>
  <c r="B1463" i="7" a="1"/>
  <c r="B1463" i="7" s="1"/>
  <c r="C1463" i="7" s="1"/>
  <c r="B1464" i="7" a="1"/>
  <c r="B1464" i="7" s="1"/>
  <c r="C1464" i="7" s="1"/>
  <c r="B1465" i="7" a="1"/>
  <c r="B1465" i="7" s="1"/>
  <c r="C1465" i="7" s="1"/>
  <c r="B1466" i="7" a="1"/>
  <c r="B1466" i="7" s="1"/>
  <c r="C1466" i="7" s="1"/>
  <c r="B1467" i="7" a="1"/>
  <c r="B1467" i="7" s="1"/>
  <c r="C1467" i="7" s="1"/>
  <c r="B1468" i="7" a="1"/>
  <c r="B1468" i="7" s="1"/>
  <c r="C1468" i="7" s="1"/>
  <c r="B1469" i="7" a="1"/>
  <c r="B1469" i="7" s="1"/>
  <c r="C1469" i="7" s="1"/>
  <c r="B1470" i="7" a="1"/>
  <c r="B1470" i="7"/>
  <c r="C1470" i="7" s="1"/>
  <c r="B1471" i="7" a="1"/>
  <c r="B1471" i="7" s="1"/>
  <c r="C1471" i="7" s="1"/>
  <c r="B1472" i="7" a="1"/>
  <c r="B1472" i="7" s="1"/>
  <c r="C1472" i="7" s="1"/>
  <c r="B1473" i="7" a="1"/>
  <c r="B1473" i="7" s="1"/>
  <c r="C1473" i="7" s="1"/>
  <c r="B1474" i="7" a="1"/>
  <c r="B1474" i="7" s="1"/>
  <c r="C1474" i="7" s="1"/>
  <c r="B1475" i="7" a="1"/>
  <c r="B1475" i="7" s="1"/>
  <c r="C1475" i="7" s="1"/>
  <c r="B1476" i="7" a="1"/>
  <c r="B1476" i="7" s="1"/>
  <c r="C1476" i="7" s="1"/>
  <c r="B1477" i="7" a="1"/>
  <c r="B1477" i="7" s="1"/>
  <c r="C1477" i="7" s="1"/>
  <c r="B1478" i="7" a="1"/>
  <c r="B1478" i="7" s="1"/>
  <c r="C1478" i="7" s="1"/>
  <c r="B1479" i="7" a="1"/>
  <c r="B1479" i="7" s="1"/>
  <c r="C1479" i="7" s="1"/>
  <c r="B1480" i="7" a="1"/>
  <c r="B1480" i="7" s="1"/>
  <c r="C1480" i="7" s="1"/>
  <c r="B1481" i="7" a="1"/>
  <c r="B1481" i="7" s="1"/>
  <c r="C1481" i="7" s="1"/>
  <c r="B1482" i="7" a="1"/>
  <c r="B1482" i="7" s="1"/>
  <c r="C1482" i="7" s="1"/>
  <c r="B1483" i="7" a="1"/>
  <c r="B1483" i="7" s="1"/>
  <c r="C1483" i="7" s="1"/>
  <c r="B1484" i="7" a="1"/>
  <c r="B1484" i="7" s="1"/>
  <c r="C1484" i="7" s="1"/>
  <c r="B1485" i="7" a="1"/>
  <c r="B1485" i="7" s="1"/>
  <c r="C1485" i="7" s="1"/>
  <c r="B1486" i="7" a="1"/>
  <c r="B1486" i="7" s="1"/>
  <c r="C1486" i="7" s="1"/>
  <c r="B1487" i="7" a="1"/>
  <c r="B1487" i="7" s="1"/>
  <c r="C1487" i="7" s="1"/>
  <c r="B1488" i="7" a="1"/>
  <c r="B1488" i="7" s="1"/>
  <c r="C1488" i="7" s="1"/>
  <c r="B1489" i="7" a="1"/>
  <c r="B1489" i="7" s="1"/>
  <c r="C1489" i="7" s="1"/>
  <c r="B1490" i="7" a="1"/>
  <c r="B1490" i="7"/>
  <c r="C1490" i="7" s="1"/>
  <c r="B1491" i="7" a="1"/>
  <c r="B1491" i="7" s="1"/>
  <c r="C1491" i="7" s="1"/>
  <c r="B1492" i="7" a="1"/>
  <c r="B1492" i="7" s="1"/>
  <c r="C1492" i="7" s="1"/>
  <c r="B1493" i="7" a="1"/>
  <c r="B1493" i="7" s="1"/>
  <c r="C1493" i="7" s="1"/>
  <c r="B1494" i="7" a="1"/>
  <c r="B1494" i="7" s="1"/>
  <c r="C1494" i="7" s="1"/>
  <c r="B1495" i="7" a="1"/>
  <c r="B1495" i="7" s="1"/>
  <c r="C1495" i="7" s="1"/>
  <c r="B1496" i="7" a="1"/>
  <c r="B1496" i="7" s="1"/>
  <c r="C1496" i="7" s="1"/>
  <c r="B1497" i="7" a="1"/>
  <c r="B1497" i="7" s="1"/>
  <c r="C1497" i="7" s="1"/>
  <c r="B1498" i="7" a="1"/>
  <c r="B1498" i="7"/>
  <c r="C1498" i="7" s="1"/>
  <c r="B1499" i="7" a="1"/>
  <c r="B1499" i="7" s="1"/>
  <c r="C1499" i="7" s="1"/>
  <c r="B1500" i="7" a="1"/>
  <c r="B1500" i="7" s="1"/>
  <c r="C1500" i="7" s="1"/>
  <c r="B1501" i="7" a="1"/>
  <c r="B1501" i="7" s="1"/>
  <c r="C1501" i="7" s="1"/>
  <c r="B1502" i="7" a="1"/>
  <c r="B1502" i="7" s="1"/>
  <c r="C1502" i="7" s="1"/>
  <c r="B1503" i="7" a="1"/>
  <c r="B1503" i="7" s="1"/>
  <c r="C1503" i="7" s="1"/>
  <c r="B1504" i="7" a="1"/>
  <c r="B1504" i="7" s="1"/>
  <c r="C1504" i="7" s="1"/>
  <c r="B1505" i="7" a="1"/>
  <c r="B1505" i="7" s="1"/>
  <c r="C1505" i="7" s="1"/>
  <c r="B1506" i="7" a="1"/>
  <c r="B1506" i="7" s="1"/>
  <c r="C1506" i="7" s="1"/>
  <c r="B1507" i="7" a="1"/>
  <c r="B1507" i="7" s="1"/>
  <c r="C1507" i="7" s="1"/>
  <c r="B1508" i="7" a="1"/>
  <c r="B1508" i="7" s="1"/>
  <c r="C1508" i="7" s="1"/>
  <c r="B1509" i="7" a="1"/>
  <c r="B1509" i="7" s="1"/>
  <c r="C1509" i="7" s="1"/>
  <c r="B1510" i="7" a="1"/>
  <c r="B1510" i="7" s="1"/>
  <c r="C1510" i="7" s="1"/>
  <c r="B1511" i="7" a="1"/>
  <c r="B1511" i="7" s="1"/>
  <c r="C1511" i="7" s="1"/>
  <c r="B1512" i="7" a="1"/>
  <c r="B1512" i="7" s="1"/>
  <c r="C1512" i="7" s="1"/>
  <c r="B1513" i="7" a="1"/>
  <c r="B1513" i="7" s="1"/>
  <c r="C1513" i="7" s="1"/>
  <c r="B1514" i="7" a="1"/>
  <c r="B1514" i="7" s="1"/>
  <c r="C1514" i="7" s="1"/>
  <c r="B1515" i="7" a="1"/>
  <c r="B1515" i="7" s="1"/>
  <c r="C1515" i="7" s="1"/>
  <c r="B1516" i="7" a="1"/>
  <c r="B1516" i="7" s="1"/>
  <c r="C1516" i="7" s="1"/>
  <c r="B1517" i="7" a="1"/>
  <c r="B1517" i="7" s="1"/>
  <c r="C1517" i="7" s="1"/>
  <c r="B1518" i="7" a="1"/>
  <c r="B1518" i="7" s="1"/>
  <c r="C1518" i="7" s="1"/>
  <c r="B1519" i="7" a="1"/>
  <c r="B1519" i="7" s="1"/>
  <c r="C1519" i="7" s="1"/>
  <c r="B1520" i="7" a="1"/>
  <c r="B1520" i="7" s="1"/>
  <c r="C1520" i="7" s="1"/>
  <c r="B1521" i="7" a="1"/>
  <c r="B1521" i="7" s="1"/>
  <c r="C1521" i="7" s="1"/>
  <c r="B1522" i="7" a="1"/>
  <c r="B1522" i="7" s="1"/>
  <c r="C1522" i="7" s="1"/>
  <c r="B1523" i="7" a="1"/>
  <c r="B1523" i="7" s="1"/>
  <c r="C1523" i="7" s="1"/>
  <c r="B1524" i="7" a="1"/>
  <c r="B1524" i="7" s="1"/>
  <c r="C1524" i="7" s="1"/>
  <c r="B1525" i="7" a="1"/>
  <c r="B1525" i="7" s="1"/>
  <c r="C1525" i="7" s="1"/>
  <c r="B1526" i="7" a="1"/>
  <c r="B1526" i="7" s="1"/>
  <c r="C1526" i="7" s="1"/>
  <c r="B1527" i="7" a="1"/>
  <c r="B1527" i="7" s="1"/>
  <c r="C1527" i="7" s="1"/>
  <c r="B1528" i="7" a="1"/>
  <c r="B1528" i="7" s="1"/>
  <c r="C1528" i="7" s="1"/>
  <c r="B1529" i="7" a="1"/>
  <c r="B1529" i="7" s="1"/>
  <c r="C1529" i="7" s="1"/>
  <c r="B1530" i="7" a="1"/>
  <c r="B1530" i="7" s="1"/>
  <c r="C1530" i="7" s="1"/>
  <c r="B1531" i="7" a="1"/>
  <c r="B1531" i="7" s="1"/>
  <c r="C1531" i="7" s="1"/>
  <c r="B1532" i="7" a="1"/>
  <c r="B1532" i="7" s="1"/>
  <c r="C1532" i="7" s="1"/>
  <c r="B1533" i="7" a="1"/>
  <c r="B1533" i="7" s="1"/>
  <c r="C1533" i="7" s="1"/>
  <c r="B1534" i="7" a="1"/>
  <c r="B1534" i="7"/>
  <c r="C1534" i="7" s="1"/>
  <c r="B1535" i="7" a="1"/>
  <c r="B1535" i="7" s="1"/>
  <c r="C1535" i="7" s="1"/>
  <c r="B1536" i="7" a="1"/>
  <c r="B1536" i="7" s="1"/>
  <c r="C1536" i="7" s="1"/>
  <c r="B1537" i="7" a="1"/>
  <c r="B1537" i="7" s="1"/>
  <c r="C1537" i="7" s="1"/>
  <c r="B1538" i="7" a="1"/>
  <c r="B1538" i="7"/>
  <c r="C1538" i="7" s="1"/>
  <c r="B1539" i="7" a="1"/>
  <c r="B1539" i="7" s="1"/>
  <c r="C1539" i="7" s="1"/>
  <c r="B1540" i="7" a="1"/>
  <c r="B1540" i="7" s="1"/>
  <c r="C1540" i="7" s="1"/>
  <c r="B1541" i="7" a="1"/>
  <c r="B1541" i="7" s="1"/>
  <c r="C1541" i="7" s="1"/>
  <c r="B1542" i="7" a="1"/>
  <c r="B1542" i="7" s="1"/>
  <c r="C1542" i="7" s="1"/>
  <c r="B1543" i="7" a="1"/>
  <c r="B1543" i="7" s="1"/>
  <c r="C1543" i="7" s="1"/>
  <c r="B1544" i="7" a="1"/>
  <c r="B1544" i="7" s="1"/>
  <c r="C1544" i="7" s="1"/>
  <c r="B1545" i="7" a="1"/>
  <c r="B1545" i="7" s="1"/>
  <c r="C1545" i="7" s="1"/>
  <c r="B1546" i="7" a="1"/>
  <c r="B1546" i="7" s="1"/>
  <c r="C1546" i="7" s="1"/>
  <c r="B1547" i="7" a="1"/>
  <c r="B1547" i="7" s="1"/>
  <c r="C1547" i="7" s="1"/>
  <c r="B1548" i="7" a="1"/>
  <c r="B1548" i="7" s="1"/>
  <c r="C1548" i="7" s="1"/>
  <c r="B1549" i="7" a="1"/>
  <c r="B1549" i="7" s="1"/>
  <c r="C1549" i="7" s="1"/>
  <c r="B1550" i="7" a="1"/>
  <c r="B1550" i="7" s="1"/>
  <c r="C1550" i="7" s="1"/>
  <c r="B1551" i="7" a="1"/>
  <c r="B1551" i="7" s="1"/>
  <c r="C1551" i="7" s="1"/>
  <c r="B1552" i="7" a="1"/>
  <c r="B1552" i="7" s="1"/>
  <c r="C1552" i="7" s="1"/>
  <c r="B1553" i="7" a="1"/>
  <c r="B1553" i="7" s="1"/>
  <c r="C1553" i="7" s="1"/>
  <c r="B1554" i="7" a="1"/>
  <c r="B1554" i="7"/>
  <c r="C1554" i="7" s="1"/>
  <c r="B1555" i="7" a="1"/>
  <c r="B1555" i="7" s="1"/>
  <c r="C1555" i="7" s="1"/>
  <c r="B1556" i="7" a="1"/>
  <c r="B1556" i="7" s="1"/>
  <c r="C1556" i="7" s="1"/>
  <c r="B1557" i="7" a="1"/>
  <c r="B1557" i="7" s="1"/>
  <c r="C1557" i="7" s="1"/>
  <c r="B1558" i="7" a="1"/>
  <c r="B1558" i="7" s="1"/>
  <c r="C1558" i="7" s="1"/>
  <c r="B1559" i="7" a="1"/>
  <c r="B1559" i="7" s="1"/>
  <c r="C1559" i="7" s="1"/>
  <c r="B1560" i="7" a="1"/>
  <c r="B1560" i="7" s="1"/>
  <c r="C1560" i="7" s="1"/>
  <c r="B1561" i="7" a="1"/>
  <c r="B1561" i="7" s="1"/>
  <c r="C1561" i="7" s="1"/>
  <c r="B1562" i="7" a="1"/>
  <c r="B1562" i="7" s="1"/>
  <c r="C1562" i="7" s="1"/>
  <c r="B1563" i="7" a="1"/>
  <c r="B1563" i="7" s="1"/>
  <c r="C1563" i="7" s="1"/>
  <c r="B1564" i="7" a="1"/>
  <c r="B1564" i="7" s="1"/>
  <c r="C1564" i="7" s="1"/>
  <c r="B1565" i="7" a="1"/>
  <c r="B1565" i="7" s="1"/>
  <c r="C1565" i="7" s="1"/>
  <c r="B1566" i="7" a="1"/>
  <c r="B1566" i="7" s="1"/>
  <c r="C1566" i="7" s="1"/>
  <c r="B1567" i="7" a="1"/>
  <c r="B1567" i="7" s="1"/>
  <c r="C1567" i="7" s="1"/>
  <c r="B1568" i="7" a="1"/>
  <c r="B1568" i="7" s="1"/>
  <c r="C1568" i="7" s="1"/>
  <c r="B1569" i="7" a="1"/>
  <c r="B1569" i="7" s="1"/>
  <c r="C1569" i="7" s="1"/>
  <c r="B1570" i="7" a="1"/>
  <c r="B1570" i="7" s="1"/>
  <c r="C1570" i="7" s="1"/>
  <c r="B1571" i="7" a="1"/>
  <c r="B1571" i="7" s="1"/>
  <c r="C1571" i="7" s="1"/>
  <c r="B1572" i="7" a="1"/>
  <c r="B1572" i="7" s="1"/>
  <c r="C1572" i="7" s="1"/>
  <c r="B1573" i="7" a="1"/>
  <c r="B1573" i="7" s="1"/>
  <c r="C1573" i="7" s="1"/>
  <c r="B1574" i="7" a="1"/>
  <c r="B1574" i="7" s="1"/>
  <c r="C1574" i="7" s="1"/>
  <c r="B1575" i="7" a="1"/>
  <c r="B1575" i="7" s="1"/>
  <c r="C1575" i="7" s="1"/>
  <c r="B1576" i="7" a="1"/>
  <c r="B1576" i="7" s="1"/>
  <c r="C1576" i="7" s="1"/>
  <c r="B1577" i="7" a="1"/>
  <c r="B1577" i="7" s="1"/>
  <c r="C1577" i="7" s="1"/>
  <c r="B1578" i="7" a="1"/>
  <c r="B1578" i="7" s="1"/>
  <c r="C1578" i="7" s="1"/>
  <c r="B1579" i="7" a="1"/>
  <c r="B1579" i="7" s="1"/>
  <c r="C1579" i="7" s="1"/>
  <c r="B1580" i="7" a="1"/>
  <c r="B1580" i="7" s="1"/>
  <c r="C1580" i="7" s="1"/>
  <c r="B1581" i="7" a="1"/>
  <c r="B1581" i="7" s="1"/>
  <c r="C1581" i="7" s="1"/>
  <c r="B1582" i="7" a="1"/>
  <c r="B1582" i="7" s="1"/>
  <c r="C1582" i="7" s="1"/>
  <c r="B1583" i="7" a="1"/>
  <c r="B1583" i="7" s="1"/>
  <c r="C1583" i="7" s="1"/>
  <c r="B1584" i="7" a="1"/>
  <c r="B1584" i="7" s="1"/>
  <c r="C1584" i="7" s="1"/>
  <c r="B1585" i="7" a="1"/>
  <c r="B1585" i="7" s="1"/>
  <c r="C1585" i="7" s="1"/>
  <c r="B1586" i="7" a="1"/>
  <c r="B1586" i="7" s="1"/>
  <c r="C1586" i="7" s="1"/>
  <c r="B1587" i="7" a="1"/>
  <c r="B1587" i="7" s="1"/>
  <c r="C1587" i="7" s="1"/>
  <c r="B1588" i="7" a="1"/>
  <c r="B1588" i="7"/>
  <c r="C1588" i="7" s="1"/>
  <c r="B1589" i="7" a="1"/>
  <c r="B1589" i="7" s="1"/>
  <c r="C1589" i="7" s="1"/>
  <c r="B1590" i="7" a="1"/>
  <c r="B1590" i="7" s="1"/>
  <c r="C1590" i="7" s="1"/>
  <c r="B1591" i="7" a="1"/>
  <c r="B1591" i="7" s="1"/>
  <c r="C1591" i="7" s="1"/>
  <c r="B1592" i="7" a="1"/>
  <c r="B1592" i="7" s="1"/>
  <c r="C1592" i="7" s="1"/>
  <c r="B1593" i="7" a="1"/>
  <c r="B1593" i="7" s="1"/>
  <c r="C1593" i="7" s="1"/>
  <c r="B1594" i="7" a="1"/>
  <c r="B1594" i="7" s="1"/>
  <c r="C1594" i="7" s="1"/>
  <c r="B1595" i="7" a="1"/>
  <c r="B1595" i="7" s="1"/>
  <c r="C1595" i="7" s="1"/>
  <c r="B1596" i="7" a="1"/>
  <c r="B1596" i="7" s="1"/>
  <c r="C1596" i="7" s="1"/>
  <c r="B1597" i="7" a="1"/>
  <c r="B1597" i="7" s="1"/>
  <c r="C1597" i="7" s="1"/>
  <c r="B1598" i="7" a="1"/>
  <c r="B1598" i="7" s="1"/>
  <c r="C1598" i="7" s="1"/>
  <c r="B1599" i="7" a="1"/>
  <c r="B1599" i="7" s="1"/>
  <c r="C1599" i="7" s="1"/>
  <c r="B1600" i="7" a="1"/>
  <c r="B1600" i="7" s="1"/>
  <c r="C1600" i="7" s="1"/>
  <c r="B1601" i="7" a="1"/>
  <c r="B1601" i="7" s="1"/>
  <c r="C1601" i="7" s="1"/>
  <c r="B1602" i="7" a="1"/>
  <c r="B1602" i="7" s="1"/>
  <c r="C1602" i="7" s="1"/>
  <c r="B1603" i="7" a="1"/>
  <c r="B1603" i="7" s="1"/>
  <c r="C1603" i="7" s="1"/>
  <c r="B1604" i="7" a="1"/>
  <c r="B1604" i="7" s="1"/>
  <c r="C1604" i="7" s="1"/>
  <c r="B1605" i="7" a="1"/>
  <c r="B1605" i="7" s="1"/>
  <c r="C1605" i="7" s="1"/>
  <c r="B1606" i="7" a="1"/>
  <c r="B1606" i="7" s="1"/>
  <c r="C1606" i="7" s="1"/>
  <c r="B1607" i="7" a="1"/>
  <c r="B1607" i="7" s="1"/>
  <c r="C1607" i="7" s="1"/>
  <c r="B1608" i="7" a="1"/>
  <c r="B1608" i="7" s="1"/>
  <c r="C1608" i="7" s="1"/>
  <c r="B1609" i="7" a="1"/>
  <c r="B1609" i="7" s="1"/>
  <c r="C1609" i="7" s="1"/>
  <c r="B1610" i="7" a="1"/>
  <c r="B1610" i="7" s="1"/>
  <c r="C1610" i="7" s="1"/>
  <c r="B1611" i="7" a="1"/>
  <c r="B1611" i="7" s="1"/>
  <c r="C1611" i="7" s="1"/>
  <c r="B1612" i="7" a="1"/>
  <c r="B1612" i="7" s="1"/>
  <c r="C1612" i="7" s="1"/>
  <c r="B1613" i="7" a="1"/>
  <c r="B1613" i="7" s="1"/>
  <c r="C1613" i="7" s="1"/>
  <c r="B1614" i="7" a="1"/>
  <c r="B1614" i="7" s="1"/>
  <c r="C1614" i="7" s="1"/>
  <c r="B1615" i="7" a="1"/>
  <c r="B1615" i="7" s="1"/>
  <c r="C1615" i="7" s="1"/>
  <c r="B1616" i="7" a="1"/>
  <c r="B1616" i="7" s="1"/>
  <c r="C1616" i="7" s="1"/>
  <c r="B1617" i="7" a="1"/>
  <c r="B1617" i="7" s="1"/>
  <c r="C1617" i="7" s="1"/>
  <c r="B1618" i="7" a="1"/>
  <c r="B1618" i="7" s="1"/>
  <c r="C1618" i="7" s="1"/>
  <c r="B1619" i="7" a="1"/>
  <c r="B1619" i="7" s="1"/>
  <c r="C1619" i="7" s="1"/>
  <c r="B1620" i="7" a="1"/>
  <c r="B1620" i="7" s="1"/>
  <c r="C1620" i="7" s="1"/>
  <c r="B1621" i="7" a="1"/>
  <c r="B1621" i="7" s="1"/>
  <c r="C1621" i="7" s="1"/>
  <c r="B1622" i="7" a="1"/>
  <c r="B1622" i="7" s="1"/>
  <c r="C1622" i="7" s="1"/>
  <c r="B1623" i="7" a="1"/>
  <c r="B1623" i="7" s="1"/>
  <c r="C1623" i="7" s="1"/>
  <c r="B1624" i="7" a="1"/>
  <c r="B1624" i="7" s="1"/>
  <c r="C1624" i="7" s="1"/>
  <c r="B1625" i="7" a="1"/>
  <c r="B1625" i="7" s="1"/>
  <c r="C1625" i="7" s="1"/>
  <c r="B1626" i="7" a="1"/>
  <c r="B1626" i="7" s="1"/>
  <c r="C1626" i="7" s="1"/>
  <c r="B1627" i="7" a="1"/>
  <c r="B1627" i="7" s="1"/>
  <c r="C1627" i="7" s="1"/>
  <c r="B1628" i="7" a="1"/>
  <c r="B1628" i="7" s="1"/>
  <c r="C1628" i="7" s="1"/>
  <c r="B1629" i="7" a="1"/>
  <c r="B1629" i="7" s="1"/>
  <c r="C1629" i="7" s="1"/>
  <c r="B1630" i="7" a="1"/>
  <c r="B1630" i="7" s="1"/>
  <c r="C1630" i="7" s="1"/>
  <c r="B1631" i="7" a="1"/>
  <c r="B1631" i="7" s="1"/>
  <c r="C1631" i="7" s="1"/>
  <c r="B1632" i="7" a="1"/>
  <c r="B1632" i="7" s="1"/>
  <c r="C1632" i="7" s="1"/>
  <c r="B1633" i="7" a="1"/>
  <c r="B1633" i="7" s="1"/>
  <c r="C1633" i="7" s="1"/>
  <c r="B1634" i="7" a="1"/>
  <c r="B1634" i="7" s="1"/>
  <c r="C1634" i="7" s="1"/>
  <c r="B1635" i="7" a="1"/>
  <c r="B1635" i="7" s="1"/>
  <c r="C1635" i="7" s="1"/>
  <c r="B1636" i="7" a="1"/>
  <c r="B1636" i="7" s="1"/>
  <c r="C1636" i="7" s="1"/>
  <c r="B1637" i="7" a="1"/>
  <c r="B1637" i="7" s="1"/>
  <c r="C1637" i="7" s="1"/>
  <c r="B1638" i="7" a="1"/>
  <c r="B1638" i="7" s="1"/>
  <c r="C1638" i="7" s="1"/>
  <c r="B1639" i="7" a="1"/>
  <c r="B1639" i="7" s="1"/>
  <c r="C1639" i="7" s="1"/>
  <c r="B1640" i="7" a="1"/>
  <c r="B1640" i="7" s="1"/>
  <c r="C1640" i="7" s="1"/>
  <c r="B1641" i="7" a="1"/>
  <c r="B1641" i="7" s="1"/>
  <c r="C1641" i="7" s="1"/>
  <c r="B1642" i="7" a="1"/>
  <c r="B1642" i="7" s="1"/>
  <c r="C1642" i="7" s="1"/>
  <c r="B1643" i="7" a="1"/>
  <c r="B1643" i="7" s="1"/>
  <c r="C1643" i="7" s="1"/>
  <c r="B1644" i="7" a="1"/>
  <c r="B1644" i="7" s="1"/>
  <c r="C1644" i="7" s="1"/>
  <c r="B1645" i="7" a="1"/>
  <c r="B1645" i="7" s="1"/>
  <c r="C1645" i="7" s="1"/>
  <c r="B1646" i="7" a="1"/>
  <c r="B1646" i="7" s="1"/>
  <c r="C1646" i="7" s="1"/>
  <c r="B1647" i="7" a="1"/>
  <c r="B1647" i="7" s="1"/>
  <c r="C1647" i="7" s="1"/>
  <c r="B1648" i="7" a="1"/>
  <c r="B1648" i="7" s="1"/>
  <c r="C1648" i="7" s="1"/>
  <c r="B1649" i="7" a="1"/>
  <c r="B1649" i="7" s="1"/>
  <c r="C1649" i="7" s="1"/>
  <c r="B1650" i="7" a="1"/>
  <c r="B1650" i="7" s="1"/>
  <c r="C1650" i="7" s="1"/>
  <c r="B1651" i="7" a="1"/>
  <c r="B1651" i="7" s="1"/>
  <c r="C1651" i="7" s="1"/>
  <c r="B1652" i="7" a="1"/>
  <c r="B1652" i="7" s="1"/>
  <c r="C1652" i="7" s="1"/>
  <c r="B1653" i="7" a="1"/>
  <c r="B1653" i="7" s="1"/>
  <c r="C1653" i="7" s="1"/>
  <c r="B1654" i="7" a="1"/>
  <c r="B1654" i="7" s="1"/>
  <c r="C1654" i="7" s="1"/>
  <c r="B1655" i="7" a="1"/>
  <c r="B1655" i="7" s="1"/>
  <c r="C1655" i="7" s="1"/>
  <c r="B1656" i="7" a="1"/>
  <c r="B1656" i="7" s="1"/>
  <c r="C1656" i="7" s="1"/>
  <c r="B1657" i="7" a="1"/>
  <c r="B1657" i="7" s="1"/>
  <c r="C1657" i="7" s="1"/>
  <c r="B1658" i="7" a="1"/>
  <c r="B1658" i="7" s="1"/>
  <c r="C1658" i="7" s="1"/>
  <c r="B1659" i="7" a="1"/>
  <c r="B1659" i="7" s="1"/>
  <c r="C1659" i="7" s="1"/>
  <c r="B1660" i="7" a="1"/>
  <c r="B1660" i="7" s="1"/>
  <c r="C1660" i="7" s="1"/>
  <c r="B1661" i="7" a="1"/>
  <c r="B1661" i="7" s="1"/>
  <c r="C1661" i="7" s="1"/>
  <c r="B1662" i="7" a="1"/>
  <c r="B1662" i="7" s="1"/>
  <c r="C1662" i="7" s="1"/>
  <c r="B1663" i="7" a="1"/>
  <c r="B1663" i="7" s="1"/>
  <c r="C1663" i="7" s="1"/>
  <c r="B1664" i="7" a="1"/>
  <c r="B1664" i="7" s="1"/>
  <c r="C1664" i="7" s="1"/>
  <c r="B1665" i="7" a="1"/>
  <c r="B1665" i="7" s="1"/>
  <c r="C1665" i="7" s="1"/>
  <c r="B1666" i="7" a="1"/>
  <c r="B1666" i="7" s="1"/>
  <c r="C1666" i="7" s="1"/>
  <c r="B1667" i="7" a="1"/>
  <c r="B1667" i="7" s="1"/>
  <c r="C1667" i="7" s="1"/>
  <c r="B1668" i="7" a="1"/>
  <c r="B1668" i="7" s="1"/>
  <c r="C1668" i="7" s="1"/>
  <c r="B1669" i="7" a="1"/>
  <c r="B1669" i="7" s="1"/>
  <c r="C1669" i="7" s="1"/>
  <c r="B1670" i="7" a="1"/>
  <c r="B1670" i="7" s="1"/>
  <c r="C1670" i="7" s="1"/>
  <c r="B1671" i="7" a="1"/>
  <c r="B1671" i="7" s="1"/>
  <c r="C1671" i="7" s="1"/>
  <c r="B1672" i="7" a="1"/>
  <c r="B1672" i="7" s="1"/>
  <c r="C1672" i="7" s="1"/>
  <c r="B1673" i="7" a="1"/>
  <c r="B1673" i="7" s="1"/>
  <c r="C1673" i="7" s="1"/>
  <c r="B1674" i="7" a="1"/>
  <c r="B1674" i="7" s="1"/>
  <c r="C1674" i="7" s="1"/>
  <c r="B1675" i="7" a="1"/>
  <c r="B1675" i="7" s="1"/>
  <c r="C1675" i="7" s="1"/>
  <c r="B1676" i="7" a="1"/>
  <c r="B1676" i="7" s="1"/>
  <c r="C1676" i="7" s="1"/>
  <c r="B1677" i="7" a="1"/>
  <c r="B1677" i="7" s="1"/>
  <c r="C1677" i="7" s="1"/>
  <c r="B1678" i="7" a="1"/>
  <c r="B1678" i="7" s="1"/>
  <c r="C1678" i="7" s="1"/>
  <c r="B1679" i="7" a="1"/>
  <c r="B1679" i="7" s="1"/>
  <c r="C1679" i="7" s="1"/>
  <c r="B1680" i="7" a="1"/>
  <c r="B1680" i="7" s="1"/>
  <c r="C1680" i="7" s="1"/>
  <c r="B1681" i="7" a="1"/>
  <c r="B1681" i="7" s="1"/>
  <c r="C1681" i="7" s="1"/>
  <c r="B1682" i="7" a="1"/>
  <c r="B1682" i="7" s="1"/>
  <c r="C1682" i="7" s="1"/>
  <c r="B1683" i="7" a="1"/>
  <c r="B1683" i="7" s="1"/>
  <c r="C1683" i="7" s="1"/>
  <c r="B1684" i="7" a="1"/>
  <c r="B1684" i="7" s="1"/>
  <c r="C1684" i="7" s="1"/>
  <c r="B1685" i="7" a="1"/>
  <c r="B1685" i="7" s="1"/>
  <c r="C1685" i="7" s="1"/>
  <c r="B1686" i="7" a="1"/>
  <c r="B1686" i="7" s="1"/>
  <c r="C1686" i="7" s="1"/>
  <c r="B1687" i="7" a="1"/>
  <c r="B1687" i="7" s="1"/>
  <c r="C1687" i="7" s="1"/>
  <c r="B1688" i="7" a="1"/>
  <c r="B1688" i="7" s="1"/>
  <c r="C1688" i="7" s="1"/>
  <c r="B1689" i="7" a="1"/>
  <c r="B1689" i="7" s="1"/>
  <c r="C1689" i="7" s="1"/>
  <c r="B1690" i="7" a="1"/>
  <c r="B1690" i="7" s="1"/>
  <c r="C1690" i="7" s="1"/>
  <c r="B1691" i="7" a="1"/>
  <c r="B1691" i="7" s="1"/>
  <c r="C1691" i="7" s="1"/>
  <c r="B1692" i="7" a="1"/>
  <c r="B1692" i="7" s="1"/>
  <c r="C1692" i="7" s="1"/>
  <c r="B1693" i="7" a="1"/>
  <c r="B1693" i="7" s="1"/>
  <c r="C1693" i="7" s="1"/>
  <c r="B1694" i="7" a="1"/>
  <c r="B1694" i="7" s="1"/>
  <c r="C1694" i="7" s="1"/>
  <c r="B1695" i="7" a="1"/>
  <c r="B1695" i="7" s="1"/>
  <c r="C1695" i="7" s="1"/>
  <c r="B1696" i="7" a="1"/>
  <c r="B1696" i="7" s="1"/>
  <c r="C1696" i="7" s="1"/>
  <c r="B1697" i="7" a="1"/>
  <c r="B1697" i="7" s="1"/>
  <c r="C1697" i="7" s="1"/>
  <c r="B1698" i="7" a="1"/>
  <c r="B1698" i="7" s="1"/>
  <c r="C1698" i="7" s="1"/>
  <c r="B1699" i="7" a="1"/>
  <c r="B1699" i="7" s="1"/>
  <c r="C1699" i="7" s="1"/>
  <c r="B1700" i="7" a="1"/>
  <c r="B1700" i="7" s="1"/>
  <c r="C1700" i="7" s="1"/>
  <c r="B1701" i="7" a="1"/>
  <c r="B1701" i="7" s="1"/>
  <c r="C1701" i="7" s="1"/>
  <c r="B1702" i="7" a="1"/>
  <c r="B1702" i="7" s="1"/>
  <c r="C1702" i="7" s="1"/>
  <c r="B1703" i="7" a="1"/>
  <c r="B1703" i="7" s="1"/>
  <c r="C1703" i="7" s="1"/>
  <c r="B1704" i="7" a="1"/>
  <c r="B1704" i="7" s="1"/>
  <c r="C1704" i="7" s="1"/>
  <c r="B1705" i="7" a="1"/>
  <c r="B1705" i="7" s="1"/>
  <c r="C1705" i="7" s="1"/>
  <c r="B1706" i="7" a="1"/>
  <c r="B1706" i="7" s="1"/>
  <c r="C1706" i="7" s="1"/>
  <c r="B1707" i="7" a="1"/>
  <c r="B1707" i="7" s="1"/>
  <c r="C1707" i="7" s="1"/>
  <c r="B1708" i="7" a="1"/>
  <c r="B1708" i="7" s="1"/>
  <c r="C1708" i="7" s="1"/>
  <c r="B1709" i="7" a="1"/>
  <c r="B1709" i="7" s="1"/>
  <c r="C1709" i="7" s="1"/>
  <c r="B1710" i="7" a="1"/>
  <c r="B1710" i="7" s="1"/>
  <c r="C1710" i="7" s="1"/>
  <c r="B1711" i="7" a="1"/>
  <c r="B1711" i="7" s="1"/>
  <c r="C1711" i="7" s="1"/>
  <c r="B1712" i="7" a="1"/>
  <c r="B1712" i="7" s="1"/>
  <c r="C1712" i="7" s="1"/>
  <c r="B1713" i="7" a="1"/>
  <c r="B1713" i="7" s="1"/>
  <c r="C1713" i="7" s="1"/>
  <c r="B1714" i="7" a="1"/>
  <c r="B1714" i="7" s="1"/>
  <c r="C1714" i="7" s="1"/>
  <c r="B1715" i="7" a="1"/>
  <c r="B1715" i="7" s="1"/>
  <c r="C1715" i="7" s="1"/>
  <c r="B1716" i="7" a="1"/>
  <c r="B1716" i="7" s="1"/>
  <c r="C1716" i="7" s="1"/>
  <c r="B1717" i="7" a="1"/>
  <c r="B1717" i="7" s="1"/>
  <c r="C1717" i="7" s="1"/>
  <c r="B1718" i="7" a="1"/>
  <c r="B1718" i="7" s="1"/>
  <c r="C1718" i="7" s="1"/>
  <c r="B1719" i="7" a="1"/>
  <c r="B1719" i="7" s="1"/>
  <c r="C1719" i="7" s="1"/>
  <c r="B1720" i="7" a="1"/>
  <c r="B1720" i="7" s="1"/>
  <c r="C1720" i="7" s="1"/>
  <c r="B1721" i="7" a="1"/>
  <c r="B1721" i="7" s="1"/>
  <c r="C1721" i="7" s="1"/>
  <c r="B1722" i="7" a="1"/>
  <c r="B1722" i="7" s="1"/>
  <c r="C1722" i="7" s="1"/>
  <c r="B1723" i="7" a="1"/>
  <c r="B1723" i="7" s="1"/>
  <c r="C1723" i="7" s="1"/>
  <c r="B1724" i="7" a="1"/>
  <c r="B1724" i="7" s="1"/>
  <c r="C1724" i="7" s="1"/>
  <c r="B1725" i="7" a="1"/>
  <c r="B1725" i="7" s="1"/>
  <c r="C1725" i="7" s="1"/>
  <c r="B1726" i="7" a="1"/>
  <c r="B1726" i="7" s="1"/>
  <c r="C1726" i="7" s="1"/>
  <c r="B1727" i="7" a="1"/>
  <c r="B1727" i="7" s="1"/>
  <c r="C1727" i="7" s="1"/>
  <c r="B1728" i="7" a="1"/>
  <c r="B1728" i="7" s="1"/>
  <c r="C1728" i="7" s="1"/>
  <c r="B1729" i="7" a="1"/>
  <c r="B1729" i="7" s="1"/>
  <c r="C1729" i="7" s="1"/>
  <c r="B1730" i="7" a="1"/>
  <c r="B1730" i="7" s="1"/>
  <c r="C1730" i="7" s="1"/>
  <c r="B1731" i="7" a="1"/>
  <c r="B1731" i="7" s="1"/>
  <c r="C1731" i="7" s="1"/>
  <c r="B1732" i="7" a="1"/>
  <c r="B1732" i="7" s="1"/>
  <c r="C1732" i="7" s="1"/>
  <c r="B1733" i="7" a="1"/>
  <c r="B1733" i="7" s="1"/>
  <c r="C1733" i="7" s="1"/>
  <c r="B1734" i="7" a="1"/>
  <c r="B1734" i="7" s="1"/>
  <c r="C1734" i="7" s="1"/>
  <c r="B1735" i="7" a="1"/>
  <c r="B1735" i="7" s="1"/>
  <c r="C1735" i="7" s="1"/>
  <c r="B1736" i="7" a="1"/>
  <c r="B1736" i="7" s="1"/>
  <c r="C1736" i="7" s="1"/>
  <c r="B1737" i="7" a="1"/>
  <c r="B1737" i="7" s="1"/>
  <c r="C1737" i="7" s="1"/>
  <c r="B1738" i="7" a="1"/>
  <c r="B1738" i="7" s="1"/>
  <c r="C1738" i="7" s="1"/>
  <c r="B1739" i="7" a="1"/>
  <c r="B1739" i="7" s="1"/>
  <c r="C1739" i="7" s="1"/>
  <c r="B1740" i="7" a="1"/>
  <c r="B1740" i="7" s="1"/>
  <c r="C1740" i="7" s="1"/>
  <c r="B1741" i="7" a="1"/>
  <c r="B1741" i="7" s="1"/>
  <c r="C1741" i="7" s="1"/>
  <c r="B1742" i="7" a="1"/>
  <c r="B1742" i="7" s="1"/>
  <c r="C1742" i="7" s="1"/>
  <c r="B1743" i="7" a="1"/>
  <c r="B1743" i="7" s="1"/>
  <c r="C1743" i="7" s="1"/>
  <c r="B1744" i="7" a="1"/>
  <c r="B1744" i="7" s="1"/>
  <c r="C1744" i="7" s="1"/>
  <c r="B1745" i="7" a="1"/>
  <c r="B1745" i="7" s="1"/>
  <c r="C1745" i="7" s="1"/>
  <c r="B1746" i="7" a="1"/>
  <c r="B1746" i="7" s="1"/>
  <c r="C1746" i="7" s="1"/>
  <c r="B1747" i="7" a="1"/>
  <c r="B1747" i="7" s="1"/>
  <c r="C1747" i="7" s="1"/>
  <c r="B1748" i="7" a="1"/>
  <c r="B1748" i="7" s="1"/>
  <c r="C1748" i="7" s="1"/>
  <c r="B1749" i="7" a="1"/>
  <c r="B1749" i="7" s="1"/>
  <c r="C1749" i="7" s="1"/>
  <c r="B1750" i="7" a="1"/>
  <c r="B1750" i="7" s="1"/>
  <c r="C1750" i="7" s="1"/>
  <c r="B1751" i="7" a="1"/>
  <c r="B1751" i="7" s="1"/>
  <c r="C1751" i="7" s="1"/>
  <c r="B1752" i="7" a="1"/>
  <c r="B1752" i="7" s="1"/>
  <c r="C1752" i="7" s="1"/>
  <c r="B1753" i="7" a="1"/>
  <c r="B1753" i="7" s="1"/>
  <c r="C1753" i="7" s="1"/>
  <c r="B1754" i="7" a="1"/>
  <c r="B1754" i="7" s="1"/>
  <c r="C1754" i="7" s="1"/>
  <c r="B1755" i="7" a="1"/>
  <c r="B1755" i="7" s="1"/>
  <c r="C1755" i="7" s="1"/>
  <c r="B1756" i="7" a="1"/>
  <c r="B1756" i="7" s="1"/>
  <c r="C1756" i="7" s="1"/>
  <c r="B1757" i="7" a="1"/>
  <c r="B1757" i="7" s="1"/>
  <c r="C1757" i="7" s="1"/>
  <c r="B1758" i="7" a="1"/>
  <c r="B1758" i="7" s="1"/>
  <c r="C1758" i="7" s="1"/>
  <c r="B1759" i="7" a="1"/>
  <c r="B1759" i="7" s="1"/>
  <c r="C1759" i="7" s="1"/>
  <c r="B1760" i="7" a="1"/>
  <c r="B1760" i="7" s="1"/>
  <c r="C1760" i="7" s="1"/>
  <c r="B1761" i="7" a="1"/>
  <c r="B1761" i="7" s="1"/>
  <c r="C1761" i="7" s="1"/>
  <c r="B1762" i="7" a="1"/>
  <c r="B1762" i="7" s="1"/>
  <c r="C1762" i="7" s="1"/>
  <c r="B1763" i="7" a="1"/>
  <c r="B1763" i="7" s="1"/>
  <c r="C1763" i="7" s="1"/>
  <c r="B1764" i="7" a="1"/>
  <c r="B1764" i="7" s="1"/>
  <c r="C1764" i="7" s="1"/>
  <c r="B1765" i="7" a="1"/>
  <c r="B1765" i="7" s="1"/>
  <c r="C1765" i="7" s="1"/>
  <c r="B1766" i="7" a="1"/>
  <c r="B1766" i="7" s="1"/>
  <c r="C1766" i="7" s="1"/>
  <c r="B1767" i="7" a="1"/>
  <c r="B1767" i="7" s="1"/>
  <c r="C1767" i="7" s="1"/>
  <c r="B1768" i="7" a="1"/>
  <c r="B1768" i="7" s="1"/>
  <c r="C1768" i="7" s="1"/>
  <c r="B1769" i="7" a="1"/>
  <c r="B1769" i="7" s="1"/>
  <c r="C1769" i="7" s="1"/>
  <c r="B1770" i="7" a="1"/>
  <c r="B1770" i="7" s="1"/>
  <c r="C1770" i="7" s="1"/>
  <c r="B1771" i="7" a="1"/>
  <c r="B1771" i="7" s="1"/>
  <c r="C1771" i="7" s="1"/>
  <c r="B1772" i="7" a="1"/>
  <c r="B1772" i="7" s="1"/>
  <c r="C1772" i="7" s="1"/>
  <c r="B1773" i="7" a="1"/>
  <c r="B1773" i="7" s="1"/>
  <c r="C1773" i="7" s="1"/>
  <c r="B1774" i="7" a="1"/>
  <c r="B1774" i="7"/>
  <c r="C1774" i="7" s="1"/>
  <c r="B1775" i="7" a="1"/>
  <c r="B1775" i="7" s="1"/>
  <c r="C1775" i="7" s="1"/>
  <c r="B1776" i="7" a="1"/>
  <c r="B1776" i="7" s="1"/>
  <c r="C1776" i="7" s="1"/>
  <c r="B1777" i="7" a="1"/>
  <c r="B1777" i="7" s="1"/>
  <c r="C1777" i="7" s="1"/>
  <c r="B1778" i="7" a="1"/>
  <c r="B1778" i="7" s="1"/>
  <c r="C1778" i="7" s="1"/>
  <c r="B1779" i="7" a="1"/>
  <c r="B1779" i="7" s="1"/>
  <c r="C1779" i="7" s="1"/>
  <c r="B1780" i="7" a="1"/>
  <c r="B1780" i="7" s="1"/>
  <c r="C1780" i="7" s="1"/>
  <c r="B1781" i="7" a="1"/>
  <c r="B1781" i="7" s="1"/>
  <c r="C1781" i="7" s="1"/>
  <c r="B1782" i="7" a="1"/>
  <c r="B1782" i="7" s="1"/>
  <c r="C1782" i="7" s="1"/>
  <c r="B1783" i="7" a="1"/>
  <c r="B1783" i="7" s="1"/>
  <c r="C1783" i="7" s="1"/>
  <c r="B1784" i="7" a="1"/>
  <c r="B1784" i="7" s="1"/>
  <c r="C1784" i="7" s="1"/>
  <c r="B1785" i="7" a="1"/>
  <c r="B1785" i="7" s="1"/>
  <c r="C1785" i="7" s="1"/>
  <c r="B1786" i="7" a="1"/>
  <c r="B1786" i="7" s="1"/>
  <c r="C1786" i="7" s="1"/>
  <c r="B1787" i="7" a="1"/>
  <c r="B1787" i="7" s="1"/>
  <c r="C1787" i="7" s="1"/>
  <c r="B1788" i="7" a="1"/>
  <c r="B1788" i="7" s="1"/>
  <c r="C1788" i="7" s="1"/>
  <c r="B1789" i="7" a="1"/>
  <c r="B1789" i="7" s="1"/>
  <c r="C1789" i="7" s="1"/>
  <c r="B1790" i="7" a="1"/>
  <c r="B1790" i="7" s="1"/>
  <c r="C1790" i="7" s="1"/>
  <c r="B1791" i="7" a="1"/>
  <c r="B1791" i="7" s="1"/>
  <c r="C1791" i="7" s="1"/>
  <c r="B1792" i="7" a="1"/>
  <c r="B1792" i="7" s="1"/>
  <c r="C1792" i="7" s="1"/>
  <c r="B1793" i="7" a="1"/>
  <c r="B1793" i="7" s="1"/>
  <c r="C1793" i="7" s="1"/>
  <c r="B1794" i="7" a="1"/>
  <c r="B1794" i="7" s="1"/>
  <c r="C1794" i="7" s="1"/>
  <c r="B1795" i="7" a="1"/>
  <c r="B1795" i="7" s="1"/>
  <c r="C1795" i="7" s="1"/>
  <c r="B1796" i="7" a="1"/>
  <c r="B1796" i="7" s="1"/>
  <c r="C1796" i="7" s="1"/>
  <c r="B1797" i="7" a="1"/>
  <c r="B1797" i="7" s="1"/>
  <c r="C1797" i="7" s="1"/>
  <c r="B1798" i="7" a="1"/>
  <c r="B1798" i="7" s="1"/>
  <c r="C1798" i="7" s="1"/>
  <c r="B1799" i="7" a="1"/>
  <c r="B1799" i="7" s="1"/>
  <c r="C1799" i="7" s="1"/>
  <c r="B1800" i="7" a="1"/>
  <c r="B1800" i="7" s="1"/>
  <c r="C1800" i="7" s="1"/>
  <c r="B1801" i="7" a="1"/>
  <c r="B1801" i="7" s="1"/>
  <c r="C1801" i="7" s="1"/>
  <c r="B1802" i="7" a="1"/>
  <c r="B1802" i="7" s="1"/>
  <c r="C1802" i="7" s="1"/>
  <c r="B1803" i="7" a="1"/>
  <c r="B1803" i="7" s="1"/>
  <c r="C1803" i="7" s="1"/>
  <c r="B1804" i="7" a="1"/>
  <c r="B1804" i="7" s="1"/>
  <c r="C1804" i="7" s="1"/>
  <c r="B1805" i="7" a="1"/>
  <c r="B1805" i="7" s="1"/>
  <c r="C1805" i="7" s="1"/>
  <c r="B1806" i="7" a="1"/>
  <c r="B1806" i="7" s="1"/>
  <c r="C1806" i="7" s="1"/>
  <c r="B1807" i="7" a="1"/>
  <c r="B1807" i="7" s="1"/>
  <c r="C1807" i="7" s="1"/>
  <c r="B1808" i="7" a="1"/>
  <c r="B1808" i="7" s="1"/>
  <c r="C1808" i="7" s="1"/>
  <c r="B1809" i="7" a="1"/>
  <c r="B1809" i="7" s="1"/>
  <c r="C1809" i="7" s="1"/>
  <c r="B1810" i="7" a="1"/>
  <c r="B1810" i="7" s="1"/>
  <c r="C1810" i="7" s="1"/>
  <c r="B1811" i="7" a="1"/>
  <c r="B1811" i="7" s="1"/>
  <c r="C1811" i="7" s="1"/>
  <c r="B1812" i="7" a="1"/>
  <c r="B1812" i="7" s="1"/>
  <c r="C1812" i="7" s="1"/>
  <c r="B1813" i="7" a="1"/>
  <c r="B1813" i="7"/>
  <c r="C1813" i="7" s="1"/>
  <c r="B1814" i="7" a="1"/>
  <c r="B1814" i="7" s="1"/>
  <c r="C1814" i="7" s="1"/>
  <c r="B1815" i="7" a="1"/>
  <c r="B1815" i="7" s="1"/>
  <c r="C1815" i="7" s="1"/>
  <c r="B1816" i="7" a="1"/>
  <c r="B1816" i="7" s="1"/>
  <c r="C1816" i="7" s="1"/>
  <c r="B1817" i="7" a="1"/>
  <c r="B1817" i="7" s="1"/>
  <c r="C1817" i="7" s="1"/>
  <c r="B1818" i="7" a="1"/>
  <c r="B1818" i="7" s="1"/>
  <c r="C1818" i="7" s="1"/>
  <c r="B1819" i="7" a="1"/>
  <c r="B1819" i="7" s="1"/>
  <c r="C1819" i="7" s="1"/>
  <c r="B1820" i="7" a="1"/>
  <c r="B1820" i="7" s="1"/>
  <c r="C1820" i="7" s="1"/>
  <c r="B1821" i="7" a="1"/>
  <c r="B1821" i="7"/>
  <c r="C1821" i="7" s="1"/>
  <c r="B1822" i="7" a="1"/>
  <c r="B1822" i="7" s="1"/>
  <c r="C1822" i="7" s="1"/>
  <c r="B1823" i="7" a="1"/>
  <c r="B1823" i="7" s="1"/>
  <c r="C1823" i="7" s="1"/>
  <c r="B1824" i="7" a="1"/>
  <c r="B1824" i="7" s="1"/>
  <c r="C1824" i="7" s="1"/>
  <c r="B1825" i="7" a="1"/>
  <c r="B1825" i="7" s="1"/>
  <c r="C1825" i="7" s="1"/>
  <c r="B1826" i="7" a="1"/>
  <c r="B1826" i="7" s="1"/>
  <c r="C1826" i="7" s="1"/>
  <c r="B1827" i="7" a="1"/>
  <c r="B1827" i="7" s="1"/>
  <c r="C1827" i="7" s="1"/>
  <c r="B1828" i="7" a="1"/>
  <c r="B1828" i="7" s="1"/>
  <c r="C1828" i="7" s="1"/>
  <c r="B1829" i="7" a="1"/>
  <c r="B1829" i="7" s="1"/>
  <c r="C1829" i="7" s="1"/>
  <c r="B1830" i="7" a="1"/>
  <c r="B1830" i="7" s="1"/>
  <c r="C1830" i="7" s="1"/>
  <c r="B1831" i="7" a="1"/>
  <c r="B1831" i="7" s="1"/>
  <c r="C1831" i="7" s="1"/>
  <c r="B1832" i="7" a="1"/>
  <c r="B1832" i="7" s="1"/>
  <c r="C1832" i="7" s="1"/>
  <c r="B1833" i="7" a="1"/>
  <c r="B1833" i="7" s="1"/>
  <c r="C1833" i="7" s="1"/>
  <c r="B1834" i="7" a="1"/>
  <c r="B1834" i="7" s="1"/>
  <c r="C1834" i="7" s="1"/>
  <c r="B1835" i="7" a="1"/>
  <c r="B1835" i="7" s="1"/>
  <c r="C1835" i="7" s="1"/>
  <c r="B1836" i="7" a="1"/>
  <c r="B1836" i="7" s="1"/>
  <c r="C1836" i="7" s="1"/>
  <c r="B1837" i="7" a="1"/>
  <c r="B1837" i="7" s="1"/>
  <c r="C1837" i="7" s="1"/>
  <c r="B1838" i="7" a="1"/>
  <c r="B1838" i="7" s="1"/>
  <c r="C1838" i="7" s="1"/>
  <c r="B1839" i="7" a="1"/>
  <c r="B1839" i="7" s="1"/>
  <c r="C1839" i="7" s="1"/>
  <c r="B1840" i="7" a="1"/>
  <c r="B1840" i="7" s="1"/>
  <c r="C1840" i="7" s="1"/>
  <c r="B1841" i="7" a="1"/>
  <c r="B1841" i="7" s="1"/>
  <c r="C1841" i="7" s="1"/>
  <c r="B1842" i="7" a="1"/>
  <c r="B1842" i="7" s="1"/>
  <c r="C1842" i="7" s="1"/>
  <c r="B1843" i="7" a="1"/>
  <c r="B1843" i="7" s="1"/>
  <c r="C1843" i="7" s="1"/>
  <c r="B1844" i="7" a="1"/>
  <c r="B1844" i="7" s="1"/>
  <c r="C1844" i="7" s="1"/>
  <c r="B1845" i="7" a="1"/>
  <c r="B1845" i="7" s="1"/>
  <c r="C1845" i="7" s="1"/>
  <c r="B1846" i="7" a="1"/>
  <c r="B1846" i="7" s="1"/>
  <c r="C1846" i="7" s="1"/>
  <c r="B1847" i="7" a="1"/>
  <c r="B1847" i="7" s="1"/>
  <c r="C1847" i="7" s="1"/>
  <c r="B1848" i="7" a="1"/>
  <c r="B1848" i="7" s="1"/>
  <c r="C1848" i="7" s="1"/>
  <c r="B1849" i="7" a="1"/>
  <c r="B1849" i="7" s="1"/>
  <c r="C1849" i="7" s="1"/>
  <c r="B1850" i="7" a="1"/>
  <c r="B1850" i="7" s="1"/>
  <c r="C1850" i="7" s="1"/>
  <c r="B1851" i="7" a="1"/>
  <c r="B1851" i="7" s="1"/>
  <c r="C1851" i="7" s="1"/>
  <c r="B1852" i="7" a="1"/>
  <c r="B1852" i="7" s="1"/>
  <c r="C1852" i="7" s="1"/>
  <c r="B1853" i="7" a="1"/>
  <c r="B1853" i="7" s="1"/>
  <c r="C1853" i="7" s="1"/>
  <c r="B1854" i="7" a="1"/>
  <c r="B1854" i="7" s="1"/>
  <c r="C1854" i="7" s="1"/>
  <c r="B1855" i="7" a="1"/>
  <c r="B1855" i="7" s="1"/>
  <c r="C1855" i="7" s="1"/>
  <c r="B1856" i="7" a="1"/>
  <c r="B1856" i="7" s="1"/>
  <c r="C1856" i="7" s="1"/>
  <c r="B1857" i="7" a="1"/>
  <c r="B1857" i="7" s="1"/>
  <c r="C1857" i="7" s="1"/>
  <c r="B1858" i="7" a="1"/>
  <c r="B1858" i="7" s="1"/>
  <c r="C1858" i="7" s="1"/>
  <c r="B1859" i="7" a="1"/>
  <c r="B1859" i="7" s="1"/>
  <c r="C1859" i="7" s="1"/>
  <c r="B1860" i="7" a="1"/>
  <c r="B1860" i="7" s="1"/>
  <c r="C1860" i="7" s="1"/>
  <c r="B1861" i="7" a="1"/>
  <c r="B1861" i="7" s="1"/>
  <c r="C1861" i="7" s="1"/>
  <c r="B1862" i="7" a="1"/>
  <c r="B1862" i="7" s="1"/>
  <c r="C1862" i="7" s="1"/>
  <c r="B1863" i="7" a="1"/>
  <c r="B1863" i="7" s="1"/>
  <c r="C1863" i="7" s="1"/>
  <c r="B1864" i="7" a="1"/>
  <c r="B1864" i="7" s="1"/>
  <c r="C1864" i="7" s="1"/>
  <c r="B1865" i="7" a="1"/>
  <c r="B1865" i="7" s="1"/>
  <c r="C1865" i="7" s="1"/>
  <c r="B1866" i="7" a="1"/>
  <c r="B1866" i="7" s="1"/>
  <c r="C1866" i="7" s="1"/>
  <c r="B1867" i="7" a="1"/>
  <c r="B1867" i="7" s="1"/>
  <c r="C1867" i="7" s="1"/>
  <c r="B1868" i="7" a="1"/>
  <c r="B1868" i="7" s="1"/>
  <c r="C1868" i="7" s="1"/>
  <c r="B1869" i="7" a="1"/>
  <c r="B1869" i="7" s="1"/>
  <c r="C1869" i="7" s="1"/>
  <c r="B1870" i="7" a="1"/>
  <c r="B1870" i="7" s="1"/>
  <c r="C1870" i="7" s="1"/>
  <c r="B1871" i="7" a="1"/>
  <c r="B1871" i="7" s="1"/>
  <c r="C1871" i="7" s="1"/>
  <c r="B1872" i="7" a="1"/>
  <c r="B1872" i="7" s="1"/>
  <c r="C1872" i="7" s="1"/>
  <c r="B1873" i="7" a="1"/>
  <c r="B1873" i="7" s="1"/>
  <c r="C1873" i="7" s="1"/>
  <c r="B1874" i="7" a="1"/>
  <c r="B1874" i="7" s="1"/>
  <c r="C1874" i="7" s="1"/>
  <c r="B1875" i="7" a="1"/>
  <c r="B1875" i="7"/>
  <c r="C1875" i="7" s="1"/>
  <c r="B1876" i="7" a="1"/>
  <c r="B1876" i="7" s="1"/>
  <c r="C1876" i="7" s="1"/>
  <c r="B1877" i="7" a="1"/>
  <c r="B1877" i="7" s="1"/>
  <c r="C1877" i="7" s="1"/>
  <c r="B1878" i="7" a="1"/>
  <c r="B1878" i="7" s="1"/>
  <c r="C1878" i="7" s="1"/>
  <c r="B1879" i="7" a="1"/>
  <c r="B1879" i="7" s="1"/>
  <c r="C1879" i="7" s="1"/>
  <c r="B1880" i="7" a="1"/>
  <c r="B1880" i="7" s="1"/>
  <c r="C1880" i="7" s="1"/>
  <c r="B1881" i="7" a="1"/>
  <c r="B1881" i="7" s="1"/>
  <c r="C1881" i="7" s="1"/>
  <c r="B1882" i="7" a="1"/>
  <c r="B1882" i="7" s="1"/>
  <c r="C1882" i="7" s="1"/>
  <c r="B1883" i="7" a="1"/>
  <c r="B1883" i="7" s="1"/>
  <c r="C1883" i="7" s="1"/>
  <c r="B1884" i="7" a="1"/>
  <c r="B1884" i="7" s="1"/>
  <c r="C1884" i="7" s="1"/>
  <c r="B1885" i="7" a="1"/>
  <c r="B1885" i="7" s="1"/>
  <c r="C1885" i="7" s="1"/>
  <c r="B1886" i="7" a="1"/>
  <c r="B1886" i="7" s="1"/>
  <c r="C1886" i="7" s="1"/>
  <c r="B1887" i="7" a="1"/>
  <c r="B1887" i="7" s="1"/>
  <c r="C1887" i="7" s="1"/>
  <c r="B1888" i="7" a="1"/>
  <c r="B1888" i="7" s="1"/>
  <c r="C1888" i="7" s="1"/>
  <c r="B1889" i="7" a="1"/>
  <c r="B1889" i="7" s="1"/>
  <c r="C1889" i="7" s="1"/>
  <c r="B1890" i="7" a="1"/>
  <c r="B1890" i="7" s="1"/>
  <c r="C1890" i="7" s="1"/>
  <c r="B1891" i="7" a="1"/>
  <c r="B1891" i="7" s="1"/>
  <c r="C1891" i="7" s="1"/>
  <c r="B1892" i="7" a="1"/>
  <c r="B1892" i="7" s="1"/>
  <c r="C1892" i="7" s="1"/>
  <c r="B1893" i="7" a="1"/>
  <c r="B1893" i="7" s="1"/>
  <c r="C1893" i="7" s="1"/>
  <c r="B1894" i="7" a="1"/>
  <c r="B1894" i="7" s="1"/>
  <c r="C1894" i="7" s="1"/>
  <c r="B1895" i="7" a="1"/>
  <c r="B1895" i="7" s="1"/>
  <c r="C1895" i="7" s="1"/>
  <c r="B1896" i="7" a="1"/>
  <c r="B1896" i="7" s="1"/>
  <c r="C1896" i="7" s="1"/>
  <c r="B1897" i="7" a="1"/>
  <c r="B1897" i="7" s="1"/>
  <c r="C1897" i="7" s="1"/>
  <c r="B1898" i="7" a="1"/>
  <c r="B1898" i="7" s="1"/>
  <c r="C1898" i="7" s="1"/>
  <c r="B1899" i="7" a="1"/>
  <c r="B1899" i="7" s="1"/>
  <c r="C1899" i="7" s="1"/>
  <c r="B1900" i="7" a="1"/>
  <c r="B1900" i="7" s="1"/>
  <c r="C1900" i="7" s="1"/>
  <c r="B1901" i="7" a="1"/>
  <c r="B1901" i="7" s="1"/>
  <c r="C1901" i="7" s="1"/>
  <c r="B1902" i="7" a="1"/>
  <c r="B1902" i="7" s="1"/>
  <c r="C1902" i="7" s="1"/>
  <c r="B1903" i="7" a="1"/>
  <c r="B1903" i="7" s="1"/>
  <c r="C1903" i="7" s="1"/>
  <c r="B1904" i="7" a="1"/>
  <c r="B1904" i="7" s="1"/>
  <c r="C1904" i="7" s="1"/>
  <c r="B1905" i="7" a="1"/>
  <c r="B1905" i="7" s="1"/>
  <c r="C1905" i="7" s="1"/>
  <c r="B1906" i="7" a="1"/>
  <c r="B1906" i="7" s="1"/>
  <c r="C1906" i="7" s="1"/>
  <c r="B1907" i="7" a="1"/>
  <c r="B1907" i="7" s="1"/>
  <c r="C1907" i="7" s="1"/>
  <c r="B1908" i="7" a="1"/>
  <c r="B1908" i="7" s="1"/>
  <c r="C1908" i="7" s="1"/>
  <c r="B1909" i="7" a="1"/>
  <c r="B1909" i="7" s="1"/>
  <c r="C1909" i="7" s="1"/>
  <c r="B1910" i="7" a="1"/>
  <c r="B1910" i="7" s="1"/>
  <c r="C1910" i="7" s="1"/>
  <c r="B1911" i="7" a="1"/>
  <c r="B1911" i="7" s="1"/>
  <c r="C1911" i="7" s="1"/>
  <c r="B1912" i="7" a="1"/>
  <c r="B1912" i="7" s="1"/>
  <c r="C1912" i="7" s="1"/>
  <c r="B1913" i="7" a="1"/>
  <c r="B1913" i="7" s="1"/>
  <c r="C1913" i="7" s="1"/>
  <c r="B1914" i="7" a="1"/>
  <c r="B1914" i="7" s="1"/>
  <c r="C1914" i="7" s="1"/>
  <c r="B1915" i="7" a="1"/>
  <c r="B1915" i="7" s="1"/>
  <c r="C1915" i="7" s="1"/>
  <c r="B1916" i="7" a="1"/>
  <c r="B1916" i="7" s="1"/>
  <c r="C1916" i="7" s="1"/>
  <c r="B1917" i="7" a="1"/>
  <c r="B1917" i="7" s="1"/>
  <c r="C1917" i="7" s="1"/>
  <c r="B1918" i="7" a="1"/>
  <c r="B1918" i="7" s="1"/>
  <c r="C1918" i="7" s="1"/>
  <c r="B1919" i="7" a="1"/>
  <c r="B1919" i="7" s="1"/>
  <c r="C1919" i="7" s="1"/>
  <c r="B1920" i="7" a="1"/>
  <c r="B1920" i="7" s="1"/>
  <c r="C1920" i="7" s="1"/>
  <c r="B1921" i="7" a="1"/>
  <c r="B1921" i="7" s="1"/>
  <c r="C1921" i="7" s="1"/>
  <c r="B1922" i="7" a="1"/>
  <c r="B1922" i="7" s="1"/>
  <c r="C1922" i="7" s="1"/>
  <c r="B1923" i="7" a="1"/>
  <c r="B1923" i="7" s="1"/>
  <c r="C1923" i="7" s="1"/>
  <c r="B1924" i="7" a="1"/>
  <c r="B1924" i="7" s="1"/>
  <c r="C1924" i="7" s="1"/>
  <c r="B1925" i="7" a="1"/>
  <c r="B1925" i="7" s="1"/>
  <c r="C1925" i="7" s="1"/>
  <c r="B1926" i="7" a="1"/>
  <c r="B1926" i="7" s="1"/>
  <c r="C1926" i="7" s="1"/>
  <c r="B1927" i="7" a="1"/>
  <c r="B1927" i="7" s="1"/>
  <c r="C1927" i="7" s="1"/>
  <c r="B1928" i="7" a="1"/>
  <c r="B1928" i="7" s="1"/>
  <c r="C1928" i="7" s="1"/>
  <c r="B1929" i="7" a="1"/>
  <c r="B1929" i="7" s="1"/>
  <c r="C1929" i="7" s="1"/>
  <c r="B1930" i="7" a="1"/>
  <c r="B1930" i="7" s="1"/>
  <c r="C1930" i="7" s="1"/>
  <c r="B1931" i="7" a="1"/>
  <c r="B1931" i="7" s="1"/>
  <c r="C1931" i="7" s="1"/>
  <c r="B1932" i="7" a="1"/>
  <c r="B1932" i="7" s="1"/>
  <c r="C1932" i="7" s="1"/>
  <c r="B1933" i="7" a="1"/>
  <c r="B1933" i="7" s="1"/>
  <c r="C1933" i="7" s="1"/>
  <c r="B1934" i="7" a="1"/>
  <c r="B1934" i="7" s="1"/>
  <c r="C1934" i="7" s="1"/>
  <c r="B1935" i="7" a="1"/>
  <c r="B1935" i="7" s="1"/>
  <c r="C1935" i="7" s="1"/>
  <c r="B1936" i="7" a="1"/>
  <c r="B1936" i="7" s="1"/>
  <c r="C1936" i="7" s="1"/>
  <c r="B1937" i="7" a="1"/>
  <c r="B1937" i="7" s="1"/>
  <c r="C1937" i="7" s="1"/>
  <c r="B1938" i="7" a="1"/>
  <c r="B1938" i="7" s="1"/>
  <c r="C1938" i="7" s="1"/>
  <c r="B1939" i="7" a="1"/>
  <c r="B1939" i="7" s="1"/>
  <c r="C1939" i="7" s="1"/>
  <c r="B1940" i="7" a="1"/>
  <c r="B1940" i="7" s="1"/>
  <c r="C1940" i="7" s="1"/>
  <c r="B1941" i="7" a="1"/>
  <c r="B1941" i="7" s="1"/>
  <c r="C1941" i="7" s="1"/>
  <c r="B1942" i="7" a="1"/>
  <c r="B1942" i="7" s="1"/>
  <c r="C1942" i="7" s="1"/>
  <c r="B1943" i="7" a="1"/>
  <c r="B1943" i="7" s="1"/>
  <c r="C1943" i="7" s="1"/>
  <c r="B1944" i="7" a="1"/>
  <c r="B1944" i="7" s="1"/>
  <c r="C1944" i="7" s="1"/>
  <c r="B1945" i="7" a="1"/>
  <c r="B1945" i="7" s="1"/>
  <c r="C1945" i="7" s="1"/>
  <c r="B1946" i="7" a="1"/>
  <c r="B1946" i="7" s="1"/>
  <c r="C1946" i="7" s="1"/>
  <c r="B1947" i="7" a="1"/>
  <c r="B1947" i="7" s="1"/>
  <c r="C1947" i="7" s="1"/>
  <c r="B1948" i="7" a="1"/>
  <c r="B1948" i="7" s="1"/>
  <c r="C1948" i="7" s="1"/>
  <c r="B1949" i="7" a="1"/>
  <c r="B1949" i="7" s="1"/>
  <c r="C1949" i="7" s="1"/>
  <c r="B1950" i="7" a="1"/>
  <c r="B1950" i="7" s="1"/>
  <c r="C1950" i="7" s="1"/>
  <c r="B1951" i="7" a="1"/>
  <c r="B1951" i="7" s="1"/>
  <c r="C1951" i="7" s="1"/>
  <c r="B1952" i="7" a="1"/>
  <c r="B1952" i="7" s="1"/>
  <c r="C1952" i="7" s="1"/>
  <c r="B1953" i="7" a="1"/>
  <c r="B1953" i="7" s="1"/>
  <c r="C1953" i="7" s="1"/>
  <c r="B1954" i="7" a="1"/>
  <c r="B1954" i="7" s="1"/>
  <c r="C1954" i="7" s="1"/>
  <c r="B1955" i="7" a="1"/>
  <c r="B1955" i="7"/>
  <c r="C1955" i="7" s="1"/>
  <c r="B1956" i="7" a="1"/>
  <c r="B1956" i="7" s="1"/>
  <c r="C1956" i="7" s="1"/>
  <c r="B1957" i="7" a="1"/>
  <c r="B1957" i="7" s="1"/>
  <c r="C1957" i="7" s="1"/>
  <c r="B1958" i="7" a="1"/>
  <c r="B1958" i="7" s="1"/>
  <c r="C1958" i="7" s="1"/>
  <c r="B1959" i="7" a="1"/>
  <c r="B1959" i="7" s="1"/>
  <c r="C1959" i="7" s="1"/>
  <c r="B1960" i="7" a="1"/>
  <c r="B1960" i="7" s="1"/>
  <c r="C1960" i="7" s="1"/>
  <c r="B1961" i="7" a="1"/>
  <c r="B1961" i="7" s="1"/>
  <c r="C1961" i="7" s="1"/>
  <c r="B1962" i="7" a="1"/>
  <c r="B1962" i="7" s="1"/>
  <c r="C1962" i="7" s="1"/>
  <c r="B1963" i="7" a="1"/>
  <c r="B1963" i="7" s="1"/>
  <c r="C1963" i="7" s="1"/>
  <c r="B1964" i="7" a="1"/>
  <c r="B1964" i="7" s="1"/>
  <c r="C1964" i="7" s="1"/>
  <c r="B1965" i="7" a="1"/>
  <c r="B1965" i="7" s="1"/>
  <c r="C1965" i="7" s="1"/>
  <c r="B1966" i="7" a="1"/>
  <c r="B1966" i="7" s="1"/>
  <c r="C1966" i="7" s="1"/>
  <c r="B1967" i="7" a="1"/>
  <c r="B1967" i="7" s="1"/>
  <c r="C1967" i="7" s="1"/>
  <c r="B1968" i="7" a="1"/>
  <c r="B1968" i="7" s="1"/>
  <c r="C1968" i="7" s="1"/>
  <c r="B1969" i="7" a="1"/>
  <c r="B1969" i="7" s="1"/>
  <c r="C1969" i="7" s="1"/>
  <c r="B1970" i="7" a="1"/>
  <c r="B1970" i="7" s="1"/>
  <c r="C1970" i="7" s="1"/>
  <c r="B1971" i="7" a="1"/>
  <c r="B1971" i="7"/>
  <c r="C1971" i="7" s="1"/>
  <c r="B1972" i="7" a="1"/>
  <c r="B1972" i="7" s="1"/>
  <c r="C1972" i="7" s="1"/>
  <c r="B1973" i="7" a="1"/>
  <c r="B1973" i="7" s="1"/>
  <c r="C1973" i="7" s="1"/>
  <c r="B1974" i="7" a="1"/>
  <c r="B1974" i="7" s="1"/>
  <c r="C1974" i="7" s="1"/>
  <c r="B1975" i="7" a="1"/>
  <c r="B1975" i="7" s="1"/>
  <c r="C1975" i="7" s="1"/>
  <c r="B1976" i="7" a="1"/>
  <c r="B1976" i="7" s="1"/>
  <c r="C1976" i="7" s="1"/>
  <c r="B1977" i="7" a="1"/>
  <c r="B1977" i="7" s="1"/>
  <c r="C1977" i="7" s="1"/>
  <c r="B1978" i="7" a="1"/>
  <c r="B1978" i="7" s="1"/>
  <c r="C1978" i="7" s="1"/>
  <c r="B1979" i="7" a="1"/>
  <c r="B1979" i="7" s="1"/>
  <c r="C1979" i="7" s="1"/>
  <c r="B1980" i="7" a="1"/>
  <c r="B1980" i="7" s="1"/>
  <c r="C1980" i="7" s="1"/>
  <c r="B1981" i="7" a="1"/>
  <c r="B1981" i="7" s="1"/>
  <c r="C1981" i="7" s="1"/>
  <c r="B1982" i="7" a="1"/>
  <c r="B1982" i="7" s="1"/>
  <c r="C1982" i="7" s="1"/>
  <c r="B1983" i="7" a="1"/>
  <c r="B1983" i="7" s="1"/>
  <c r="C1983" i="7" s="1"/>
  <c r="B1984" i="7" a="1"/>
  <c r="B1984" i="7" s="1"/>
  <c r="C1984" i="7" s="1"/>
  <c r="B1985" i="7" a="1"/>
  <c r="B1985" i="7" s="1"/>
  <c r="C1985" i="7" s="1"/>
  <c r="B1986" i="7" a="1"/>
  <c r="B1986" i="7" s="1"/>
  <c r="C1986" i="7" s="1"/>
  <c r="B1987" i="7" a="1"/>
  <c r="B1987" i="7" s="1"/>
  <c r="C1987" i="7" s="1"/>
  <c r="B1988" i="7" a="1"/>
  <c r="B1988" i="7" s="1"/>
  <c r="C1988" i="7" s="1"/>
  <c r="B1989" i="7" a="1"/>
  <c r="B1989" i="7" s="1"/>
  <c r="C1989" i="7" s="1"/>
  <c r="B1990" i="7" a="1"/>
  <c r="B1990" i="7" s="1"/>
  <c r="C1990" i="7" s="1"/>
  <c r="B1991" i="7" a="1"/>
  <c r="B1991" i="7" s="1"/>
  <c r="C1991" i="7" s="1"/>
  <c r="B1992" i="7" a="1"/>
  <c r="B1992" i="7" s="1"/>
  <c r="C1992" i="7" s="1"/>
  <c r="B1993" i="7" a="1"/>
  <c r="B1993" i="7" s="1"/>
  <c r="C1993" i="7" s="1"/>
  <c r="B1994" i="7" a="1"/>
  <c r="B1994" i="7" s="1"/>
  <c r="C1994" i="7" s="1"/>
  <c r="B1995" i="7" a="1"/>
  <c r="B1995" i="7" s="1"/>
  <c r="C1995" i="7" s="1"/>
  <c r="B1996" i="7" a="1"/>
  <c r="B1996" i="7" s="1"/>
  <c r="C1996" i="7" s="1"/>
  <c r="B1997" i="7" a="1"/>
  <c r="B1997" i="7" s="1"/>
  <c r="C1997" i="7" s="1"/>
  <c r="B1998" i="7" a="1"/>
  <c r="B1998" i="7" s="1"/>
  <c r="C1998" i="7" s="1"/>
  <c r="B1999" i="7" a="1"/>
  <c r="B1999" i="7" s="1"/>
  <c r="C1999" i="7" s="1"/>
  <c r="B2000" i="7" a="1"/>
  <c r="B2000" i="7" s="1"/>
  <c r="C2000" i="7" s="1"/>
  <c r="B2001" i="7" a="1"/>
  <c r="B2001" i="7" s="1"/>
  <c r="C2001" i="7" s="1"/>
  <c r="B2002" i="7" a="1"/>
  <c r="B2002" i="7" s="1"/>
  <c r="C2002" i="7" s="1"/>
  <c r="B2003" i="7" a="1"/>
  <c r="B2003" i="7" s="1"/>
  <c r="C2003" i="7" s="1"/>
  <c r="B2004" i="7" a="1"/>
  <c r="B2004" i="7" s="1"/>
  <c r="C2004" i="7" s="1"/>
  <c r="B2005" i="7" a="1"/>
  <c r="B2005" i="7" s="1"/>
  <c r="C2005" i="7" s="1"/>
  <c r="B2006" i="7" a="1"/>
  <c r="B2006" i="7" s="1"/>
  <c r="C2006" i="7" s="1"/>
  <c r="B2007" i="7" a="1"/>
  <c r="B2007" i="7" s="1"/>
  <c r="C2007" i="7" s="1"/>
  <c r="B2008" i="7" a="1"/>
  <c r="B2008" i="7" s="1"/>
  <c r="C2008" i="7" s="1"/>
  <c r="B2009" i="7" a="1"/>
  <c r="B2009" i="7" s="1"/>
  <c r="C2009" i="7" s="1"/>
  <c r="B2010" i="7" a="1"/>
  <c r="B2010" i="7" s="1"/>
  <c r="C2010" i="7" s="1"/>
  <c r="B2011" i="7" a="1"/>
  <c r="B2011" i="7" s="1"/>
  <c r="C2011" i="7" s="1"/>
  <c r="B2012" i="7" a="1"/>
  <c r="B2012" i="7" s="1"/>
  <c r="C2012" i="7" s="1"/>
  <c r="B2013" i="7" a="1"/>
  <c r="B2013" i="7" s="1"/>
  <c r="C2013" i="7" s="1"/>
  <c r="B2014" i="7" a="1"/>
  <c r="B2014" i="7" s="1"/>
  <c r="C2014" i="7" s="1"/>
  <c r="B2015" i="7" a="1"/>
  <c r="B2015" i="7" s="1"/>
  <c r="C2015" i="7" s="1"/>
  <c r="B2016" i="7" a="1"/>
  <c r="B2016" i="7" s="1"/>
  <c r="C2016" i="7" s="1"/>
  <c r="B2017" i="7" a="1"/>
  <c r="B2017" i="7" s="1"/>
  <c r="C2017" i="7" s="1"/>
  <c r="B2018" i="7" a="1"/>
  <c r="B2018" i="7" s="1"/>
  <c r="C2018" i="7" s="1"/>
  <c r="B2019" i="7" a="1"/>
  <c r="B2019" i="7"/>
  <c r="C2019" i="7" s="1"/>
  <c r="B2020" i="7" a="1"/>
  <c r="B2020" i="7" s="1"/>
  <c r="C2020" i="7" s="1"/>
  <c r="B2021" i="7" a="1"/>
  <c r="B2021" i="7" s="1"/>
  <c r="C2021" i="7" s="1"/>
  <c r="B2022" i="7" a="1"/>
  <c r="B2022" i="7" s="1"/>
  <c r="C2022" i="7" s="1"/>
  <c r="B2023" i="7" a="1"/>
  <c r="B2023" i="7" s="1"/>
  <c r="C2023" i="7" s="1"/>
  <c r="B2024" i="7" a="1"/>
  <c r="B2024" i="7" s="1"/>
  <c r="C2024" i="7" s="1"/>
  <c r="B2025" i="7" a="1"/>
  <c r="B2025" i="7" s="1"/>
  <c r="C2025" i="7" s="1"/>
  <c r="B2026" i="7" a="1"/>
  <c r="B2026" i="7" s="1"/>
  <c r="C2026" i="7" s="1"/>
  <c r="B2027" i="7" a="1"/>
  <c r="B2027" i="7" s="1"/>
  <c r="C2027" i="7" s="1"/>
  <c r="B2028" i="7" a="1"/>
  <c r="B2028" i="7" s="1"/>
  <c r="C2028" i="7" s="1"/>
  <c r="B2029" i="7" a="1"/>
  <c r="B2029" i="7" s="1"/>
  <c r="C2029" i="7" s="1"/>
  <c r="B2030" i="7" a="1"/>
  <c r="B2030" i="7" s="1"/>
  <c r="C2030" i="7" s="1"/>
  <c r="B2031" i="7" a="1"/>
  <c r="B2031" i="7" s="1"/>
  <c r="C2031" i="7" s="1"/>
  <c r="B2032" i="7" a="1"/>
  <c r="B2032" i="7" s="1"/>
  <c r="C2032" i="7" s="1"/>
  <c r="B2033" i="7" a="1"/>
  <c r="B2033" i="7" s="1"/>
  <c r="C2033" i="7" s="1"/>
  <c r="B2034" i="7" a="1"/>
  <c r="B2034" i="7" s="1"/>
  <c r="C2034" i="7" s="1"/>
  <c r="B2035" i="7" a="1"/>
  <c r="B2035" i="7" s="1"/>
  <c r="C2035" i="7" s="1"/>
  <c r="B2036" i="7" a="1"/>
  <c r="B2036" i="7" s="1"/>
  <c r="C2036" i="7" s="1"/>
  <c r="B2037" i="7" a="1"/>
  <c r="B2037" i="7" s="1"/>
  <c r="C2037" i="7" s="1"/>
  <c r="B2038" i="7" a="1"/>
  <c r="B2038" i="7" s="1"/>
  <c r="C2038" i="7" s="1"/>
  <c r="B2039" i="7" a="1"/>
  <c r="B2039" i="7" s="1"/>
  <c r="C2039" i="7" s="1"/>
  <c r="B2040" i="7" a="1"/>
  <c r="B2040" i="7" s="1"/>
  <c r="C2040" i="7" s="1"/>
  <c r="B2041" i="7" a="1"/>
  <c r="B2041" i="7" s="1"/>
  <c r="C2041" i="7" s="1"/>
  <c r="B2042" i="7" a="1"/>
  <c r="B2042" i="7" s="1"/>
  <c r="C2042" i="7" s="1"/>
  <c r="B2043" i="7" a="1"/>
  <c r="B2043" i="7" s="1"/>
  <c r="C2043" i="7" s="1"/>
  <c r="B2044" i="7" a="1"/>
  <c r="B2044" i="7" s="1"/>
  <c r="C2044" i="7" s="1"/>
  <c r="B2045" i="7" a="1"/>
  <c r="B2045" i="7" s="1"/>
  <c r="C2045" i="7" s="1"/>
  <c r="B2046" i="7" a="1"/>
  <c r="B2046" i="7" s="1"/>
  <c r="C2046" i="7" s="1"/>
  <c r="B2047" i="7" a="1"/>
  <c r="B2047" i="7" s="1"/>
  <c r="C2047" i="7" s="1"/>
  <c r="B2048" i="7" a="1"/>
  <c r="B2048" i="7" s="1"/>
  <c r="C2048" i="7" s="1"/>
  <c r="B2049" i="7" a="1"/>
  <c r="B2049" i="7" s="1"/>
  <c r="C2049" i="7" s="1"/>
  <c r="B2050" i="7" a="1"/>
  <c r="B2050" i="7" s="1"/>
  <c r="C2050" i="7" s="1"/>
  <c r="B2051" i="7" a="1"/>
  <c r="B2051" i="7" s="1"/>
  <c r="C2051" i="7" s="1"/>
  <c r="B2052" i="7" a="1"/>
  <c r="B2052" i="7" s="1"/>
  <c r="C2052" i="7" s="1"/>
  <c r="B2053" i="7" a="1"/>
  <c r="B2053" i="7" s="1"/>
  <c r="C2053" i="7" s="1"/>
  <c r="B2054" i="7" a="1"/>
  <c r="B2054" i="7" s="1"/>
  <c r="C2054" i="7" s="1"/>
  <c r="B2055" i="7" a="1"/>
  <c r="B2055" i="7" s="1"/>
  <c r="C2055" i="7" s="1"/>
  <c r="B2056" i="7" a="1"/>
  <c r="B2056" i="7" s="1"/>
  <c r="C2056" i="7" s="1"/>
  <c r="B2057" i="7" a="1"/>
  <c r="B2057" i="7" s="1"/>
  <c r="C2057" i="7" s="1"/>
  <c r="B2058" i="7" a="1"/>
  <c r="B2058" i="7" s="1"/>
  <c r="C2058" i="7" s="1"/>
  <c r="B2059" i="7" a="1"/>
  <c r="B2059" i="7" s="1"/>
  <c r="C2059" i="7" s="1"/>
  <c r="B2060" i="7" a="1"/>
  <c r="B2060" i="7" s="1"/>
  <c r="C2060" i="7" s="1"/>
  <c r="B2061" i="7" a="1"/>
  <c r="B2061" i="7" s="1"/>
  <c r="C2061" i="7" s="1"/>
  <c r="B2062" i="7" a="1"/>
  <c r="B2062" i="7" s="1"/>
  <c r="C2062" i="7" s="1"/>
  <c r="B2063" i="7" a="1"/>
  <c r="B2063" i="7" s="1"/>
  <c r="C2063" i="7" s="1"/>
  <c r="B2064" i="7" a="1"/>
  <c r="B2064" i="7" s="1"/>
  <c r="C2064" i="7" s="1"/>
  <c r="B2065" i="7" a="1"/>
  <c r="B2065" i="7" s="1"/>
  <c r="C2065" i="7" s="1"/>
  <c r="B2066" i="7" a="1"/>
  <c r="B2066" i="7" s="1"/>
  <c r="C2066" i="7" s="1"/>
  <c r="B2067" i="7" a="1"/>
  <c r="B2067" i="7"/>
  <c r="C2067" i="7" s="1"/>
  <c r="B2068" i="7" a="1"/>
  <c r="B2068" i="7" s="1"/>
  <c r="C2068" i="7" s="1"/>
  <c r="B2069" i="7" a="1"/>
  <c r="B2069" i="7" s="1"/>
  <c r="C2069" i="7" s="1"/>
  <c r="B2070" i="7" a="1"/>
  <c r="B2070" i="7" s="1"/>
  <c r="C2070" i="7" s="1"/>
  <c r="B2071" i="7" a="1"/>
  <c r="B2071" i="7" s="1"/>
  <c r="C2071" i="7" s="1"/>
  <c r="B2072" i="7" a="1"/>
  <c r="B2072" i="7" s="1"/>
  <c r="C2072" i="7" s="1"/>
  <c r="B2073" i="7" a="1"/>
  <c r="B2073" i="7" s="1"/>
  <c r="C2073" i="7" s="1"/>
  <c r="B2074" i="7" a="1"/>
  <c r="B2074" i="7" s="1"/>
  <c r="C2074" i="7" s="1"/>
  <c r="B2075" i="7" a="1"/>
  <c r="B2075" i="7" s="1"/>
  <c r="C2075" i="7" s="1"/>
  <c r="B2076" i="7" a="1"/>
  <c r="B2076" i="7" s="1"/>
  <c r="C2076" i="7" s="1"/>
  <c r="B2077" i="7" a="1"/>
  <c r="B2077" i="7" s="1"/>
  <c r="C2077" i="7" s="1"/>
  <c r="B2078" i="7" a="1"/>
  <c r="B2078" i="7" s="1"/>
  <c r="C2078" i="7" s="1"/>
  <c r="B2079" i="7" a="1"/>
  <c r="B2079" i="7" s="1"/>
  <c r="C2079" i="7" s="1"/>
  <c r="B2080" i="7" a="1"/>
  <c r="B2080" i="7" s="1"/>
  <c r="C2080" i="7" s="1"/>
  <c r="B2081" i="7" a="1"/>
  <c r="B2081" i="7" s="1"/>
  <c r="C2081" i="7" s="1"/>
  <c r="B2082" i="7" a="1"/>
  <c r="B2082" i="7" s="1"/>
  <c r="C2082" i="7" s="1"/>
  <c r="B2083" i="7" a="1"/>
  <c r="B2083" i="7" s="1"/>
  <c r="C2083" i="7" s="1"/>
  <c r="B2084" i="7" a="1"/>
  <c r="B2084" i="7" s="1"/>
  <c r="C2084" i="7" s="1"/>
  <c r="B2085" i="7" a="1"/>
  <c r="B2085" i="7" s="1"/>
  <c r="C2085" i="7" s="1"/>
  <c r="B2086" i="7" a="1"/>
  <c r="B2086" i="7" s="1"/>
  <c r="C2086" i="7" s="1"/>
  <c r="B2087" i="7" a="1"/>
  <c r="B2087" i="7" s="1"/>
  <c r="C2087" i="7" s="1"/>
  <c r="B2088" i="7" a="1"/>
  <c r="B2088" i="7" s="1"/>
  <c r="C2088" i="7" s="1"/>
  <c r="B2089" i="7" a="1"/>
  <c r="B2089" i="7" s="1"/>
  <c r="C2089" i="7" s="1"/>
  <c r="B2090" i="7" a="1"/>
  <c r="B2090" i="7" s="1"/>
  <c r="C2090" i="7" s="1"/>
  <c r="B2091" i="7" a="1"/>
  <c r="B2091" i="7" s="1"/>
  <c r="C2091" i="7" s="1"/>
  <c r="B2092" i="7" a="1"/>
  <c r="B2092" i="7" s="1"/>
  <c r="C2092" i="7" s="1"/>
  <c r="B2093" i="7" a="1"/>
  <c r="B2093" i="7" s="1"/>
  <c r="C2093" i="7" s="1"/>
  <c r="B2094" i="7" a="1"/>
  <c r="B2094" i="7" s="1"/>
  <c r="C2094" i="7" s="1"/>
  <c r="B2095" i="7" a="1"/>
  <c r="B2095" i="7" s="1"/>
  <c r="C2095" i="7" s="1"/>
  <c r="B2096" i="7" a="1"/>
  <c r="B2096" i="7" s="1"/>
  <c r="C2096" i="7" s="1"/>
  <c r="B2097" i="7" a="1"/>
  <c r="B2097" i="7" s="1"/>
  <c r="C2097" i="7" s="1"/>
  <c r="B2098" i="7" a="1"/>
  <c r="B2098" i="7" s="1"/>
  <c r="C2098" i="7" s="1"/>
  <c r="B2099" i="7" a="1"/>
  <c r="B2099" i="7"/>
  <c r="C2099" i="7" s="1"/>
  <c r="B2100" i="7" a="1"/>
  <c r="B2100" i="7" s="1"/>
  <c r="C2100" i="7" s="1"/>
  <c r="B2101" i="7" a="1"/>
  <c r="B2101" i="7" s="1"/>
  <c r="C2101" i="7" s="1"/>
  <c r="B2102" i="7" a="1"/>
  <c r="B2102" i="7" s="1"/>
  <c r="C2102" i="7" s="1"/>
  <c r="B2103" i="7" a="1"/>
  <c r="B2103" i="7" s="1"/>
  <c r="C2103" i="7" s="1"/>
  <c r="B2104" i="7" a="1"/>
  <c r="B2104" i="7" s="1"/>
  <c r="C2104" i="7" s="1"/>
  <c r="B2105" i="7" a="1"/>
  <c r="B2105" i="7" s="1"/>
  <c r="C2105" i="7" s="1"/>
  <c r="B2106" i="7" a="1"/>
  <c r="B2106" i="7" s="1"/>
  <c r="C2106" i="7" s="1"/>
  <c r="B2107" i="7" a="1"/>
  <c r="B2107" i="7" s="1"/>
  <c r="C2107" i="7" s="1"/>
  <c r="B2108" i="7" a="1"/>
  <c r="B2108" i="7" s="1"/>
  <c r="C2108" i="7" s="1"/>
  <c r="B2109" i="7" a="1"/>
  <c r="B2109" i="7" s="1"/>
  <c r="C2109" i="7" s="1"/>
  <c r="B2110" i="7" a="1"/>
  <c r="B2110" i="7" s="1"/>
  <c r="C2110" i="7" s="1"/>
  <c r="B2111" i="7" a="1"/>
  <c r="B2111" i="7" s="1"/>
  <c r="C2111" i="7" s="1"/>
  <c r="B2112" i="7" a="1"/>
  <c r="B2112" i="7" s="1"/>
  <c r="C2112" i="7" s="1"/>
  <c r="B2113" i="7" a="1"/>
  <c r="B2113" i="7" s="1"/>
  <c r="C2113" i="7" s="1"/>
  <c r="B2114" i="7" a="1"/>
  <c r="B2114" i="7" s="1"/>
  <c r="C2114" i="7" s="1"/>
  <c r="B2115" i="7" a="1"/>
  <c r="B2115" i="7" s="1"/>
  <c r="C2115" i="7" s="1"/>
  <c r="B2116" i="7" a="1"/>
  <c r="B2116" i="7" s="1"/>
  <c r="C2116" i="7" s="1"/>
  <c r="B2117" i="7" a="1"/>
  <c r="B2117" i="7" s="1"/>
  <c r="C2117" i="7" s="1"/>
  <c r="B2118" i="7" a="1"/>
  <c r="B2118" i="7" s="1"/>
  <c r="C2118" i="7" s="1"/>
  <c r="B2119" i="7" a="1"/>
  <c r="B2119" i="7" s="1"/>
  <c r="C2119" i="7" s="1"/>
  <c r="B2120" i="7" a="1"/>
  <c r="B2120" i="7" s="1"/>
  <c r="C2120" i="7" s="1"/>
  <c r="B2121" i="7" a="1"/>
  <c r="B2121" i="7" s="1"/>
  <c r="C2121" i="7" s="1"/>
  <c r="B2122" i="7" a="1"/>
  <c r="B2122" i="7" s="1"/>
  <c r="C2122" i="7" s="1"/>
  <c r="B2123" i="7" a="1"/>
  <c r="B2123" i="7" s="1"/>
  <c r="C2123" i="7" s="1"/>
  <c r="B2124" i="7" a="1"/>
  <c r="B2124" i="7" s="1"/>
  <c r="C2124" i="7" s="1"/>
  <c r="B2125" i="7" a="1"/>
  <c r="B2125" i="7" s="1"/>
  <c r="C2125" i="7" s="1"/>
  <c r="B2126" i="7" a="1"/>
  <c r="B2126" i="7" s="1"/>
  <c r="C2126" i="7" s="1"/>
  <c r="B2127" i="7" a="1"/>
  <c r="B2127" i="7" s="1"/>
  <c r="C2127" i="7" s="1"/>
  <c r="B2128" i="7" a="1"/>
  <c r="B2128" i="7" s="1"/>
  <c r="C2128" i="7" s="1"/>
  <c r="B2129" i="7" a="1"/>
  <c r="B2129" i="7" s="1"/>
  <c r="C2129" i="7" s="1"/>
  <c r="B2130" i="7" a="1"/>
  <c r="B2130" i="7" s="1"/>
  <c r="C2130" i="7" s="1"/>
  <c r="B2131" i="7" a="1"/>
  <c r="B2131" i="7" s="1"/>
  <c r="C2131" i="7" s="1"/>
  <c r="B2132" i="7" a="1"/>
  <c r="B2132" i="7" s="1"/>
  <c r="C2132" i="7" s="1"/>
  <c r="B2133" i="7" a="1"/>
  <c r="B2133" i="7" s="1"/>
  <c r="C2133" i="7" s="1"/>
  <c r="B2134" i="7" a="1"/>
  <c r="B2134" i="7" s="1"/>
  <c r="C2134" i="7" s="1"/>
  <c r="B2135" i="7" a="1"/>
  <c r="B2135" i="7" s="1"/>
  <c r="C2135" i="7" s="1"/>
  <c r="B2136" i="7" a="1"/>
  <c r="B2136" i="7" s="1"/>
  <c r="C2136" i="7" s="1"/>
  <c r="B2137" i="7" a="1"/>
  <c r="B2137" i="7" s="1"/>
  <c r="C2137" i="7" s="1"/>
  <c r="B2138" i="7" a="1"/>
  <c r="B2138" i="7" s="1"/>
  <c r="C2138" i="7" s="1"/>
  <c r="B2139" i="7" a="1"/>
  <c r="B2139" i="7"/>
  <c r="C2139" i="7" s="1"/>
  <c r="B2140" i="7" a="1"/>
  <c r="B2140" i="7" s="1"/>
  <c r="C2140" i="7" s="1"/>
  <c r="B2141" i="7" a="1"/>
  <c r="B2141" i="7" s="1"/>
  <c r="C2141" i="7" s="1"/>
  <c r="B2142" i="7" a="1"/>
  <c r="B2142" i="7" s="1"/>
  <c r="C2142" i="7" s="1"/>
  <c r="B2143" i="7" a="1"/>
  <c r="B2143" i="7" s="1"/>
  <c r="C2143" i="7" s="1"/>
  <c r="B2144" i="7" a="1"/>
  <c r="B2144" i="7" s="1"/>
  <c r="C2144" i="7" s="1"/>
  <c r="B2145" i="7" a="1"/>
  <c r="B2145" i="7" s="1"/>
  <c r="C2145" i="7" s="1"/>
  <c r="B2146" i="7" a="1"/>
  <c r="B2146" i="7" s="1"/>
  <c r="C2146" i="7" s="1"/>
  <c r="B2147" i="7" a="1"/>
  <c r="B2147" i="7" s="1"/>
  <c r="C2147" i="7" s="1"/>
  <c r="B2148" i="7" a="1"/>
  <c r="B2148" i="7" s="1"/>
  <c r="C2148" i="7" s="1"/>
  <c r="B2149" i="7" a="1"/>
  <c r="B2149" i="7" s="1"/>
  <c r="C2149" i="7" s="1"/>
  <c r="B2150" i="7" a="1"/>
  <c r="B2150" i="7" s="1"/>
  <c r="C2150" i="7" s="1"/>
  <c r="B2151" i="7" a="1"/>
  <c r="B2151" i="7" s="1"/>
  <c r="C2151" i="7" s="1"/>
  <c r="B2152" i="7" a="1"/>
  <c r="B2152" i="7" s="1"/>
  <c r="C2152" i="7" s="1"/>
  <c r="B2153" i="7" a="1"/>
  <c r="B2153" i="7" s="1"/>
  <c r="C2153" i="7" s="1"/>
  <c r="B2154" i="7" a="1"/>
  <c r="B2154" i="7" s="1"/>
  <c r="C2154" i="7" s="1"/>
  <c r="B2155" i="7" a="1"/>
  <c r="B2155" i="7" s="1"/>
  <c r="C2155" i="7" s="1"/>
  <c r="B2156" i="7" a="1"/>
  <c r="B2156" i="7" s="1"/>
  <c r="C2156" i="7" s="1"/>
  <c r="B2157" i="7" a="1"/>
  <c r="B2157" i="7" s="1"/>
  <c r="C2157" i="7" s="1"/>
  <c r="B2158" i="7" a="1"/>
  <c r="B2158" i="7" s="1"/>
  <c r="C2158" i="7" s="1"/>
  <c r="B2159" i="7" a="1"/>
  <c r="B2159" i="7" s="1"/>
  <c r="C2159" i="7" s="1"/>
  <c r="B2160" i="7" a="1"/>
  <c r="B2160" i="7" s="1"/>
  <c r="C2160" i="7" s="1"/>
  <c r="B2161" i="7" a="1"/>
  <c r="B2161" i="7"/>
  <c r="C2161" i="7" s="1"/>
  <c r="B2162" i="7" a="1"/>
  <c r="B2162" i="7" s="1"/>
  <c r="C2162" i="7" s="1"/>
  <c r="B2163" i="7" a="1"/>
  <c r="B2163" i="7"/>
  <c r="C2163" i="7" s="1"/>
  <c r="B2164" i="7" a="1"/>
  <c r="B2164" i="7" s="1"/>
  <c r="C2164" i="7" s="1"/>
  <c r="B2165" i="7" a="1"/>
  <c r="B2165" i="7" s="1"/>
  <c r="C2165" i="7" s="1"/>
  <c r="B2166" i="7" a="1"/>
  <c r="B2166" i="7" s="1"/>
  <c r="C2166" i="7" s="1"/>
  <c r="B2167" i="7" a="1"/>
  <c r="B2167" i="7" s="1"/>
  <c r="C2167" i="7" s="1"/>
  <c r="B2168" i="7" a="1"/>
  <c r="B2168" i="7" s="1"/>
  <c r="C2168" i="7" s="1"/>
  <c r="B2169" i="7" a="1"/>
  <c r="B2169" i="7" s="1"/>
  <c r="C2169" i="7" s="1"/>
  <c r="B2170" i="7" a="1"/>
  <c r="B2170" i="7" s="1"/>
  <c r="C2170" i="7" s="1"/>
  <c r="B2171" i="7" a="1"/>
  <c r="B2171" i="7"/>
  <c r="C2171" i="7" s="1"/>
  <c r="B2172" i="7" a="1"/>
  <c r="B2172" i="7" s="1"/>
  <c r="C2172" i="7" s="1"/>
  <c r="B2173" i="7" a="1"/>
  <c r="B2173" i="7" s="1"/>
  <c r="C2173" i="7" s="1"/>
  <c r="B2174" i="7" a="1"/>
  <c r="B2174" i="7" s="1"/>
  <c r="C2174" i="7" s="1"/>
  <c r="B2175" i="7" a="1"/>
  <c r="B2175" i="7" s="1"/>
  <c r="C2175" i="7" s="1"/>
  <c r="B2176" i="7" a="1"/>
  <c r="B2176" i="7" s="1"/>
  <c r="C2176" i="7" s="1"/>
  <c r="B2177" i="7" a="1"/>
  <c r="B2177" i="7"/>
  <c r="C2177" i="7" s="1"/>
  <c r="B2178" i="7" a="1"/>
  <c r="B2178" i="7" s="1"/>
  <c r="C2178" i="7" s="1"/>
  <c r="B2179" i="7" a="1"/>
  <c r="B2179" i="7" s="1"/>
  <c r="C2179" i="7" s="1"/>
  <c r="B2180" i="7" a="1"/>
  <c r="B2180" i="7" s="1"/>
  <c r="C2180" i="7" s="1"/>
  <c r="B2181" i="7" a="1"/>
  <c r="B2181" i="7" s="1"/>
  <c r="C2181" i="7" s="1"/>
  <c r="B2182" i="7" a="1"/>
  <c r="B2182" i="7" s="1"/>
  <c r="C2182" i="7" s="1"/>
  <c r="B2183" i="7" a="1"/>
  <c r="B2183" i="7" s="1"/>
  <c r="C2183" i="7" s="1"/>
  <c r="B2184" i="7" a="1"/>
  <c r="B2184" i="7" s="1"/>
  <c r="C2184" i="7" s="1"/>
  <c r="B2185" i="7" a="1"/>
  <c r="B2185" i="7" s="1"/>
  <c r="C2185" i="7" s="1"/>
  <c r="B2186" i="7" a="1"/>
  <c r="B2186" i="7" s="1"/>
  <c r="C2186" i="7" s="1"/>
  <c r="B2187" i="7" a="1"/>
  <c r="B2187" i="7"/>
  <c r="C2187" i="7" s="1"/>
  <c r="B2188" i="7" a="1"/>
  <c r="B2188" i="7" s="1"/>
  <c r="C2188" i="7" s="1"/>
  <c r="B2189" i="7" a="1"/>
  <c r="B2189" i="7" s="1"/>
  <c r="C2189" i="7" s="1"/>
  <c r="B2190" i="7" a="1"/>
  <c r="B2190" i="7" s="1"/>
  <c r="C2190" i="7" s="1"/>
  <c r="B2191" i="7" a="1"/>
  <c r="B2191" i="7" s="1"/>
  <c r="C2191" i="7" s="1"/>
  <c r="B2192" i="7" a="1"/>
  <c r="B2192" i="7" s="1"/>
  <c r="C2192" i="7" s="1"/>
  <c r="B2193" i="7" a="1"/>
  <c r="B2193" i="7" s="1"/>
  <c r="C2193" i="7" s="1"/>
  <c r="B2194" i="7" a="1"/>
  <c r="B2194" i="7" s="1"/>
  <c r="C2194" i="7" s="1"/>
  <c r="B2195" i="7" a="1"/>
  <c r="B2195" i="7" s="1"/>
  <c r="C2195" i="7" s="1"/>
  <c r="B2196" i="7" a="1"/>
  <c r="B2196" i="7" s="1"/>
  <c r="C2196" i="7" s="1"/>
  <c r="B2197" i="7" a="1"/>
  <c r="B2197" i="7" s="1"/>
  <c r="C2197" i="7" s="1"/>
  <c r="B2198" i="7" a="1"/>
  <c r="B2198" i="7" s="1"/>
  <c r="C2198" i="7" s="1"/>
  <c r="B2199" i="7" a="1"/>
  <c r="B2199" i="7" s="1"/>
  <c r="C2199" i="7" s="1"/>
  <c r="B2200" i="7" a="1"/>
  <c r="B2200" i="7" s="1"/>
  <c r="C2200" i="7" s="1"/>
  <c r="B2201" i="7" a="1"/>
  <c r="B2201" i="7" s="1"/>
  <c r="C2201" i="7" s="1"/>
  <c r="B2202" i="7" a="1"/>
  <c r="B2202" i="7" s="1"/>
  <c r="C2202" i="7" s="1"/>
  <c r="B2203" i="7" a="1"/>
  <c r="B2203" i="7"/>
  <c r="C2203" i="7" s="1"/>
  <c r="B2204" i="7" a="1"/>
  <c r="B2204" i="7" s="1"/>
  <c r="C2204" i="7" s="1"/>
  <c r="B2205" i="7" a="1"/>
  <c r="B2205" i="7" s="1"/>
  <c r="C2205" i="7" s="1"/>
  <c r="B2206" i="7" a="1"/>
  <c r="B2206" i="7" s="1"/>
  <c r="C2206" i="7" s="1"/>
  <c r="B2207" i="7" a="1"/>
  <c r="B2207" i="7" s="1"/>
  <c r="C2207" i="7" s="1"/>
  <c r="B2208" i="7" a="1"/>
  <c r="B2208" i="7" s="1"/>
  <c r="C2208" i="7" s="1"/>
  <c r="B2209" i="7" a="1"/>
  <c r="B2209" i="7" s="1"/>
  <c r="C2209" i="7" s="1"/>
  <c r="B2210" i="7" a="1"/>
  <c r="B2210" i="7" s="1"/>
  <c r="C2210" i="7" s="1"/>
  <c r="B2211" i="7" a="1"/>
  <c r="B2211" i="7" s="1"/>
  <c r="C2211" i="7" s="1"/>
  <c r="B2212" i="7" a="1"/>
  <c r="B2212" i="7" s="1"/>
  <c r="C2212" i="7" s="1"/>
  <c r="B2213" i="7" a="1"/>
  <c r="B2213" i="7" s="1"/>
  <c r="C2213" i="7" s="1"/>
  <c r="B2214" i="7" a="1"/>
  <c r="B2214" i="7" s="1"/>
  <c r="C2214" i="7" s="1"/>
  <c r="B2215" i="7" a="1"/>
  <c r="B2215" i="7" s="1"/>
  <c r="C2215" i="7" s="1"/>
  <c r="B2216" i="7" a="1"/>
  <c r="B2216" i="7" s="1"/>
  <c r="C2216" i="7" s="1"/>
  <c r="B2217" i="7" a="1"/>
  <c r="B2217" i="7" s="1"/>
  <c r="C2217" i="7" s="1"/>
  <c r="B2218" i="7" a="1"/>
  <c r="B2218" i="7" s="1"/>
  <c r="C2218" i="7" s="1"/>
  <c r="B2219" i="7" a="1"/>
  <c r="B2219" i="7" s="1"/>
  <c r="C2219" i="7" s="1"/>
  <c r="B2220" i="7" a="1"/>
  <c r="B2220" i="7" s="1"/>
  <c r="C2220" i="7" s="1"/>
  <c r="B2221" i="7" a="1"/>
  <c r="B2221" i="7" s="1"/>
  <c r="C2221" i="7" s="1"/>
  <c r="B2222" i="7" a="1"/>
  <c r="B2222" i="7" s="1"/>
  <c r="C2222" i="7" s="1"/>
  <c r="B2223" i="7" a="1"/>
  <c r="B2223" i="7" s="1"/>
  <c r="C2223" i="7" s="1"/>
  <c r="B2224" i="7" a="1"/>
  <c r="B2224" i="7" s="1"/>
  <c r="C2224" i="7" s="1"/>
  <c r="B2225" i="7" a="1"/>
  <c r="B2225" i="7"/>
  <c r="C2225" i="7" s="1"/>
  <c r="B2226" i="7" a="1"/>
  <c r="B2226" i="7" s="1"/>
  <c r="C2226" i="7" s="1"/>
  <c r="B2227" i="7" a="1"/>
  <c r="B2227" i="7" s="1"/>
  <c r="C2227" i="7" s="1"/>
  <c r="B2228" i="7" a="1"/>
  <c r="B2228" i="7" s="1"/>
  <c r="C2228" i="7" s="1"/>
  <c r="B2229" i="7" a="1"/>
  <c r="B2229" i="7" s="1"/>
  <c r="C2229" i="7" s="1"/>
  <c r="B2230" i="7" a="1"/>
  <c r="B2230" i="7" s="1"/>
  <c r="C2230" i="7" s="1"/>
  <c r="B2231" i="7" a="1"/>
  <c r="B2231" i="7" s="1"/>
  <c r="C2231" i="7" s="1"/>
  <c r="B2232" i="7" a="1"/>
  <c r="B2232" i="7" s="1"/>
  <c r="C2232" i="7" s="1"/>
  <c r="B2233" i="7" a="1"/>
  <c r="B2233" i="7" s="1"/>
  <c r="C2233" i="7" s="1"/>
  <c r="B2234" i="7" a="1"/>
  <c r="B2234" i="7" s="1"/>
  <c r="C2234" i="7" s="1"/>
  <c r="B2235" i="7" a="1"/>
  <c r="B2235" i="7" s="1"/>
  <c r="C2235" i="7" s="1"/>
  <c r="B2236" i="7" a="1"/>
  <c r="B2236" i="7" s="1"/>
  <c r="C2236" i="7" s="1"/>
  <c r="B2237" i="7" a="1"/>
  <c r="B2237" i="7" s="1"/>
  <c r="C2237" i="7" s="1"/>
  <c r="B2238" i="7" a="1"/>
  <c r="B2238" i="7" s="1"/>
  <c r="C2238" i="7" s="1"/>
  <c r="B2239" i="7" a="1"/>
  <c r="B2239" i="7"/>
  <c r="C2239" i="7" s="1"/>
  <c r="B2240" i="7" a="1"/>
  <c r="B2240" i="7" s="1"/>
  <c r="C2240" i="7" s="1"/>
  <c r="B2241" i="7" a="1"/>
  <c r="B2241" i="7" s="1"/>
  <c r="C2241" i="7" s="1"/>
  <c r="B2242" i="7" a="1"/>
  <c r="B2242" i="7" s="1"/>
  <c r="C2242" i="7" s="1"/>
  <c r="B2243" i="7" a="1"/>
  <c r="B2243" i="7" s="1"/>
  <c r="C2243" i="7" s="1"/>
  <c r="B2244" i="7" a="1"/>
  <c r="B2244" i="7" s="1"/>
  <c r="C2244" i="7" s="1"/>
  <c r="B2245" i="7" a="1"/>
  <c r="B2245" i="7" s="1"/>
  <c r="C2245" i="7" s="1"/>
  <c r="B2246" i="7" a="1"/>
  <c r="B2246" i="7" s="1"/>
  <c r="C2246" i="7" s="1"/>
  <c r="B2247" i="7" a="1"/>
  <c r="B2247" i="7" s="1"/>
  <c r="C2247" i="7" s="1"/>
  <c r="B2248" i="7" a="1"/>
  <c r="B2248" i="7" s="1"/>
  <c r="C2248" i="7" s="1"/>
  <c r="B2249" i="7" a="1"/>
  <c r="B2249" i="7" s="1"/>
  <c r="C2249" i="7" s="1"/>
  <c r="B2250" i="7" a="1"/>
  <c r="B2250" i="7" s="1"/>
  <c r="C2250" i="7" s="1"/>
  <c r="B2251" i="7" a="1"/>
  <c r="B2251" i="7" s="1"/>
  <c r="C2251" i="7" s="1"/>
  <c r="B2252" i="7" a="1"/>
  <c r="B2252" i="7" s="1"/>
  <c r="C2252" i="7" s="1"/>
  <c r="B2253" i="7" a="1"/>
  <c r="B2253" i="7" s="1"/>
  <c r="C2253" i="7" s="1"/>
  <c r="B2254" i="7" a="1"/>
  <c r="B2254" i="7" s="1"/>
  <c r="C2254" i="7" s="1"/>
  <c r="B2255" i="7" a="1"/>
  <c r="B2255" i="7" s="1"/>
  <c r="C2255" i="7" s="1"/>
  <c r="B2256" i="7" a="1"/>
  <c r="B2256" i="7" s="1"/>
  <c r="C2256" i="7" s="1"/>
  <c r="B2257" i="7" a="1"/>
  <c r="B2257" i="7" s="1"/>
  <c r="C2257" i="7" s="1"/>
  <c r="B2258" i="7" a="1"/>
  <c r="B2258" i="7" s="1"/>
  <c r="C2258" i="7" s="1"/>
  <c r="B2259" i="7" a="1"/>
  <c r="B2259" i="7" s="1"/>
  <c r="C2259" i="7" s="1"/>
  <c r="B2260" i="7" a="1"/>
  <c r="B2260" i="7" s="1"/>
  <c r="C2260" i="7" s="1"/>
  <c r="B2261" i="7" a="1"/>
  <c r="B2261" i="7" s="1"/>
  <c r="C2261" i="7" s="1"/>
  <c r="B2262" i="7" a="1"/>
  <c r="B2262" i="7" s="1"/>
  <c r="C2262" i="7" s="1"/>
  <c r="B2263" i="7" a="1"/>
  <c r="B2263" i="7" s="1"/>
  <c r="C2263" i="7" s="1"/>
  <c r="B2264" i="7" a="1"/>
  <c r="B2264" i="7" s="1"/>
  <c r="C2264" i="7" s="1"/>
  <c r="B2265" i="7" a="1"/>
  <c r="B2265" i="7" s="1"/>
  <c r="C2265" i="7" s="1"/>
  <c r="B2266" i="7" a="1"/>
  <c r="B2266" i="7" s="1"/>
  <c r="C2266" i="7" s="1"/>
  <c r="B2267" i="7" a="1"/>
  <c r="B2267" i="7" s="1"/>
  <c r="C2267" i="7" s="1"/>
  <c r="B2268" i="7" a="1"/>
  <c r="B2268" i="7" s="1"/>
  <c r="C2268" i="7" s="1"/>
  <c r="B2269" i="7" a="1"/>
  <c r="B2269" i="7" s="1"/>
  <c r="C2269" i="7" s="1"/>
  <c r="B2270" i="7" a="1"/>
  <c r="B2270" i="7" s="1"/>
  <c r="C2270" i="7" s="1"/>
  <c r="B2271" i="7" a="1"/>
  <c r="B2271" i="7" s="1"/>
  <c r="C2271" i="7" s="1"/>
  <c r="B2272" i="7" a="1"/>
  <c r="B2272" i="7" s="1"/>
  <c r="C2272" i="7" s="1"/>
  <c r="B2273" i="7" a="1"/>
  <c r="B2273" i="7" s="1"/>
  <c r="C2273" i="7" s="1"/>
  <c r="B2274" i="7" a="1"/>
  <c r="B2274" i="7" s="1"/>
  <c r="C2274" i="7" s="1"/>
  <c r="B2275" i="7" a="1"/>
  <c r="B2275" i="7" s="1"/>
  <c r="C2275" i="7" s="1"/>
  <c r="B2276" i="7" a="1"/>
  <c r="B2276" i="7" s="1"/>
  <c r="C2276" i="7" s="1"/>
  <c r="B2277" i="7" a="1"/>
  <c r="B2277" i="7" s="1"/>
  <c r="C2277" i="7" s="1"/>
  <c r="B2278" i="7" a="1"/>
  <c r="B2278" i="7" s="1"/>
  <c r="C2278" i="7" s="1"/>
  <c r="B2279" i="7" a="1"/>
  <c r="B2279" i="7" s="1"/>
  <c r="C2279" i="7" s="1"/>
  <c r="B2280" i="7" a="1"/>
  <c r="B2280" i="7" s="1"/>
  <c r="C2280" i="7" s="1"/>
  <c r="B2281" i="7" a="1"/>
  <c r="B2281" i="7" s="1"/>
  <c r="C2281" i="7" s="1"/>
  <c r="B2282" i="7" a="1"/>
  <c r="B2282" i="7" s="1"/>
  <c r="C2282" i="7" s="1"/>
  <c r="B2283" i="7" a="1"/>
  <c r="B2283" i="7" s="1"/>
  <c r="C2283" i="7" s="1"/>
  <c r="B2284" i="7" a="1"/>
  <c r="B2284" i="7" s="1"/>
  <c r="C2284" i="7" s="1"/>
  <c r="B2285" i="7" a="1"/>
  <c r="B2285" i="7" s="1"/>
  <c r="C2285" i="7" s="1"/>
  <c r="B2286" i="7" a="1"/>
  <c r="B2286" i="7" s="1"/>
  <c r="C2286" i="7" s="1"/>
  <c r="B2287" i="7" a="1"/>
  <c r="B2287" i="7" s="1"/>
  <c r="C2287" i="7" s="1"/>
  <c r="B2288" i="7" a="1"/>
  <c r="B2288" i="7" s="1"/>
  <c r="C2288" i="7" s="1"/>
  <c r="B2289" i="7" a="1"/>
  <c r="B2289" i="7" s="1"/>
  <c r="C2289" i="7" s="1"/>
  <c r="B2290" i="7" a="1"/>
  <c r="B2290" i="7" s="1"/>
  <c r="C2290" i="7" s="1"/>
  <c r="B2291" i="7" a="1"/>
  <c r="B2291" i="7" s="1"/>
  <c r="C2291" i="7" s="1"/>
  <c r="B2292" i="7" a="1"/>
  <c r="B2292" i="7" s="1"/>
  <c r="C2292" i="7" s="1"/>
  <c r="B2293" i="7" a="1"/>
  <c r="B2293" i="7" s="1"/>
  <c r="C2293" i="7" s="1"/>
  <c r="B2294" i="7" a="1"/>
  <c r="B2294" i="7" s="1"/>
  <c r="C2294" i="7" s="1"/>
  <c r="B2295" i="7" a="1"/>
  <c r="B2295" i="7" s="1"/>
  <c r="C2295" i="7" s="1"/>
  <c r="B2296" i="7" a="1"/>
  <c r="B2296" i="7" s="1"/>
  <c r="C2296" i="7" s="1"/>
  <c r="B2297" i="7" a="1"/>
  <c r="B2297" i="7" s="1"/>
  <c r="C2297" i="7" s="1"/>
  <c r="B2298" i="7" a="1"/>
  <c r="B2298" i="7" s="1"/>
  <c r="C2298" i="7" s="1"/>
  <c r="B2299" i="7" a="1"/>
  <c r="B2299" i="7"/>
  <c r="C2299" i="7" s="1"/>
  <c r="B2300" i="7" a="1"/>
  <c r="B2300" i="7" s="1"/>
  <c r="C2300" i="7" s="1"/>
  <c r="B2301" i="7" a="1"/>
  <c r="B2301" i="7" s="1"/>
  <c r="C2301" i="7" s="1"/>
  <c r="B2302" i="7" a="1"/>
  <c r="B2302" i="7" s="1"/>
  <c r="C2302" i="7" s="1"/>
  <c r="B2303" i="7" a="1"/>
  <c r="B2303" i="7" s="1"/>
  <c r="C2303" i="7" s="1"/>
  <c r="B2304" i="7" a="1"/>
  <c r="B2304" i="7" s="1"/>
  <c r="C2304" i="7" s="1"/>
  <c r="B2305" i="7" a="1"/>
  <c r="B2305" i="7" s="1"/>
  <c r="C2305" i="7" s="1"/>
  <c r="B2306" i="7" a="1"/>
  <c r="B2306" i="7" s="1"/>
  <c r="C2306" i="7" s="1"/>
  <c r="B2307" i="7" a="1"/>
  <c r="B2307" i="7"/>
  <c r="C2307" i="7" s="1"/>
  <c r="B2308" i="7" a="1"/>
  <c r="B2308" i="7" s="1"/>
  <c r="C2308" i="7" s="1"/>
  <c r="B2309" i="7" a="1"/>
  <c r="B2309" i="7" s="1"/>
  <c r="C2309" i="7" s="1"/>
  <c r="B2310" i="7" a="1"/>
  <c r="B2310" i="7" s="1"/>
  <c r="C2310" i="7" s="1"/>
  <c r="B2311" i="7" a="1"/>
  <c r="B2311" i="7" s="1"/>
  <c r="C2311" i="7" s="1"/>
  <c r="B2312" i="7" a="1"/>
  <c r="B2312" i="7" s="1"/>
  <c r="C2312" i="7" s="1"/>
  <c r="B2313" i="7" a="1"/>
  <c r="B2313" i="7" s="1"/>
  <c r="C2313" i="7" s="1"/>
  <c r="B2314" i="7" a="1"/>
  <c r="B2314" i="7" s="1"/>
  <c r="C2314" i="7" s="1"/>
  <c r="B2315" i="7" a="1"/>
  <c r="B2315" i="7" s="1"/>
  <c r="C2315" i="7" s="1"/>
  <c r="B2316" i="7" a="1"/>
  <c r="B2316" i="7" s="1"/>
  <c r="C2316" i="7" s="1"/>
  <c r="B2317" i="7" a="1"/>
  <c r="B2317" i="7" s="1"/>
  <c r="C2317" i="7" s="1"/>
  <c r="B2318" i="7" a="1"/>
  <c r="B2318" i="7" s="1"/>
  <c r="C2318" i="7" s="1"/>
  <c r="B2319" i="7" a="1"/>
  <c r="B2319" i="7" s="1"/>
  <c r="C2319" i="7" s="1"/>
  <c r="B2320" i="7" a="1"/>
  <c r="B2320" i="7" s="1"/>
  <c r="C2320" i="7" s="1"/>
  <c r="B2321" i="7" a="1"/>
  <c r="B2321" i="7" s="1"/>
  <c r="C2321" i="7" s="1"/>
  <c r="B2322" i="7" a="1"/>
  <c r="B2322" i="7" s="1"/>
  <c r="C2322" i="7" s="1"/>
  <c r="B2323" i="7" a="1"/>
  <c r="B2323" i="7" s="1"/>
  <c r="C2323" i="7" s="1"/>
  <c r="B2324" i="7" a="1"/>
  <c r="B2324" i="7" s="1"/>
  <c r="C2324" i="7" s="1"/>
  <c r="B2325" i="7" a="1"/>
  <c r="B2325" i="7" s="1"/>
  <c r="C2325" i="7" s="1"/>
  <c r="B2326" i="7" a="1"/>
  <c r="B2326" i="7" s="1"/>
  <c r="C2326" i="7" s="1"/>
  <c r="B2327" i="7" a="1"/>
  <c r="B2327" i="7" s="1"/>
  <c r="C2327" i="7" s="1"/>
  <c r="B2328" i="7" a="1"/>
  <c r="B2328" i="7" s="1"/>
  <c r="C2328" i="7" s="1"/>
  <c r="B2329" i="7" a="1"/>
  <c r="B2329" i="7" s="1"/>
  <c r="C2329" i="7" s="1"/>
  <c r="B2330" i="7" a="1"/>
  <c r="B2330" i="7" s="1"/>
  <c r="C2330" i="7" s="1"/>
  <c r="B2331" i="7" a="1"/>
  <c r="B2331" i="7" s="1"/>
  <c r="C2331" i="7" s="1"/>
  <c r="B2332" i="7" a="1"/>
  <c r="B2332" i="7" s="1"/>
  <c r="C2332" i="7" s="1"/>
  <c r="B2333" i="7" a="1"/>
  <c r="B2333" i="7" s="1"/>
  <c r="C2333" i="7" s="1"/>
  <c r="B2334" i="7" a="1"/>
  <c r="B2334" i="7" s="1"/>
  <c r="C2334" i="7" s="1"/>
  <c r="B2335" i="7" a="1"/>
  <c r="B2335" i="7" s="1"/>
  <c r="C2335" i="7" s="1"/>
  <c r="B2336" i="7" a="1"/>
  <c r="B2336" i="7" s="1"/>
  <c r="C2336" i="7" s="1"/>
  <c r="B2337" i="7" a="1"/>
  <c r="B2337" i="7" s="1"/>
  <c r="C2337" i="7" s="1"/>
  <c r="B2338" i="7" a="1"/>
  <c r="B2338" i="7" s="1"/>
  <c r="C2338" i="7" s="1"/>
  <c r="B2339" i="7" a="1"/>
  <c r="B2339" i="7" s="1"/>
  <c r="C2339" i="7" s="1"/>
  <c r="B2340" i="7" a="1"/>
  <c r="B2340" i="7" s="1"/>
  <c r="C2340" i="7" s="1"/>
  <c r="B2341" i="7" a="1"/>
  <c r="B2341" i="7" s="1"/>
  <c r="C2341" i="7" s="1"/>
  <c r="B2342" i="7" a="1"/>
  <c r="B2342" i="7" s="1"/>
  <c r="C2342" i="7" s="1"/>
  <c r="B2343" i="7" a="1"/>
  <c r="B2343" i="7" s="1"/>
  <c r="C2343" i="7" s="1"/>
  <c r="B2344" i="7" a="1"/>
  <c r="B2344" i="7" s="1"/>
  <c r="C2344" i="7" s="1"/>
  <c r="B2345" i="7" a="1"/>
  <c r="B2345" i="7" s="1"/>
  <c r="C2345" i="7" s="1"/>
  <c r="B2346" i="7" a="1"/>
  <c r="B2346" i="7" s="1"/>
  <c r="C2346" i="7" s="1"/>
  <c r="B2347" i="7" a="1"/>
  <c r="B2347" i="7" s="1"/>
  <c r="C2347" i="7" s="1"/>
  <c r="B2348" i="7" a="1"/>
  <c r="B2348" i="7" s="1"/>
  <c r="C2348" i="7" s="1"/>
  <c r="B2349" i="7" a="1"/>
  <c r="B2349" i="7" s="1"/>
  <c r="C2349" i="7" s="1"/>
  <c r="B2350" i="7" a="1"/>
  <c r="B2350" i="7" s="1"/>
  <c r="C2350" i="7" s="1"/>
  <c r="B2351" i="7" a="1"/>
  <c r="B2351" i="7" s="1"/>
  <c r="C2351" i="7" s="1"/>
  <c r="B2352" i="7" a="1"/>
  <c r="B2352" i="7" s="1"/>
  <c r="C2352" i="7" s="1"/>
  <c r="B2353" i="7" a="1"/>
  <c r="B2353" i="7" s="1"/>
  <c r="C2353" i="7" s="1"/>
  <c r="B2354" i="7" a="1"/>
  <c r="B2354" i="7" s="1"/>
  <c r="C2354" i="7" s="1"/>
  <c r="B2355" i="7" a="1"/>
  <c r="B2355" i="7" s="1"/>
  <c r="C2355" i="7" s="1"/>
  <c r="B2356" i="7" a="1"/>
  <c r="B2356" i="7" s="1"/>
  <c r="C2356" i="7" s="1"/>
  <c r="B2357" i="7" a="1"/>
  <c r="B2357" i="7" s="1"/>
  <c r="C2357" i="7" s="1"/>
  <c r="B2358" i="7" a="1"/>
  <c r="B2358" i="7" s="1"/>
  <c r="C2358" i="7" s="1"/>
  <c r="B2359" i="7" a="1"/>
  <c r="B2359" i="7" s="1"/>
  <c r="C2359" i="7" s="1"/>
  <c r="B2360" i="7" a="1"/>
  <c r="B2360" i="7" s="1"/>
  <c r="C2360" i="7" s="1"/>
  <c r="B2361" i="7" a="1"/>
  <c r="B2361" i="7" s="1"/>
  <c r="C2361" i="7" s="1"/>
  <c r="B2362" i="7" a="1"/>
  <c r="B2362" i="7" s="1"/>
  <c r="C2362" i="7" s="1"/>
  <c r="B2363" i="7" a="1"/>
  <c r="B2363" i="7" s="1"/>
  <c r="C2363" i="7" s="1"/>
  <c r="B2364" i="7" a="1"/>
  <c r="B2364" i="7" s="1"/>
  <c r="C2364" i="7" s="1"/>
  <c r="B2365" i="7" a="1"/>
  <c r="B2365" i="7" s="1"/>
  <c r="C2365" i="7" s="1"/>
  <c r="B2366" i="7" a="1"/>
  <c r="B2366" i="7" s="1"/>
  <c r="C2366" i="7" s="1"/>
  <c r="B2367" i="7" a="1"/>
  <c r="B2367" i="7" s="1"/>
  <c r="C2367" i="7" s="1"/>
  <c r="B2368" i="7" a="1"/>
  <c r="B2368" i="7" s="1"/>
  <c r="C2368" i="7" s="1"/>
  <c r="B2369" i="7" a="1"/>
  <c r="B2369" i="7" s="1"/>
  <c r="C2369" i="7" s="1"/>
  <c r="B2370" i="7" a="1"/>
  <c r="B2370" i="7" s="1"/>
  <c r="C2370" i="7" s="1"/>
  <c r="B2371" i="7" a="1"/>
  <c r="B2371" i="7" s="1"/>
  <c r="C2371" i="7" s="1"/>
  <c r="B2372" i="7" a="1"/>
  <c r="B2372" i="7" s="1"/>
  <c r="C2372" i="7" s="1"/>
  <c r="B2373" i="7" a="1"/>
  <c r="B2373" i="7" s="1"/>
  <c r="C2373" i="7" s="1"/>
  <c r="B2374" i="7" a="1"/>
  <c r="B2374" i="7" s="1"/>
  <c r="C2374" i="7" s="1"/>
  <c r="B2375" i="7" a="1"/>
  <c r="B2375" i="7" s="1"/>
  <c r="C2375" i="7" s="1"/>
  <c r="B2376" i="7" a="1"/>
  <c r="B2376" i="7" s="1"/>
  <c r="C2376" i="7" s="1"/>
  <c r="B2377" i="7" a="1"/>
  <c r="B2377" i="7" s="1"/>
  <c r="C2377" i="7" s="1"/>
  <c r="B2378" i="7" a="1"/>
  <c r="B2378" i="7" s="1"/>
  <c r="C2378" i="7" s="1"/>
  <c r="B2379" i="7" a="1"/>
  <c r="B2379" i="7" s="1"/>
  <c r="C2379" i="7" s="1"/>
  <c r="B2380" i="7" a="1"/>
  <c r="B2380" i="7" s="1"/>
  <c r="C2380" i="7" s="1"/>
  <c r="B2381" i="7" a="1"/>
  <c r="B2381" i="7" s="1"/>
  <c r="C2381" i="7" s="1"/>
  <c r="B2382" i="7" a="1"/>
  <c r="B2382" i="7" s="1"/>
  <c r="C2382" i="7" s="1"/>
  <c r="B2383" i="7" a="1"/>
  <c r="B2383" i="7" s="1"/>
  <c r="C2383" i="7" s="1"/>
  <c r="B2384" i="7" a="1"/>
  <c r="B2384" i="7" s="1"/>
  <c r="C2384" i="7" s="1"/>
  <c r="B2385" i="7" a="1"/>
  <c r="B2385" i="7" s="1"/>
  <c r="C2385" i="7" s="1"/>
  <c r="B2386" i="7" a="1"/>
  <c r="B2386" i="7" s="1"/>
  <c r="C2386" i="7" s="1"/>
  <c r="B2387" i="7" a="1"/>
  <c r="B2387" i="7" s="1"/>
  <c r="C2387" i="7" s="1"/>
  <c r="B2388" i="7" a="1"/>
  <c r="B2388" i="7" s="1"/>
  <c r="C2388" i="7" s="1"/>
  <c r="B2389" i="7" a="1"/>
  <c r="B2389" i="7" s="1"/>
  <c r="C2389" i="7" s="1"/>
  <c r="B2390" i="7" a="1"/>
  <c r="B2390" i="7" s="1"/>
  <c r="C2390" i="7" s="1"/>
  <c r="B2391" i="7" a="1"/>
  <c r="B2391" i="7" s="1"/>
  <c r="C2391" i="7" s="1"/>
  <c r="B2392" i="7" a="1"/>
  <c r="B2392" i="7" s="1"/>
  <c r="C2392" i="7" s="1"/>
  <c r="B2393" i="7" a="1"/>
  <c r="B2393" i="7" s="1"/>
  <c r="C2393" i="7" s="1"/>
  <c r="B2394" i="7" a="1"/>
  <c r="B2394" i="7" s="1"/>
  <c r="C2394" i="7" s="1"/>
  <c r="B2395" i="7" a="1"/>
  <c r="B2395" i="7" s="1"/>
  <c r="C2395" i="7" s="1"/>
  <c r="B2396" i="7" a="1"/>
  <c r="B2396" i="7" s="1"/>
  <c r="C2396" i="7" s="1"/>
  <c r="B2397" i="7" a="1"/>
  <c r="B2397" i="7" s="1"/>
  <c r="C2397" i="7" s="1"/>
  <c r="B2398" i="7" a="1"/>
  <c r="B2398" i="7" s="1"/>
  <c r="C2398" i="7" s="1"/>
  <c r="B2399" i="7" a="1"/>
  <c r="B2399" i="7" s="1"/>
  <c r="C2399" i="7" s="1"/>
  <c r="B2400" i="7" a="1"/>
  <c r="B2400" i="7" s="1"/>
  <c r="C2400" i="7" s="1"/>
  <c r="B2401" i="7" a="1"/>
  <c r="B2401" i="7" s="1"/>
  <c r="C2401" i="7" s="1"/>
  <c r="B2402" i="7" a="1"/>
  <c r="B2402" i="7" s="1"/>
  <c r="C2402" i="7" s="1"/>
  <c r="B2403" i="7" a="1"/>
  <c r="B2403" i="7" s="1"/>
  <c r="C2403" i="7" s="1"/>
  <c r="B2404" i="7" a="1"/>
  <c r="B2404" i="7" s="1"/>
  <c r="C2404" i="7" s="1"/>
  <c r="B2405" i="7" a="1"/>
  <c r="B2405" i="7" s="1"/>
  <c r="C2405" i="7" s="1"/>
  <c r="B2406" i="7" a="1"/>
  <c r="B2406" i="7" s="1"/>
  <c r="C2406" i="7" s="1"/>
  <c r="B2407" i="7" a="1"/>
  <c r="B2407" i="7" s="1"/>
  <c r="C2407" i="7" s="1"/>
  <c r="B2408" i="7" a="1"/>
  <c r="B2408" i="7" s="1"/>
  <c r="C2408" i="7" s="1"/>
  <c r="B2409" i="7" a="1"/>
  <c r="B2409" i="7" s="1"/>
  <c r="C2409" i="7" s="1"/>
  <c r="B2410" i="7" a="1"/>
  <c r="B2410" i="7" s="1"/>
  <c r="C2410" i="7" s="1"/>
  <c r="B2411" i="7" a="1"/>
  <c r="B2411" i="7" s="1"/>
  <c r="C2411" i="7" s="1"/>
  <c r="B2412" i="7" a="1"/>
  <c r="B2412" i="7" s="1"/>
  <c r="C2412" i="7" s="1"/>
  <c r="B2413" i="7" a="1"/>
  <c r="B2413" i="7" s="1"/>
  <c r="C2413" i="7" s="1"/>
  <c r="B2414" i="7" a="1"/>
  <c r="B2414" i="7" s="1"/>
  <c r="C2414" i="7" s="1"/>
  <c r="B2415" i="7" a="1"/>
  <c r="B2415" i="7" s="1"/>
  <c r="C2415" i="7" s="1"/>
  <c r="B2416" i="7" a="1"/>
  <c r="B2416" i="7" s="1"/>
  <c r="C2416" i="7" s="1"/>
  <c r="B2417" i="7" a="1"/>
  <c r="B2417" i="7" s="1"/>
  <c r="C2417" i="7" s="1"/>
  <c r="B2418" i="7" a="1"/>
  <c r="B2418" i="7" s="1"/>
  <c r="C2418" i="7" s="1"/>
  <c r="B2419" i="7" a="1"/>
  <c r="B2419" i="7" s="1"/>
  <c r="C2419" i="7" s="1"/>
  <c r="B2420" i="7" a="1"/>
  <c r="B2420" i="7" s="1"/>
  <c r="C2420" i="7" s="1"/>
  <c r="B2421" i="7" a="1"/>
  <c r="B2421" i="7" s="1"/>
  <c r="C2421" i="7" s="1"/>
  <c r="B2422" i="7" a="1"/>
  <c r="B2422" i="7" s="1"/>
  <c r="C2422" i="7" s="1"/>
  <c r="B2423" i="7" a="1"/>
  <c r="B2423" i="7" s="1"/>
  <c r="C2423" i="7" s="1"/>
  <c r="B2424" i="7" a="1"/>
  <c r="B2424" i="7" s="1"/>
  <c r="C2424" i="7" s="1"/>
  <c r="B2425" i="7" a="1"/>
  <c r="B2425" i="7" s="1"/>
  <c r="C2425" i="7" s="1"/>
  <c r="B2426" i="7" a="1"/>
  <c r="B2426" i="7" s="1"/>
  <c r="C2426" i="7" s="1"/>
  <c r="B2427" i="7" a="1"/>
  <c r="B2427" i="7" s="1"/>
  <c r="C2427" i="7" s="1"/>
  <c r="B2428" i="7" a="1"/>
  <c r="B2428" i="7" s="1"/>
  <c r="C2428" i="7" s="1"/>
  <c r="B2429" i="7" a="1"/>
  <c r="B2429" i="7" s="1"/>
  <c r="C2429" i="7" s="1"/>
  <c r="B2430" i="7" a="1"/>
  <c r="B2430" i="7" s="1"/>
  <c r="C2430" i="7" s="1"/>
  <c r="B2431" i="7" a="1"/>
  <c r="B2431" i="7" s="1"/>
  <c r="C2431" i="7" s="1"/>
  <c r="B2432" i="7" a="1"/>
  <c r="B2432" i="7" s="1"/>
  <c r="C2432" i="7" s="1"/>
  <c r="B2433" i="7" a="1"/>
  <c r="B2433" i="7" s="1"/>
  <c r="C2433" i="7" s="1"/>
  <c r="B2434" i="7" a="1"/>
  <c r="B2434" i="7" s="1"/>
  <c r="C2434" i="7" s="1"/>
  <c r="B2435" i="7" a="1"/>
  <c r="B2435" i="7" s="1"/>
  <c r="C2435" i="7" s="1"/>
  <c r="B2436" i="7" a="1"/>
  <c r="B2436" i="7" s="1"/>
  <c r="C2436" i="7" s="1"/>
  <c r="B2437" i="7" a="1"/>
  <c r="B2437" i="7" s="1"/>
  <c r="C2437" i="7" s="1"/>
  <c r="B2438" i="7" a="1"/>
  <c r="B2438" i="7" s="1"/>
  <c r="C2438" i="7" s="1"/>
  <c r="B2439" i="7" a="1"/>
  <c r="B2439" i="7" s="1"/>
  <c r="C2439" i="7" s="1"/>
  <c r="B2440" i="7" a="1"/>
  <c r="B2440" i="7" s="1"/>
  <c r="C2440" i="7" s="1"/>
  <c r="B2441" i="7" a="1"/>
  <c r="B2441" i="7" s="1"/>
  <c r="C2441" i="7" s="1"/>
  <c r="B2442" i="7" a="1"/>
  <c r="B2442" i="7" s="1"/>
  <c r="C2442" i="7" s="1"/>
  <c r="B2443" i="7" a="1"/>
  <c r="B2443" i="7" s="1"/>
  <c r="C2443" i="7" s="1"/>
  <c r="B2444" i="7" a="1"/>
  <c r="B2444" i="7" s="1"/>
  <c r="C2444" i="7" s="1"/>
  <c r="B2445" i="7" a="1"/>
  <c r="B2445" i="7" s="1"/>
  <c r="C2445" i="7" s="1"/>
  <c r="B2446" i="7" a="1"/>
  <c r="B2446" i="7" s="1"/>
  <c r="C2446" i="7" s="1"/>
  <c r="B2447" i="7" a="1"/>
  <c r="B2447" i="7" s="1"/>
  <c r="C2447" i="7" s="1"/>
  <c r="B2448" i="7" a="1"/>
  <c r="B2448" i="7" s="1"/>
  <c r="C2448" i="7" s="1"/>
  <c r="B2449" i="7" a="1"/>
  <c r="B2449" i="7" s="1"/>
  <c r="C2449" i="7" s="1"/>
  <c r="B2450" i="7" a="1"/>
  <c r="B2450" i="7" s="1"/>
  <c r="C2450" i="7" s="1"/>
  <c r="B2451" i="7" a="1"/>
  <c r="B2451" i="7" s="1"/>
  <c r="C2451" i="7" s="1"/>
  <c r="B2452" i="7" a="1"/>
  <c r="B2452" i="7" s="1"/>
  <c r="C2452" i="7" s="1"/>
  <c r="B2453" i="7" a="1"/>
  <c r="B2453" i="7" s="1"/>
  <c r="C2453" i="7" s="1"/>
  <c r="B2454" i="7" a="1"/>
  <c r="B2454" i="7" s="1"/>
  <c r="C2454" i="7" s="1"/>
  <c r="B2455" i="7" a="1"/>
  <c r="B2455" i="7" s="1"/>
  <c r="C2455" i="7" s="1"/>
  <c r="B2456" i="7" a="1"/>
  <c r="B2456" i="7" s="1"/>
  <c r="C2456" i="7" s="1"/>
  <c r="B2457" i="7" a="1"/>
  <c r="B2457" i="7" s="1"/>
  <c r="C2457" i="7" s="1"/>
  <c r="B2458" i="7" a="1"/>
  <c r="B2458" i="7" s="1"/>
  <c r="C2458" i="7" s="1"/>
  <c r="B2459" i="7" a="1"/>
  <c r="B2459" i="7" s="1"/>
  <c r="C2459" i="7" s="1"/>
  <c r="B2460" i="7" a="1"/>
  <c r="B2460" i="7" s="1"/>
  <c r="C2460" i="7" s="1"/>
  <c r="B2461" i="7" a="1"/>
  <c r="B2461" i="7" s="1"/>
  <c r="C2461" i="7" s="1"/>
  <c r="B2462" i="7" a="1"/>
  <c r="B2462" i="7" s="1"/>
  <c r="C2462" i="7" s="1"/>
  <c r="B2463" i="7" a="1"/>
  <c r="B2463" i="7" s="1"/>
  <c r="C2463" i="7" s="1"/>
  <c r="B2464" i="7" a="1"/>
  <c r="B2464" i="7" s="1"/>
  <c r="C2464" i="7" s="1"/>
  <c r="B2465" i="7" a="1"/>
  <c r="B2465" i="7" s="1"/>
  <c r="C2465" i="7" s="1"/>
  <c r="B2466" i="7" a="1"/>
  <c r="B2466" i="7" s="1"/>
  <c r="C2466" i="7" s="1"/>
  <c r="B2467" i="7" a="1"/>
  <c r="B2467" i="7"/>
  <c r="C2467" i="7" s="1"/>
  <c r="B2468" i="7" a="1"/>
  <c r="B2468" i="7" s="1"/>
  <c r="C2468" i="7" s="1"/>
  <c r="B2469" i="7" a="1"/>
  <c r="B2469" i="7" s="1"/>
  <c r="C2469" i="7" s="1"/>
  <c r="B2470" i="7" a="1"/>
  <c r="B2470" i="7" s="1"/>
  <c r="C2470" i="7" s="1"/>
  <c r="B2471" i="7" a="1"/>
  <c r="B2471" i="7" s="1"/>
  <c r="C2471" i="7" s="1"/>
  <c r="B2472" i="7" a="1"/>
  <c r="B2472" i="7" s="1"/>
  <c r="C2472" i="7" s="1"/>
  <c r="B2473" i="7" a="1"/>
  <c r="B2473" i="7" s="1"/>
  <c r="C2473" i="7" s="1"/>
  <c r="B2474" i="7" a="1"/>
  <c r="B2474" i="7" s="1"/>
  <c r="C2474" i="7" s="1"/>
  <c r="B2475" i="7" a="1"/>
  <c r="B2475" i="7" s="1"/>
  <c r="C2475" i="7" s="1"/>
  <c r="B2476" i="7" a="1"/>
  <c r="B2476" i="7" s="1"/>
  <c r="C2476" i="7" s="1"/>
  <c r="B2477" i="7" a="1"/>
  <c r="B2477" i="7" s="1"/>
  <c r="C2477" i="7" s="1"/>
  <c r="B2478" i="7" a="1"/>
  <c r="B2478" i="7" s="1"/>
  <c r="C2478" i="7" s="1"/>
  <c r="B2479" i="7" a="1"/>
  <c r="B2479" i="7" s="1"/>
  <c r="C2479" i="7" s="1"/>
  <c r="B2480" i="7" a="1"/>
  <c r="B2480" i="7" s="1"/>
  <c r="C2480" i="7" s="1"/>
  <c r="B2481" i="7" a="1"/>
  <c r="B2481" i="7" s="1"/>
  <c r="C2481" i="7" s="1"/>
  <c r="B2482" i="7" a="1"/>
  <c r="B2482" i="7" s="1"/>
  <c r="C2482" i="7" s="1"/>
  <c r="B2483" i="7" a="1"/>
  <c r="B2483" i="7" s="1"/>
  <c r="C2483" i="7" s="1"/>
  <c r="B2484" i="7" a="1"/>
  <c r="B2484" i="7" s="1"/>
  <c r="C2484" i="7" s="1"/>
  <c r="B2485" i="7" a="1"/>
  <c r="B2485" i="7" s="1"/>
  <c r="C2485" i="7" s="1"/>
  <c r="B2486" i="7" a="1"/>
  <c r="B2486" i="7" s="1"/>
  <c r="C2486" i="7" s="1"/>
  <c r="B2487" i="7" a="1"/>
  <c r="B2487" i="7" s="1"/>
  <c r="C2487" i="7" s="1"/>
  <c r="B2488" i="7" a="1"/>
  <c r="B2488" i="7" s="1"/>
  <c r="C2488" i="7" s="1"/>
  <c r="B2489" i="7" a="1"/>
  <c r="B2489" i="7" s="1"/>
  <c r="C2489" i="7" s="1"/>
  <c r="B2490" i="7" a="1"/>
  <c r="B2490" i="7" s="1"/>
  <c r="C2490" i="7" s="1"/>
  <c r="B2491" i="7" a="1"/>
  <c r="B2491" i="7" s="1"/>
  <c r="C2491" i="7" s="1"/>
  <c r="B2492" i="7" a="1"/>
  <c r="B2492" i="7" s="1"/>
  <c r="C2492" i="7" s="1"/>
  <c r="B2493" i="7" a="1"/>
  <c r="B2493" i="7" s="1"/>
  <c r="C2493" i="7" s="1"/>
  <c r="B2494" i="7" a="1"/>
  <c r="B2494" i="7" s="1"/>
  <c r="C2494" i="7" s="1"/>
  <c r="B2495" i="7" a="1"/>
  <c r="B2495" i="7" s="1"/>
  <c r="C2495" i="7" s="1"/>
  <c r="B2496" i="7" a="1"/>
  <c r="B2496" i="7" s="1"/>
  <c r="C2496" i="7" s="1"/>
  <c r="B2497" i="7" a="1"/>
  <c r="B2497" i="7" s="1"/>
  <c r="C2497" i="7" s="1"/>
  <c r="B2498" i="7" a="1"/>
  <c r="B2498" i="7" s="1"/>
  <c r="C2498" i="7" s="1"/>
  <c r="B2499" i="7" a="1"/>
  <c r="B2499" i="7" s="1"/>
  <c r="C2499" i="7" s="1"/>
  <c r="B2500" i="7" a="1"/>
  <c r="B2500" i="7" s="1"/>
  <c r="C2500" i="7" s="1"/>
  <c r="B2501" i="7" a="1"/>
  <c r="B2501" i="7" s="1"/>
  <c r="C2501" i="7" s="1"/>
  <c r="B2502" i="7" a="1"/>
  <c r="B2502" i="7" s="1"/>
  <c r="C2502" i="7" s="1"/>
  <c r="B2503" i="7" a="1"/>
  <c r="B2503" i="7" s="1"/>
  <c r="C2503" i="7" s="1"/>
  <c r="B2504" i="7" a="1"/>
  <c r="B2504" i="7" s="1"/>
  <c r="C2504" i="7" s="1"/>
  <c r="B2505" i="7" a="1"/>
  <c r="B2505" i="7" s="1"/>
  <c r="C2505" i="7" s="1"/>
  <c r="B2506" i="7" a="1"/>
  <c r="B2506" i="7" s="1"/>
  <c r="C2506" i="7" s="1"/>
  <c r="B2507" i="7" a="1"/>
  <c r="B2507" i="7" s="1"/>
  <c r="C2507" i="7" s="1"/>
  <c r="B2508" i="7" a="1"/>
  <c r="B2508" i="7" s="1"/>
  <c r="C2508" i="7" s="1"/>
  <c r="B2509" i="7" a="1"/>
  <c r="B2509" i="7" s="1"/>
  <c r="C2509" i="7" s="1"/>
  <c r="B2510" i="7" a="1"/>
  <c r="B2510" i="7" s="1"/>
  <c r="C2510" i="7" s="1"/>
  <c r="B2511" i="7" a="1"/>
  <c r="B2511" i="7" s="1"/>
  <c r="C2511" i="7" s="1"/>
  <c r="B2512" i="7" a="1"/>
  <c r="B2512" i="7" s="1"/>
  <c r="C2512" i="7" s="1"/>
  <c r="B2513" i="7" a="1"/>
  <c r="B2513" i="7" s="1"/>
  <c r="C2513" i="7" s="1"/>
  <c r="B2514" i="7" a="1"/>
  <c r="B2514" i="7" s="1"/>
  <c r="C2514" i="7" s="1"/>
  <c r="B2515" i="7" a="1"/>
  <c r="B2515" i="7" s="1"/>
  <c r="C2515" i="7" s="1"/>
  <c r="B2516" i="7" a="1"/>
  <c r="B2516" i="7" s="1"/>
  <c r="C2516" i="7" s="1"/>
  <c r="B2517" i="7" a="1"/>
  <c r="B2517" i="7" s="1"/>
  <c r="C2517" i="7" s="1"/>
  <c r="B2518" i="7" a="1"/>
  <c r="B2518" i="7" s="1"/>
  <c r="C2518" i="7" s="1"/>
  <c r="B2519" i="7" a="1"/>
  <c r="B2519" i="7" s="1"/>
  <c r="C2519" i="7" s="1"/>
  <c r="B2520" i="7" a="1"/>
  <c r="B2520" i="7" s="1"/>
  <c r="C2520" i="7" s="1"/>
  <c r="B2521" i="7" a="1"/>
  <c r="B2521" i="7" s="1"/>
  <c r="C2521" i="7" s="1"/>
  <c r="B2522" i="7" a="1"/>
  <c r="B2522" i="7" s="1"/>
  <c r="C2522" i="7" s="1"/>
  <c r="B2523" i="7" a="1"/>
  <c r="B2523" i="7" s="1"/>
  <c r="C2523" i="7" s="1"/>
  <c r="B2524" i="7" a="1"/>
  <c r="B2524" i="7" s="1"/>
  <c r="C2524" i="7" s="1"/>
  <c r="B2525" i="7" a="1"/>
  <c r="B2525" i="7" s="1"/>
  <c r="C2525" i="7" s="1"/>
  <c r="B2526" i="7" a="1"/>
  <c r="B2526" i="7" s="1"/>
  <c r="C2526" i="7" s="1"/>
  <c r="B2527" i="7" a="1"/>
  <c r="B2527" i="7" s="1"/>
  <c r="C2527" i="7" s="1"/>
  <c r="B2528" i="7" a="1"/>
  <c r="B2528" i="7" s="1"/>
  <c r="C2528" i="7" s="1"/>
  <c r="B2529" i="7" a="1"/>
  <c r="B2529" i="7" s="1"/>
  <c r="C2529" i="7" s="1"/>
  <c r="B2530" i="7" a="1"/>
  <c r="B2530" i="7" s="1"/>
  <c r="C2530" i="7" s="1"/>
  <c r="B2531" i="7" a="1"/>
  <c r="B2531" i="7" s="1"/>
  <c r="C2531" i="7" s="1"/>
  <c r="B2532" i="7" a="1"/>
  <c r="B2532" i="7" s="1"/>
  <c r="C2532" i="7" s="1"/>
  <c r="B2533" i="7" a="1"/>
  <c r="B2533" i="7" s="1"/>
  <c r="C2533" i="7" s="1"/>
  <c r="B2534" i="7" a="1"/>
  <c r="B2534" i="7" s="1"/>
  <c r="C2534" i="7" s="1"/>
  <c r="B2535" i="7" a="1"/>
  <c r="B2535" i="7" s="1"/>
  <c r="C2535" i="7" s="1"/>
  <c r="B2536" i="7" a="1"/>
  <c r="B2536" i="7" s="1"/>
  <c r="C2536" i="7" s="1"/>
  <c r="B2537" i="7" a="1"/>
  <c r="B2537" i="7" s="1"/>
  <c r="C2537" i="7" s="1"/>
  <c r="B2538" i="7" a="1"/>
  <c r="B2538" i="7" s="1"/>
  <c r="C2538" i="7" s="1"/>
  <c r="B2539" i="7" a="1"/>
  <c r="B2539" i="7" s="1"/>
  <c r="C2539" i="7" s="1"/>
  <c r="B2540" i="7" a="1"/>
  <c r="B2540" i="7" s="1"/>
  <c r="C2540" i="7" s="1"/>
  <c r="B2541" i="7" a="1"/>
  <c r="B2541" i="7" s="1"/>
  <c r="C2541" i="7" s="1"/>
  <c r="B2542" i="7" a="1"/>
  <c r="B2542" i="7" s="1"/>
  <c r="C2542" i="7" s="1"/>
  <c r="B2543" i="7" a="1"/>
  <c r="B2543" i="7" s="1"/>
  <c r="C2543" i="7" s="1"/>
  <c r="B2544" i="7" a="1"/>
  <c r="B2544" i="7" s="1"/>
  <c r="C2544" i="7" s="1"/>
  <c r="B2545" i="7" a="1"/>
  <c r="B2545" i="7" s="1"/>
  <c r="C2545" i="7" s="1"/>
  <c r="B2546" i="7" a="1"/>
  <c r="B2546" i="7" s="1"/>
  <c r="C2546" i="7" s="1"/>
  <c r="B2547" i="7" a="1"/>
  <c r="B2547" i="7" s="1"/>
  <c r="C2547" i="7" s="1"/>
  <c r="B2548" i="7" a="1"/>
  <c r="B2548" i="7" s="1"/>
  <c r="C2548" i="7" s="1"/>
  <c r="B2549" i="7" a="1"/>
  <c r="B2549" i="7" s="1"/>
  <c r="C2549" i="7" s="1"/>
  <c r="B2550" i="7" a="1"/>
  <c r="B2550" i="7" s="1"/>
  <c r="C2550" i="7" s="1"/>
  <c r="B2551" i="7" a="1"/>
  <c r="B2551" i="7" s="1"/>
  <c r="C2551" i="7" s="1"/>
  <c r="B2552" i="7" a="1"/>
  <c r="B2552" i="7" s="1"/>
  <c r="C2552" i="7" s="1"/>
  <c r="B2553" i="7" a="1"/>
  <c r="B2553" i="7" s="1"/>
  <c r="C2553" i="7" s="1"/>
  <c r="B2554" i="7" a="1"/>
  <c r="B2554" i="7" s="1"/>
  <c r="C2554" i="7" s="1"/>
  <c r="B2555" i="7" a="1"/>
  <c r="B2555" i="7" s="1"/>
  <c r="C2555" i="7" s="1"/>
  <c r="B2556" i="7" a="1"/>
  <c r="B2556" i="7" s="1"/>
  <c r="C2556" i="7" s="1"/>
  <c r="B2557" i="7" a="1"/>
  <c r="B2557" i="7" s="1"/>
  <c r="C2557" i="7" s="1"/>
  <c r="B2558" i="7" a="1"/>
  <c r="B2558" i="7" s="1"/>
  <c r="C2558" i="7" s="1"/>
  <c r="B2559" i="7" a="1"/>
  <c r="B2559" i="7" s="1"/>
  <c r="C2559" i="7" s="1"/>
  <c r="B2560" i="7" a="1"/>
  <c r="B2560" i="7" s="1"/>
  <c r="C2560" i="7" s="1"/>
  <c r="B2561" i="7" a="1"/>
  <c r="B2561" i="7" s="1"/>
  <c r="C2561" i="7" s="1"/>
  <c r="B2562" i="7" a="1"/>
  <c r="B2562" i="7" s="1"/>
  <c r="C2562" i="7" s="1"/>
  <c r="B2563" i="7" a="1"/>
  <c r="B2563" i="7"/>
  <c r="C2563" i="7" s="1"/>
  <c r="B2564" i="7" a="1"/>
  <c r="B2564" i="7" s="1"/>
  <c r="C2564" i="7" s="1"/>
  <c r="B2565" i="7" a="1"/>
  <c r="B2565" i="7" s="1"/>
  <c r="C2565" i="7" s="1"/>
  <c r="B2566" i="7" a="1"/>
  <c r="B2566" i="7" s="1"/>
  <c r="C2566" i="7" s="1"/>
  <c r="B2567" i="7" a="1"/>
  <c r="B2567" i="7" s="1"/>
  <c r="C2567" i="7" s="1"/>
  <c r="B2568" i="7" a="1"/>
  <c r="B2568" i="7" s="1"/>
  <c r="C2568" i="7" s="1"/>
  <c r="B2569" i="7" a="1"/>
  <c r="B2569" i="7" s="1"/>
  <c r="C2569" i="7" s="1"/>
  <c r="B2570" i="7" a="1"/>
  <c r="B2570" i="7" s="1"/>
  <c r="C2570" i="7" s="1"/>
  <c r="B2571" i="7" a="1"/>
  <c r="B2571" i="7" s="1"/>
  <c r="C2571" i="7" s="1"/>
  <c r="B2572" i="7" a="1"/>
  <c r="B2572" i="7" s="1"/>
  <c r="C2572" i="7" s="1"/>
  <c r="B2573" i="7" a="1"/>
  <c r="B2573" i="7" s="1"/>
  <c r="C2573" i="7" s="1"/>
  <c r="B2574" i="7" a="1"/>
  <c r="B2574" i="7" s="1"/>
  <c r="C2574" i="7" s="1"/>
  <c r="B2575" i="7" a="1"/>
  <c r="B2575" i="7" s="1"/>
  <c r="C2575" i="7" s="1"/>
  <c r="B2576" i="7" a="1"/>
  <c r="B2576" i="7" s="1"/>
  <c r="C2576" i="7" s="1"/>
  <c r="B2577" i="7" a="1"/>
  <c r="B2577" i="7" s="1"/>
  <c r="C2577" i="7" s="1"/>
  <c r="B2578" i="7" a="1"/>
  <c r="B2578" i="7" s="1"/>
  <c r="C2578" i="7" s="1"/>
  <c r="B2579" i="7" a="1"/>
  <c r="B2579" i="7" s="1"/>
  <c r="C2579" i="7" s="1"/>
  <c r="B2580" i="7" a="1"/>
  <c r="B2580" i="7" s="1"/>
  <c r="C2580" i="7" s="1"/>
  <c r="B2581" i="7" a="1"/>
  <c r="B2581" i="7" s="1"/>
  <c r="C2581" i="7" s="1"/>
  <c r="B2582" i="7" a="1"/>
  <c r="B2582" i="7" s="1"/>
  <c r="C2582" i="7" s="1"/>
  <c r="B2583" i="7" a="1"/>
  <c r="B2583" i="7" s="1"/>
  <c r="C2583" i="7" s="1"/>
  <c r="B2584" i="7" a="1"/>
  <c r="B2584" i="7" s="1"/>
  <c r="C2584" i="7" s="1"/>
  <c r="B2585" i="7" a="1"/>
  <c r="B2585" i="7" s="1"/>
  <c r="C2585" i="7" s="1"/>
  <c r="B2586" i="7" a="1"/>
  <c r="B2586" i="7" s="1"/>
  <c r="C2586" i="7" s="1"/>
  <c r="B2587" i="7" a="1"/>
  <c r="B2587" i="7" s="1"/>
  <c r="C2587" i="7" s="1"/>
  <c r="B2588" i="7" a="1"/>
  <c r="B2588" i="7" s="1"/>
  <c r="C2588" i="7" s="1"/>
  <c r="B2589" i="7" a="1"/>
  <c r="B2589" i="7" s="1"/>
  <c r="C2589" i="7" s="1"/>
  <c r="B2590" i="7" a="1"/>
  <c r="B2590" i="7" s="1"/>
  <c r="C2590" i="7" s="1"/>
  <c r="B2591" i="7" a="1"/>
  <c r="B2591" i="7" s="1"/>
  <c r="C2591" i="7" s="1"/>
  <c r="B2592" i="7" a="1"/>
  <c r="B2592" i="7" s="1"/>
  <c r="C2592" i="7" s="1"/>
  <c r="B2593" i="7" a="1"/>
  <c r="B2593" i="7" s="1"/>
  <c r="C2593" i="7" s="1"/>
  <c r="B2594" i="7" a="1"/>
  <c r="B2594" i="7" s="1"/>
  <c r="C2594" i="7" s="1"/>
  <c r="B2595" i="7" a="1"/>
  <c r="B2595" i="7" s="1"/>
  <c r="C2595" i="7" s="1"/>
  <c r="B2596" i="7" a="1"/>
  <c r="B2596" i="7" s="1"/>
  <c r="C2596" i="7" s="1"/>
  <c r="B2597" i="7" a="1"/>
  <c r="B2597" i="7" s="1"/>
  <c r="C2597" i="7" s="1"/>
  <c r="B2598" i="7" a="1"/>
  <c r="B2598" i="7" s="1"/>
  <c r="C2598" i="7" s="1"/>
  <c r="B2599" i="7" a="1"/>
  <c r="B2599" i="7" s="1"/>
  <c r="C2599" i="7" s="1"/>
  <c r="B2600" i="7" a="1"/>
  <c r="B2600" i="7" s="1"/>
  <c r="C2600" i="7" s="1"/>
  <c r="B2601" i="7" a="1"/>
  <c r="B2601" i="7" s="1"/>
  <c r="C2601" i="7" s="1"/>
  <c r="B2602" i="7" a="1"/>
  <c r="B2602" i="7" s="1"/>
  <c r="C2602" i="7" s="1"/>
  <c r="B2603" i="7" a="1"/>
  <c r="B2603" i="7" s="1"/>
  <c r="C2603" i="7" s="1"/>
  <c r="B2604" i="7" a="1"/>
  <c r="B2604" i="7" s="1"/>
  <c r="C2604" i="7" s="1"/>
  <c r="B2605" i="7" a="1"/>
  <c r="B2605" i="7" s="1"/>
  <c r="C2605" i="7" s="1"/>
  <c r="B2606" i="7" a="1"/>
  <c r="B2606" i="7" s="1"/>
  <c r="C2606" i="7" s="1"/>
  <c r="B2607" i="7" a="1"/>
  <c r="B2607" i="7" s="1"/>
  <c r="C2607" i="7" s="1"/>
  <c r="B2608" i="7" a="1"/>
  <c r="B2608" i="7" s="1"/>
  <c r="C2608" i="7" s="1"/>
  <c r="B2609" i="7" a="1"/>
  <c r="B2609" i="7" s="1"/>
  <c r="C2609" i="7" s="1"/>
  <c r="B2610" i="7" a="1"/>
  <c r="B2610" i="7" s="1"/>
  <c r="C2610" i="7" s="1"/>
  <c r="B2611" i="7" a="1"/>
  <c r="B2611" i="7" s="1"/>
  <c r="C2611" i="7" s="1"/>
  <c r="B2612" i="7" a="1"/>
  <c r="B2612" i="7" s="1"/>
  <c r="C2612" i="7" s="1"/>
  <c r="B2613" i="7" a="1"/>
  <c r="B2613" i="7" s="1"/>
  <c r="C2613" i="7" s="1"/>
  <c r="B2614" i="7" a="1"/>
  <c r="B2614" i="7" s="1"/>
  <c r="C2614" i="7" s="1"/>
  <c r="B2615" i="7" a="1"/>
  <c r="B2615" i="7" s="1"/>
  <c r="C2615" i="7" s="1"/>
  <c r="B2616" i="7" a="1"/>
  <c r="B2616" i="7" s="1"/>
  <c r="C2616" i="7" s="1"/>
  <c r="B2617" i="7" a="1"/>
  <c r="B2617" i="7" s="1"/>
  <c r="C2617" i="7" s="1"/>
  <c r="B2618" i="7" a="1"/>
  <c r="B2618" i="7" s="1"/>
  <c r="C2618" i="7" s="1"/>
  <c r="B2619" i="7" a="1"/>
  <c r="B2619" i="7" s="1"/>
  <c r="C2619" i="7" s="1"/>
  <c r="B2620" i="7" a="1"/>
  <c r="B2620" i="7" s="1"/>
  <c r="C2620" i="7" s="1"/>
  <c r="B2621" i="7" a="1"/>
  <c r="B2621" i="7" s="1"/>
  <c r="C2621" i="7" s="1"/>
  <c r="B2622" i="7" a="1"/>
  <c r="B2622" i="7" s="1"/>
  <c r="C2622" i="7" s="1"/>
  <c r="B2623" i="7" a="1"/>
  <c r="B2623" i="7" s="1"/>
  <c r="C2623" i="7" s="1"/>
  <c r="B2624" i="7" a="1"/>
  <c r="B2624" i="7" s="1"/>
  <c r="C2624" i="7" s="1"/>
  <c r="B2625" i="7" a="1"/>
  <c r="B2625" i="7" s="1"/>
  <c r="C2625" i="7" s="1"/>
  <c r="B2626" i="7" a="1"/>
  <c r="B2626" i="7" s="1"/>
  <c r="C2626" i="7" s="1"/>
  <c r="B2627" i="7" a="1"/>
  <c r="B2627" i="7" s="1"/>
  <c r="C2627" i="7" s="1"/>
  <c r="B2628" i="7" a="1"/>
  <c r="B2628" i="7" s="1"/>
  <c r="C2628" i="7" s="1"/>
  <c r="B2629" i="7" a="1"/>
  <c r="B2629" i="7" s="1"/>
  <c r="C2629" i="7" s="1"/>
  <c r="B2630" i="7" a="1"/>
  <c r="B2630" i="7" s="1"/>
  <c r="C2630" i="7" s="1"/>
  <c r="B2631" i="7" a="1"/>
  <c r="B2631" i="7" s="1"/>
  <c r="C2631" i="7" s="1"/>
  <c r="B2632" i="7" a="1"/>
  <c r="B2632" i="7" s="1"/>
  <c r="C2632" i="7" s="1"/>
  <c r="B2633" i="7" a="1"/>
  <c r="B2633" i="7" s="1"/>
  <c r="C2633" i="7" s="1"/>
  <c r="B2634" i="7" a="1"/>
  <c r="B2634" i="7" s="1"/>
  <c r="C2634" i="7" s="1"/>
  <c r="B2635" i="7" a="1"/>
  <c r="B2635" i="7" s="1"/>
  <c r="C2635" i="7" s="1"/>
  <c r="B2636" i="7" a="1"/>
  <c r="B2636" i="7" s="1"/>
  <c r="C2636" i="7" s="1"/>
  <c r="B2637" i="7" a="1"/>
  <c r="B2637" i="7" s="1"/>
  <c r="C2637" i="7" s="1"/>
  <c r="B2638" i="7" a="1"/>
  <c r="B2638" i="7" s="1"/>
  <c r="C2638" i="7" s="1"/>
  <c r="B2639" i="7" a="1"/>
  <c r="B2639" i="7" s="1"/>
  <c r="C2639" i="7" s="1"/>
  <c r="B2640" i="7" a="1"/>
  <c r="B2640" i="7" s="1"/>
  <c r="C2640" i="7" s="1"/>
  <c r="B2641" i="7" a="1"/>
  <c r="B2641" i="7" s="1"/>
  <c r="C2641" i="7" s="1"/>
  <c r="B2642" i="7" a="1"/>
  <c r="B2642" i="7" s="1"/>
  <c r="C2642" i="7" s="1"/>
  <c r="B2643" i="7" a="1"/>
  <c r="B2643" i="7" s="1"/>
  <c r="C2643" i="7" s="1"/>
  <c r="B2644" i="7" a="1"/>
  <c r="B2644" i="7" s="1"/>
  <c r="C2644" i="7" s="1"/>
  <c r="B2645" i="7" a="1"/>
  <c r="B2645" i="7" s="1"/>
  <c r="C2645" i="7" s="1"/>
  <c r="B2646" i="7" a="1"/>
  <c r="B2646" i="7" s="1"/>
  <c r="C2646" i="7" s="1"/>
  <c r="B2647" i="7" a="1"/>
  <c r="B2647" i="7" s="1"/>
  <c r="C2647" i="7" s="1"/>
  <c r="B2648" i="7" a="1"/>
  <c r="B2648" i="7" s="1"/>
  <c r="C2648" i="7" s="1"/>
  <c r="B2649" i="7" a="1"/>
  <c r="B2649" i="7" s="1"/>
  <c r="C2649" i="7" s="1"/>
  <c r="B2650" i="7" a="1"/>
  <c r="B2650" i="7" s="1"/>
  <c r="C2650" i="7" s="1"/>
  <c r="B2651" i="7" a="1"/>
  <c r="B2651" i="7" s="1"/>
  <c r="C2651" i="7" s="1"/>
  <c r="B2652" i="7" a="1"/>
  <c r="B2652" i="7" s="1"/>
  <c r="C2652" i="7" s="1"/>
  <c r="B2653" i="7" a="1"/>
  <c r="B2653" i="7" s="1"/>
  <c r="C2653" i="7" s="1"/>
  <c r="B2654" i="7" a="1"/>
  <c r="B2654" i="7" s="1"/>
  <c r="C2654" i="7" s="1"/>
  <c r="B2655" i="7" a="1"/>
  <c r="B2655" i="7" s="1"/>
  <c r="C2655" i="7" s="1"/>
  <c r="B2656" i="7" a="1"/>
  <c r="B2656" i="7" s="1"/>
  <c r="C2656" i="7" s="1"/>
  <c r="B2657" i="7" a="1"/>
  <c r="B2657" i="7" s="1"/>
  <c r="C2657" i="7" s="1"/>
  <c r="B2658" i="7" a="1"/>
  <c r="B2658" i="7" s="1"/>
  <c r="C2658" i="7" s="1"/>
  <c r="B2659" i="7" a="1"/>
  <c r="B2659" i="7" s="1"/>
  <c r="C2659" i="7" s="1"/>
  <c r="B2660" i="7" a="1"/>
  <c r="B2660" i="7" s="1"/>
  <c r="C2660" i="7" s="1"/>
  <c r="B2661" i="7" a="1"/>
  <c r="B2661" i="7" s="1"/>
  <c r="C2661" i="7" s="1"/>
  <c r="B2662" i="7" a="1"/>
  <c r="B2662" i="7" s="1"/>
  <c r="C2662" i="7" s="1"/>
  <c r="B2663" i="7" a="1"/>
  <c r="B2663" i="7" s="1"/>
  <c r="C2663" i="7" s="1"/>
  <c r="B2664" i="7" a="1"/>
  <c r="B2664" i="7" s="1"/>
  <c r="C2664" i="7" s="1"/>
  <c r="B2665" i="7" a="1"/>
  <c r="B2665" i="7" s="1"/>
  <c r="C2665" i="7" s="1"/>
  <c r="B2666" i="7" a="1"/>
  <c r="B2666" i="7" s="1"/>
  <c r="C2666" i="7" s="1"/>
  <c r="B2667" i="7" a="1"/>
  <c r="B2667" i="7" s="1"/>
  <c r="C2667" i="7" s="1"/>
  <c r="B2668" i="7" a="1"/>
  <c r="B2668" i="7" s="1"/>
  <c r="C2668" i="7" s="1"/>
  <c r="B2669" i="7" a="1"/>
  <c r="B2669" i="7" s="1"/>
  <c r="C2669" i="7" s="1"/>
  <c r="B2670" i="7" a="1"/>
  <c r="B2670" i="7" s="1"/>
  <c r="C2670" i="7" s="1"/>
  <c r="B2671" i="7" a="1"/>
  <c r="B2671" i="7" s="1"/>
  <c r="C2671" i="7" s="1"/>
  <c r="B2672" i="7" a="1"/>
  <c r="B2672" i="7" s="1"/>
  <c r="C2672" i="7" s="1"/>
  <c r="B2673" i="7" a="1"/>
  <c r="B2673" i="7" s="1"/>
  <c r="C2673" i="7" s="1"/>
  <c r="B2674" i="7" a="1"/>
  <c r="B2674" i="7" s="1"/>
  <c r="C2674" i="7" s="1"/>
  <c r="B2675" i="7" a="1"/>
  <c r="B2675" i="7" s="1"/>
  <c r="C2675" i="7" s="1"/>
  <c r="B2676" i="7" a="1"/>
  <c r="B2676" i="7" s="1"/>
  <c r="C2676" i="7" s="1"/>
  <c r="B2677" i="7" a="1"/>
  <c r="B2677" i="7" s="1"/>
  <c r="C2677" i="7" s="1"/>
  <c r="B2678" i="7" a="1"/>
  <c r="B2678" i="7" s="1"/>
  <c r="C2678" i="7" s="1"/>
  <c r="B2679" i="7" a="1"/>
  <c r="B2679" i="7" s="1"/>
  <c r="C2679" i="7" s="1"/>
  <c r="B2680" i="7" a="1"/>
  <c r="B2680" i="7" s="1"/>
  <c r="C2680" i="7" s="1"/>
  <c r="B2681" i="7" a="1"/>
  <c r="B2681" i="7" s="1"/>
  <c r="C2681" i="7" s="1"/>
  <c r="B2682" i="7" a="1"/>
  <c r="B2682" i="7" s="1"/>
  <c r="C2682" i="7" s="1"/>
  <c r="B2683" i="7" a="1"/>
  <c r="B2683" i="7" s="1"/>
  <c r="C2683" i="7" s="1"/>
  <c r="B2684" i="7" a="1"/>
  <c r="B2684" i="7" s="1"/>
  <c r="C2684" i="7" s="1"/>
  <c r="B2685" i="7" a="1"/>
  <c r="B2685" i="7" s="1"/>
  <c r="C2685" i="7" s="1"/>
  <c r="B2686" i="7" a="1"/>
  <c r="B2686" i="7" s="1"/>
  <c r="C2686" i="7" s="1"/>
  <c r="B2687" i="7" a="1"/>
  <c r="B2687" i="7" s="1"/>
  <c r="C2687" i="7" s="1"/>
  <c r="B2688" i="7" a="1"/>
  <c r="B2688" i="7" s="1"/>
  <c r="C2688" i="7" s="1"/>
  <c r="B2689" i="7" a="1"/>
  <c r="B2689" i="7" s="1"/>
  <c r="C2689" i="7" s="1"/>
  <c r="B2690" i="7" a="1"/>
  <c r="B2690" i="7" s="1"/>
  <c r="C2690" i="7" s="1"/>
  <c r="B2691" i="7" a="1"/>
  <c r="B2691" i="7"/>
  <c r="C2691" i="7" s="1"/>
  <c r="B2692" i="7" a="1"/>
  <c r="B2692" i="7" s="1"/>
  <c r="C2692" i="7" s="1"/>
  <c r="B2693" i="7" a="1"/>
  <c r="B2693" i="7" s="1"/>
  <c r="C2693" i="7" s="1"/>
  <c r="B2694" i="7" a="1"/>
  <c r="B2694" i="7" s="1"/>
  <c r="C2694" i="7" s="1"/>
  <c r="B2695" i="7" a="1"/>
  <c r="B2695" i="7" s="1"/>
  <c r="C2695" i="7" s="1"/>
  <c r="B2696" i="7" a="1"/>
  <c r="B2696" i="7" s="1"/>
  <c r="C2696" i="7" s="1"/>
  <c r="B2697" i="7" a="1"/>
  <c r="B2697" i="7" s="1"/>
  <c r="C2697" i="7" s="1"/>
  <c r="B2698" i="7" a="1"/>
  <c r="B2698" i="7" s="1"/>
  <c r="C2698" i="7" s="1"/>
  <c r="B2699" i="7" a="1"/>
  <c r="B2699" i="7" s="1"/>
  <c r="C2699" i="7" s="1"/>
  <c r="B2700" i="7" a="1"/>
  <c r="B2700" i="7" s="1"/>
  <c r="C2700" i="7" s="1"/>
  <c r="B2701" i="7" a="1"/>
  <c r="B2701" i="7" s="1"/>
  <c r="C2701" i="7" s="1"/>
  <c r="B2702" i="7" a="1"/>
  <c r="B2702" i="7" s="1"/>
  <c r="C2702" i="7" s="1"/>
  <c r="B2703" i="7" a="1"/>
  <c r="B2703" i="7" s="1"/>
  <c r="C2703" i="7" s="1"/>
  <c r="B2704" i="7" a="1"/>
  <c r="B2704" i="7" s="1"/>
  <c r="C2704" i="7" s="1"/>
  <c r="B2705" i="7" a="1"/>
  <c r="B2705" i="7" s="1"/>
  <c r="C2705" i="7" s="1"/>
  <c r="B2706" i="7" a="1"/>
  <c r="B2706" i="7" s="1"/>
  <c r="C2706" i="7" s="1"/>
  <c r="B2707" i="7" a="1"/>
  <c r="B2707" i="7" s="1"/>
  <c r="C2707" i="7" s="1"/>
  <c r="B2708" i="7" a="1"/>
  <c r="B2708" i="7" s="1"/>
  <c r="C2708" i="7" s="1"/>
  <c r="B2709" i="7" a="1"/>
  <c r="B2709" i="7" s="1"/>
  <c r="C2709" i="7" s="1"/>
  <c r="B2710" i="7" a="1"/>
  <c r="B2710" i="7" s="1"/>
  <c r="C2710" i="7" s="1"/>
  <c r="B2711" i="7" a="1"/>
  <c r="B2711" i="7" s="1"/>
  <c r="C2711" i="7" s="1"/>
  <c r="B2712" i="7" a="1"/>
  <c r="B2712" i="7" s="1"/>
  <c r="C2712" i="7" s="1"/>
  <c r="B2713" i="7" a="1"/>
  <c r="B2713" i="7" s="1"/>
  <c r="C2713" i="7" s="1"/>
  <c r="B2714" i="7" a="1"/>
  <c r="B2714" i="7" s="1"/>
  <c r="C2714" i="7" s="1"/>
  <c r="B2715" i="7" a="1"/>
  <c r="B2715" i="7" s="1"/>
  <c r="C2715" i="7" s="1"/>
  <c r="B2716" i="7" a="1"/>
  <c r="B2716" i="7" s="1"/>
  <c r="C2716" i="7" s="1"/>
  <c r="B2717" i="7" a="1"/>
  <c r="B2717" i="7" s="1"/>
  <c r="C2717" i="7" s="1"/>
  <c r="B2718" i="7" a="1"/>
  <c r="B2718" i="7" s="1"/>
  <c r="C2718" i="7" s="1"/>
  <c r="B2719" i="7" a="1"/>
  <c r="B2719" i="7" s="1"/>
  <c r="C2719" i="7" s="1"/>
  <c r="B2720" i="7" a="1"/>
  <c r="B2720" i="7" s="1"/>
  <c r="C2720" i="7" s="1"/>
  <c r="B2721" i="7" a="1"/>
  <c r="B2721" i="7" s="1"/>
  <c r="C2721" i="7" s="1"/>
  <c r="B2722" i="7" a="1"/>
  <c r="B2722" i="7" s="1"/>
  <c r="C2722" i="7" s="1"/>
  <c r="B2723" i="7" a="1"/>
  <c r="B2723" i="7" s="1"/>
  <c r="C2723" i="7" s="1"/>
  <c r="B2724" i="7" a="1"/>
  <c r="B2724" i="7" s="1"/>
  <c r="C2724" i="7" s="1"/>
  <c r="B2725" i="7" a="1"/>
  <c r="B2725" i="7" s="1"/>
  <c r="C2725" i="7" s="1"/>
  <c r="B2726" i="7" a="1"/>
  <c r="B2726" i="7" s="1"/>
  <c r="C2726" i="7" s="1"/>
  <c r="B2727" i="7" a="1"/>
  <c r="B2727" i="7" s="1"/>
  <c r="C2727" i="7" s="1"/>
  <c r="B2728" i="7" a="1"/>
  <c r="B2728" i="7" s="1"/>
  <c r="C2728" i="7" s="1"/>
  <c r="B2729" i="7" a="1"/>
  <c r="B2729" i="7" s="1"/>
  <c r="C2729" i="7" s="1"/>
  <c r="B2730" i="7" a="1"/>
  <c r="B2730" i="7" s="1"/>
  <c r="C2730" i="7" s="1"/>
  <c r="B2731" i="7" a="1"/>
  <c r="B2731" i="7" s="1"/>
  <c r="C2731" i="7" s="1"/>
  <c r="B2732" i="7" a="1"/>
  <c r="B2732" i="7" s="1"/>
  <c r="C2732" i="7" s="1"/>
  <c r="B2733" i="7" a="1"/>
  <c r="B2733" i="7" s="1"/>
  <c r="C2733" i="7" s="1"/>
  <c r="B2734" i="7" a="1"/>
  <c r="B2734" i="7" s="1"/>
  <c r="C2734" i="7" s="1"/>
  <c r="B2735" i="7" a="1"/>
  <c r="B2735" i="7" s="1"/>
  <c r="C2735" i="7" s="1"/>
  <c r="B2736" i="7" a="1"/>
  <c r="B2736" i="7" s="1"/>
  <c r="C2736" i="7" s="1"/>
  <c r="B2737" i="7" a="1"/>
  <c r="B2737" i="7" s="1"/>
  <c r="C2737" i="7" s="1"/>
  <c r="B2738" i="7" a="1"/>
  <c r="B2738" i="7" s="1"/>
  <c r="C2738" i="7" s="1"/>
  <c r="B2739" i="7" a="1"/>
  <c r="B2739" i="7" s="1"/>
  <c r="C2739" i="7" s="1"/>
  <c r="B2740" i="7" a="1"/>
  <c r="B2740" i="7" s="1"/>
  <c r="C2740" i="7" s="1"/>
  <c r="B2741" i="7" a="1"/>
  <c r="B2741" i="7" s="1"/>
  <c r="C2741" i="7" s="1"/>
  <c r="B2742" i="7" a="1"/>
  <c r="B2742" i="7" s="1"/>
  <c r="C2742" i="7" s="1"/>
  <c r="B2743" i="7" a="1"/>
  <c r="B2743" i="7" s="1"/>
  <c r="C2743" i="7" s="1"/>
  <c r="B2744" i="7" a="1"/>
  <c r="B2744" i="7" s="1"/>
  <c r="C2744" i="7" s="1"/>
  <c r="B2745" i="7" a="1"/>
  <c r="B2745" i="7" s="1"/>
  <c r="C2745" i="7" s="1"/>
  <c r="B2746" i="7" a="1"/>
  <c r="B2746" i="7" s="1"/>
  <c r="C2746" i="7" s="1"/>
  <c r="B2747" i="7" a="1"/>
  <c r="B2747" i="7" s="1"/>
  <c r="C2747" i="7" s="1"/>
  <c r="B2748" i="7" a="1"/>
  <c r="B2748" i="7" s="1"/>
  <c r="C2748" i="7" s="1"/>
  <c r="B2749" i="7" a="1"/>
  <c r="B2749" i="7" s="1"/>
  <c r="C2749" i="7" s="1"/>
  <c r="B2750" i="7" a="1"/>
  <c r="B2750" i="7" s="1"/>
  <c r="C2750" i="7" s="1"/>
  <c r="B2751" i="7" a="1"/>
  <c r="B2751" i="7" s="1"/>
  <c r="C2751" i="7" s="1"/>
  <c r="B2752" i="7" a="1"/>
  <c r="B2752" i="7" s="1"/>
  <c r="C2752" i="7" s="1"/>
  <c r="B2753" i="7" a="1"/>
  <c r="B2753" i="7" s="1"/>
  <c r="C2753" i="7" s="1"/>
  <c r="B2754" i="7" a="1"/>
  <c r="B2754" i="7" s="1"/>
  <c r="C2754" i="7" s="1"/>
  <c r="B2755" i="7" a="1"/>
  <c r="B2755" i="7" s="1"/>
  <c r="C2755" i="7" s="1"/>
  <c r="B2756" i="7" a="1"/>
  <c r="B2756" i="7" s="1"/>
  <c r="C2756" i="7" s="1"/>
  <c r="B2757" i="7" a="1"/>
  <c r="B2757" i="7" s="1"/>
  <c r="C2757" i="7" s="1"/>
  <c r="B2758" i="7" a="1"/>
  <c r="B2758" i="7" s="1"/>
  <c r="C2758" i="7" s="1"/>
  <c r="B2759" i="7" a="1"/>
  <c r="B2759" i="7" s="1"/>
  <c r="C2759" i="7" s="1"/>
  <c r="B2760" i="7" a="1"/>
  <c r="B2760" i="7" s="1"/>
  <c r="C2760" i="7" s="1"/>
  <c r="B2761" i="7" a="1"/>
  <c r="B2761" i="7" s="1"/>
  <c r="C2761" i="7" s="1"/>
  <c r="B2762" i="7" a="1"/>
  <c r="B2762" i="7" s="1"/>
  <c r="C2762" i="7" s="1"/>
  <c r="B2763" i="7" a="1"/>
  <c r="B2763" i="7" s="1"/>
  <c r="C2763" i="7" s="1"/>
  <c r="B2764" i="7" a="1"/>
  <c r="B2764" i="7" s="1"/>
  <c r="C2764" i="7" s="1"/>
  <c r="B2765" i="7" a="1"/>
  <c r="B2765" i="7" s="1"/>
  <c r="C2765" i="7" s="1"/>
  <c r="B2766" i="7" a="1"/>
  <c r="B2766" i="7" s="1"/>
  <c r="C2766" i="7" s="1"/>
  <c r="B2767" i="7" a="1"/>
  <c r="B2767" i="7" s="1"/>
  <c r="C2767" i="7" s="1"/>
  <c r="B2768" i="7" a="1"/>
  <c r="B2768" i="7" s="1"/>
  <c r="C2768" i="7" s="1"/>
  <c r="B2769" i="7" a="1"/>
  <c r="B2769" i="7" s="1"/>
  <c r="C2769" i="7" s="1"/>
  <c r="B2770" i="7" a="1"/>
  <c r="B2770" i="7" s="1"/>
  <c r="C2770" i="7" s="1"/>
  <c r="B2771" i="7" a="1"/>
  <c r="B2771" i="7" s="1"/>
  <c r="C2771" i="7" s="1"/>
  <c r="B2772" i="7" a="1"/>
  <c r="B2772" i="7" s="1"/>
  <c r="C2772" i="7" s="1"/>
  <c r="B2773" i="7" a="1"/>
  <c r="B2773" i="7" s="1"/>
  <c r="C2773" i="7" s="1"/>
  <c r="B2774" i="7" a="1"/>
  <c r="B2774" i="7" s="1"/>
  <c r="C2774" i="7" s="1"/>
  <c r="B2775" i="7" a="1"/>
  <c r="B2775" i="7" s="1"/>
  <c r="C2775" i="7" s="1"/>
  <c r="B2776" i="7" a="1"/>
  <c r="B2776" i="7" s="1"/>
  <c r="C2776" i="7" s="1"/>
  <c r="B2777" i="7" a="1"/>
  <c r="B2777" i="7" s="1"/>
  <c r="C2777" i="7" s="1"/>
  <c r="B2778" i="7" a="1"/>
  <c r="B2778" i="7" s="1"/>
  <c r="C2778" i="7" s="1"/>
  <c r="B2779" i="7" a="1"/>
  <c r="B2779" i="7" s="1"/>
  <c r="C2779" i="7" s="1"/>
  <c r="B2780" i="7" a="1"/>
  <c r="B2780" i="7" s="1"/>
  <c r="C2780" i="7" s="1"/>
  <c r="B2781" i="7" a="1"/>
  <c r="B2781" i="7" s="1"/>
  <c r="C2781" i="7" s="1"/>
  <c r="B2782" i="7" a="1"/>
  <c r="B2782" i="7" s="1"/>
  <c r="C2782" i="7" s="1"/>
  <c r="B2783" i="7" a="1"/>
  <c r="B2783" i="7" s="1"/>
  <c r="C2783" i="7" s="1"/>
  <c r="B2784" i="7" a="1"/>
  <c r="B2784" i="7" s="1"/>
  <c r="C2784" i="7" s="1"/>
  <c r="B2785" i="7" a="1"/>
  <c r="B2785" i="7" s="1"/>
  <c r="C2785" i="7" s="1"/>
  <c r="B2786" i="7" a="1"/>
  <c r="B2786" i="7" s="1"/>
  <c r="C2786" i="7" s="1"/>
  <c r="B2787" i="7" a="1"/>
  <c r="B2787" i="7" s="1"/>
  <c r="C2787" i="7" s="1"/>
  <c r="B2788" i="7" a="1"/>
  <c r="B2788" i="7" s="1"/>
  <c r="C2788" i="7" s="1"/>
  <c r="B2789" i="7" a="1"/>
  <c r="B2789" i="7" s="1"/>
  <c r="C2789" i="7" s="1"/>
  <c r="B2790" i="7" a="1"/>
  <c r="B2790" i="7" s="1"/>
  <c r="C2790" i="7" s="1"/>
  <c r="B2791" i="7" a="1"/>
  <c r="B2791" i="7" s="1"/>
  <c r="C2791" i="7" s="1"/>
  <c r="B2792" i="7" a="1"/>
  <c r="B2792" i="7" s="1"/>
  <c r="C2792" i="7" s="1"/>
  <c r="B2793" i="7" a="1"/>
  <c r="B2793" i="7" s="1"/>
  <c r="C2793" i="7" s="1"/>
  <c r="B2794" i="7" a="1"/>
  <c r="B2794" i="7" s="1"/>
  <c r="C2794" i="7" s="1"/>
  <c r="B2795" i="7" a="1"/>
  <c r="B2795" i="7" s="1"/>
  <c r="C2795" i="7" s="1"/>
  <c r="B2796" i="7" a="1"/>
  <c r="B2796" i="7" s="1"/>
  <c r="C2796" i="7" s="1"/>
  <c r="B2797" i="7" a="1"/>
  <c r="B2797" i="7" s="1"/>
  <c r="C2797" i="7" s="1"/>
  <c r="B2798" i="7" a="1"/>
  <c r="B2798" i="7" s="1"/>
  <c r="C2798" i="7" s="1"/>
  <c r="B2799" i="7" a="1"/>
  <c r="B2799" i="7" s="1"/>
  <c r="C2799" i="7" s="1"/>
  <c r="B2800" i="7" a="1"/>
  <c r="B2800" i="7" s="1"/>
  <c r="C2800" i="7" s="1"/>
  <c r="B2801" i="7" a="1"/>
  <c r="B2801" i="7" s="1"/>
  <c r="C2801" i="7" s="1"/>
  <c r="B2802" i="7" a="1"/>
  <c r="B2802" i="7" s="1"/>
  <c r="C2802" i="7" s="1"/>
  <c r="B2803" i="7" a="1"/>
  <c r="B2803" i="7" s="1"/>
  <c r="C2803" i="7" s="1"/>
  <c r="B2804" i="7" a="1"/>
  <c r="B2804" i="7" s="1"/>
  <c r="C2804" i="7" s="1"/>
  <c r="B2805" i="7" a="1"/>
  <c r="B2805" i="7" s="1"/>
  <c r="C2805" i="7" s="1"/>
  <c r="B2806" i="7" a="1"/>
  <c r="B2806" i="7" s="1"/>
  <c r="C2806" i="7" s="1"/>
  <c r="B2807" i="7" a="1"/>
  <c r="B2807" i="7" s="1"/>
  <c r="C2807" i="7" s="1"/>
  <c r="B2808" i="7" a="1"/>
  <c r="B2808" i="7" s="1"/>
  <c r="C2808" i="7" s="1"/>
  <c r="B2809" i="7" a="1"/>
  <c r="B2809" i="7" s="1"/>
  <c r="C2809" i="7" s="1"/>
  <c r="B2810" i="7" a="1"/>
  <c r="B2810" i="7" s="1"/>
  <c r="C2810" i="7" s="1"/>
  <c r="B2811" i="7" a="1"/>
  <c r="B2811" i="7" s="1"/>
  <c r="C2811" i="7" s="1"/>
  <c r="B2812" i="7" a="1"/>
  <c r="B2812" i="7" s="1"/>
  <c r="C2812" i="7" s="1"/>
  <c r="B2813" i="7" a="1"/>
  <c r="B2813" i="7" s="1"/>
  <c r="C2813" i="7" s="1"/>
  <c r="B2814" i="7" a="1"/>
  <c r="B2814" i="7" s="1"/>
  <c r="C2814" i="7" s="1"/>
  <c r="B2815" i="7" a="1"/>
  <c r="B2815" i="7" s="1"/>
  <c r="C2815" i="7" s="1"/>
  <c r="B2816" i="7" a="1"/>
  <c r="B2816" i="7" s="1"/>
  <c r="C2816" i="7" s="1"/>
  <c r="B2817" i="7" a="1"/>
  <c r="B2817" i="7" s="1"/>
  <c r="C2817" i="7" s="1"/>
  <c r="B2818" i="7" a="1"/>
  <c r="B2818" i="7" s="1"/>
  <c r="C2818" i="7" s="1"/>
  <c r="B2819" i="7" a="1"/>
  <c r="B2819" i="7" s="1"/>
  <c r="C2819" i="7" s="1"/>
  <c r="B2820" i="7" a="1"/>
  <c r="B2820" i="7" s="1"/>
  <c r="C2820" i="7" s="1"/>
  <c r="B2821" i="7" a="1"/>
  <c r="B2821" i="7" s="1"/>
  <c r="C2821" i="7" s="1"/>
  <c r="B2822" i="7" a="1"/>
  <c r="B2822" i="7" s="1"/>
  <c r="C2822" i="7" s="1"/>
  <c r="B2823" i="7" a="1"/>
  <c r="B2823" i="7" s="1"/>
  <c r="C2823" i="7" s="1"/>
  <c r="B2824" i="7" a="1"/>
  <c r="B2824" i="7" s="1"/>
  <c r="C2824" i="7" s="1"/>
  <c r="B2825" i="7" a="1"/>
  <c r="B2825" i="7" s="1"/>
  <c r="C2825" i="7" s="1"/>
  <c r="B2826" i="7" a="1"/>
  <c r="B2826" i="7" s="1"/>
  <c r="C2826" i="7" s="1"/>
  <c r="B2827" i="7" a="1"/>
  <c r="B2827" i="7" s="1"/>
  <c r="C2827" i="7" s="1"/>
  <c r="B2828" i="7" a="1"/>
  <c r="B2828" i="7" s="1"/>
  <c r="C2828" i="7" s="1"/>
  <c r="B2829" i="7" a="1"/>
  <c r="B2829" i="7" s="1"/>
  <c r="C2829" i="7" s="1"/>
  <c r="B2830" i="7" a="1"/>
  <c r="B2830" i="7" s="1"/>
  <c r="C2830" i="7" s="1"/>
  <c r="B2831" i="7" a="1"/>
  <c r="B2831" i="7" s="1"/>
  <c r="C2831" i="7" s="1"/>
  <c r="B2832" i="7" a="1"/>
  <c r="B2832" i="7" s="1"/>
  <c r="C2832" i="7" s="1"/>
  <c r="B2833" i="7" a="1"/>
  <c r="B2833" i="7" s="1"/>
  <c r="C2833" i="7" s="1"/>
  <c r="B2834" i="7" a="1"/>
  <c r="B2834" i="7" s="1"/>
  <c r="C2834" i="7" s="1"/>
  <c r="B2835" i="7" a="1"/>
  <c r="B2835" i="7" s="1"/>
  <c r="C2835" i="7" s="1"/>
  <c r="B2836" i="7" a="1"/>
  <c r="B2836" i="7" s="1"/>
  <c r="C2836" i="7" s="1"/>
  <c r="B2837" i="7" a="1"/>
  <c r="B2837" i="7" s="1"/>
  <c r="C2837" i="7" s="1"/>
  <c r="B2838" i="7" a="1"/>
  <c r="B2838" i="7" s="1"/>
  <c r="C2838" i="7" s="1"/>
  <c r="B2839" i="7" a="1"/>
  <c r="B2839" i="7" s="1"/>
  <c r="C2839" i="7" s="1"/>
  <c r="B2840" i="7" a="1"/>
  <c r="B2840" i="7" s="1"/>
  <c r="C2840" i="7" s="1"/>
  <c r="B2841" i="7" a="1"/>
  <c r="B2841" i="7" s="1"/>
  <c r="C2841" i="7" s="1"/>
  <c r="B2842" i="7" a="1"/>
  <c r="B2842" i="7" s="1"/>
  <c r="C2842" i="7" s="1"/>
  <c r="B2843" i="7" a="1"/>
  <c r="B2843" i="7" s="1"/>
  <c r="C2843" i="7" s="1"/>
  <c r="B2844" i="7" a="1"/>
  <c r="B2844" i="7" s="1"/>
  <c r="C2844" i="7" s="1"/>
  <c r="B2845" i="7" a="1"/>
  <c r="B2845" i="7" s="1"/>
  <c r="C2845" i="7" s="1"/>
  <c r="B2846" i="7" a="1"/>
  <c r="B2846" i="7" s="1"/>
  <c r="C2846" i="7" s="1"/>
  <c r="B2847" i="7" a="1"/>
  <c r="B2847" i="7" s="1"/>
  <c r="C2847" i="7" s="1"/>
  <c r="B2848" i="7" a="1"/>
  <c r="B2848" i="7" s="1"/>
  <c r="C2848" i="7" s="1"/>
  <c r="B2849" i="7" a="1"/>
  <c r="B2849" i="7" s="1"/>
  <c r="C2849" i="7" s="1"/>
  <c r="B2850" i="7" a="1"/>
  <c r="B2850" i="7" s="1"/>
  <c r="C2850" i="7" s="1"/>
  <c r="B2851" i="7" a="1"/>
  <c r="B2851" i="7" s="1"/>
  <c r="C2851" i="7" s="1"/>
  <c r="B2852" i="7" a="1"/>
  <c r="B2852" i="7" s="1"/>
  <c r="C2852" i="7" s="1"/>
  <c r="B2853" i="7" a="1"/>
  <c r="B2853" i="7" s="1"/>
  <c r="C2853" i="7" s="1"/>
  <c r="B2854" i="7" a="1"/>
  <c r="B2854" i="7" s="1"/>
  <c r="C2854" i="7" s="1"/>
  <c r="B2855" i="7" a="1"/>
  <c r="B2855" i="7" s="1"/>
  <c r="C2855" i="7" s="1"/>
  <c r="B2856" i="7" a="1"/>
  <c r="B2856" i="7" s="1"/>
  <c r="C2856" i="7" s="1"/>
  <c r="B2857" i="7" a="1"/>
  <c r="B2857" i="7" s="1"/>
  <c r="C2857" i="7" s="1"/>
  <c r="B2858" i="7" a="1"/>
  <c r="B2858" i="7" s="1"/>
  <c r="C2858" i="7" s="1"/>
  <c r="B2859" i="7" a="1"/>
  <c r="B2859" i="7" s="1"/>
  <c r="C2859" i="7" s="1"/>
  <c r="B2860" i="7" a="1"/>
  <c r="B2860" i="7" s="1"/>
  <c r="C2860" i="7" s="1"/>
  <c r="B2861" i="7" a="1"/>
  <c r="B2861" i="7" s="1"/>
  <c r="C2861" i="7" s="1"/>
  <c r="B2862" i="7" a="1"/>
  <c r="B2862" i="7" s="1"/>
  <c r="C2862" i="7" s="1"/>
  <c r="B2863" i="7" a="1"/>
  <c r="B2863" i="7" s="1"/>
  <c r="C2863" i="7" s="1"/>
  <c r="B2864" i="7" a="1"/>
  <c r="B2864" i="7" s="1"/>
  <c r="C2864" i="7" s="1"/>
  <c r="B2865" i="7" a="1"/>
  <c r="B2865" i="7" s="1"/>
  <c r="C2865" i="7" s="1"/>
  <c r="B2866" i="7" a="1"/>
  <c r="B2866" i="7" s="1"/>
  <c r="C2866" i="7" s="1"/>
  <c r="B2867" i="7" a="1"/>
  <c r="B2867" i="7" s="1"/>
  <c r="C2867" i="7" s="1"/>
  <c r="B2868" i="7" a="1"/>
  <c r="B2868" i="7" s="1"/>
  <c r="C2868" i="7" s="1"/>
  <c r="B2869" i="7" a="1"/>
  <c r="B2869" i="7" s="1"/>
  <c r="C2869" i="7" s="1"/>
  <c r="B2870" i="7" a="1"/>
  <c r="B2870" i="7" s="1"/>
  <c r="C2870" i="7" s="1"/>
  <c r="B2871" i="7" a="1"/>
  <c r="B2871" i="7" s="1"/>
  <c r="C2871" i="7" s="1"/>
  <c r="B2872" i="7" a="1"/>
  <c r="B2872" i="7" s="1"/>
  <c r="C2872" i="7" s="1"/>
  <c r="B2873" i="7" a="1"/>
  <c r="B2873" i="7" s="1"/>
  <c r="C2873" i="7" s="1"/>
  <c r="B2874" i="7" a="1"/>
  <c r="B2874" i="7" s="1"/>
  <c r="C2874" i="7" s="1"/>
  <c r="B2875" i="7" a="1"/>
  <c r="B2875" i="7" s="1"/>
  <c r="C2875" i="7" s="1"/>
  <c r="B2876" i="7" a="1"/>
  <c r="B2876" i="7" s="1"/>
  <c r="C2876" i="7" s="1"/>
  <c r="B2877" i="7" a="1"/>
  <c r="B2877" i="7" s="1"/>
  <c r="C2877" i="7" s="1"/>
  <c r="B2878" i="7" a="1"/>
  <c r="B2878" i="7" s="1"/>
  <c r="C2878" i="7" s="1"/>
  <c r="B2879" i="7" a="1"/>
  <c r="B2879" i="7" s="1"/>
  <c r="C2879" i="7" s="1"/>
  <c r="B2880" i="7" a="1"/>
  <c r="B2880" i="7" s="1"/>
  <c r="C2880" i="7" s="1"/>
  <c r="B2881" i="7" a="1"/>
  <c r="B2881" i="7" s="1"/>
  <c r="C2881" i="7" s="1"/>
  <c r="B2882" i="7" a="1"/>
  <c r="B2882" i="7" s="1"/>
  <c r="C2882" i="7" s="1"/>
  <c r="B2883" i="7" a="1"/>
  <c r="B2883" i="7" s="1"/>
  <c r="C2883" i="7" s="1"/>
  <c r="B2884" i="7" a="1"/>
  <c r="B2884" i="7" s="1"/>
  <c r="C2884" i="7" s="1"/>
  <c r="B2885" i="7" a="1"/>
  <c r="B2885" i="7" s="1"/>
  <c r="C2885" i="7" s="1"/>
  <c r="B2886" i="7" a="1"/>
  <c r="B2886" i="7" s="1"/>
  <c r="C2886" i="7" s="1"/>
  <c r="B2887" i="7" a="1"/>
  <c r="B2887" i="7" s="1"/>
  <c r="C2887" i="7" s="1"/>
  <c r="B2888" i="7" a="1"/>
  <c r="B2888" i="7" s="1"/>
  <c r="C2888" i="7" s="1"/>
  <c r="B2889" i="7" a="1"/>
  <c r="B2889" i="7" s="1"/>
  <c r="C2889" i="7" s="1"/>
  <c r="B2890" i="7" a="1"/>
  <c r="B2890" i="7" s="1"/>
  <c r="C2890" i="7" s="1"/>
  <c r="B2891" i="7" a="1"/>
  <c r="B2891" i="7" s="1"/>
  <c r="C2891" i="7" s="1"/>
  <c r="B2892" i="7" a="1"/>
  <c r="B2892" i="7" s="1"/>
  <c r="C2892" i="7" s="1"/>
  <c r="B2893" i="7" a="1"/>
  <c r="B2893" i="7" s="1"/>
  <c r="C2893" i="7" s="1"/>
  <c r="B2894" i="7" a="1"/>
  <c r="B2894" i="7" s="1"/>
  <c r="C2894" i="7" s="1"/>
  <c r="B2895" i="7" a="1"/>
  <c r="B2895" i="7" s="1"/>
  <c r="C2895" i="7" s="1"/>
  <c r="B2896" i="7" a="1"/>
  <c r="B2896" i="7" s="1"/>
  <c r="C2896" i="7" s="1"/>
  <c r="B2897" i="7" a="1"/>
  <c r="B2897" i="7" s="1"/>
  <c r="C2897" i="7" s="1"/>
  <c r="B2898" i="7" a="1"/>
  <c r="B2898" i="7" s="1"/>
  <c r="C2898" i="7" s="1"/>
  <c r="B2899" i="7" a="1"/>
  <c r="B2899" i="7" s="1"/>
  <c r="C2899" i="7" s="1"/>
  <c r="B2900" i="7" a="1"/>
  <c r="B2900" i="7" s="1"/>
  <c r="C2900" i="7" s="1"/>
  <c r="B2901" i="7" a="1"/>
  <c r="B2901" i="7" s="1"/>
  <c r="C2901" i="7" s="1"/>
  <c r="B2902" i="7" a="1"/>
  <c r="B2902" i="7" s="1"/>
  <c r="C2902" i="7" s="1"/>
  <c r="B2903" i="7" a="1"/>
  <c r="B2903" i="7" s="1"/>
  <c r="C2903" i="7" s="1"/>
  <c r="B2904" i="7" a="1"/>
  <c r="B2904" i="7" s="1"/>
  <c r="C2904" i="7" s="1"/>
  <c r="B2905" i="7" a="1"/>
  <c r="B2905" i="7" s="1"/>
  <c r="C2905" i="7" s="1"/>
  <c r="B2906" i="7" a="1"/>
  <c r="B2906" i="7" s="1"/>
  <c r="C2906" i="7" s="1"/>
  <c r="B2907" i="7" a="1"/>
  <c r="B2907" i="7" s="1"/>
  <c r="C2907" i="7" s="1"/>
  <c r="B2908" i="7" a="1"/>
  <c r="B2908" i="7" s="1"/>
  <c r="C2908" i="7" s="1"/>
  <c r="B2909" i="7" a="1"/>
  <c r="B2909" i="7" s="1"/>
  <c r="C2909" i="7" s="1"/>
  <c r="B2910" i="7" a="1"/>
  <c r="B2910" i="7" s="1"/>
  <c r="C2910" i="7" s="1"/>
  <c r="B2911" i="7" a="1"/>
  <c r="B2911" i="7" s="1"/>
  <c r="C2911" i="7" s="1"/>
  <c r="B2912" i="7" a="1"/>
  <c r="B2912" i="7" s="1"/>
  <c r="C2912" i="7" s="1"/>
  <c r="B2913" i="7" a="1"/>
  <c r="B2913" i="7" s="1"/>
  <c r="C2913" i="7" s="1"/>
  <c r="B2914" i="7" a="1"/>
  <c r="B2914" i="7" s="1"/>
  <c r="C2914" i="7" s="1"/>
  <c r="B2915" i="7" a="1"/>
  <c r="B2915" i="7" s="1"/>
  <c r="C2915" i="7" s="1"/>
  <c r="B2916" i="7" a="1"/>
  <c r="B2916" i="7" s="1"/>
  <c r="C2916" i="7" s="1"/>
  <c r="B2917" i="7" a="1"/>
  <c r="B2917" i="7" s="1"/>
  <c r="C2917" i="7" s="1"/>
  <c r="B2918" i="7" a="1"/>
  <c r="B2918" i="7" s="1"/>
  <c r="C2918" i="7" s="1"/>
  <c r="B2919" i="7" a="1"/>
  <c r="B2919" i="7" s="1"/>
  <c r="C2919" i="7" s="1"/>
  <c r="B2920" i="7" a="1"/>
  <c r="B2920" i="7" s="1"/>
  <c r="C2920" i="7" s="1"/>
  <c r="B2921" i="7" a="1"/>
  <c r="B2921" i="7" s="1"/>
  <c r="C2921" i="7" s="1"/>
  <c r="B2922" i="7" a="1"/>
  <c r="B2922" i="7" s="1"/>
  <c r="C2922" i="7" s="1"/>
  <c r="B2923" i="7" a="1"/>
  <c r="B2923" i="7" s="1"/>
  <c r="C2923" i="7" s="1"/>
  <c r="B2924" i="7" a="1"/>
  <c r="B2924" i="7" s="1"/>
  <c r="C2924" i="7" s="1"/>
  <c r="B2925" i="7" a="1"/>
  <c r="B2925" i="7" s="1"/>
  <c r="C2925" i="7" s="1"/>
  <c r="B2926" i="7" a="1"/>
  <c r="B2926" i="7" s="1"/>
  <c r="C2926" i="7" s="1"/>
  <c r="B2927" i="7" a="1"/>
  <c r="B2927" i="7" s="1"/>
  <c r="C2927" i="7" s="1"/>
  <c r="B2928" i="7" a="1"/>
  <c r="B2928" i="7" s="1"/>
  <c r="C2928" i="7" s="1"/>
  <c r="B2929" i="7" a="1"/>
  <c r="B2929" i="7" s="1"/>
  <c r="C2929" i="7" s="1"/>
  <c r="B2930" i="7" a="1"/>
  <c r="B2930" i="7" s="1"/>
  <c r="C2930" i="7" s="1"/>
  <c r="B2931" i="7" a="1"/>
  <c r="B2931" i="7" s="1"/>
  <c r="C2931" i="7" s="1"/>
  <c r="B2932" i="7" a="1"/>
  <c r="B2932" i="7" s="1"/>
  <c r="C2932" i="7" s="1"/>
  <c r="B2933" i="7" a="1"/>
  <c r="B2933" i="7" s="1"/>
  <c r="C2933" i="7" s="1"/>
  <c r="B2934" i="7" a="1"/>
  <c r="B2934" i="7" s="1"/>
  <c r="C2934" i="7" s="1"/>
  <c r="B2935" i="7" a="1"/>
  <c r="B2935" i="7" s="1"/>
  <c r="C2935" i="7" s="1"/>
  <c r="B2936" i="7" a="1"/>
  <c r="B2936" i="7" s="1"/>
  <c r="C2936" i="7" s="1"/>
  <c r="B2937" i="7" a="1"/>
  <c r="B2937" i="7" s="1"/>
  <c r="C2937" i="7" s="1"/>
  <c r="B2938" i="7" a="1"/>
  <c r="B2938" i="7" s="1"/>
  <c r="C2938" i="7" s="1"/>
  <c r="B2939" i="7" a="1"/>
  <c r="B2939" i="7" s="1"/>
  <c r="C2939" i="7" s="1"/>
  <c r="B2940" i="7" a="1"/>
  <c r="B2940" i="7" s="1"/>
  <c r="C2940" i="7" s="1"/>
  <c r="B2941" i="7" a="1"/>
  <c r="B2941" i="7" s="1"/>
  <c r="C2941" i="7" s="1"/>
  <c r="B2942" i="7" a="1"/>
  <c r="B2942" i="7" s="1"/>
  <c r="C2942" i="7" s="1"/>
  <c r="B2943" i="7" a="1"/>
  <c r="B2943" i="7" s="1"/>
  <c r="C2943" i="7" s="1"/>
  <c r="B2944" i="7" a="1"/>
  <c r="B2944" i="7" s="1"/>
  <c r="C2944" i="7" s="1"/>
  <c r="B2945" i="7" a="1"/>
  <c r="B2945" i="7" s="1"/>
  <c r="C2945" i="7" s="1"/>
  <c r="B2946" i="7" a="1"/>
  <c r="B2946" i="7" s="1"/>
  <c r="C2946" i="7" s="1"/>
  <c r="B2947" i="7" a="1"/>
  <c r="B2947" i="7" s="1"/>
  <c r="C2947" i="7" s="1"/>
  <c r="B2948" i="7" a="1"/>
  <c r="B2948" i="7" s="1"/>
  <c r="C2948" i="7" s="1"/>
  <c r="B2949" i="7" a="1"/>
  <c r="B2949" i="7" s="1"/>
  <c r="C2949" i="7" s="1"/>
  <c r="B2950" i="7" a="1"/>
  <c r="B2950" i="7" s="1"/>
  <c r="C2950" i="7" s="1"/>
  <c r="B2951" i="7" a="1"/>
  <c r="B2951" i="7" s="1"/>
  <c r="C2951" i="7" s="1"/>
  <c r="B2952" i="7" a="1"/>
  <c r="B2952" i="7" s="1"/>
  <c r="C2952" i="7" s="1"/>
  <c r="B2953" i="7" a="1"/>
  <c r="B2953" i="7" s="1"/>
  <c r="C2953" i="7" s="1"/>
  <c r="B2954" i="7" a="1"/>
  <c r="B2954" i="7" s="1"/>
  <c r="C2954" i="7" s="1"/>
  <c r="B2955" i="7" a="1"/>
  <c r="B2955" i="7" s="1"/>
  <c r="C2955" i="7" s="1"/>
  <c r="B2956" i="7" a="1"/>
  <c r="B2956" i="7"/>
  <c r="C2956" i="7" s="1"/>
  <c r="B2957" i="7" a="1"/>
  <c r="B2957" i="7" s="1"/>
  <c r="C2957" i="7" s="1"/>
  <c r="B2958" i="7" a="1"/>
  <c r="B2958" i="7" s="1"/>
  <c r="C2958" i="7" s="1"/>
  <c r="B2959" i="7" a="1"/>
  <c r="B2959" i="7" s="1"/>
  <c r="C2959" i="7" s="1"/>
  <c r="B2960" i="7" a="1"/>
  <c r="B2960" i="7" s="1"/>
  <c r="C2960" i="7" s="1"/>
  <c r="B2961" i="7" a="1"/>
  <c r="B2961" i="7" s="1"/>
  <c r="C2961" i="7" s="1"/>
  <c r="B2962" i="7" a="1"/>
  <c r="B2962" i="7" s="1"/>
  <c r="C2962" i="7" s="1"/>
  <c r="B2963" i="7" a="1"/>
  <c r="B2963" i="7" s="1"/>
  <c r="C2963" i="7" s="1"/>
  <c r="B2964" i="7" a="1"/>
  <c r="B2964" i="7" s="1"/>
  <c r="C2964" i="7" s="1"/>
  <c r="B2965" i="7" a="1"/>
  <c r="B2965" i="7" s="1"/>
  <c r="C2965" i="7" s="1"/>
  <c r="B2966" i="7" a="1"/>
  <c r="B2966" i="7" s="1"/>
  <c r="C2966" i="7" s="1"/>
  <c r="B2967" i="7" a="1"/>
  <c r="B2967" i="7" s="1"/>
  <c r="C2967" i="7" s="1"/>
  <c r="B2968" i="7" a="1"/>
  <c r="B2968" i="7" s="1"/>
  <c r="C2968" i="7" s="1"/>
  <c r="B2969" i="7" a="1"/>
  <c r="B2969" i="7" s="1"/>
  <c r="C2969" i="7" s="1"/>
  <c r="B2970" i="7" a="1"/>
  <c r="B2970" i="7" s="1"/>
  <c r="C2970" i="7" s="1"/>
  <c r="B2971" i="7" a="1"/>
  <c r="B2971" i="7" s="1"/>
  <c r="C2971" i="7" s="1"/>
  <c r="B2972" i="7" a="1"/>
  <c r="B2972" i="7" s="1"/>
  <c r="C2972" i="7" s="1"/>
  <c r="B2973" i="7" a="1"/>
  <c r="B2973" i="7" s="1"/>
  <c r="C2973" i="7" s="1"/>
  <c r="B2974" i="7" a="1"/>
  <c r="B2974" i="7" s="1"/>
  <c r="C2974" i="7" s="1"/>
  <c r="B2975" i="7" a="1"/>
  <c r="B2975" i="7" s="1"/>
  <c r="C2975" i="7" s="1"/>
  <c r="B2976" i="7" a="1"/>
  <c r="B2976" i="7" s="1"/>
  <c r="C2976" i="7" s="1"/>
  <c r="B2977" i="7" a="1"/>
  <c r="B2977" i="7" s="1"/>
  <c r="C2977" i="7" s="1"/>
  <c r="B2978" i="7" a="1"/>
  <c r="B2978" i="7" s="1"/>
  <c r="C2978" i="7" s="1"/>
  <c r="B2979" i="7" a="1"/>
  <c r="B2979" i="7" s="1"/>
  <c r="C2979" i="7" s="1"/>
  <c r="B2980" i="7" a="1"/>
  <c r="B2980" i="7" s="1"/>
  <c r="C2980" i="7" s="1"/>
  <c r="B2981" i="7" a="1"/>
  <c r="B2981" i="7" s="1"/>
  <c r="C2981" i="7" s="1"/>
  <c r="B2982" i="7" a="1"/>
  <c r="B2982" i="7" s="1"/>
  <c r="C2982" i="7" s="1"/>
  <c r="B2983" i="7" a="1"/>
  <c r="B2983" i="7" s="1"/>
  <c r="C2983" i="7" s="1"/>
  <c r="B2984" i="7" a="1"/>
  <c r="B2984" i="7" s="1"/>
  <c r="C2984" i="7" s="1"/>
  <c r="B2985" i="7" a="1"/>
  <c r="B2985" i="7" s="1"/>
  <c r="C2985" i="7" s="1"/>
  <c r="B2986" i="7" a="1"/>
  <c r="B2986" i="7" s="1"/>
  <c r="C2986" i="7" s="1"/>
  <c r="B2987" i="7" a="1"/>
  <c r="B2987" i="7" s="1"/>
  <c r="C2987" i="7" s="1"/>
  <c r="B2988" i="7" a="1"/>
  <c r="B2988" i="7" s="1"/>
  <c r="C2988" i="7" s="1"/>
  <c r="B2989" i="7" a="1"/>
  <c r="B2989" i="7" s="1"/>
  <c r="C2989" i="7" s="1"/>
  <c r="B2990" i="7" a="1"/>
  <c r="B2990" i="7" s="1"/>
  <c r="C2990" i="7" s="1"/>
  <c r="B2991" i="7" a="1"/>
  <c r="B2991" i="7" s="1"/>
  <c r="C2991" i="7" s="1"/>
  <c r="B2992" i="7" a="1"/>
  <c r="B2992" i="7" s="1"/>
  <c r="C2992" i="7" s="1"/>
  <c r="B2993" i="7" a="1"/>
  <c r="B2993" i="7" s="1"/>
  <c r="C2993" i="7" s="1"/>
  <c r="B2994" i="7" a="1"/>
  <c r="B2994" i="7" s="1"/>
  <c r="C2994" i="7" s="1"/>
  <c r="B2995" i="7" a="1"/>
  <c r="B2995" i="7" s="1"/>
  <c r="C2995" i="7" s="1"/>
  <c r="B2996" i="7" a="1"/>
  <c r="B2996" i="7" s="1"/>
  <c r="C2996" i="7" s="1"/>
  <c r="B2997" i="7" a="1"/>
  <c r="B2997" i="7" s="1"/>
  <c r="C2997" i="7" s="1"/>
  <c r="B2998" i="7" a="1"/>
  <c r="B2998" i="7" s="1"/>
  <c r="C2998" i="7" s="1"/>
  <c r="B2999" i="7" a="1"/>
  <c r="B2999" i="7" s="1"/>
  <c r="C2999" i="7" s="1"/>
  <c r="B3000" i="7" a="1"/>
  <c r="B3000" i="7" s="1"/>
  <c r="C3000" i="7" s="1"/>
  <c r="B3001" i="7" a="1"/>
  <c r="B3001" i="7" s="1"/>
  <c r="C3001" i="7" s="1"/>
  <c r="B3002" i="7" a="1"/>
  <c r="B3002" i="7" s="1"/>
  <c r="C3002" i="7" s="1"/>
  <c r="B3003" i="7" a="1"/>
  <c r="B3003" i="7" s="1"/>
  <c r="C3003" i="7" s="1"/>
  <c r="B3004" i="7" a="1"/>
  <c r="B3004" i="7" s="1"/>
  <c r="C3004" i="7" s="1"/>
  <c r="B3005" i="7" a="1"/>
  <c r="B3005" i="7" s="1"/>
  <c r="C3005" i="7" s="1"/>
  <c r="B3006" i="7" a="1"/>
  <c r="B3006" i="7" s="1"/>
  <c r="C3006" i="7" s="1"/>
  <c r="B3007" i="7" a="1"/>
  <c r="B3007" i="7" s="1"/>
  <c r="C3007" i="7" s="1"/>
  <c r="B3008" i="7" a="1"/>
  <c r="B3008" i="7" s="1"/>
  <c r="C3008" i="7" s="1"/>
  <c r="B3009" i="7" a="1"/>
  <c r="B3009" i="7" s="1"/>
  <c r="C3009" i="7" s="1"/>
  <c r="B3010" i="7" a="1"/>
  <c r="B3010" i="7" s="1"/>
  <c r="C3010" i="7" s="1"/>
  <c r="B3011" i="7" a="1"/>
  <c r="B3011" i="7" s="1"/>
  <c r="C3011" i="7" s="1"/>
  <c r="B3012" i="7" a="1"/>
  <c r="B3012" i="7"/>
  <c r="C3012" i="7" s="1"/>
  <c r="B3013" i="7" a="1"/>
  <c r="B3013" i="7" s="1"/>
  <c r="C3013" i="7" s="1"/>
  <c r="B3014" i="7" a="1"/>
  <c r="B3014" i="7" s="1"/>
  <c r="C3014" i="7" s="1"/>
  <c r="B3015" i="7" a="1"/>
  <c r="B3015" i="7" s="1"/>
  <c r="C3015" i="7" s="1"/>
  <c r="B3016" i="7" a="1"/>
  <c r="B3016" i="7" s="1"/>
  <c r="C3016" i="7" s="1"/>
  <c r="B3017" i="7" a="1"/>
  <c r="B3017" i="7" s="1"/>
  <c r="C3017" i="7" s="1"/>
  <c r="B3018" i="7" a="1"/>
  <c r="B3018" i="7" s="1"/>
  <c r="C3018" i="7" s="1"/>
  <c r="B3019" i="7" a="1"/>
  <c r="B3019" i="7" s="1"/>
  <c r="C3019" i="7" s="1"/>
  <c r="B3020" i="7" a="1"/>
  <c r="B3020" i="7" s="1"/>
  <c r="C3020" i="7" s="1"/>
  <c r="B3021" i="7" a="1"/>
  <c r="B3021" i="7" s="1"/>
  <c r="C3021" i="7" s="1"/>
  <c r="B3022" i="7" a="1"/>
  <c r="B3022" i="7"/>
  <c r="C3022" i="7" s="1"/>
  <c r="B3023" i="7" a="1"/>
  <c r="B3023" i="7" s="1"/>
  <c r="C3023" i="7" s="1"/>
  <c r="B3024" i="7" a="1"/>
  <c r="B3024" i="7" s="1"/>
  <c r="C3024" i="7" s="1"/>
  <c r="B3025" i="7" a="1"/>
  <c r="B3025" i="7" s="1"/>
  <c r="C3025" i="7" s="1"/>
  <c r="B3026" i="7" a="1"/>
  <c r="B3026" i="7" s="1"/>
  <c r="C3026" i="7" s="1"/>
  <c r="B3027" i="7" a="1"/>
  <c r="B3027" i="7" s="1"/>
  <c r="C3027" i="7" s="1"/>
  <c r="B3028" i="7" a="1"/>
  <c r="B3028" i="7" s="1"/>
  <c r="C3028" i="7" s="1"/>
  <c r="B3029" i="7" a="1"/>
  <c r="B3029" i="7" s="1"/>
  <c r="C3029" i="7" s="1"/>
  <c r="B3030" i="7" a="1"/>
  <c r="B3030" i="7" s="1"/>
  <c r="C3030" i="7" s="1"/>
  <c r="B3031" i="7" a="1"/>
  <c r="B3031" i="7" s="1"/>
  <c r="C3031" i="7" s="1"/>
  <c r="B3032" i="7" a="1"/>
  <c r="B3032" i="7" s="1"/>
  <c r="C3032" i="7" s="1"/>
  <c r="B3033" i="7" a="1"/>
  <c r="B3033" i="7" s="1"/>
  <c r="C3033" i="7" s="1"/>
  <c r="B3034" i="7" a="1"/>
  <c r="B3034" i="7" s="1"/>
  <c r="C3034" i="7" s="1"/>
  <c r="B3035" i="7" a="1"/>
  <c r="B3035" i="7" s="1"/>
  <c r="C3035" i="7" s="1"/>
  <c r="B3036" i="7" a="1"/>
  <c r="B3036" i="7" s="1"/>
  <c r="C3036" i="7" s="1"/>
  <c r="B3037" i="7" a="1"/>
  <c r="B3037" i="7" s="1"/>
  <c r="C3037" i="7" s="1"/>
  <c r="B3038" i="7" a="1"/>
  <c r="B3038" i="7" s="1"/>
  <c r="C3038" i="7" s="1"/>
  <c r="B3039" i="7" a="1"/>
  <c r="B3039" i="7" s="1"/>
  <c r="C3039" i="7" s="1"/>
  <c r="B3040" i="7" a="1"/>
  <c r="B3040" i="7" s="1"/>
  <c r="C3040" i="7" s="1"/>
  <c r="B3041" i="7" a="1"/>
  <c r="B3041" i="7" s="1"/>
  <c r="C3041" i="7" s="1"/>
  <c r="B3042" i="7" a="1"/>
  <c r="B3042" i="7" s="1"/>
  <c r="C3042" i="7" s="1"/>
  <c r="B3043" i="7" a="1"/>
  <c r="B3043" i="7" s="1"/>
  <c r="C3043" i="7" s="1"/>
  <c r="B3044" i="7" a="1"/>
  <c r="B3044" i="7" s="1"/>
  <c r="C3044" i="7" s="1"/>
  <c r="B3045" i="7" a="1"/>
  <c r="B3045" i="7" s="1"/>
  <c r="C3045" i="7" s="1"/>
  <c r="B3046" i="7" a="1"/>
  <c r="B3046" i="7" s="1"/>
  <c r="C3046" i="7" s="1"/>
  <c r="B3047" i="7" a="1"/>
  <c r="B3047" i="7" s="1"/>
  <c r="C3047" i="7" s="1"/>
  <c r="B3048" i="7" a="1"/>
  <c r="B3048" i="7" s="1"/>
  <c r="C3048" i="7" s="1"/>
  <c r="B3049" i="7" a="1"/>
  <c r="B3049" i="7" s="1"/>
  <c r="C3049" i="7" s="1"/>
  <c r="B3050" i="7" a="1"/>
  <c r="B3050" i="7" s="1"/>
  <c r="C3050" i="7" s="1"/>
  <c r="B3051" i="7" a="1"/>
  <c r="B3051" i="7" s="1"/>
  <c r="C3051" i="7" s="1"/>
  <c r="B3052" i="7" a="1"/>
  <c r="B3052" i="7" s="1"/>
  <c r="C3052" i="7" s="1"/>
  <c r="B3053" i="7" a="1"/>
  <c r="B3053" i="7" s="1"/>
  <c r="C3053" i="7" s="1"/>
  <c r="B3054" i="7" a="1"/>
  <c r="B3054" i="7" s="1"/>
  <c r="C3054" i="7" s="1"/>
  <c r="B3055" i="7" a="1"/>
  <c r="B3055" i="7" s="1"/>
  <c r="C3055" i="7" s="1"/>
  <c r="B3056" i="7" a="1"/>
  <c r="B3056" i="7" s="1"/>
  <c r="C3056" i="7" s="1"/>
  <c r="B3057" i="7" a="1"/>
  <c r="B3057" i="7" s="1"/>
  <c r="C3057" i="7" s="1"/>
  <c r="B3058" i="7" a="1"/>
  <c r="B3058" i="7" s="1"/>
  <c r="C3058" i="7" s="1"/>
  <c r="B3059" i="7" a="1"/>
  <c r="B3059" i="7" s="1"/>
  <c r="C3059" i="7" s="1"/>
  <c r="B3060" i="7" a="1"/>
  <c r="B3060" i="7" s="1"/>
  <c r="C3060" i="7" s="1"/>
  <c r="B3061" i="7" a="1"/>
  <c r="B3061" i="7" s="1"/>
  <c r="C3061" i="7" s="1"/>
  <c r="B3062" i="7" a="1"/>
  <c r="B3062" i="7" s="1"/>
  <c r="C3062" i="7" s="1"/>
  <c r="B3063" i="7" a="1"/>
  <c r="B3063" i="7" s="1"/>
  <c r="C3063" i="7" s="1"/>
  <c r="B3064" i="7" a="1"/>
  <c r="B3064" i="7" s="1"/>
  <c r="C3064" i="7" s="1"/>
  <c r="B3065" i="7" a="1"/>
  <c r="B3065" i="7" s="1"/>
  <c r="C3065" i="7" s="1"/>
  <c r="B3066" i="7" a="1"/>
  <c r="B3066" i="7" s="1"/>
  <c r="C3066" i="7" s="1"/>
  <c r="B3067" i="7" a="1"/>
  <c r="B3067" i="7" s="1"/>
  <c r="C3067" i="7" s="1"/>
  <c r="B3068" i="7" a="1"/>
  <c r="B3068" i="7" s="1"/>
  <c r="C3068" i="7" s="1"/>
  <c r="B3069" i="7" a="1"/>
  <c r="B3069" i="7" s="1"/>
  <c r="C3069" i="7" s="1"/>
  <c r="B3070" i="7" a="1"/>
  <c r="B3070" i="7" s="1"/>
  <c r="C3070" i="7" s="1"/>
  <c r="B3071" i="7" a="1"/>
  <c r="B3071" i="7" s="1"/>
  <c r="C3071" i="7" s="1"/>
  <c r="B3072" i="7" a="1"/>
  <c r="B3072" i="7" s="1"/>
  <c r="C3072" i="7" s="1"/>
  <c r="B3073" i="7" a="1"/>
  <c r="B3073" i="7" s="1"/>
  <c r="C3073" i="7" s="1"/>
  <c r="B3074" i="7" a="1"/>
  <c r="B3074" i="7" s="1"/>
  <c r="C3074" i="7" s="1"/>
  <c r="B3075" i="7" a="1"/>
  <c r="B3075" i="7" s="1"/>
  <c r="C3075" i="7" s="1"/>
  <c r="B3076" i="7" a="1"/>
  <c r="B3076" i="7" s="1"/>
  <c r="C3076" i="7" s="1"/>
  <c r="B3077" i="7" a="1"/>
  <c r="B3077" i="7" s="1"/>
  <c r="C3077" i="7" s="1"/>
  <c r="B3078" i="7" a="1"/>
  <c r="B3078" i="7" s="1"/>
  <c r="C3078" i="7" s="1"/>
  <c r="B3079" i="7" a="1"/>
  <c r="B3079" i="7" s="1"/>
  <c r="C3079" i="7" s="1"/>
  <c r="B3080" i="7" a="1"/>
  <c r="B3080" i="7" s="1"/>
  <c r="C3080" i="7" s="1"/>
  <c r="B3081" i="7" a="1"/>
  <c r="B3081" i="7" s="1"/>
  <c r="C3081" i="7" s="1"/>
  <c r="B3082" i="7" a="1"/>
  <c r="B3082" i="7" s="1"/>
  <c r="C3082" i="7" s="1"/>
  <c r="B3083" i="7" a="1"/>
  <c r="B3083" i="7" s="1"/>
  <c r="C3083" i="7" s="1"/>
  <c r="B3084" i="7" a="1"/>
  <c r="B3084" i="7" s="1"/>
  <c r="C3084" i="7" s="1"/>
  <c r="B3085" i="7" a="1"/>
  <c r="B3085" i="7" s="1"/>
  <c r="C3085" i="7" s="1"/>
  <c r="B3086" i="7" a="1"/>
  <c r="B3086" i="7" s="1"/>
  <c r="C3086" i="7" s="1"/>
  <c r="B3087" i="7" a="1"/>
  <c r="B3087" i="7" s="1"/>
  <c r="C3087" i="7" s="1"/>
  <c r="B3088" i="7" a="1"/>
  <c r="B3088" i="7" s="1"/>
  <c r="C3088" i="7" s="1"/>
  <c r="B3089" i="7" a="1"/>
  <c r="B3089" i="7" s="1"/>
  <c r="C3089" i="7" s="1"/>
  <c r="B3090" i="7" a="1"/>
  <c r="B3090" i="7" s="1"/>
  <c r="C3090" i="7" s="1"/>
  <c r="B3091" i="7" a="1"/>
  <c r="B3091" i="7" s="1"/>
  <c r="C3091" i="7" s="1"/>
  <c r="B3092" i="7" a="1"/>
  <c r="B3092" i="7" s="1"/>
  <c r="C3092" i="7" s="1"/>
  <c r="B3093" i="7" a="1"/>
  <c r="B3093" i="7" s="1"/>
  <c r="C3093" i="7" s="1"/>
  <c r="B3094" i="7" a="1"/>
  <c r="B3094" i="7" s="1"/>
  <c r="C3094" i="7" s="1"/>
  <c r="B3095" i="7" a="1"/>
  <c r="B3095" i="7" s="1"/>
  <c r="C3095" i="7" s="1"/>
  <c r="B3096" i="7" a="1"/>
  <c r="B3096" i="7" s="1"/>
  <c r="C3096" i="7" s="1"/>
  <c r="B3097" i="7" a="1"/>
  <c r="B3097" i="7" s="1"/>
  <c r="C3097" i="7" s="1"/>
  <c r="B3098" i="7" a="1"/>
  <c r="B3098" i="7" s="1"/>
  <c r="C3098" i="7" s="1"/>
  <c r="B3099" i="7" a="1"/>
  <c r="B3099" i="7" s="1"/>
  <c r="C3099" i="7" s="1"/>
  <c r="B3100" i="7" a="1"/>
  <c r="B3100" i="7" s="1"/>
  <c r="C3100" i="7" s="1"/>
  <c r="B3101" i="7" a="1"/>
  <c r="B3101" i="7" s="1"/>
  <c r="C3101" i="7" s="1"/>
  <c r="B3102" i="7" a="1"/>
  <c r="B3102" i="7" s="1"/>
  <c r="C3102" i="7" s="1"/>
  <c r="B3103" i="7" a="1"/>
  <c r="B3103" i="7" s="1"/>
  <c r="C3103" i="7" s="1"/>
  <c r="B3104" i="7" a="1"/>
  <c r="B3104" i="7" s="1"/>
  <c r="C3104" i="7" s="1"/>
  <c r="B3105" i="7" a="1"/>
  <c r="B3105" i="7" s="1"/>
  <c r="C3105" i="7" s="1"/>
  <c r="B3106" i="7" a="1"/>
  <c r="B3106" i="7" s="1"/>
  <c r="C3106" i="7" s="1"/>
  <c r="B3107" i="7" a="1"/>
  <c r="B3107" i="7" s="1"/>
  <c r="C3107" i="7" s="1"/>
  <c r="B3108" i="7" a="1"/>
  <c r="B3108" i="7" s="1"/>
  <c r="C3108" i="7" s="1"/>
  <c r="B3109" i="7" a="1"/>
  <c r="B3109" i="7" s="1"/>
  <c r="C3109" i="7" s="1"/>
  <c r="B3110" i="7" a="1"/>
  <c r="B3110" i="7" s="1"/>
  <c r="C3110" i="7" s="1"/>
  <c r="B3111" i="7" a="1"/>
  <c r="B3111" i="7" s="1"/>
  <c r="C3111" i="7" s="1"/>
  <c r="B3112" i="7" a="1"/>
  <c r="B3112" i="7" s="1"/>
  <c r="C3112" i="7" s="1"/>
  <c r="B3113" i="7" a="1"/>
  <c r="B3113" i="7" s="1"/>
  <c r="C3113" i="7" s="1"/>
  <c r="B3114" i="7" a="1"/>
  <c r="B3114" i="7" s="1"/>
  <c r="C3114" i="7" s="1"/>
  <c r="B3115" i="7" a="1"/>
  <c r="B3115" i="7" s="1"/>
  <c r="C3115" i="7" s="1"/>
  <c r="B3116" i="7" a="1"/>
  <c r="B3116" i="7" s="1"/>
  <c r="C3116" i="7" s="1"/>
  <c r="B3117" i="7" a="1"/>
  <c r="B3117" i="7" s="1"/>
  <c r="C3117" i="7" s="1"/>
  <c r="B3118" i="7" a="1"/>
  <c r="B3118" i="7" s="1"/>
  <c r="C3118" i="7" s="1"/>
  <c r="B3119" i="7" a="1"/>
  <c r="B3119" i="7" s="1"/>
  <c r="C3119" i="7" s="1"/>
  <c r="B3120" i="7" a="1"/>
  <c r="B3120" i="7" s="1"/>
  <c r="C3120" i="7" s="1"/>
  <c r="B3121" i="7" a="1"/>
  <c r="B3121" i="7" s="1"/>
  <c r="C3121" i="7" s="1"/>
  <c r="B3122" i="7" a="1"/>
  <c r="B3122" i="7" s="1"/>
  <c r="C3122" i="7" s="1"/>
  <c r="B3123" i="7" a="1"/>
  <c r="B3123" i="7" s="1"/>
  <c r="C3123" i="7" s="1"/>
  <c r="B3124" i="7" a="1"/>
  <c r="B3124" i="7" s="1"/>
  <c r="C3124" i="7" s="1"/>
  <c r="B3125" i="7" a="1"/>
  <c r="B3125" i="7" s="1"/>
  <c r="C3125" i="7" s="1"/>
  <c r="B3126" i="7" a="1"/>
  <c r="B3126" i="7" s="1"/>
  <c r="C3126" i="7" s="1"/>
  <c r="B3127" i="7" a="1"/>
  <c r="B3127" i="7" s="1"/>
  <c r="C3127" i="7" s="1"/>
  <c r="B3128" i="7" a="1"/>
  <c r="B3128" i="7" s="1"/>
  <c r="C3128" i="7" s="1"/>
  <c r="B3129" i="7" a="1"/>
  <c r="B3129" i="7" s="1"/>
  <c r="C3129" i="7" s="1"/>
  <c r="B3130" i="7" a="1"/>
  <c r="B3130" i="7" s="1"/>
  <c r="C3130" i="7" s="1"/>
  <c r="B3131" i="7" a="1"/>
  <c r="B3131" i="7" s="1"/>
  <c r="C3131" i="7" s="1"/>
  <c r="B3132" i="7" a="1"/>
  <c r="B3132" i="7" s="1"/>
  <c r="C3132" i="7" s="1"/>
  <c r="B3133" i="7" a="1"/>
  <c r="B3133" i="7" s="1"/>
  <c r="C3133" i="7" s="1"/>
  <c r="B3134" i="7" a="1"/>
  <c r="B3134" i="7" s="1"/>
  <c r="C3134" i="7" s="1"/>
  <c r="B3135" i="7" a="1"/>
  <c r="B3135" i="7" s="1"/>
  <c r="C3135" i="7" s="1"/>
  <c r="B3136" i="7" a="1"/>
  <c r="B3136" i="7" s="1"/>
  <c r="C3136" i="7" s="1"/>
  <c r="B3137" i="7" a="1"/>
  <c r="B3137" i="7" s="1"/>
  <c r="C3137" i="7" s="1"/>
  <c r="B3138" i="7" a="1"/>
  <c r="B3138" i="7" s="1"/>
  <c r="C3138" i="7" s="1"/>
  <c r="B3139" i="7" a="1"/>
  <c r="B3139" i="7" s="1"/>
  <c r="C3139" i="7" s="1"/>
  <c r="B3140" i="7" a="1"/>
  <c r="B3140" i="7" s="1"/>
  <c r="C3140" i="7" s="1"/>
  <c r="B3141" i="7" a="1"/>
  <c r="B3141" i="7" s="1"/>
  <c r="C3141" i="7" s="1"/>
  <c r="B3142" i="7" a="1"/>
  <c r="B3142" i="7" s="1"/>
  <c r="C3142" i="7" s="1"/>
  <c r="B3143" i="7" a="1"/>
  <c r="B3143" i="7" s="1"/>
  <c r="C3143" i="7" s="1"/>
  <c r="B3144" i="7" a="1"/>
  <c r="B3144" i="7" s="1"/>
  <c r="C3144" i="7" s="1"/>
  <c r="B3145" i="7" a="1"/>
  <c r="B3145" i="7" s="1"/>
  <c r="C3145" i="7" s="1"/>
  <c r="B3146" i="7" a="1"/>
  <c r="B3146" i="7" s="1"/>
  <c r="C3146" i="7" s="1"/>
  <c r="B3147" i="7" a="1"/>
  <c r="B3147" i="7" s="1"/>
  <c r="C3147" i="7" s="1"/>
  <c r="B3148" i="7" a="1"/>
  <c r="B3148" i="7" s="1"/>
  <c r="C3148" i="7" s="1"/>
  <c r="B3149" i="7" a="1"/>
  <c r="B3149" i="7" s="1"/>
  <c r="C3149" i="7" s="1"/>
  <c r="B3150" i="7" a="1"/>
  <c r="B3150" i="7" s="1"/>
  <c r="C3150" i="7" s="1"/>
  <c r="B3151" i="7" a="1"/>
  <c r="B3151" i="7" s="1"/>
  <c r="C3151" i="7" s="1"/>
  <c r="B3152" i="7" a="1"/>
  <c r="B3152" i="7" s="1"/>
  <c r="C3152" i="7" s="1"/>
  <c r="B3153" i="7" a="1"/>
  <c r="B3153" i="7" s="1"/>
  <c r="C3153" i="7" s="1"/>
  <c r="B3154" i="7" a="1"/>
  <c r="B3154" i="7" s="1"/>
  <c r="C3154" i="7" s="1"/>
  <c r="B3155" i="7" a="1"/>
  <c r="B3155" i="7" s="1"/>
  <c r="C3155" i="7" s="1"/>
  <c r="B3156" i="7" a="1"/>
  <c r="B3156" i="7" s="1"/>
  <c r="C3156" i="7" s="1"/>
  <c r="B3157" i="7" a="1"/>
  <c r="B3157" i="7" s="1"/>
  <c r="C3157" i="7" s="1"/>
  <c r="B3158" i="7" a="1"/>
  <c r="B3158" i="7" s="1"/>
  <c r="C3158" i="7" s="1"/>
  <c r="B3159" i="7" a="1"/>
  <c r="B3159" i="7" s="1"/>
  <c r="C3159" i="7" s="1"/>
  <c r="B3160" i="7" a="1"/>
  <c r="B3160" i="7" s="1"/>
  <c r="C3160" i="7" s="1"/>
  <c r="B3161" i="7" a="1"/>
  <c r="B3161" i="7" s="1"/>
  <c r="C3161" i="7" s="1"/>
  <c r="B3162" i="7" a="1"/>
  <c r="B3162" i="7" s="1"/>
  <c r="C3162" i="7" s="1"/>
  <c r="B3163" i="7" a="1"/>
  <c r="B3163" i="7" s="1"/>
  <c r="C3163" i="7" s="1"/>
  <c r="B3164" i="7" a="1"/>
  <c r="B3164" i="7" s="1"/>
  <c r="C3164" i="7" s="1"/>
  <c r="B3165" i="7" a="1"/>
  <c r="B3165" i="7" s="1"/>
  <c r="C3165" i="7" s="1"/>
  <c r="B3166" i="7" a="1"/>
  <c r="B3166" i="7" s="1"/>
  <c r="C3166" i="7" s="1"/>
  <c r="B3167" i="7" a="1"/>
  <c r="B3167" i="7" s="1"/>
  <c r="C3167" i="7" s="1"/>
  <c r="B3168" i="7" a="1"/>
  <c r="B3168" i="7" s="1"/>
  <c r="C3168" i="7" s="1"/>
  <c r="B3169" i="7" a="1"/>
  <c r="B3169" i="7" s="1"/>
  <c r="C3169" i="7" s="1"/>
  <c r="B3170" i="7" a="1"/>
  <c r="B3170" i="7" s="1"/>
  <c r="C3170" i="7" s="1"/>
  <c r="B3171" i="7" a="1"/>
  <c r="B3171" i="7" s="1"/>
  <c r="C3171" i="7" s="1"/>
  <c r="B3172" i="7" a="1"/>
  <c r="B3172" i="7" s="1"/>
  <c r="C3172" i="7" s="1"/>
  <c r="B3173" i="7" a="1"/>
  <c r="B3173" i="7" s="1"/>
  <c r="C3173" i="7" s="1"/>
  <c r="B3174" i="7" a="1"/>
  <c r="B3174" i="7" s="1"/>
  <c r="C3174" i="7" s="1"/>
  <c r="B3175" i="7" a="1"/>
  <c r="B3175" i="7" s="1"/>
  <c r="C3175" i="7" s="1"/>
  <c r="B3176" i="7" a="1"/>
  <c r="B3176" i="7" s="1"/>
  <c r="C3176" i="7" s="1"/>
  <c r="B3177" i="7" a="1"/>
  <c r="B3177" i="7" s="1"/>
  <c r="C3177" i="7" s="1"/>
  <c r="B3178" i="7" a="1"/>
  <c r="B3178" i="7" s="1"/>
  <c r="C3178" i="7" s="1"/>
  <c r="B3179" i="7" a="1"/>
  <c r="B3179" i="7" s="1"/>
  <c r="C3179" i="7" s="1"/>
  <c r="B3180" i="7" a="1"/>
  <c r="B3180" i="7" s="1"/>
  <c r="C3180" i="7" s="1"/>
  <c r="B3181" i="7" a="1"/>
  <c r="B3181" i="7" s="1"/>
  <c r="C3181" i="7" s="1"/>
  <c r="B3182" i="7" a="1"/>
  <c r="B3182" i="7" s="1"/>
  <c r="C3182" i="7" s="1"/>
  <c r="B3183" i="7" a="1"/>
  <c r="B3183" i="7" s="1"/>
  <c r="C3183" i="7" s="1"/>
  <c r="B3184" i="7" a="1"/>
  <c r="B3184" i="7" s="1"/>
  <c r="C3184" i="7" s="1"/>
  <c r="B3185" i="7" a="1"/>
  <c r="B3185" i="7" s="1"/>
  <c r="C3185" i="7" s="1"/>
  <c r="B3186" i="7" a="1"/>
  <c r="B3186" i="7" s="1"/>
  <c r="C3186" i="7" s="1"/>
  <c r="B3187" i="7" a="1"/>
  <c r="B3187" i="7" s="1"/>
  <c r="C3187" i="7" s="1"/>
  <c r="B3188" i="7" a="1"/>
  <c r="B3188" i="7" s="1"/>
  <c r="C3188" i="7" s="1"/>
  <c r="B3189" i="7" a="1"/>
  <c r="B3189" i="7" s="1"/>
  <c r="C3189" i="7" s="1"/>
  <c r="B3190" i="7" a="1"/>
  <c r="B3190" i="7" s="1"/>
  <c r="C3190" i="7" s="1"/>
  <c r="B3191" i="7" a="1"/>
  <c r="B3191" i="7" s="1"/>
  <c r="C3191" i="7" s="1"/>
  <c r="B3192" i="7" a="1"/>
  <c r="B3192" i="7" s="1"/>
  <c r="C3192" i="7" s="1"/>
  <c r="B3193" i="7" a="1"/>
  <c r="B3193" i="7" s="1"/>
  <c r="C3193" i="7" s="1"/>
  <c r="B3194" i="7" a="1"/>
  <c r="B3194" i="7" s="1"/>
  <c r="C3194" i="7" s="1"/>
  <c r="B3195" i="7" a="1"/>
  <c r="B3195" i="7" s="1"/>
  <c r="C3195" i="7" s="1"/>
  <c r="B3196" i="7" a="1"/>
  <c r="B3196" i="7" s="1"/>
  <c r="C3196" i="7" s="1"/>
  <c r="B3197" i="7" a="1"/>
  <c r="B3197" i="7" s="1"/>
  <c r="C3197" i="7" s="1"/>
  <c r="B3198" i="7" a="1"/>
  <c r="B3198" i="7" s="1"/>
  <c r="C3198" i="7" s="1"/>
  <c r="B3199" i="7" a="1"/>
  <c r="B3199" i="7" s="1"/>
  <c r="C3199" i="7" s="1"/>
  <c r="B3200" i="7" a="1"/>
  <c r="B3200" i="7" s="1"/>
  <c r="C3200" i="7" s="1"/>
  <c r="B3201" i="7" a="1"/>
  <c r="B3201" i="7" s="1"/>
  <c r="C3201" i="7" s="1"/>
  <c r="B3202" i="7" a="1"/>
  <c r="B3202" i="7" s="1"/>
  <c r="C3202" i="7" s="1"/>
  <c r="B3203" i="7" a="1"/>
  <c r="B3203" i="7" s="1"/>
  <c r="C3203" i="7" s="1"/>
  <c r="B3204" i="7" a="1"/>
  <c r="B3204" i="7" s="1"/>
  <c r="C3204" i="7" s="1"/>
  <c r="B3205" i="7" a="1"/>
  <c r="B3205" i="7" s="1"/>
  <c r="C3205" i="7" s="1"/>
  <c r="B3206" i="7" a="1"/>
  <c r="B3206" i="7" s="1"/>
  <c r="C3206" i="7" s="1"/>
  <c r="B3207" i="7" a="1"/>
  <c r="B3207" i="7" s="1"/>
  <c r="C3207" i="7" s="1"/>
  <c r="B3208" i="7" a="1"/>
  <c r="B3208" i="7" s="1"/>
  <c r="C3208" i="7" s="1"/>
  <c r="B3209" i="7" a="1"/>
  <c r="B3209" i="7" s="1"/>
  <c r="C3209" i="7" s="1"/>
  <c r="B3210" i="7" a="1"/>
  <c r="B3210" i="7" s="1"/>
  <c r="C3210" i="7" s="1"/>
  <c r="B3211" i="7" a="1"/>
  <c r="B3211" i="7" s="1"/>
  <c r="C3211" i="7" s="1"/>
  <c r="B3212" i="7" a="1"/>
  <c r="B3212" i="7" s="1"/>
  <c r="C3212" i="7" s="1"/>
  <c r="B3213" i="7" a="1"/>
  <c r="B3213" i="7" s="1"/>
  <c r="C3213" i="7" s="1"/>
  <c r="B3214" i="7" a="1"/>
  <c r="B3214" i="7" s="1"/>
  <c r="C3214" i="7" s="1"/>
  <c r="B3215" i="7" a="1"/>
  <c r="B3215" i="7" s="1"/>
  <c r="C3215" i="7" s="1"/>
  <c r="B3216" i="7" a="1"/>
  <c r="B3216" i="7" s="1"/>
  <c r="C3216" i="7" s="1"/>
  <c r="B3217" i="7" a="1"/>
  <c r="B3217" i="7" s="1"/>
  <c r="C3217" i="7" s="1"/>
  <c r="B3218" i="7" a="1"/>
  <c r="B3218" i="7" s="1"/>
  <c r="C3218" i="7" s="1"/>
  <c r="B3219" i="7" a="1"/>
  <c r="B3219" i="7" s="1"/>
  <c r="C3219" i="7" s="1"/>
  <c r="B3220" i="7" a="1"/>
  <c r="B3220" i="7" s="1"/>
  <c r="C3220" i="7" s="1"/>
  <c r="B3221" i="7" a="1"/>
  <c r="B3221" i="7" s="1"/>
  <c r="C3221" i="7" s="1"/>
  <c r="B3222" i="7" a="1"/>
  <c r="B3222" i="7" s="1"/>
  <c r="C3222" i="7" s="1"/>
  <c r="B3223" i="7" a="1"/>
  <c r="B3223" i="7" s="1"/>
  <c r="C3223" i="7" s="1"/>
  <c r="B3224" i="7" a="1"/>
  <c r="B3224" i="7" s="1"/>
  <c r="C3224" i="7" s="1"/>
  <c r="B3225" i="7" a="1"/>
  <c r="B3225" i="7" s="1"/>
  <c r="C3225" i="7" s="1"/>
  <c r="B3226" i="7" a="1"/>
  <c r="B3226" i="7" s="1"/>
  <c r="C3226" i="7" s="1"/>
  <c r="B3227" i="7" a="1"/>
  <c r="B3227" i="7" s="1"/>
  <c r="C3227" i="7" s="1"/>
  <c r="B3228" i="7" a="1"/>
  <c r="B3228" i="7" s="1"/>
  <c r="C3228" i="7" s="1"/>
  <c r="B3229" i="7" a="1"/>
  <c r="B3229" i="7" s="1"/>
  <c r="C3229" i="7" s="1"/>
  <c r="B3230" i="7" a="1"/>
  <c r="B3230" i="7" s="1"/>
  <c r="C3230" i="7" s="1"/>
  <c r="B3231" i="7" a="1"/>
  <c r="B3231" i="7" s="1"/>
  <c r="C3231" i="7" s="1"/>
  <c r="B3232" i="7" a="1"/>
  <c r="B3232" i="7" s="1"/>
  <c r="C3232" i="7" s="1"/>
  <c r="B3233" i="7" a="1"/>
  <c r="B3233" i="7" s="1"/>
  <c r="C3233" i="7" s="1"/>
  <c r="B3234" i="7" a="1"/>
  <c r="B3234" i="7" s="1"/>
  <c r="C3234" i="7" s="1"/>
  <c r="B3235" i="7" a="1"/>
  <c r="B3235" i="7" s="1"/>
  <c r="C3235" i="7" s="1"/>
  <c r="B3236" i="7" a="1"/>
  <c r="B3236" i="7" s="1"/>
  <c r="C3236" i="7" s="1"/>
  <c r="B3237" i="7" a="1"/>
  <c r="B3237" i="7" s="1"/>
  <c r="C3237" i="7" s="1"/>
  <c r="B3238" i="7" a="1"/>
  <c r="B3238" i="7" s="1"/>
  <c r="C3238" i="7" s="1"/>
  <c r="B3239" i="7" a="1"/>
  <c r="B3239" i="7" s="1"/>
  <c r="C3239" i="7" s="1"/>
  <c r="B3240" i="7" a="1"/>
  <c r="B3240" i="7" s="1"/>
  <c r="C3240" i="7" s="1"/>
  <c r="B3241" i="7" a="1"/>
  <c r="B3241" i="7" s="1"/>
  <c r="C3241" i="7" s="1"/>
  <c r="B3242" i="7" a="1"/>
  <c r="B3242" i="7" s="1"/>
  <c r="C3242" i="7" s="1"/>
  <c r="B3243" i="7" a="1"/>
  <c r="B3243" i="7" s="1"/>
  <c r="C3243" i="7" s="1"/>
  <c r="B3244" i="7" a="1"/>
  <c r="B3244" i="7" s="1"/>
  <c r="C3244" i="7" s="1"/>
  <c r="B3245" i="7" a="1"/>
  <c r="B3245" i="7" s="1"/>
  <c r="C3245" i="7" s="1"/>
  <c r="B3246" i="7" a="1"/>
  <c r="B3246" i="7" s="1"/>
  <c r="C3246" i="7" s="1"/>
  <c r="B3247" i="7" a="1"/>
  <c r="B3247" i="7" s="1"/>
  <c r="C3247" i="7" s="1"/>
  <c r="B3248" i="7" a="1"/>
  <c r="B3248" i="7" s="1"/>
  <c r="C3248" i="7" s="1"/>
  <c r="B3249" i="7" a="1"/>
  <c r="B3249" i="7" s="1"/>
  <c r="C3249" i="7" s="1"/>
  <c r="B3250" i="7" a="1"/>
  <c r="B3250" i="7" s="1"/>
  <c r="C3250" i="7" s="1"/>
  <c r="B3251" i="7" a="1"/>
  <c r="B3251" i="7" s="1"/>
  <c r="C3251" i="7" s="1"/>
  <c r="B3252" i="7" a="1"/>
  <c r="B3252" i="7" s="1"/>
  <c r="C3252" i="7" s="1"/>
  <c r="B3253" i="7" a="1"/>
  <c r="B3253" i="7" s="1"/>
  <c r="C3253" i="7" s="1"/>
  <c r="B3254" i="7" a="1"/>
  <c r="B3254" i="7" s="1"/>
  <c r="C3254" i="7" s="1"/>
  <c r="B3255" i="7" a="1"/>
  <c r="B3255" i="7" s="1"/>
  <c r="C3255" i="7" s="1"/>
  <c r="B3256" i="7" a="1"/>
  <c r="B3256" i="7" s="1"/>
  <c r="C3256" i="7" s="1"/>
  <c r="B3257" i="7" a="1"/>
  <c r="B3257" i="7" s="1"/>
  <c r="C3257" i="7" s="1"/>
  <c r="B3258" i="7" a="1"/>
  <c r="B3258" i="7" s="1"/>
  <c r="C3258" i="7" s="1"/>
  <c r="B3259" i="7" a="1"/>
  <c r="B3259" i="7" s="1"/>
  <c r="C3259" i="7" s="1"/>
  <c r="B3260" i="7" a="1"/>
  <c r="B3260" i="7" s="1"/>
  <c r="C3260" i="7" s="1"/>
  <c r="B3261" i="7" a="1"/>
  <c r="B3261" i="7" s="1"/>
  <c r="C3261" i="7" s="1"/>
  <c r="B3262" i="7" a="1"/>
  <c r="B3262" i="7" s="1"/>
  <c r="C3262" i="7" s="1"/>
  <c r="B3263" i="7" a="1"/>
  <c r="B3263" i="7" s="1"/>
  <c r="C3263" i="7" s="1"/>
  <c r="B3264" i="7" a="1"/>
  <c r="B3264" i="7" s="1"/>
  <c r="C3264" i="7" s="1"/>
  <c r="B3265" i="7" a="1"/>
  <c r="B3265" i="7" s="1"/>
  <c r="C3265" i="7" s="1"/>
  <c r="B3266" i="7" a="1"/>
  <c r="B3266" i="7" s="1"/>
  <c r="C3266" i="7" s="1"/>
  <c r="B3267" i="7" a="1"/>
  <c r="B3267" i="7" s="1"/>
  <c r="C3267" i="7" s="1"/>
  <c r="B3268" i="7" a="1"/>
  <c r="B3268" i="7" s="1"/>
  <c r="C3268" i="7" s="1"/>
  <c r="B3269" i="7" a="1"/>
  <c r="B3269" i="7" s="1"/>
  <c r="C3269" i="7" s="1"/>
  <c r="B3270" i="7" a="1"/>
  <c r="B3270" i="7" s="1"/>
  <c r="C3270" i="7" s="1"/>
  <c r="B3271" i="7" a="1"/>
  <c r="B3271" i="7" s="1"/>
  <c r="C3271" i="7" s="1"/>
  <c r="B3272" i="7" a="1"/>
  <c r="B3272" i="7" s="1"/>
  <c r="C3272" i="7" s="1"/>
  <c r="B3273" i="7" a="1"/>
  <c r="B3273" i="7" s="1"/>
  <c r="C3273" i="7" s="1"/>
  <c r="B3274" i="7" a="1"/>
  <c r="B3274" i="7" s="1"/>
  <c r="C3274" i="7" s="1"/>
  <c r="B3275" i="7" a="1"/>
  <c r="B3275" i="7" s="1"/>
  <c r="C3275" i="7" s="1"/>
  <c r="B3276" i="7" a="1"/>
  <c r="B3276" i="7" s="1"/>
  <c r="C3276" i="7" s="1"/>
  <c r="B3277" i="7" a="1"/>
  <c r="B3277" i="7" s="1"/>
  <c r="C3277" i="7" s="1"/>
  <c r="B3278" i="7" a="1"/>
  <c r="B3278" i="7" s="1"/>
  <c r="C3278" i="7" s="1"/>
  <c r="B3279" i="7" a="1"/>
  <c r="B3279" i="7" s="1"/>
  <c r="C3279" i="7" s="1"/>
  <c r="B3280" i="7" a="1"/>
  <c r="B3280" i="7" s="1"/>
  <c r="C3280" i="7" s="1"/>
  <c r="B3281" i="7" a="1"/>
  <c r="B3281" i="7" s="1"/>
  <c r="C3281" i="7" s="1"/>
  <c r="B3282" i="7" a="1"/>
  <c r="B3282" i="7" s="1"/>
  <c r="C3282" i="7" s="1"/>
  <c r="B3283" i="7" a="1"/>
  <c r="B3283" i="7" s="1"/>
  <c r="C3283" i="7" s="1"/>
  <c r="B3284" i="7" a="1"/>
  <c r="B3284" i="7" s="1"/>
  <c r="C3284" i="7" s="1"/>
  <c r="B3285" i="7" a="1"/>
  <c r="B3285" i="7" s="1"/>
  <c r="C3285" i="7" s="1"/>
  <c r="B3286" i="7" a="1"/>
  <c r="B3286" i="7" s="1"/>
  <c r="C3286" i="7" s="1"/>
  <c r="B3287" i="7" a="1"/>
  <c r="B3287" i="7" s="1"/>
  <c r="C3287" i="7" s="1"/>
  <c r="B3288" i="7" a="1"/>
  <c r="B3288" i="7" s="1"/>
  <c r="C3288" i="7" s="1"/>
  <c r="B3289" i="7" a="1"/>
  <c r="B3289" i="7" s="1"/>
  <c r="C3289" i="7" s="1"/>
  <c r="B3290" i="7" a="1"/>
  <c r="B3290" i="7" s="1"/>
  <c r="C3290" i="7" s="1"/>
  <c r="B3291" i="7" a="1"/>
  <c r="B3291" i="7" s="1"/>
  <c r="C3291" i="7" s="1"/>
  <c r="B3292" i="7" a="1"/>
  <c r="B3292" i="7" s="1"/>
  <c r="C3292" i="7" s="1"/>
  <c r="B3293" i="7" a="1"/>
  <c r="B3293" i="7" s="1"/>
  <c r="C3293" i="7" s="1"/>
  <c r="B3294" i="7" a="1"/>
  <c r="B3294" i="7" s="1"/>
  <c r="C3294" i="7" s="1"/>
  <c r="B3295" i="7" a="1"/>
  <c r="B3295" i="7" s="1"/>
  <c r="C3295" i="7" s="1"/>
  <c r="B3296" i="7" a="1"/>
  <c r="B3296" i="7" s="1"/>
  <c r="C3296" i="7" s="1"/>
  <c r="B3297" i="7" a="1"/>
  <c r="B3297" i="7" s="1"/>
  <c r="C3297" i="7" s="1"/>
  <c r="B3298" i="7" a="1"/>
  <c r="B3298" i="7" s="1"/>
  <c r="C3298" i="7" s="1"/>
  <c r="B3299" i="7" a="1"/>
  <c r="B3299" i="7" s="1"/>
  <c r="C3299" i="7" s="1"/>
  <c r="B3300" i="7" a="1"/>
  <c r="B3300" i="7" s="1"/>
  <c r="C3300" i="7" s="1"/>
  <c r="B3301" i="7" a="1"/>
  <c r="B3301" i="7" s="1"/>
  <c r="C3301" i="7" s="1"/>
  <c r="B3302" i="7" a="1"/>
  <c r="B3302" i="7" s="1"/>
  <c r="C3302" i="7" s="1"/>
  <c r="B3303" i="7" a="1"/>
  <c r="B3303" i="7" s="1"/>
  <c r="C3303" i="7" s="1"/>
  <c r="B3304" i="7" a="1"/>
  <c r="B3304" i="7" s="1"/>
  <c r="C3304" i="7" s="1"/>
  <c r="B3305" i="7" a="1"/>
  <c r="B3305" i="7" s="1"/>
  <c r="C3305" i="7" s="1"/>
  <c r="B3306" i="7" a="1"/>
  <c r="B3306" i="7" s="1"/>
  <c r="C3306" i="7" s="1"/>
  <c r="B3307" i="7" a="1"/>
  <c r="B3307" i="7" s="1"/>
  <c r="C3307" i="7" s="1"/>
  <c r="B3308" i="7" a="1"/>
  <c r="B3308" i="7" s="1"/>
  <c r="C3308" i="7" s="1"/>
  <c r="B3309" i="7" a="1"/>
  <c r="B3309" i="7" s="1"/>
  <c r="C3309" i="7" s="1"/>
  <c r="B3310" i="7" a="1"/>
  <c r="B3310" i="7" s="1"/>
  <c r="C3310" i="7" s="1"/>
  <c r="B3311" i="7" a="1"/>
  <c r="B3311" i="7" s="1"/>
  <c r="C3311" i="7" s="1"/>
  <c r="B3312" i="7" a="1"/>
  <c r="B3312" i="7" s="1"/>
  <c r="C3312" i="7" s="1"/>
  <c r="B3313" i="7" a="1"/>
  <c r="B3313" i="7" s="1"/>
  <c r="C3313" i="7" s="1"/>
  <c r="B3314" i="7" a="1"/>
  <c r="B3314" i="7" s="1"/>
  <c r="C3314" i="7" s="1"/>
  <c r="B3315" i="7" a="1"/>
  <c r="B3315" i="7" s="1"/>
  <c r="C3315" i="7" s="1"/>
  <c r="B3316" i="7" a="1"/>
  <c r="B3316" i="7" s="1"/>
  <c r="C3316" i="7" s="1"/>
  <c r="B3317" i="7" a="1"/>
  <c r="B3317" i="7" s="1"/>
  <c r="C3317" i="7" s="1"/>
  <c r="B3318" i="7" a="1"/>
  <c r="B3318" i="7" s="1"/>
  <c r="C3318" i="7" s="1"/>
  <c r="B3319" i="7" a="1"/>
  <c r="B3319" i="7" s="1"/>
  <c r="C3319" i="7" s="1"/>
  <c r="B3320" i="7" a="1"/>
  <c r="B3320" i="7" s="1"/>
  <c r="C3320" i="7" s="1"/>
  <c r="B3321" i="7" a="1"/>
  <c r="B3321" i="7" s="1"/>
  <c r="C3321" i="7" s="1"/>
  <c r="B3322" i="7" a="1"/>
  <c r="B3322" i="7" s="1"/>
  <c r="C3322" i="7" s="1"/>
  <c r="B3323" i="7" a="1"/>
  <c r="B3323" i="7" s="1"/>
  <c r="C3323" i="7" s="1"/>
  <c r="B3324" i="7" a="1"/>
  <c r="B3324" i="7" s="1"/>
  <c r="C3324" i="7" s="1"/>
  <c r="B3325" i="7" a="1"/>
  <c r="B3325" i="7" s="1"/>
  <c r="C3325" i="7" s="1"/>
  <c r="B3326" i="7" a="1"/>
  <c r="B3326" i="7" s="1"/>
  <c r="C3326" i="7" s="1"/>
  <c r="B3327" i="7" a="1"/>
  <c r="B3327" i="7" s="1"/>
  <c r="C3327" i="7" s="1"/>
  <c r="B3328" i="7" a="1"/>
  <c r="B3328" i="7" s="1"/>
  <c r="C3328" i="7" s="1"/>
  <c r="B3329" i="7" a="1"/>
  <c r="B3329" i="7" s="1"/>
  <c r="C3329" i="7" s="1"/>
  <c r="B3330" i="7" a="1"/>
  <c r="B3330" i="7" s="1"/>
  <c r="C3330" i="7" s="1"/>
  <c r="B3331" i="7" a="1"/>
  <c r="B3331" i="7" s="1"/>
  <c r="C3331" i="7" s="1"/>
  <c r="B3332" i="7" a="1"/>
  <c r="B3332" i="7" s="1"/>
  <c r="C3332" i="7" s="1"/>
  <c r="B3333" i="7" a="1"/>
  <c r="B3333" i="7" s="1"/>
  <c r="C3333" i="7" s="1"/>
  <c r="B3334" i="7" a="1"/>
  <c r="B3334" i="7" s="1"/>
  <c r="C3334" i="7" s="1"/>
  <c r="B3335" i="7" a="1"/>
  <c r="B3335" i="7" s="1"/>
  <c r="C3335" i="7" s="1"/>
  <c r="B3336" i="7" a="1"/>
  <c r="B3336" i="7" s="1"/>
  <c r="C3336" i="7" s="1"/>
  <c r="B3337" i="7" a="1"/>
  <c r="B3337" i="7" s="1"/>
  <c r="C3337" i="7" s="1"/>
  <c r="B3338" i="7" a="1"/>
  <c r="B3338" i="7" s="1"/>
  <c r="C3338" i="7" s="1"/>
  <c r="B3339" i="7" a="1"/>
  <c r="B3339" i="7" s="1"/>
  <c r="C3339" i="7" s="1"/>
  <c r="B3340" i="7" a="1"/>
  <c r="B3340" i="7" s="1"/>
  <c r="C3340" i="7" s="1"/>
  <c r="B3341" i="7" a="1"/>
  <c r="B3341" i="7" s="1"/>
  <c r="C3341" i="7" s="1"/>
  <c r="B3342" i="7" a="1"/>
  <c r="B3342" i="7" s="1"/>
  <c r="C3342" i="7" s="1"/>
  <c r="B3343" i="7" a="1"/>
  <c r="B3343" i="7" s="1"/>
  <c r="C3343" i="7" s="1"/>
  <c r="B3344" i="7" a="1"/>
  <c r="B3344" i="7" s="1"/>
  <c r="C3344" i="7" s="1"/>
  <c r="B3345" i="7" a="1"/>
  <c r="B3345" i="7" s="1"/>
  <c r="C3345" i="7" s="1"/>
  <c r="B3346" i="7" a="1"/>
  <c r="B3346" i="7" s="1"/>
  <c r="C3346" i="7" s="1"/>
  <c r="B3347" i="7" a="1"/>
  <c r="B3347" i="7" s="1"/>
  <c r="C3347" i="7" s="1"/>
  <c r="B3348" i="7" a="1"/>
  <c r="B3348" i="7" s="1"/>
  <c r="C3348" i="7" s="1"/>
  <c r="B3349" i="7" a="1"/>
  <c r="B3349" i="7" s="1"/>
  <c r="C3349" i="7" s="1"/>
  <c r="B3350" i="7" a="1"/>
  <c r="B3350" i="7" s="1"/>
  <c r="C3350" i="7" s="1"/>
  <c r="B3351" i="7" a="1"/>
  <c r="B3351" i="7" s="1"/>
  <c r="C3351" i="7" s="1"/>
  <c r="B3352" i="7" a="1"/>
  <c r="B3352" i="7" s="1"/>
  <c r="C3352" i="7" s="1"/>
  <c r="B3353" i="7" a="1"/>
  <c r="B3353" i="7" s="1"/>
  <c r="C3353" i="7" s="1"/>
  <c r="B3354" i="7" a="1"/>
  <c r="B3354" i="7" s="1"/>
  <c r="C3354" i="7" s="1"/>
  <c r="B3355" i="7" a="1"/>
  <c r="B3355" i="7" s="1"/>
  <c r="C3355" i="7" s="1"/>
  <c r="B3356" i="7" a="1"/>
  <c r="B3356" i="7" s="1"/>
  <c r="C3356" i="7" s="1"/>
  <c r="B3357" i="7" a="1"/>
  <c r="B3357" i="7" s="1"/>
  <c r="C3357" i="7" s="1"/>
  <c r="B3358" i="7" a="1"/>
  <c r="B3358" i="7" s="1"/>
  <c r="C3358" i="7" s="1"/>
  <c r="B3359" i="7" a="1"/>
  <c r="B3359" i="7" s="1"/>
  <c r="C3359" i="7" s="1"/>
  <c r="B3360" i="7" a="1"/>
  <c r="B3360" i="7" s="1"/>
  <c r="C3360" i="7" s="1"/>
  <c r="B3361" i="7" a="1"/>
  <c r="B3361" i="7" s="1"/>
  <c r="C3361" i="7" s="1"/>
  <c r="B3362" i="7" a="1"/>
  <c r="B3362" i="7" s="1"/>
  <c r="C3362" i="7" s="1"/>
  <c r="B3363" i="7" a="1"/>
  <c r="B3363" i="7" s="1"/>
  <c r="C3363" i="7" s="1"/>
  <c r="B3364" i="7" a="1"/>
  <c r="B3364" i="7" s="1"/>
  <c r="C3364" i="7" s="1"/>
  <c r="B3365" i="7" a="1"/>
  <c r="B3365" i="7" s="1"/>
  <c r="C3365" i="7" s="1"/>
  <c r="B3366" i="7" a="1"/>
  <c r="B3366" i="7" s="1"/>
  <c r="C3366" i="7" s="1"/>
  <c r="B3367" i="7" a="1"/>
  <c r="B3367" i="7" s="1"/>
  <c r="C3367" i="7" s="1"/>
  <c r="B3368" i="7" a="1"/>
  <c r="B3368" i="7" s="1"/>
  <c r="C3368" i="7" s="1"/>
  <c r="B3369" i="7" a="1"/>
  <c r="B3369" i="7" s="1"/>
  <c r="C3369" i="7" s="1"/>
  <c r="B3370" i="7" a="1"/>
  <c r="B3370" i="7" s="1"/>
  <c r="C3370" i="7" s="1"/>
  <c r="B3371" i="7" a="1"/>
  <c r="B3371" i="7" s="1"/>
  <c r="C3371" i="7" s="1"/>
  <c r="B3372" i="7" a="1"/>
  <c r="B3372" i="7" s="1"/>
  <c r="C3372" i="7" s="1"/>
  <c r="B3373" i="7" a="1"/>
  <c r="B3373" i="7" s="1"/>
  <c r="C3373" i="7" s="1"/>
  <c r="B3374" i="7" a="1"/>
  <c r="B3374" i="7" s="1"/>
  <c r="C3374" i="7" s="1"/>
  <c r="B3375" i="7" a="1"/>
  <c r="B3375" i="7" s="1"/>
  <c r="C3375" i="7" s="1"/>
  <c r="B3376" i="7" a="1"/>
  <c r="B3376" i="7" s="1"/>
  <c r="C3376" i="7" s="1"/>
  <c r="B3377" i="7" a="1"/>
  <c r="B3377" i="7" s="1"/>
  <c r="C3377" i="7" s="1"/>
  <c r="B3378" i="7" a="1"/>
  <c r="B3378" i="7" s="1"/>
  <c r="C3378" i="7" s="1"/>
  <c r="B3379" i="7" a="1"/>
  <c r="B3379" i="7" s="1"/>
  <c r="C3379" i="7" s="1"/>
  <c r="B3380" i="7" a="1"/>
  <c r="B3380" i="7" s="1"/>
  <c r="C3380" i="7" s="1"/>
  <c r="B3381" i="7" a="1"/>
  <c r="B3381" i="7" s="1"/>
  <c r="C3381" i="7" s="1"/>
  <c r="B3382" i="7" a="1"/>
  <c r="B3382" i="7" s="1"/>
  <c r="C3382" i="7" s="1"/>
  <c r="B3383" i="7" a="1"/>
  <c r="B3383" i="7" s="1"/>
  <c r="C3383" i="7" s="1"/>
  <c r="B3384" i="7" a="1"/>
  <c r="B3384" i="7" s="1"/>
  <c r="C3384" i="7" s="1"/>
  <c r="B3385" i="7" a="1"/>
  <c r="B3385" i="7" s="1"/>
  <c r="C3385" i="7" s="1"/>
  <c r="B3386" i="7" a="1"/>
  <c r="B3386" i="7" s="1"/>
  <c r="C3386" i="7" s="1"/>
  <c r="B3387" i="7" a="1"/>
  <c r="B3387" i="7" s="1"/>
  <c r="C3387" i="7" s="1"/>
  <c r="B3388" i="7" a="1"/>
  <c r="B3388" i="7" s="1"/>
  <c r="C3388" i="7" s="1"/>
  <c r="B3389" i="7" a="1"/>
  <c r="B3389" i="7" s="1"/>
  <c r="C3389" i="7" s="1"/>
  <c r="B3390" i="7" a="1"/>
  <c r="B3390" i="7" s="1"/>
  <c r="C3390" i="7" s="1"/>
  <c r="B3391" i="7" a="1"/>
  <c r="B3391" i="7" s="1"/>
  <c r="C3391" i="7" s="1"/>
  <c r="B3392" i="7" a="1"/>
  <c r="B3392" i="7" s="1"/>
  <c r="C3392" i="7" s="1"/>
  <c r="B3393" i="7" a="1"/>
  <c r="B3393" i="7" s="1"/>
  <c r="C3393" i="7" s="1"/>
  <c r="B3394" i="7" a="1"/>
  <c r="B3394" i="7" s="1"/>
  <c r="C3394" i="7" s="1"/>
  <c r="B3395" i="7" a="1"/>
  <c r="B3395" i="7" s="1"/>
  <c r="C3395" i="7" s="1"/>
  <c r="B3396" i="7" a="1"/>
  <c r="B3396" i="7" s="1"/>
  <c r="C3396" i="7" s="1"/>
  <c r="B3397" i="7" a="1"/>
  <c r="B3397" i="7" s="1"/>
  <c r="C3397" i="7" s="1"/>
  <c r="B3398" i="7" a="1"/>
  <c r="B3398" i="7" s="1"/>
  <c r="C3398" i="7" s="1"/>
  <c r="B3399" i="7" a="1"/>
  <c r="B3399" i="7" s="1"/>
  <c r="C3399" i="7" s="1"/>
  <c r="B3400" i="7" a="1"/>
  <c r="B3400" i="7" s="1"/>
  <c r="C3400" i="7" s="1"/>
  <c r="B3401" i="7" a="1"/>
  <c r="B3401" i="7" s="1"/>
  <c r="C3401" i="7" s="1"/>
  <c r="B3402" i="7" a="1"/>
  <c r="B3402" i="7" s="1"/>
  <c r="C3402" i="7" s="1"/>
  <c r="B3403" i="7" a="1"/>
  <c r="B3403" i="7" s="1"/>
  <c r="C3403" i="7" s="1"/>
  <c r="B3404" i="7" a="1"/>
  <c r="B3404" i="7" s="1"/>
  <c r="C3404" i="7" s="1"/>
  <c r="B3405" i="7" a="1"/>
  <c r="B3405" i="7" s="1"/>
  <c r="C3405" i="7" s="1"/>
  <c r="B3406" i="7" a="1"/>
  <c r="B3406" i="7" s="1"/>
  <c r="C3406" i="7" s="1"/>
  <c r="B3407" i="7" a="1"/>
  <c r="B3407" i="7" s="1"/>
  <c r="C3407" i="7" s="1"/>
  <c r="B3408" i="7" a="1"/>
  <c r="B3408" i="7" s="1"/>
  <c r="C3408" i="7" s="1"/>
  <c r="B3409" i="7" a="1"/>
  <c r="B3409" i="7" s="1"/>
  <c r="C3409" i="7" s="1"/>
  <c r="B3410" i="7" a="1"/>
  <c r="B3410" i="7" s="1"/>
  <c r="C3410" i="7" s="1"/>
  <c r="B3411" i="7" a="1"/>
  <c r="B3411" i="7" s="1"/>
  <c r="C3411" i="7" s="1"/>
  <c r="B3412" i="7" a="1"/>
  <c r="B3412" i="7" s="1"/>
  <c r="C3412" i="7" s="1"/>
  <c r="B3413" i="7" a="1"/>
  <c r="B3413" i="7" s="1"/>
  <c r="C3413" i="7" s="1"/>
  <c r="B3414" i="7" a="1"/>
  <c r="B3414" i="7" s="1"/>
  <c r="C3414" i="7" s="1"/>
  <c r="B3415" i="7" a="1"/>
  <c r="B3415" i="7" s="1"/>
  <c r="C3415" i="7" s="1"/>
  <c r="B3416" i="7" a="1"/>
  <c r="B3416" i="7" s="1"/>
  <c r="C3416" i="7" s="1"/>
  <c r="B3417" i="7" a="1"/>
  <c r="B3417" i="7" s="1"/>
  <c r="C3417" i="7" s="1"/>
  <c r="B3418" i="7" a="1"/>
  <c r="B3418" i="7" s="1"/>
  <c r="C3418" i="7" s="1"/>
  <c r="B3419" i="7" a="1"/>
  <c r="B3419" i="7" s="1"/>
  <c r="C3419" i="7" s="1"/>
  <c r="B3420" i="7" a="1"/>
  <c r="B3420" i="7" s="1"/>
  <c r="C3420" i="7" s="1"/>
  <c r="B3421" i="7" a="1"/>
  <c r="B3421" i="7" s="1"/>
  <c r="C3421" i="7" s="1"/>
  <c r="B3422" i="7" a="1"/>
  <c r="B3422" i="7" s="1"/>
  <c r="C3422" i="7" s="1"/>
  <c r="B3423" i="7" a="1"/>
  <c r="B3423" i="7" s="1"/>
  <c r="C3423" i="7" s="1"/>
  <c r="B3424" i="7" a="1"/>
  <c r="B3424" i="7" s="1"/>
  <c r="C3424" i="7" s="1"/>
  <c r="B3425" i="7" a="1"/>
  <c r="B3425" i="7" s="1"/>
  <c r="C3425" i="7" s="1"/>
  <c r="B3426" i="7" a="1"/>
  <c r="B3426" i="7" s="1"/>
  <c r="C3426" i="7" s="1"/>
  <c r="B3427" i="7" a="1"/>
  <c r="B3427" i="7" s="1"/>
  <c r="C3427" i="7" s="1"/>
  <c r="B3428" i="7" a="1"/>
  <c r="B3428" i="7" s="1"/>
  <c r="C3428" i="7" s="1"/>
  <c r="B3429" i="7" a="1"/>
  <c r="B3429" i="7" s="1"/>
  <c r="C3429" i="7" s="1"/>
  <c r="B3430" i="7" a="1"/>
  <c r="B3430" i="7" s="1"/>
  <c r="C3430" i="7" s="1"/>
  <c r="B3431" i="7" a="1"/>
  <c r="B3431" i="7" s="1"/>
  <c r="C3431" i="7" s="1"/>
  <c r="B3432" i="7" a="1"/>
  <c r="B3432" i="7" s="1"/>
  <c r="C3432" i="7" s="1"/>
  <c r="B3433" i="7" a="1"/>
  <c r="B3433" i="7" s="1"/>
  <c r="C3433" i="7" s="1"/>
  <c r="B3434" i="7" a="1"/>
  <c r="B3434" i="7" s="1"/>
  <c r="C3434" i="7" s="1"/>
  <c r="B3435" i="7" a="1"/>
  <c r="B3435" i="7" s="1"/>
  <c r="C3435" i="7" s="1"/>
  <c r="B3436" i="7" a="1"/>
  <c r="B3436" i="7" s="1"/>
  <c r="C3436" i="7" s="1"/>
  <c r="B3437" i="7" a="1"/>
  <c r="B3437" i="7" s="1"/>
  <c r="C3437" i="7" s="1"/>
  <c r="B3438" i="7" a="1"/>
  <c r="B3438" i="7" s="1"/>
  <c r="C3438" i="7" s="1"/>
  <c r="B3439" i="7" a="1"/>
  <c r="B3439" i="7" s="1"/>
  <c r="C3439" i="7" s="1"/>
  <c r="B3440" i="7" a="1"/>
  <c r="B3440" i="7" s="1"/>
  <c r="C3440" i="7" s="1"/>
  <c r="B3441" i="7" a="1"/>
  <c r="B3441" i="7" s="1"/>
  <c r="C3441" i="7" s="1"/>
  <c r="B3442" i="7" a="1"/>
  <c r="B3442" i="7" s="1"/>
  <c r="C3442" i="7" s="1"/>
  <c r="B3443" i="7" a="1"/>
  <c r="B3443" i="7" s="1"/>
  <c r="C3443" i="7" s="1"/>
  <c r="B3444" i="7" a="1"/>
  <c r="B3444" i="7" s="1"/>
  <c r="C3444" i="7" s="1"/>
  <c r="B3445" i="7" a="1"/>
  <c r="B3445" i="7" s="1"/>
  <c r="C3445" i="7" s="1"/>
  <c r="B3446" i="7" a="1"/>
  <c r="B3446" i="7" s="1"/>
  <c r="C3446" i="7" s="1"/>
  <c r="B3447" i="7" a="1"/>
  <c r="B3447" i="7" s="1"/>
  <c r="C3447" i="7" s="1"/>
  <c r="B3448" i="7" a="1"/>
  <c r="B3448" i="7" s="1"/>
  <c r="C3448" i="7" s="1"/>
  <c r="B3449" i="7" a="1"/>
  <c r="B3449" i="7" s="1"/>
  <c r="C3449" i="7" s="1"/>
  <c r="B3450" i="7" a="1"/>
  <c r="B3450" i="7" s="1"/>
  <c r="C3450" i="7" s="1"/>
  <c r="B3451" i="7" a="1"/>
  <c r="B3451" i="7" s="1"/>
  <c r="C3451" i="7" s="1"/>
  <c r="B3452" i="7" a="1"/>
  <c r="B3452" i="7" s="1"/>
  <c r="C3452" i="7" s="1"/>
  <c r="B3453" i="7" a="1"/>
  <c r="B3453" i="7" s="1"/>
  <c r="C3453" i="7" s="1"/>
  <c r="B3454" i="7" a="1"/>
  <c r="B3454" i="7" s="1"/>
  <c r="C3454" i="7" s="1"/>
  <c r="B3455" i="7" a="1"/>
  <c r="B3455" i="7" s="1"/>
  <c r="C3455" i="7" s="1"/>
  <c r="B3456" i="7" a="1"/>
  <c r="B3456" i="7" s="1"/>
  <c r="C3456" i="7" s="1"/>
  <c r="B3457" i="7" a="1"/>
  <c r="B3457" i="7" s="1"/>
  <c r="C3457" i="7" s="1"/>
  <c r="B3458" i="7" a="1"/>
  <c r="B3458" i="7" s="1"/>
  <c r="C3458" i="7" s="1"/>
  <c r="B3459" i="7" a="1"/>
  <c r="B3459" i="7" s="1"/>
  <c r="C3459" i="7" s="1"/>
  <c r="B3460" i="7" a="1"/>
  <c r="B3460" i="7" s="1"/>
  <c r="C3460" i="7" s="1"/>
  <c r="B3461" i="7" a="1"/>
  <c r="B3461" i="7" s="1"/>
  <c r="C3461" i="7" s="1"/>
  <c r="B3462" i="7" a="1"/>
  <c r="B3462" i="7" s="1"/>
  <c r="C3462" i="7" s="1"/>
  <c r="B3463" i="7" a="1"/>
  <c r="B3463" i="7" s="1"/>
  <c r="C3463" i="7" s="1"/>
  <c r="B3464" i="7" a="1"/>
  <c r="B3464" i="7" s="1"/>
  <c r="C3464" i="7" s="1"/>
  <c r="B3465" i="7" a="1"/>
  <c r="B3465" i="7" s="1"/>
  <c r="C3465" i="7" s="1"/>
  <c r="B3466" i="7" a="1"/>
  <c r="B3466" i="7" s="1"/>
  <c r="C3466" i="7" s="1"/>
  <c r="B3467" i="7" a="1"/>
  <c r="B3467" i="7" s="1"/>
  <c r="C3467" i="7" s="1"/>
  <c r="B3468" i="7" a="1"/>
  <c r="B3468" i="7" s="1"/>
  <c r="C3468" i="7" s="1"/>
  <c r="B3469" i="7" a="1"/>
  <c r="B3469" i="7" s="1"/>
  <c r="C3469" i="7" s="1"/>
  <c r="B3470" i="7" a="1"/>
  <c r="B3470" i="7" s="1"/>
  <c r="C3470" i="7" s="1"/>
  <c r="B3471" i="7" a="1"/>
  <c r="B3471" i="7" s="1"/>
  <c r="C3471" i="7" s="1"/>
  <c r="B3472" i="7" a="1"/>
  <c r="B3472" i="7" s="1"/>
  <c r="C3472" i="7" s="1"/>
  <c r="B3473" i="7" a="1"/>
  <c r="B3473" i="7" s="1"/>
  <c r="C3473" i="7" s="1"/>
  <c r="B3474" i="7" a="1"/>
  <c r="B3474" i="7" s="1"/>
  <c r="C3474" i="7" s="1"/>
  <c r="B3475" i="7" a="1"/>
  <c r="B3475" i="7" s="1"/>
  <c r="C3475" i="7" s="1"/>
  <c r="B3476" i="7" a="1"/>
  <c r="B3476" i="7" s="1"/>
  <c r="C3476" i="7" s="1"/>
  <c r="B3477" i="7" a="1"/>
  <c r="B3477" i="7" s="1"/>
  <c r="C3477" i="7" s="1"/>
  <c r="B3478" i="7" a="1"/>
  <c r="B3478" i="7" s="1"/>
  <c r="C3478" i="7" s="1"/>
  <c r="B3479" i="7" a="1"/>
  <c r="B3479" i="7" s="1"/>
  <c r="C3479" i="7" s="1"/>
  <c r="B3480" i="7" a="1"/>
  <c r="B3480" i="7"/>
  <c r="C3480" i="7" s="1"/>
  <c r="B3481" i="7" a="1"/>
  <c r="B3481" i="7" s="1"/>
  <c r="C3481" i="7" s="1"/>
  <c r="B3482" i="7" a="1"/>
  <c r="B3482" i="7" s="1"/>
  <c r="C3482" i="7" s="1"/>
  <c r="B3483" i="7" a="1"/>
  <c r="B3483" i="7" s="1"/>
  <c r="C3483" i="7" s="1"/>
  <c r="B3484" i="7" a="1"/>
  <c r="B3484" i="7" s="1"/>
  <c r="C3484" i="7" s="1"/>
  <c r="B3485" i="7" a="1"/>
  <c r="B3485" i="7" s="1"/>
  <c r="C3485" i="7" s="1"/>
  <c r="B3486" i="7" a="1"/>
  <c r="B3486" i="7" s="1"/>
  <c r="C3486" i="7" s="1"/>
  <c r="B3487" i="7" a="1"/>
  <c r="B3487" i="7" s="1"/>
  <c r="C3487" i="7" s="1"/>
  <c r="B3488" i="7" a="1"/>
  <c r="B3488" i="7" s="1"/>
  <c r="C3488" i="7" s="1"/>
  <c r="B3489" i="7" a="1"/>
  <c r="B3489" i="7" s="1"/>
  <c r="C3489" i="7" s="1"/>
  <c r="B3490" i="7" a="1"/>
  <c r="B3490" i="7" s="1"/>
  <c r="C3490" i="7" s="1"/>
  <c r="B3491" i="7" a="1"/>
  <c r="B3491" i="7" s="1"/>
  <c r="C3491" i="7" s="1"/>
  <c r="B3492" i="7" a="1"/>
  <c r="B3492" i="7" s="1"/>
  <c r="C3492" i="7" s="1"/>
  <c r="B3493" i="7" a="1"/>
  <c r="B3493" i="7" s="1"/>
  <c r="C3493" i="7" s="1"/>
  <c r="B3494" i="7" a="1"/>
  <c r="B3494" i="7" s="1"/>
  <c r="C3494" i="7" s="1"/>
  <c r="B3495" i="7" a="1"/>
  <c r="B3495" i="7" s="1"/>
  <c r="C3495" i="7" s="1"/>
  <c r="B3496" i="7" a="1"/>
  <c r="B3496" i="7" s="1"/>
  <c r="C3496" i="7" s="1"/>
  <c r="B3497" i="7" a="1"/>
  <c r="B3497" i="7" s="1"/>
  <c r="C3497" i="7" s="1"/>
  <c r="B3498" i="7" a="1"/>
  <c r="B3498" i="7" s="1"/>
  <c r="C3498" i="7" s="1"/>
  <c r="B3499" i="7" a="1"/>
  <c r="B3499" i="7" s="1"/>
  <c r="C3499" i="7" s="1"/>
  <c r="B3500" i="7" a="1"/>
  <c r="B3500" i="7" s="1"/>
  <c r="C3500" i="7" s="1"/>
  <c r="B3501" i="7" a="1"/>
  <c r="B3501" i="7" s="1"/>
  <c r="C3501" i="7" s="1"/>
  <c r="B3502" i="7" a="1"/>
  <c r="B3502" i="7" s="1"/>
  <c r="C3502" i="7" s="1"/>
  <c r="B3503" i="7" a="1"/>
  <c r="B3503" i="7" s="1"/>
  <c r="C3503" i="7" s="1"/>
  <c r="B3504" i="7" a="1"/>
  <c r="B3504" i="7" s="1"/>
  <c r="C3504" i="7" s="1"/>
  <c r="B3505" i="7" a="1"/>
  <c r="B3505" i="7" s="1"/>
  <c r="C3505" i="7" s="1"/>
  <c r="B3506" i="7" a="1"/>
  <c r="B3506" i="7" s="1"/>
  <c r="C3506" i="7" s="1"/>
  <c r="B3507" i="7" a="1"/>
  <c r="B3507" i="7" s="1"/>
  <c r="C3507" i="7" s="1"/>
  <c r="B3508" i="7" a="1"/>
  <c r="B3508" i="7" s="1"/>
  <c r="C3508" i="7" s="1"/>
  <c r="B3509" i="7" a="1"/>
  <c r="B3509" i="7" s="1"/>
  <c r="C3509" i="7" s="1"/>
  <c r="B3510" i="7" a="1"/>
  <c r="B3510" i="7" s="1"/>
  <c r="C3510" i="7" s="1"/>
  <c r="B3511" i="7" a="1"/>
  <c r="B3511" i="7" s="1"/>
  <c r="C3511" i="7" s="1"/>
  <c r="B3512" i="7" a="1"/>
  <c r="B3512" i="7" s="1"/>
  <c r="C3512" i="7" s="1"/>
  <c r="B3513" i="7" a="1"/>
  <c r="B3513" i="7" s="1"/>
  <c r="C3513" i="7" s="1"/>
  <c r="B3514" i="7" a="1"/>
  <c r="B3514" i="7" s="1"/>
  <c r="C3514" i="7" s="1"/>
  <c r="B3515" i="7" a="1"/>
  <c r="B3515" i="7" s="1"/>
  <c r="C3515" i="7" s="1"/>
  <c r="B3516" i="7" a="1"/>
  <c r="B3516" i="7" s="1"/>
  <c r="C3516" i="7" s="1"/>
  <c r="B3517" i="7" a="1"/>
  <c r="B3517" i="7" s="1"/>
  <c r="C3517" i="7" s="1"/>
  <c r="B3518" i="7" a="1"/>
  <c r="B3518" i="7" s="1"/>
  <c r="C3518" i="7" s="1"/>
  <c r="B3519" i="7" a="1"/>
  <c r="B3519" i="7" s="1"/>
  <c r="C3519" i="7" s="1"/>
  <c r="B3520" i="7" a="1"/>
  <c r="B3520" i="7" s="1"/>
  <c r="C3520" i="7" s="1"/>
  <c r="B3521" i="7" a="1"/>
  <c r="B3521" i="7" s="1"/>
  <c r="C3521" i="7" s="1"/>
  <c r="B3522" i="7" a="1"/>
  <c r="B3522" i="7" s="1"/>
  <c r="C3522" i="7" s="1"/>
  <c r="B3523" i="7" a="1"/>
  <c r="B3523" i="7" s="1"/>
  <c r="C3523" i="7" s="1"/>
  <c r="B3524" i="7" a="1"/>
  <c r="B3524" i="7" s="1"/>
  <c r="C3524" i="7" s="1"/>
  <c r="B3525" i="7" a="1"/>
  <c r="B3525" i="7" s="1"/>
  <c r="C3525" i="7" s="1"/>
  <c r="B3526" i="7" a="1"/>
  <c r="B3526" i="7" s="1"/>
  <c r="C3526" i="7" s="1"/>
  <c r="B3527" i="7" a="1"/>
  <c r="B3527" i="7" s="1"/>
  <c r="C3527" i="7" s="1"/>
  <c r="B3528" i="7" a="1"/>
  <c r="B3528" i="7" s="1"/>
  <c r="C3528" i="7" s="1"/>
  <c r="B3529" i="7" a="1"/>
  <c r="B3529" i="7" s="1"/>
  <c r="C3529" i="7" s="1"/>
  <c r="B3530" i="7" a="1"/>
  <c r="B3530" i="7" s="1"/>
  <c r="C3530" i="7" s="1"/>
  <c r="B3531" i="7" a="1"/>
  <c r="B3531" i="7" s="1"/>
  <c r="C3531" i="7" s="1"/>
  <c r="B3532" i="7" a="1"/>
  <c r="B3532" i="7" s="1"/>
  <c r="C3532" i="7" s="1"/>
  <c r="B3533" i="7" a="1"/>
  <c r="B3533" i="7" s="1"/>
  <c r="C3533" i="7" s="1"/>
  <c r="B3534" i="7" a="1"/>
  <c r="B3534" i="7" s="1"/>
  <c r="C3534" i="7" s="1"/>
  <c r="B3535" i="7" a="1"/>
  <c r="B3535" i="7" s="1"/>
  <c r="C3535" i="7" s="1"/>
  <c r="B3536" i="7" a="1"/>
  <c r="B3536" i="7" s="1"/>
  <c r="C3536" i="7" s="1"/>
  <c r="B3537" i="7" a="1"/>
  <c r="B3537" i="7" s="1"/>
  <c r="C3537" i="7" s="1"/>
  <c r="B3538" i="7" a="1"/>
  <c r="B3538" i="7" s="1"/>
  <c r="C3538" i="7" s="1"/>
  <c r="B3539" i="7" a="1"/>
  <c r="B3539" i="7" s="1"/>
  <c r="C3539" i="7" s="1"/>
  <c r="B3540" i="7" a="1"/>
  <c r="B3540" i="7" s="1"/>
  <c r="C3540" i="7" s="1"/>
  <c r="B3541" i="7" a="1"/>
  <c r="B3541" i="7" s="1"/>
  <c r="C3541" i="7" s="1"/>
  <c r="B3542" i="7" a="1"/>
  <c r="B3542" i="7" s="1"/>
  <c r="C3542" i="7" s="1"/>
  <c r="B3543" i="7" a="1"/>
  <c r="B3543" i="7" s="1"/>
  <c r="C3543" i="7" s="1"/>
  <c r="B3544" i="7" a="1"/>
  <c r="B3544" i="7"/>
  <c r="C3544" i="7" s="1"/>
  <c r="B3545" i="7" a="1"/>
  <c r="B3545" i="7" s="1"/>
  <c r="C3545" i="7" s="1"/>
  <c r="B3546" i="7" a="1"/>
  <c r="B3546" i="7" s="1"/>
  <c r="C3546" i="7" s="1"/>
  <c r="B3547" i="7" a="1"/>
  <c r="B3547" i="7" s="1"/>
  <c r="C3547" i="7" s="1"/>
  <c r="B3548" i="7" a="1"/>
  <c r="B3548" i="7" s="1"/>
  <c r="C3548" i="7" s="1"/>
  <c r="B3549" i="7" a="1"/>
  <c r="B3549" i="7" s="1"/>
  <c r="C3549" i="7" s="1"/>
  <c r="B3550" i="7" a="1"/>
  <c r="B3550" i="7" s="1"/>
  <c r="C3550" i="7" s="1"/>
  <c r="B3551" i="7" a="1"/>
  <c r="B3551" i="7" s="1"/>
  <c r="C3551" i="7" s="1"/>
  <c r="B3552" i="7" a="1"/>
  <c r="B3552" i="7" s="1"/>
  <c r="C3552" i="7" s="1"/>
  <c r="B3553" i="7" a="1"/>
  <c r="B3553" i="7" s="1"/>
  <c r="C3553" i="7" s="1"/>
  <c r="B3554" i="7" a="1"/>
  <c r="B3554" i="7" s="1"/>
  <c r="C3554" i="7" s="1"/>
  <c r="B3555" i="7" a="1"/>
  <c r="B3555" i="7" s="1"/>
  <c r="C3555" i="7" s="1"/>
  <c r="B3556" i="7" a="1"/>
  <c r="B3556" i="7" s="1"/>
  <c r="C3556" i="7" s="1"/>
  <c r="B3557" i="7" a="1"/>
  <c r="B3557" i="7" s="1"/>
  <c r="C3557" i="7" s="1"/>
  <c r="B3558" i="7" a="1"/>
  <c r="B3558" i="7" s="1"/>
  <c r="C3558" i="7" s="1"/>
  <c r="B3559" i="7" a="1"/>
  <c r="B3559" i="7" s="1"/>
  <c r="C3559" i="7" s="1"/>
  <c r="B3560" i="7" a="1"/>
  <c r="B3560" i="7" s="1"/>
  <c r="C3560" i="7" s="1"/>
  <c r="B3561" i="7" a="1"/>
  <c r="B3561" i="7" s="1"/>
  <c r="C3561" i="7" s="1"/>
  <c r="B3562" i="7" a="1"/>
  <c r="B3562" i="7" s="1"/>
  <c r="C3562" i="7" s="1"/>
  <c r="B3563" i="7" a="1"/>
  <c r="B3563" i="7" s="1"/>
  <c r="C3563" i="7" s="1"/>
  <c r="B3564" i="7" a="1"/>
  <c r="B3564" i="7" s="1"/>
  <c r="C3564" i="7" s="1"/>
  <c r="B3565" i="7" a="1"/>
  <c r="B3565" i="7" s="1"/>
  <c r="C3565" i="7" s="1"/>
  <c r="B3566" i="7" a="1"/>
  <c r="B3566" i="7" s="1"/>
  <c r="C3566" i="7" s="1"/>
  <c r="B3567" i="7" a="1"/>
  <c r="B3567" i="7" s="1"/>
  <c r="C3567" i="7" s="1"/>
  <c r="B3568" i="7" a="1"/>
  <c r="B3568" i="7" s="1"/>
  <c r="C3568" i="7" s="1"/>
  <c r="B3569" i="7" a="1"/>
  <c r="B3569" i="7" s="1"/>
  <c r="C3569" i="7" s="1"/>
  <c r="B3570" i="7" a="1"/>
  <c r="B3570" i="7" s="1"/>
  <c r="C3570" i="7" s="1"/>
  <c r="B3571" i="7" a="1"/>
  <c r="B3571" i="7" s="1"/>
  <c r="C3571" i="7" s="1"/>
  <c r="B3572" i="7" a="1"/>
  <c r="B3572" i="7" s="1"/>
  <c r="C3572" i="7" s="1"/>
  <c r="B3573" i="7" a="1"/>
  <c r="B3573" i="7" s="1"/>
  <c r="C3573" i="7" s="1"/>
  <c r="B3574" i="7" a="1"/>
  <c r="B3574" i="7" s="1"/>
  <c r="C3574" i="7" s="1"/>
  <c r="B3575" i="7" a="1"/>
  <c r="B3575" i="7" s="1"/>
  <c r="C3575" i="7" s="1"/>
  <c r="B3576" i="7" a="1"/>
  <c r="B3576" i="7" s="1"/>
  <c r="C3576" i="7" s="1"/>
  <c r="B3577" i="7" a="1"/>
  <c r="B3577" i="7" s="1"/>
  <c r="C3577" i="7" s="1"/>
  <c r="B3578" i="7" a="1"/>
  <c r="B3578" i="7" s="1"/>
  <c r="C3578" i="7" s="1"/>
  <c r="B3579" i="7" a="1"/>
  <c r="B3579" i="7" s="1"/>
  <c r="C3579" i="7" s="1"/>
  <c r="B3580" i="7" a="1"/>
  <c r="B3580" i="7" s="1"/>
  <c r="C3580" i="7" s="1"/>
  <c r="B3581" i="7" a="1"/>
  <c r="B3581" i="7" s="1"/>
  <c r="C3581" i="7" s="1"/>
  <c r="B3582" i="7" a="1"/>
  <c r="B3582" i="7" s="1"/>
  <c r="C3582" i="7" s="1"/>
  <c r="B3583" i="7" a="1"/>
  <c r="B3583" i="7" s="1"/>
  <c r="C3583" i="7" s="1"/>
  <c r="B3584" i="7" a="1"/>
  <c r="B3584" i="7" s="1"/>
  <c r="C3584" i="7" s="1"/>
  <c r="B3585" i="7" a="1"/>
  <c r="B3585" i="7" s="1"/>
  <c r="C3585" i="7" s="1"/>
  <c r="B3586" i="7" a="1"/>
  <c r="B3586" i="7" s="1"/>
  <c r="C3586" i="7" s="1"/>
  <c r="B3587" i="7" a="1"/>
  <c r="B3587" i="7" s="1"/>
  <c r="C3587" i="7" s="1"/>
  <c r="B3588" i="7" a="1"/>
  <c r="B3588" i="7" s="1"/>
  <c r="C3588" i="7" s="1"/>
  <c r="B3589" i="7" a="1"/>
  <c r="B3589" i="7" s="1"/>
  <c r="C3589" i="7" s="1"/>
  <c r="B3590" i="7" a="1"/>
  <c r="B3590" i="7" s="1"/>
  <c r="C3590" i="7" s="1"/>
  <c r="B3591" i="7" a="1"/>
  <c r="B3591" i="7" s="1"/>
  <c r="C3591" i="7" s="1"/>
  <c r="B3592" i="7" a="1"/>
  <c r="B3592" i="7" s="1"/>
  <c r="C3592" i="7" s="1"/>
  <c r="B3593" i="7" a="1"/>
  <c r="B3593" i="7" s="1"/>
  <c r="C3593" i="7" s="1"/>
  <c r="B3594" i="7" a="1"/>
  <c r="B3594" i="7" s="1"/>
  <c r="C3594" i="7" s="1"/>
  <c r="B3595" i="7" a="1"/>
  <c r="B3595" i="7" s="1"/>
  <c r="C3595" i="7" s="1"/>
  <c r="B3596" i="7" a="1"/>
  <c r="B3596" i="7" s="1"/>
  <c r="C3596" i="7" s="1"/>
  <c r="B3597" i="7" a="1"/>
  <c r="B3597" i="7" s="1"/>
  <c r="C3597" i="7" s="1"/>
  <c r="B3598" i="7" a="1"/>
  <c r="B3598" i="7" s="1"/>
  <c r="C3598" i="7" s="1"/>
  <c r="B3599" i="7" a="1"/>
  <c r="B3599" i="7" s="1"/>
  <c r="C3599" i="7" s="1"/>
  <c r="B3600" i="7" a="1"/>
  <c r="B3600" i="7" s="1"/>
  <c r="C3600" i="7" s="1"/>
  <c r="B3601" i="7" a="1"/>
  <c r="B3601" i="7" s="1"/>
  <c r="C3601" i="7" s="1"/>
  <c r="B3602" i="7" a="1"/>
  <c r="B3602" i="7" s="1"/>
  <c r="C3602" i="7" s="1"/>
  <c r="B3603" i="7" a="1"/>
  <c r="B3603" i="7" s="1"/>
  <c r="C3603" i="7" s="1"/>
  <c r="B3604" i="7" a="1"/>
  <c r="B3604" i="7" s="1"/>
  <c r="C3604" i="7" s="1"/>
  <c r="B3605" i="7" a="1"/>
  <c r="B3605" i="7" s="1"/>
  <c r="C3605" i="7" s="1"/>
  <c r="B3606" i="7" a="1"/>
  <c r="B3606" i="7"/>
  <c r="C3606" i="7" s="1"/>
  <c r="B3607" i="7" a="1"/>
  <c r="B3607" i="7" s="1"/>
  <c r="C3607" i="7" s="1"/>
  <c r="B3608" i="7" a="1"/>
  <c r="B3608" i="7" s="1"/>
  <c r="C3608" i="7" s="1"/>
  <c r="B3609" i="7" a="1"/>
  <c r="B3609" i="7" s="1"/>
  <c r="C3609" i="7" s="1"/>
  <c r="B3610" i="7" a="1"/>
  <c r="B3610" i="7" s="1"/>
  <c r="C3610" i="7" s="1"/>
  <c r="B3611" i="7" a="1"/>
  <c r="B3611" i="7" s="1"/>
  <c r="C3611" i="7" s="1"/>
  <c r="B3612" i="7" a="1"/>
  <c r="B3612" i="7" s="1"/>
  <c r="C3612" i="7" s="1"/>
  <c r="B3613" i="7" a="1"/>
  <c r="B3613" i="7" s="1"/>
  <c r="C3613" i="7" s="1"/>
  <c r="B3614" i="7" a="1"/>
  <c r="B3614" i="7" s="1"/>
  <c r="C3614" i="7" s="1"/>
  <c r="B3615" i="7" a="1"/>
  <c r="B3615" i="7" s="1"/>
  <c r="C3615" i="7" s="1"/>
  <c r="B3616" i="7" a="1"/>
  <c r="B3616" i="7" s="1"/>
  <c r="C3616" i="7" s="1"/>
  <c r="B3617" i="7" a="1"/>
  <c r="B3617" i="7" s="1"/>
  <c r="C3617" i="7" s="1"/>
  <c r="B3618" i="7" a="1"/>
  <c r="B3618" i="7" s="1"/>
  <c r="C3618" i="7" s="1"/>
  <c r="B3619" i="7" a="1"/>
  <c r="B3619" i="7" s="1"/>
  <c r="C3619" i="7" s="1"/>
  <c r="B3620" i="7" a="1"/>
  <c r="B3620" i="7" s="1"/>
  <c r="C3620" i="7" s="1"/>
  <c r="B3621" i="7" a="1"/>
  <c r="B3621" i="7" s="1"/>
  <c r="C3621" i="7" s="1"/>
  <c r="B3622" i="7" a="1"/>
  <c r="B3622" i="7" s="1"/>
  <c r="C3622" i="7" s="1"/>
  <c r="B3623" i="7" a="1"/>
  <c r="B3623" i="7" s="1"/>
  <c r="C3623" i="7" s="1"/>
  <c r="B3624" i="7" a="1"/>
  <c r="B3624" i="7" s="1"/>
  <c r="C3624" i="7" s="1"/>
  <c r="B3625" i="7" a="1"/>
  <c r="B3625" i="7" s="1"/>
  <c r="C3625" i="7" s="1"/>
  <c r="B3626" i="7" a="1"/>
  <c r="B3626" i="7" s="1"/>
  <c r="C3626" i="7" s="1"/>
  <c r="B3627" i="7" a="1"/>
  <c r="B3627" i="7" s="1"/>
  <c r="C3627" i="7" s="1"/>
  <c r="B3628" i="7" a="1"/>
  <c r="B3628" i="7" s="1"/>
  <c r="C3628" i="7" s="1"/>
  <c r="B3629" i="7" a="1"/>
  <c r="B3629" i="7" s="1"/>
  <c r="C3629" i="7" s="1"/>
  <c r="B3630" i="7" a="1"/>
  <c r="B3630" i="7" s="1"/>
  <c r="C3630" i="7" s="1"/>
  <c r="B3631" i="7" a="1"/>
  <c r="B3631" i="7" s="1"/>
  <c r="C3631" i="7" s="1"/>
  <c r="B3632" i="7" a="1"/>
  <c r="B3632" i="7" s="1"/>
  <c r="C3632" i="7" s="1"/>
  <c r="B3633" i="7" a="1"/>
  <c r="B3633" i="7" s="1"/>
  <c r="C3633" i="7" s="1"/>
  <c r="B3634" i="7" a="1"/>
  <c r="B3634" i="7" s="1"/>
  <c r="C3634" i="7" s="1"/>
  <c r="B3635" i="7" a="1"/>
  <c r="B3635" i="7" s="1"/>
  <c r="C3635" i="7" s="1"/>
  <c r="B3636" i="7" a="1"/>
  <c r="B3636" i="7" s="1"/>
  <c r="C3636" i="7" s="1"/>
  <c r="B3637" i="7" a="1"/>
  <c r="B3637" i="7" s="1"/>
  <c r="C3637" i="7" s="1"/>
  <c r="B3638" i="7" a="1"/>
  <c r="B3638" i="7" s="1"/>
  <c r="C3638" i="7" s="1"/>
  <c r="B3639" i="7" a="1"/>
  <c r="B3639" i="7" s="1"/>
  <c r="C3639" i="7" s="1"/>
  <c r="B3640" i="7" a="1"/>
  <c r="B3640" i="7" s="1"/>
  <c r="C3640" i="7" s="1"/>
  <c r="B3641" i="7" a="1"/>
  <c r="B3641" i="7" s="1"/>
  <c r="C3641" i="7" s="1"/>
  <c r="B3642" i="7" a="1"/>
  <c r="B3642" i="7" s="1"/>
  <c r="C3642" i="7" s="1"/>
  <c r="B3643" i="7" a="1"/>
  <c r="B3643" i="7" s="1"/>
  <c r="C3643" i="7" s="1"/>
  <c r="B3644" i="7" a="1"/>
  <c r="B3644" i="7" s="1"/>
  <c r="C3644" i="7" s="1"/>
  <c r="B3645" i="7" a="1"/>
  <c r="B3645" i="7" s="1"/>
  <c r="C3645" i="7" s="1"/>
  <c r="B3646" i="7" a="1"/>
  <c r="B3646" i="7" s="1"/>
  <c r="C3646" i="7" s="1"/>
  <c r="B3647" i="7" a="1"/>
  <c r="B3647" i="7" s="1"/>
  <c r="C3647" i="7" s="1"/>
  <c r="B3648" i="7" a="1"/>
  <c r="B3648" i="7" s="1"/>
  <c r="C3648" i="7" s="1"/>
  <c r="B3649" i="7" a="1"/>
  <c r="B3649" i="7" s="1"/>
  <c r="C3649" i="7" s="1"/>
  <c r="B3650" i="7" a="1"/>
  <c r="B3650" i="7" s="1"/>
  <c r="C3650" i="7" s="1"/>
  <c r="B3651" i="7" a="1"/>
  <c r="B3651" i="7" s="1"/>
  <c r="C3651" i="7" s="1"/>
  <c r="A16" i="7"/>
  <c r="H16" i="7" s="1"/>
  <c r="I16" i="7" s="1"/>
  <c r="A17" i="7"/>
  <c r="H17" i="7" s="1"/>
  <c r="I17" i="7" s="1"/>
  <c r="A18" i="7"/>
  <c r="H18" i="7" s="1"/>
  <c r="I18" i="7" s="1"/>
  <c r="A19" i="7"/>
  <c r="H19" i="7" s="1"/>
  <c r="I19" i="7" s="1"/>
  <c r="A20" i="7"/>
  <c r="H20" i="7" s="1"/>
  <c r="I20" i="7" s="1"/>
  <c r="A21" i="7"/>
  <c r="H21" i="7" s="1"/>
  <c r="I21" i="7" s="1"/>
  <c r="A22" i="7"/>
  <c r="H22" i="7" s="1"/>
  <c r="I22" i="7" s="1"/>
  <c r="A23" i="7"/>
  <c r="H23" i="7" s="1"/>
  <c r="I23" i="7" s="1"/>
  <c r="A24" i="7"/>
  <c r="H24" i="7" s="1"/>
  <c r="I24" i="7" s="1"/>
  <c r="A25" i="7"/>
  <c r="H25" i="7" s="1"/>
  <c r="I25" i="7" s="1"/>
  <c r="A26" i="7"/>
  <c r="H26" i="7" s="1"/>
  <c r="I26" i="7" s="1"/>
  <c r="A27" i="7"/>
  <c r="H27" i="7" s="1"/>
  <c r="I27" i="7" s="1"/>
  <c r="A28" i="7"/>
  <c r="H28" i="7" s="1"/>
  <c r="I28" i="7" s="1"/>
  <c r="A29" i="7"/>
  <c r="H29" i="7" s="1"/>
  <c r="I29" i="7" s="1"/>
  <c r="A30" i="7"/>
  <c r="H30" i="7" s="1"/>
  <c r="I30" i="7" s="1"/>
  <c r="A31" i="7"/>
  <c r="H31" i="7" s="1"/>
  <c r="I31" i="7" s="1"/>
  <c r="A32" i="7"/>
  <c r="H32" i="7" s="1"/>
  <c r="I32" i="7" s="1"/>
  <c r="A33" i="7"/>
  <c r="H33" i="7" s="1"/>
  <c r="I33" i="7" s="1"/>
  <c r="A34" i="7"/>
  <c r="H34" i="7" s="1"/>
  <c r="I34" i="7" s="1"/>
  <c r="A35" i="7"/>
  <c r="H35" i="7" s="1"/>
  <c r="I35" i="7" s="1"/>
  <c r="A36" i="7"/>
  <c r="H36" i="7" s="1"/>
  <c r="I36" i="7" s="1"/>
  <c r="A37" i="7"/>
  <c r="H37" i="7" s="1"/>
  <c r="I37" i="7" s="1"/>
  <c r="A38" i="7"/>
  <c r="H38" i="7" s="1"/>
  <c r="I38" i="7" s="1"/>
  <c r="A39" i="7"/>
  <c r="H39" i="7" s="1"/>
  <c r="I39" i="7" s="1"/>
  <c r="A40" i="7"/>
  <c r="H40" i="7" s="1"/>
  <c r="I40" i="7" s="1"/>
  <c r="A41" i="7"/>
  <c r="H41" i="7" s="1"/>
  <c r="I41" i="7" s="1"/>
  <c r="A42" i="7"/>
  <c r="H42" i="7" s="1"/>
  <c r="I42" i="7" s="1"/>
  <c r="A43" i="7"/>
  <c r="H43" i="7" s="1"/>
  <c r="I43" i="7" s="1"/>
  <c r="A44" i="7"/>
  <c r="H44" i="7" s="1"/>
  <c r="I44" i="7" s="1"/>
  <c r="A45" i="7"/>
  <c r="H45" i="7" s="1"/>
  <c r="I45" i="7" s="1"/>
  <c r="A46" i="7"/>
  <c r="H46" i="7" s="1"/>
  <c r="I46" i="7" s="1"/>
  <c r="A47" i="7"/>
  <c r="H47" i="7" s="1"/>
  <c r="I47" i="7" s="1"/>
  <c r="A48" i="7"/>
  <c r="H48" i="7" s="1"/>
  <c r="I48" i="7" s="1"/>
  <c r="A49" i="7"/>
  <c r="H49" i="7" s="1"/>
  <c r="I49" i="7" s="1"/>
  <c r="A50" i="7"/>
  <c r="H50" i="7" s="1"/>
  <c r="I50" i="7" s="1"/>
  <c r="A51" i="7"/>
  <c r="H51" i="7" s="1"/>
  <c r="I51" i="7" s="1"/>
  <c r="A52" i="7"/>
  <c r="H52" i="7" s="1"/>
  <c r="I52" i="7" s="1"/>
  <c r="A53" i="7"/>
  <c r="H53" i="7" s="1"/>
  <c r="I53" i="7" s="1"/>
  <c r="A54" i="7"/>
  <c r="H54" i="7" s="1"/>
  <c r="I54" i="7" s="1"/>
  <c r="A55" i="7"/>
  <c r="H55" i="7" s="1"/>
  <c r="I55" i="7" s="1"/>
  <c r="A56" i="7"/>
  <c r="H56" i="7" s="1"/>
  <c r="I56" i="7" s="1"/>
  <c r="A57" i="7"/>
  <c r="H57" i="7" s="1"/>
  <c r="I57" i="7" s="1"/>
  <c r="A58" i="7"/>
  <c r="H58" i="7" s="1"/>
  <c r="I58" i="7" s="1"/>
  <c r="A59" i="7"/>
  <c r="H59" i="7" s="1"/>
  <c r="I59" i="7" s="1"/>
  <c r="A60" i="7"/>
  <c r="H60" i="7" s="1"/>
  <c r="I60" i="7" s="1"/>
  <c r="A61" i="7"/>
  <c r="H61" i="7" s="1"/>
  <c r="I61" i="7" s="1"/>
  <c r="A62" i="7"/>
  <c r="H62" i="7" s="1"/>
  <c r="I62" i="7" s="1"/>
  <c r="A63" i="7"/>
  <c r="H63" i="7" s="1"/>
  <c r="I63" i="7" s="1"/>
  <c r="A64" i="7"/>
  <c r="H64" i="7" s="1"/>
  <c r="I64" i="7" s="1"/>
  <c r="A65" i="7"/>
  <c r="H65" i="7" s="1"/>
  <c r="I65" i="7" s="1"/>
  <c r="A66" i="7"/>
  <c r="H66" i="7" s="1"/>
  <c r="I66" i="7" s="1"/>
  <c r="A67" i="7"/>
  <c r="H67" i="7" s="1"/>
  <c r="I67" i="7" s="1"/>
  <c r="A68" i="7"/>
  <c r="H68" i="7" s="1"/>
  <c r="I68" i="7" s="1"/>
  <c r="A69" i="7"/>
  <c r="H69" i="7" s="1"/>
  <c r="I69" i="7" s="1"/>
  <c r="A70" i="7"/>
  <c r="H70" i="7" s="1"/>
  <c r="I70" i="7" s="1"/>
  <c r="A71" i="7"/>
  <c r="H71" i="7" s="1"/>
  <c r="I71" i="7" s="1"/>
  <c r="A72" i="7"/>
  <c r="H72" i="7" s="1"/>
  <c r="I72" i="7" s="1"/>
  <c r="A73" i="7"/>
  <c r="H73" i="7" s="1"/>
  <c r="I73" i="7" s="1"/>
  <c r="A74" i="7"/>
  <c r="H74" i="7" s="1"/>
  <c r="I74" i="7" s="1"/>
  <c r="A75" i="7"/>
  <c r="H75" i="7" s="1"/>
  <c r="I75" i="7" s="1"/>
  <c r="A76" i="7"/>
  <c r="H76" i="7" s="1"/>
  <c r="I76" i="7" s="1"/>
  <c r="A77" i="7"/>
  <c r="H77" i="7" s="1"/>
  <c r="I77" i="7" s="1"/>
  <c r="A78" i="7"/>
  <c r="H78" i="7" s="1"/>
  <c r="I78" i="7" s="1"/>
  <c r="A79" i="7"/>
  <c r="H79" i="7" s="1"/>
  <c r="I79" i="7" s="1"/>
  <c r="A80" i="7"/>
  <c r="H80" i="7" s="1"/>
  <c r="I80" i="7" s="1"/>
  <c r="A81" i="7"/>
  <c r="H81" i="7" s="1"/>
  <c r="I81" i="7" s="1"/>
  <c r="A82" i="7"/>
  <c r="H82" i="7" s="1"/>
  <c r="I82" i="7" s="1"/>
  <c r="A83" i="7"/>
  <c r="H83" i="7" s="1"/>
  <c r="I83" i="7" s="1"/>
  <c r="A84" i="7"/>
  <c r="H84" i="7" s="1"/>
  <c r="I84" i="7" s="1"/>
  <c r="A85" i="7"/>
  <c r="H85" i="7" s="1"/>
  <c r="I85" i="7" s="1"/>
  <c r="A86" i="7"/>
  <c r="H86" i="7" s="1"/>
  <c r="I86" i="7" s="1"/>
  <c r="A87" i="7"/>
  <c r="H87" i="7" s="1"/>
  <c r="I87" i="7" s="1"/>
  <c r="A88" i="7"/>
  <c r="H88" i="7" s="1"/>
  <c r="I88" i="7" s="1"/>
  <c r="A89" i="7"/>
  <c r="H89" i="7" s="1"/>
  <c r="I89" i="7" s="1"/>
  <c r="A90" i="7"/>
  <c r="H90" i="7" s="1"/>
  <c r="I90" i="7" s="1"/>
  <c r="A91" i="7"/>
  <c r="H91" i="7" s="1"/>
  <c r="I91" i="7" s="1"/>
  <c r="A92" i="7"/>
  <c r="H92" i="7" s="1"/>
  <c r="I92" i="7" s="1"/>
  <c r="A93" i="7"/>
  <c r="H93" i="7" s="1"/>
  <c r="I93" i="7" s="1"/>
  <c r="A94" i="7"/>
  <c r="H94" i="7" s="1"/>
  <c r="I94" i="7" s="1"/>
  <c r="A95" i="7"/>
  <c r="H95" i="7" s="1"/>
  <c r="I95" i="7" s="1"/>
  <c r="A96" i="7"/>
  <c r="H96" i="7" s="1"/>
  <c r="I96" i="7" s="1"/>
  <c r="A97" i="7"/>
  <c r="H97" i="7" s="1"/>
  <c r="I97" i="7" s="1"/>
  <c r="A98" i="7"/>
  <c r="H98" i="7" s="1"/>
  <c r="I98" i="7" s="1"/>
  <c r="A99" i="7"/>
  <c r="H99" i="7" s="1"/>
  <c r="I99" i="7" s="1"/>
  <c r="A100" i="7"/>
  <c r="H100" i="7" s="1"/>
  <c r="I100" i="7" s="1"/>
  <c r="A101" i="7"/>
  <c r="H101" i="7" s="1"/>
  <c r="I101" i="7" s="1"/>
  <c r="A102" i="7"/>
  <c r="H102" i="7" s="1"/>
  <c r="I102" i="7" s="1"/>
  <c r="A103" i="7"/>
  <c r="H103" i="7" s="1"/>
  <c r="I103" i="7" s="1"/>
  <c r="A104" i="7"/>
  <c r="H104" i="7" s="1"/>
  <c r="I104" i="7" s="1"/>
  <c r="A105" i="7"/>
  <c r="H105" i="7" s="1"/>
  <c r="I105" i="7" s="1"/>
  <c r="A106" i="7"/>
  <c r="H106" i="7" s="1"/>
  <c r="I106" i="7" s="1"/>
  <c r="A107" i="7"/>
  <c r="H107" i="7" s="1"/>
  <c r="I107" i="7" s="1"/>
  <c r="A108" i="7"/>
  <c r="H108" i="7" s="1"/>
  <c r="I108" i="7" s="1"/>
  <c r="A109" i="7"/>
  <c r="H109" i="7" s="1"/>
  <c r="I109" i="7" s="1"/>
  <c r="A110" i="7"/>
  <c r="H110" i="7" s="1"/>
  <c r="I110" i="7" s="1"/>
  <c r="A111" i="7"/>
  <c r="H111" i="7" s="1"/>
  <c r="I111" i="7" s="1"/>
  <c r="A112" i="7"/>
  <c r="H112" i="7" s="1"/>
  <c r="I112" i="7" s="1"/>
  <c r="A113" i="7"/>
  <c r="H113" i="7" s="1"/>
  <c r="I113" i="7" s="1"/>
  <c r="A114" i="7"/>
  <c r="H114" i="7" s="1"/>
  <c r="I114" i="7" s="1"/>
  <c r="A115" i="7"/>
  <c r="H115" i="7" s="1"/>
  <c r="I115" i="7" s="1"/>
  <c r="A116" i="7"/>
  <c r="H116" i="7" s="1"/>
  <c r="I116" i="7" s="1"/>
  <c r="A117" i="7"/>
  <c r="H117" i="7" s="1"/>
  <c r="I117" i="7" s="1"/>
  <c r="A118" i="7"/>
  <c r="H118" i="7" s="1"/>
  <c r="I118" i="7" s="1"/>
  <c r="A119" i="7"/>
  <c r="H119" i="7" s="1"/>
  <c r="I119" i="7" s="1"/>
  <c r="A120" i="7"/>
  <c r="H120" i="7" s="1"/>
  <c r="I120" i="7" s="1"/>
  <c r="A121" i="7"/>
  <c r="H121" i="7" s="1"/>
  <c r="I121" i="7" s="1"/>
  <c r="A122" i="7"/>
  <c r="H122" i="7" s="1"/>
  <c r="I122" i="7" s="1"/>
  <c r="A123" i="7"/>
  <c r="H123" i="7" s="1"/>
  <c r="I123" i="7" s="1"/>
  <c r="A124" i="7"/>
  <c r="H124" i="7" s="1"/>
  <c r="I124" i="7" s="1"/>
  <c r="A125" i="7"/>
  <c r="H125" i="7" s="1"/>
  <c r="I125" i="7" s="1"/>
  <c r="A126" i="7"/>
  <c r="H126" i="7" s="1"/>
  <c r="I126" i="7" s="1"/>
  <c r="A127" i="7"/>
  <c r="H127" i="7" s="1"/>
  <c r="I127" i="7" s="1"/>
  <c r="A128" i="7"/>
  <c r="H128" i="7" s="1"/>
  <c r="I128" i="7" s="1"/>
  <c r="A129" i="7"/>
  <c r="H129" i="7" s="1"/>
  <c r="I129" i="7" s="1"/>
  <c r="A130" i="7"/>
  <c r="H130" i="7" s="1"/>
  <c r="I130" i="7" s="1"/>
  <c r="A131" i="7"/>
  <c r="H131" i="7" s="1"/>
  <c r="I131" i="7" s="1"/>
  <c r="A132" i="7"/>
  <c r="H132" i="7" s="1"/>
  <c r="I132" i="7" s="1"/>
  <c r="A133" i="7"/>
  <c r="H133" i="7" s="1"/>
  <c r="I133" i="7" s="1"/>
  <c r="A134" i="7"/>
  <c r="H134" i="7" s="1"/>
  <c r="I134" i="7" s="1"/>
  <c r="A135" i="7"/>
  <c r="H135" i="7" s="1"/>
  <c r="I135" i="7" s="1"/>
  <c r="A136" i="7"/>
  <c r="H136" i="7" s="1"/>
  <c r="I136" i="7" s="1"/>
  <c r="A137" i="7"/>
  <c r="H137" i="7" s="1"/>
  <c r="I137" i="7" s="1"/>
  <c r="A138" i="7"/>
  <c r="H138" i="7" s="1"/>
  <c r="I138" i="7" s="1"/>
  <c r="A139" i="7"/>
  <c r="H139" i="7" s="1"/>
  <c r="I139" i="7" s="1"/>
  <c r="A140" i="7"/>
  <c r="H140" i="7" s="1"/>
  <c r="I140" i="7" s="1"/>
  <c r="A141" i="7"/>
  <c r="H141" i="7" s="1"/>
  <c r="I141" i="7" s="1"/>
  <c r="A142" i="7"/>
  <c r="H142" i="7" s="1"/>
  <c r="I142" i="7" s="1"/>
  <c r="A143" i="7"/>
  <c r="H143" i="7" s="1"/>
  <c r="I143" i="7" s="1"/>
  <c r="A144" i="7"/>
  <c r="H144" i="7" s="1"/>
  <c r="I144" i="7" s="1"/>
  <c r="A145" i="7"/>
  <c r="H145" i="7" s="1"/>
  <c r="I145" i="7" s="1"/>
  <c r="A146" i="7"/>
  <c r="H146" i="7" s="1"/>
  <c r="I146" i="7" s="1"/>
  <c r="A147" i="7"/>
  <c r="H147" i="7" s="1"/>
  <c r="I147" i="7" s="1"/>
  <c r="A148" i="7"/>
  <c r="H148" i="7" s="1"/>
  <c r="I148" i="7" s="1"/>
  <c r="A149" i="7"/>
  <c r="H149" i="7" s="1"/>
  <c r="I149" i="7" s="1"/>
  <c r="A150" i="7"/>
  <c r="H150" i="7" s="1"/>
  <c r="I150" i="7" s="1"/>
  <c r="A151" i="7"/>
  <c r="H151" i="7" s="1"/>
  <c r="I151" i="7" s="1"/>
  <c r="A152" i="7"/>
  <c r="H152" i="7" s="1"/>
  <c r="I152" i="7" s="1"/>
  <c r="A153" i="7"/>
  <c r="H153" i="7" s="1"/>
  <c r="I153" i="7" s="1"/>
  <c r="A154" i="7"/>
  <c r="H154" i="7" s="1"/>
  <c r="I154" i="7" s="1"/>
  <c r="A155" i="7"/>
  <c r="H155" i="7" s="1"/>
  <c r="I155" i="7" s="1"/>
  <c r="A156" i="7"/>
  <c r="H156" i="7" s="1"/>
  <c r="I156" i="7" s="1"/>
  <c r="A157" i="7"/>
  <c r="H157" i="7" s="1"/>
  <c r="I157" i="7" s="1"/>
  <c r="A158" i="7"/>
  <c r="H158" i="7" s="1"/>
  <c r="I158" i="7" s="1"/>
  <c r="A159" i="7"/>
  <c r="H159" i="7" s="1"/>
  <c r="I159" i="7" s="1"/>
  <c r="A160" i="7"/>
  <c r="H160" i="7" s="1"/>
  <c r="I160" i="7" s="1"/>
  <c r="A161" i="7"/>
  <c r="H161" i="7" s="1"/>
  <c r="I161" i="7" s="1"/>
  <c r="A162" i="7"/>
  <c r="H162" i="7" s="1"/>
  <c r="I162" i="7" s="1"/>
  <c r="A163" i="7"/>
  <c r="H163" i="7" s="1"/>
  <c r="I163" i="7" s="1"/>
  <c r="A164" i="7"/>
  <c r="H164" i="7" s="1"/>
  <c r="I164" i="7" s="1"/>
  <c r="A165" i="7"/>
  <c r="H165" i="7" s="1"/>
  <c r="I165" i="7" s="1"/>
  <c r="A166" i="7"/>
  <c r="H166" i="7" s="1"/>
  <c r="I166" i="7" s="1"/>
  <c r="A167" i="7"/>
  <c r="H167" i="7" s="1"/>
  <c r="I167" i="7" s="1"/>
  <c r="A168" i="7"/>
  <c r="H168" i="7" s="1"/>
  <c r="I168" i="7" s="1"/>
  <c r="A169" i="7"/>
  <c r="H169" i="7" s="1"/>
  <c r="I169" i="7" s="1"/>
  <c r="A170" i="7"/>
  <c r="H170" i="7" s="1"/>
  <c r="I170" i="7" s="1"/>
  <c r="A171" i="7"/>
  <c r="H171" i="7" s="1"/>
  <c r="I171" i="7" s="1"/>
  <c r="A172" i="7"/>
  <c r="H172" i="7" s="1"/>
  <c r="I172" i="7" s="1"/>
  <c r="A173" i="7"/>
  <c r="H173" i="7" s="1"/>
  <c r="I173" i="7" s="1"/>
  <c r="A174" i="7"/>
  <c r="H174" i="7" s="1"/>
  <c r="I174" i="7" s="1"/>
  <c r="A175" i="7"/>
  <c r="H175" i="7" s="1"/>
  <c r="I175" i="7" s="1"/>
  <c r="A176" i="7"/>
  <c r="H176" i="7" s="1"/>
  <c r="I176" i="7" s="1"/>
  <c r="A177" i="7"/>
  <c r="H177" i="7" s="1"/>
  <c r="I177" i="7" s="1"/>
  <c r="A178" i="7"/>
  <c r="H178" i="7" s="1"/>
  <c r="I178" i="7" s="1"/>
  <c r="A179" i="7"/>
  <c r="H179" i="7" s="1"/>
  <c r="I179" i="7" s="1"/>
  <c r="A180" i="7"/>
  <c r="H180" i="7" s="1"/>
  <c r="I180" i="7" s="1"/>
  <c r="A181" i="7"/>
  <c r="H181" i="7" s="1"/>
  <c r="I181" i="7" s="1"/>
  <c r="A182" i="7"/>
  <c r="H182" i="7" s="1"/>
  <c r="I182" i="7" s="1"/>
  <c r="A183" i="7"/>
  <c r="H183" i="7" s="1"/>
  <c r="I183" i="7" s="1"/>
  <c r="A184" i="7"/>
  <c r="H184" i="7" s="1"/>
  <c r="I184" i="7" s="1"/>
  <c r="A185" i="7"/>
  <c r="H185" i="7" s="1"/>
  <c r="I185" i="7" s="1"/>
  <c r="A186" i="7"/>
  <c r="H186" i="7" s="1"/>
  <c r="I186" i="7" s="1"/>
  <c r="A187" i="7"/>
  <c r="H187" i="7" s="1"/>
  <c r="I187" i="7" s="1"/>
  <c r="A188" i="7"/>
  <c r="H188" i="7" s="1"/>
  <c r="I188" i="7" s="1"/>
  <c r="A189" i="7"/>
  <c r="H189" i="7" s="1"/>
  <c r="I189" i="7" s="1"/>
  <c r="A190" i="7"/>
  <c r="H190" i="7" s="1"/>
  <c r="I190" i="7" s="1"/>
  <c r="A191" i="7"/>
  <c r="H191" i="7" s="1"/>
  <c r="I191" i="7" s="1"/>
  <c r="A192" i="7"/>
  <c r="H192" i="7" s="1"/>
  <c r="I192" i="7" s="1"/>
  <c r="A193" i="7"/>
  <c r="H193" i="7" s="1"/>
  <c r="I193" i="7" s="1"/>
  <c r="A194" i="7"/>
  <c r="H194" i="7" s="1"/>
  <c r="I194" i="7" s="1"/>
  <c r="A195" i="7"/>
  <c r="H195" i="7" s="1"/>
  <c r="I195" i="7" s="1"/>
  <c r="A196" i="7"/>
  <c r="H196" i="7" s="1"/>
  <c r="I196" i="7" s="1"/>
  <c r="A197" i="7"/>
  <c r="H197" i="7" s="1"/>
  <c r="I197" i="7" s="1"/>
  <c r="A198" i="7"/>
  <c r="H198" i="7" s="1"/>
  <c r="I198" i="7" s="1"/>
  <c r="A199" i="7"/>
  <c r="H199" i="7" s="1"/>
  <c r="I199" i="7" s="1"/>
  <c r="A200" i="7"/>
  <c r="H200" i="7" s="1"/>
  <c r="I200" i="7" s="1"/>
  <c r="A201" i="7"/>
  <c r="H201" i="7" s="1"/>
  <c r="I201" i="7" s="1"/>
  <c r="A202" i="7"/>
  <c r="H202" i="7" s="1"/>
  <c r="I202" i="7" s="1"/>
  <c r="A203" i="7"/>
  <c r="H203" i="7" s="1"/>
  <c r="I203" i="7" s="1"/>
  <c r="A204" i="7"/>
  <c r="H204" i="7" s="1"/>
  <c r="I204" i="7" s="1"/>
  <c r="A205" i="7"/>
  <c r="H205" i="7" s="1"/>
  <c r="I205" i="7" s="1"/>
  <c r="A206" i="7"/>
  <c r="H206" i="7" s="1"/>
  <c r="I206" i="7" s="1"/>
  <c r="A207" i="7"/>
  <c r="H207" i="7" s="1"/>
  <c r="I207" i="7" s="1"/>
  <c r="A208" i="7"/>
  <c r="H208" i="7" s="1"/>
  <c r="I208" i="7" s="1"/>
  <c r="A209" i="7"/>
  <c r="H209" i="7" s="1"/>
  <c r="I209" i="7" s="1"/>
  <c r="A210" i="7"/>
  <c r="H210" i="7" s="1"/>
  <c r="I210" i="7" s="1"/>
  <c r="A211" i="7"/>
  <c r="H211" i="7" s="1"/>
  <c r="I211" i="7" s="1"/>
  <c r="A212" i="7"/>
  <c r="H212" i="7" s="1"/>
  <c r="I212" i="7" s="1"/>
  <c r="A213" i="7"/>
  <c r="H213" i="7" s="1"/>
  <c r="I213" i="7" s="1"/>
  <c r="A214" i="7"/>
  <c r="H214" i="7" s="1"/>
  <c r="I214" i="7" s="1"/>
  <c r="A215" i="7"/>
  <c r="H215" i="7" s="1"/>
  <c r="I215" i="7" s="1"/>
  <c r="A216" i="7"/>
  <c r="H216" i="7" s="1"/>
  <c r="I216" i="7" s="1"/>
  <c r="A217" i="7"/>
  <c r="H217" i="7" s="1"/>
  <c r="I217" i="7" s="1"/>
  <c r="A218" i="7"/>
  <c r="H218" i="7" s="1"/>
  <c r="I218" i="7" s="1"/>
  <c r="A219" i="7"/>
  <c r="H219" i="7" s="1"/>
  <c r="I219" i="7" s="1"/>
  <c r="A220" i="7"/>
  <c r="H220" i="7" s="1"/>
  <c r="I220" i="7" s="1"/>
  <c r="A221" i="7"/>
  <c r="H221" i="7" s="1"/>
  <c r="I221" i="7" s="1"/>
  <c r="A222" i="7"/>
  <c r="H222" i="7" s="1"/>
  <c r="I222" i="7" s="1"/>
  <c r="A223" i="7"/>
  <c r="H223" i="7" s="1"/>
  <c r="I223" i="7" s="1"/>
  <c r="A224" i="7"/>
  <c r="H224" i="7" s="1"/>
  <c r="I224" i="7" s="1"/>
  <c r="A225" i="7"/>
  <c r="H225" i="7" s="1"/>
  <c r="I225" i="7" s="1"/>
  <c r="A226" i="7"/>
  <c r="H226" i="7" s="1"/>
  <c r="I226" i="7" s="1"/>
  <c r="A227" i="7"/>
  <c r="H227" i="7" s="1"/>
  <c r="I227" i="7" s="1"/>
  <c r="A228" i="7"/>
  <c r="H228" i="7" s="1"/>
  <c r="I228" i="7" s="1"/>
  <c r="A229" i="7"/>
  <c r="H229" i="7" s="1"/>
  <c r="I229" i="7" s="1"/>
  <c r="A230" i="7"/>
  <c r="H230" i="7" s="1"/>
  <c r="I230" i="7" s="1"/>
  <c r="A231" i="7"/>
  <c r="H231" i="7" s="1"/>
  <c r="I231" i="7" s="1"/>
  <c r="A232" i="7"/>
  <c r="H232" i="7" s="1"/>
  <c r="I232" i="7" s="1"/>
  <c r="A233" i="7"/>
  <c r="H233" i="7" s="1"/>
  <c r="I233" i="7" s="1"/>
  <c r="A234" i="7"/>
  <c r="H234" i="7" s="1"/>
  <c r="I234" i="7" s="1"/>
  <c r="A235" i="7"/>
  <c r="H235" i="7" s="1"/>
  <c r="I235" i="7" s="1"/>
  <c r="A236" i="7"/>
  <c r="H236" i="7" s="1"/>
  <c r="I236" i="7" s="1"/>
  <c r="A237" i="7"/>
  <c r="H237" i="7" s="1"/>
  <c r="I237" i="7" s="1"/>
  <c r="A238" i="7"/>
  <c r="H238" i="7" s="1"/>
  <c r="I238" i="7" s="1"/>
  <c r="A239" i="7"/>
  <c r="H239" i="7" s="1"/>
  <c r="I239" i="7" s="1"/>
  <c r="A240" i="7"/>
  <c r="H240" i="7" s="1"/>
  <c r="I240" i="7" s="1"/>
  <c r="A241" i="7"/>
  <c r="H241" i="7" s="1"/>
  <c r="I241" i="7" s="1"/>
  <c r="A242" i="7"/>
  <c r="H242" i="7" s="1"/>
  <c r="I242" i="7" s="1"/>
  <c r="A243" i="7"/>
  <c r="H243" i="7" s="1"/>
  <c r="I243" i="7" s="1"/>
  <c r="A244" i="7"/>
  <c r="H244" i="7" s="1"/>
  <c r="I244" i="7" s="1"/>
  <c r="A245" i="7"/>
  <c r="H245" i="7" s="1"/>
  <c r="I245" i="7" s="1"/>
  <c r="A246" i="7"/>
  <c r="H246" i="7" s="1"/>
  <c r="I246" i="7" s="1"/>
  <c r="A247" i="7"/>
  <c r="H247" i="7" s="1"/>
  <c r="I247" i="7" s="1"/>
  <c r="A248" i="7"/>
  <c r="H248" i="7" s="1"/>
  <c r="I248" i="7" s="1"/>
  <c r="A249" i="7"/>
  <c r="H249" i="7" s="1"/>
  <c r="I249" i="7" s="1"/>
  <c r="A250" i="7"/>
  <c r="H250" i="7" s="1"/>
  <c r="I250" i="7" s="1"/>
  <c r="A251" i="7"/>
  <c r="H251" i="7" s="1"/>
  <c r="I251" i="7" s="1"/>
  <c r="A252" i="7"/>
  <c r="H252" i="7" s="1"/>
  <c r="I252" i="7" s="1"/>
  <c r="A253" i="7"/>
  <c r="H253" i="7" s="1"/>
  <c r="I253" i="7" s="1"/>
  <c r="A254" i="7"/>
  <c r="H254" i="7" s="1"/>
  <c r="I254" i="7" s="1"/>
  <c r="A255" i="7"/>
  <c r="H255" i="7" s="1"/>
  <c r="I255" i="7" s="1"/>
  <c r="A256" i="7"/>
  <c r="H256" i="7" s="1"/>
  <c r="I256" i="7" s="1"/>
  <c r="A257" i="7"/>
  <c r="H257" i="7" s="1"/>
  <c r="I257" i="7" s="1"/>
  <c r="A258" i="7"/>
  <c r="H258" i="7" s="1"/>
  <c r="I258" i="7" s="1"/>
  <c r="A259" i="7"/>
  <c r="H259" i="7" s="1"/>
  <c r="I259" i="7" s="1"/>
  <c r="A260" i="7"/>
  <c r="H260" i="7" s="1"/>
  <c r="I260" i="7" s="1"/>
  <c r="A261" i="7"/>
  <c r="H261" i="7" s="1"/>
  <c r="I261" i="7" s="1"/>
  <c r="A262" i="7"/>
  <c r="H262" i="7" s="1"/>
  <c r="I262" i="7" s="1"/>
  <c r="A263" i="7"/>
  <c r="H263" i="7" s="1"/>
  <c r="I263" i="7" s="1"/>
  <c r="A264" i="7"/>
  <c r="H264" i="7" s="1"/>
  <c r="I264" i="7" s="1"/>
  <c r="A265" i="7"/>
  <c r="H265" i="7" s="1"/>
  <c r="I265" i="7" s="1"/>
  <c r="A266" i="7"/>
  <c r="H266" i="7" s="1"/>
  <c r="I266" i="7" s="1"/>
  <c r="A267" i="7"/>
  <c r="H267" i="7" s="1"/>
  <c r="I267" i="7" s="1"/>
  <c r="A268" i="7"/>
  <c r="H268" i="7" s="1"/>
  <c r="I268" i="7" s="1"/>
  <c r="A269" i="7"/>
  <c r="H269" i="7" s="1"/>
  <c r="I269" i="7" s="1"/>
  <c r="A270" i="7"/>
  <c r="H270" i="7" s="1"/>
  <c r="I270" i="7" s="1"/>
  <c r="A271" i="7"/>
  <c r="H271" i="7" s="1"/>
  <c r="I271" i="7" s="1"/>
  <c r="A272" i="7"/>
  <c r="H272" i="7" s="1"/>
  <c r="I272" i="7" s="1"/>
  <c r="A273" i="7"/>
  <c r="H273" i="7" s="1"/>
  <c r="I273" i="7" s="1"/>
  <c r="A274" i="7"/>
  <c r="H274" i="7" s="1"/>
  <c r="I274" i="7" s="1"/>
  <c r="A275" i="7"/>
  <c r="H275" i="7" s="1"/>
  <c r="I275" i="7" s="1"/>
  <c r="A276" i="7"/>
  <c r="H276" i="7" s="1"/>
  <c r="I276" i="7" s="1"/>
  <c r="A277" i="7"/>
  <c r="H277" i="7" s="1"/>
  <c r="I277" i="7" s="1"/>
  <c r="A278" i="7"/>
  <c r="H278" i="7" s="1"/>
  <c r="I278" i="7" s="1"/>
  <c r="A279" i="7"/>
  <c r="H279" i="7" s="1"/>
  <c r="I279" i="7" s="1"/>
  <c r="A280" i="7"/>
  <c r="H280" i="7" s="1"/>
  <c r="I280" i="7" s="1"/>
  <c r="A281" i="7"/>
  <c r="H281" i="7" s="1"/>
  <c r="I281" i="7" s="1"/>
  <c r="A282" i="7"/>
  <c r="H282" i="7" s="1"/>
  <c r="I282" i="7" s="1"/>
  <c r="A283" i="7"/>
  <c r="H283" i="7" s="1"/>
  <c r="I283" i="7" s="1"/>
  <c r="A284" i="7"/>
  <c r="H284" i="7" s="1"/>
  <c r="I284" i="7" s="1"/>
  <c r="A285" i="7"/>
  <c r="H285" i="7" s="1"/>
  <c r="I285" i="7" s="1"/>
  <c r="A286" i="7"/>
  <c r="H286" i="7" s="1"/>
  <c r="I286" i="7" s="1"/>
  <c r="A287" i="7"/>
  <c r="H287" i="7" s="1"/>
  <c r="I287" i="7" s="1"/>
  <c r="A288" i="7"/>
  <c r="H288" i="7" s="1"/>
  <c r="I288" i="7" s="1"/>
  <c r="A289" i="7"/>
  <c r="H289" i="7" s="1"/>
  <c r="I289" i="7" s="1"/>
  <c r="A290" i="7"/>
  <c r="H290" i="7" s="1"/>
  <c r="I290" i="7" s="1"/>
  <c r="A291" i="7"/>
  <c r="H291" i="7" s="1"/>
  <c r="I291" i="7" s="1"/>
  <c r="A292" i="7"/>
  <c r="H292" i="7" s="1"/>
  <c r="I292" i="7" s="1"/>
  <c r="A293" i="7"/>
  <c r="H293" i="7" s="1"/>
  <c r="I293" i="7" s="1"/>
  <c r="A294" i="7"/>
  <c r="H294" i="7" s="1"/>
  <c r="I294" i="7" s="1"/>
  <c r="A295" i="7"/>
  <c r="H295" i="7" s="1"/>
  <c r="I295" i="7" s="1"/>
  <c r="A296" i="7"/>
  <c r="H296" i="7" s="1"/>
  <c r="I296" i="7" s="1"/>
  <c r="A297" i="7"/>
  <c r="H297" i="7" s="1"/>
  <c r="I297" i="7" s="1"/>
  <c r="A298" i="7"/>
  <c r="H298" i="7" s="1"/>
  <c r="I298" i="7" s="1"/>
  <c r="A299" i="7"/>
  <c r="H299" i="7" s="1"/>
  <c r="I299" i="7" s="1"/>
  <c r="A300" i="7"/>
  <c r="H300" i="7" s="1"/>
  <c r="I300" i="7" s="1"/>
  <c r="A301" i="7"/>
  <c r="H301" i="7" s="1"/>
  <c r="I301" i="7" s="1"/>
  <c r="A302" i="7"/>
  <c r="H302" i="7" s="1"/>
  <c r="I302" i="7" s="1"/>
  <c r="A303" i="7"/>
  <c r="H303" i="7" s="1"/>
  <c r="I303" i="7" s="1"/>
  <c r="A304" i="7"/>
  <c r="H304" i="7" s="1"/>
  <c r="I304" i="7" s="1"/>
  <c r="A305" i="7"/>
  <c r="H305" i="7" s="1"/>
  <c r="I305" i="7" s="1"/>
  <c r="A306" i="7"/>
  <c r="H306" i="7" s="1"/>
  <c r="I306" i="7" s="1"/>
  <c r="A307" i="7"/>
  <c r="H307" i="7" s="1"/>
  <c r="I307" i="7" s="1"/>
  <c r="A308" i="7"/>
  <c r="H308" i="7" s="1"/>
  <c r="I308" i="7" s="1"/>
  <c r="A309" i="7"/>
  <c r="H309" i="7" s="1"/>
  <c r="I309" i="7" s="1"/>
  <c r="A310" i="7"/>
  <c r="H310" i="7" s="1"/>
  <c r="I310" i="7" s="1"/>
  <c r="A311" i="7"/>
  <c r="H311" i="7" s="1"/>
  <c r="I311" i="7" s="1"/>
  <c r="A312" i="7"/>
  <c r="H312" i="7" s="1"/>
  <c r="I312" i="7" s="1"/>
  <c r="A313" i="7"/>
  <c r="H313" i="7" s="1"/>
  <c r="I313" i="7" s="1"/>
  <c r="A314" i="7"/>
  <c r="H314" i="7" s="1"/>
  <c r="I314" i="7" s="1"/>
  <c r="A315" i="7"/>
  <c r="H315" i="7" s="1"/>
  <c r="I315" i="7" s="1"/>
  <c r="A316" i="7"/>
  <c r="H316" i="7" s="1"/>
  <c r="I316" i="7" s="1"/>
  <c r="A317" i="7"/>
  <c r="H317" i="7" s="1"/>
  <c r="I317" i="7" s="1"/>
  <c r="A318" i="7"/>
  <c r="H318" i="7" s="1"/>
  <c r="I318" i="7" s="1"/>
  <c r="A319" i="7"/>
  <c r="H319" i="7" s="1"/>
  <c r="I319" i="7" s="1"/>
  <c r="A320" i="7"/>
  <c r="H320" i="7" s="1"/>
  <c r="I320" i="7" s="1"/>
  <c r="A321" i="7"/>
  <c r="H321" i="7" s="1"/>
  <c r="I321" i="7" s="1"/>
  <c r="A322" i="7"/>
  <c r="H322" i="7" s="1"/>
  <c r="I322" i="7" s="1"/>
  <c r="A323" i="7"/>
  <c r="H323" i="7" s="1"/>
  <c r="I323" i="7" s="1"/>
  <c r="A324" i="7"/>
  <c r="H324" i="7" s="1"/>
  <c r="I324" i="7" s="1"/>
  <c r="A325" i="7"/>
  <c r="H325" i="7" s="1"/>
  <c r="I325" i="7" s="1"/>
  <c r="A326" i="7"/>
  <c r="H326" i="7" s="1"/>
  <c r="I326" i="7" s="1"/>
  <c r="A327" i="7"/>
  <c r="H327" i="7" s="1"/>
  <c r="I327" i="7" s="1"/>
  <c r="A328" i="7"/>
  <c r="H328" i="7" s="1"/>
  <c r="I328" i="7" s="1"/>
  <c r="A329" i="7"/>
  <c r="H329" i="7" s="1"/>
  <c r="I329" i="7" s="1"/>
  <c r="A330" i="7"/>
  <c r="H330" i="7" s="1"/>
  <c r="I330" i="7" s="1"/>
  <c r="A331" i="7"/>
  <c r="H331" i="7" s="1"/>
  <c r="I331" i="7" s="1"/>
  <c r="A332" i="7"/>
  <c r="H332" i="7" s="1"/>
  <c r="I332" i="7" s="1"/>
  <c r="A333" i="7"/>
  <c r="H333" i="7" s="1"/>
  <c r="I333" i="7" s="1"/>
  <c r="A334" i="7"/>
  <c r="H334" i="7" s="1"/>
  <c r="I334" i="7" s="1"/>
  <c r="A335" i="7"/>
  <c r="H335" i="7" s="1"/>
  <c r="I335" i="7" s="1"/>
  <c r="A336" i="7"/>
  <c r="H336" i="7" s="1"/>
  <c r="I336" i="7" s="1"/>
  <c r="A337" i="7"/>
  <c r="H337" i="7" s="1"/>
  <c r="I337" i="7" s="1"/>
  <c r="A338" i="7"/>
  <c r="H338" i="7" s="1"/>
  <c r="I338" i="7" s="1"/>
  <c r="A339" i="7"/>
  <c r="H339" i="7" s="1"/>
  <c r="I339" i="7" s="1"/>
  <c r="A340" i="7"/>
  <c r="H340" i="7" s="1"/>
  <c r="I340" i="7" s="1"/>
  <c r="A341" i="7"/>
  <c r="H341" i="7" s="1"/>
  <c r="I341" i="7" s="1"/>
  <c r="A342" i="7"/>
  <c r="H342" i="7" s="1"/>
  <c r="I342" i="7" s="1"/>
  <c r="A343" i="7"/>
  <c r="H343" i="7" s="1"/>
  <c r="I343" i="7" s="1"/>
  <c r="A344" i="7"/>
  <c r="H344" i="7" s="1"/>
  <c r="I344" i="7" s="1"/>
  <c r="A345" i="7"/>
  <c r="H345" i="7" s="1"/>
  <c r="I345" i="7" s="1"/>
  <c r="A346" i="7"/>
  <c r="H346" i="7" s="1"/>
  <c r="I346" i="7" s="1"/>
  <c r="A347" i="7"/>
  <c r="H347" i="7" s="1"/>
  <c r="I347" i="7" s="1"/>
  <c r="A348" i="7"/>
  <c r="H348" i="7" s="1"/>
  <c r="I348" i="7" s="1"/>
  <c r="A349" i="7"/>
  <c r="H349" i="7" s="1"/>
  <c r="I349" i="7" s="1"/>
  <c r="A350" i="7"/>
  <c r="H350" i="7" s="1"/>
  <c r="I350" i="7" s="1"/>
  <c r="A351" i="7"/>
  <c r="H351" i="7" s="1"/>
  <c r="I351" i="7" s="1"/>
  <c r="A352" i="7"/>
  <c r="H352" i="7" s="1"/>
  <c r="I352" i="7" s="1"/>
  <c r="A353" i="7"/>
  <c r="H353" i="7" s="1"/>
  <c r="I353" i="7" s="1"/>
  <c r="A354" i="7"/>
  <c r="H354" i="7" s="1"/>
  <c r="I354" i="7" s="1"/>
  <c r="A355" i="7"/>
  <c r="H355" i="7" s="1"/>
  <c r="I355" i="7" s="1"/>
  <c r="A356" i="7"/>
  <c r="H356" i="7" s="1"/>
  <c r="I356" i="7" s="1"/>
  <c r="A357" i="7"/>
  <c r="H357" i="7" s="1"/>
  <c r="I357" i="7" s="1"/>
  <c r="A358" i="7"/>
  <c r="H358" i="7" s="1"/>
  <c r="I358" i="7" s="1"/>
  <c r="A359" i="7"/>
  <c r="H359" i="7" s="1"/>
  <c r="I359" i="7" s="1"/>
  <c r="A360" i="7"/>
  <c r="H360" i="7" s="1"/>
  <c r="I360" i="7" s="1"/>
  <c r="A361" i="7"/>
  <c r="H361" i="7" s="1"/>
  <c r="I361" i="7" s="1"/>
  <c r="A362" i="7"/>
  <c r="H362" i="7" s="1"/>
  <c r="I362" i="7" s="1"/>
  <c r="A363" i="7"/>
  <c r="H363" i="7" s="1"/>
  <c r="I363" i="7" s="1"/>
  <c r="A364" i="7"/>
  <c r="H364" i="7" s="1"/>
  <c r="I364" i="7" s="1"/>
  <c r="A365" i="7"/>
  <c r="H365" i="7" s="1"/>
  <c r="I365" i="7" s="1"/>
  <c r="A366" i="7"/>
  <c r="H366" i="7" s="1"/>
  <c r="I366" i="7" s="1"/>
  <c r="A367" i="7"/>
  <c r="H367" i="7" s="1"/>
  <c r="I367" i="7" s="1"/>
  <c r="A368" i="7"/>
  <c r="H368" i="7" s="1"/>
  <c r="I368" i="7" s="1"/>
  <c r="A369" i="7"/>
  <c r="H369" i="7" s="1"/>
  <c r="I369" i="7" s="1"/>
  <c r="A370" i="7"/>
  <c r="H370" i="7" s="1"/>
  <c r="I370" i="7" s="1"/>
  <c r="A371" i="7"/>
  <c r="H371" i="7" s="1"/>
  <c r="I371" i="7" s="1"/>
  <c r="A372" i="7"/>
  <c r="H372" i="7" s="1"/>
  <c r="I372" i="7" s="1"/>
  <c r="A373" i="7"/>
  <c r="H373" i="7" s="1"/>
  <c r="I373" i="7" s="1"/>
  <c r="A374" i="7"/>
  <c r="H374" i="7" s="1"/>
  <c r="I374" i="7" s="1"/>
  <c r="A375" i="7"/>
  <c r="H375" i="7" s="1"/>
  <c r="I375" i="7" s="1"/>
  <c r="A376" i="7"/>
  <c r="H376" i="7" s="1"/>
  <c r="I376" i="7" s="1"/>
  <c r="A377" i="7"/>
  <c r="H377" i="7" s="1"/>
  <c r="I377" i="7" s="1"/>
  <c r="A378" i="7"/>
  <c r="H378" i="7" s="1"/>
  <c r="I378" i="7" s="1"/>
  <c r="A379" i="7"/>
  <c r="H379" i="7" s="1"/>
  <c r="I379" i="7" s="1"/>
  <c r="A380" i="7"/>
  <c r="H380" i="7" s="1"/>
  <c r="I380" i="7" s="1"/>
  <c r="A381" i="7"/>
  <c r="H381" i="7" s="1"/>
  <c r="I381" i="7" s="1"/>
  <c r="A382" i="7"/>
  <c r="H382" i="7" s="1"/>
  <c r="I382" i="7" s="1"/>
  <c r="A383" i="7"/>
  <c r="H383" i="7" s="1"/>
  <c r="I383" i="7" s="1"/>
  <c r="A384" i="7"/>
  <c r="H384" i="7" s="1"/>
  <c r="I384" i="7" s="1"/>
  <c r="A385" i="7"/>
  <c r="H385" i="7" s="1"/>
  <c r="I385" i="7" s="1"/>
  <c r="A386" i="7"/>
  <c r="H386" i="7" s="1"/>
  <c r="I386" i="7" s="1"/>
  <c r="A387" i="7"/>
  <c r="H387" i="7" s="1"/>
  <c r="I387" i="7" s="1"/>
  <c r="A388" i="7"/>
  <c r="H388" i="7" s="1"/>
  <c r="I388" i="7" s="1"/>
  <c r="A389" i="7"/>
  <c r="H389" i="7" s="1"/>
  <c r="I389" i="7" s="1"/>
  <c r="A390" i="7"/>
  <c r="H390" i="7" s="1"/>
  <c r="I390" i="7" s="1"/>
  <c r="A391" i="7"/>
  <c r="H391" i="7" s="1"/>
  <c r="I391" i="7" s="1"/>
  <c r="A392" i="7"/>
  <c r="H392" i="7" s="1"/>
  <c r="I392" i="7" s="1"/>
  <c r="A393" i="7"/>
  <c r="H393" i="7" s="1"/>
  <c r="I393" i="7" s="1"/>
  <c r="A394" i="7"/>
  <c r="H394" i="7" s="1"/>
  <c r="I394" i="7" s="1"/>
  <c r="A395" i="7"/>
  <c r="H395" i="7" s="1"/>
  <c r="I395" i="7" s="1"/>
  <c r="A396" i="7"/>
  <c r="H396" i="7" s="1"/>
  <c r="I396" i="7" s="1"/>
  <c r="A397" i="7"/>
  <c r="H397" i="7" s="1"/>
  <c r="I397" i="7" s="1"/>
  <c r="A398" i="7"/>
  <c r="H398" i="7" s="1"/>
  <c r="I398" i="7" s="1"/>
  <c r="A399" i="7"/>
  <c r="H399" i="7" s="1"/>
  <c r="I399" i="7" s="1"/>
  <c r="A400" i="7"/>
  <c r="H400" i="7" s="1"/>
  <c r="I400" i="7" s="1"/>
  <c r="A401" i="7"/>
  <c r="H401" i="7" s="1"/>
  <c r="I401" i="7" s="1"/>
  <c r="A402" i="7"/>
  <c r="H402" i="7" s="1"/>
  <c r="I402" i="7" s="1"/>
  <c r="A403" i="7"/>
  <c r="H403" i="7" s="1"/>
  <c r="I403" i="7" s="1"/>
  <c r="A404" i="7"/>
  <c r="H404" i="7" s="1"/>
  <c r="I404" i="7" s="1"/>
  <c r="A405" i="7"/>
  <c r="H405" i="7" s="1"/>
  <c r="I405" i="7" s="1"/>
  <c r="A406" i="7"/>
  <c r="H406" i="7" s="1"/>
  <c r="I406" i="7" s="1"/>
  <c r="A407" i="7"/>
  <c r="H407" i="7" s="1"/>
  <c r="I407" i="7" s="1"/>
  <c r="A408" i="7"/>
  <c r="H408" i="7" s="1"/>
  <c r="I408" i="7" s="1"/>
  <c r="A409" i="7"/>
  <c r="H409" i="7" s="1"/>
  <c r="I409" i="7" s="1"/>
  <c r="A410" i="7"/>
  <c r="H410" i="7" s="1"/>
  <c r="I410" i="7" s="1"/>
  <c r="A411" i="7"/>
  <c r="H411" i="7" s="1"/>
  <c r="I411" i="7" s="1"/>
  <c r="A412" i="7"/>
  <c r="H412" i="7" s="1"/>
  <c r="I412" i="7" s="1"/>
  <c r="A413" i="7"/>
  <c r="H413" i="7" s="1"/>
  <c r="I413" i="7" s="1"/>
  <c r="A414" i="7"/>
  <c r="H414" i="7" s="1"/>
  <c r="I414" i="7" s="1"/>
  <c r="A415" i="7"/>
  <c r="H415" i="7" s="1"/>
  <c r="I415" i="7" s="1"/>
  <c r="A416" i="7"/>
  <c r="H416" i="7" s="1"/>
  <c r="I416" i="7" s="1"/>
  <c r="A417" i="7"/>
  <c r="H417" i="7" s="1"/>
  <c r="I417" i="7" s="1"/>
  <c r="A418" i="7"/>
  <c r="H418" i="7" s="1"/>
  <c r="I418" i="7" s="1"/>
  <c r="A419" i="7"/>
  <c r="H419" i="7" s="1"/>
  <c r="I419" i="7" s="1"/>
  <c r="A420" i="7"/>
  <c r="H420" i="7" s="1"/>
  <c r="I420" i="7" s="1"/>
  <c r="A421" i="7"/>
  <c r="H421" i="7" s="1"/>
  <c r="I421" i="7" s="1"/>
  <c r="A422" i="7"/>
  <c r="H422" i="7" s="1"/>
  <c r="I422" i="7" s="1"/>
  <c r="A423" i="7"/>
  <c r="H423" i="7" s="1"/>
  <c r="I423" i="7" s="1"/>
  <c r="A424" i="7"/>
  <c r="H424" i="7" s="1"/>
  <c r="I424" i="7" s="1"/>
  <c r="A425" i="7"/>
  <c r="H425" i="7" s="1"/>
  <c r="I425" i="7" s="1"/>
  <c r="A426" i="7"/>
  <c r="H426" i="7" s="1"/>
  <c r="I426" i="7" s="1"/>
  <c r="A427" i="7"/>
  <c r="H427" i="7" s="1"/>
  <c r="I427" i="7" s="1"/>
  <c r="A428" i="7"/>
  <c r="H428" i="7" s="1"/>
  <c r="I428" i="7" s="1"/>
  <c r="A429" i="7"/>
  <c r="H429" i="7" s="1"/>
  <c r="I429" i="7" s="1"/>
  <c r="A430" i="7"/>
  <c r="H430" i="7" s="1"/>
  <c r="I430" i="7" s="1"/>
  <c r="A431" i="7"/>
  <c r="H431" i="7" s="1"/>
  <c r="I431" i="7" s="1"/>
  <c r="A432" i="7"/>
  <c r="H432" i="7" s="1"/>
  <c r="I432" i="7" s="1"/>
  <c r="A433" i="7"/>
  <c r="H433" i="7" s="1"/>
  <c r="I433" i="7" s="1"/>
  <c r="A434" i="7"/>
  <c r="H434" i="7" s="1"/>
  <c r="I434" i="7" s="1"/>
  <c r="A435" i="7"/>
  <c r="H435" i="7" s="1"/>
  <c r="I435" i="7" s="1"/>
  <c r="A436" i="7"/>
  <c r="H436" i="7" s="1"/>
  <c r="I436" i="7" s="1"/>
  <c r="A437" i="7"/>
  <c r="H437" i="7" s="1"/>
  <c r="I437" i="7" s="1"/>
  <c r="A438" i="7"/>
  <c r="H438" i="7" s="1"/>
  <c r="I438" i="7" s="1"/>
  <c r="A439" i="7"/>
  <c r="H439" i="7" s="1"/>
  <c r="I439" i="7" s="1"/>
  <c r="A440" i="7"/>
  <c r="H440" i="7" s="1"/>
  <c r="I440" i="7" s="1"/>
  <c r="A441" i="7"/>
  <c r="H441" i="7" s="1"/>
  <c r="I441" i="7" s="1"/>
  <c r="A442" i="7"/>
  <c r="H442" i="7" s="1"/>
  <c r="I442" i="7" s="1"/>
  <c r="A443" i="7"/>
  <c r="H443" i="7" s="1"/>
  <c r="I443" i="7" s="1"/>
  <c r="A444" i="7"/>
  <c r="H444" i="7" s="1"/>
  <c r="I444" i="7" s="1"/>
  <c r="A445" i="7"/>
  <c r="H445" i="7" s="1"/>
  <c r="I445" i="7" s="1"/>
  <c r="A446" i="7"/>
  <c r="H446" i="7" s="1"/>
  <c r="I446" i="7" s="1"/>
  <c r="A447" i="7"/>
  <c r="H447" i="7" s="1"/>
  <c r="I447" i="7" s="1"/>
  <c r="A448" i="7"/>
  <c r="H448" i="7" s="1"/>
  <c r="I448" i="7" s="1"/>
  <c r="A449" i="7"/>
  <c r="H449" i="7" s="1"/>
  <c r="I449" i="7" s="1"/>
  <c r="A450" i="7"/>
  <c r="H450" i="7" s="1"/>
  <c r="I450" i="7" s="1"/>
  <c r="A451" i="7"/>
  <c r="H451" i="7" s="1"/>
  <c r="I451" i="7" s="1"/>
  <c r="A452" i="7"/>
  <c r="H452" i="7" s="1"/>
  <c r="I452" i="7" s="1"/>
  <c r="A453" i="7"/>
  <c r="H453" i="7" s="1"/>
  <c r="I453" i="7" s="1"/>
  <c r="A454" i="7"/>
  <c r="H454" i="7" s="1"/>
  <c r="I454" i="7" s="1"/>
  <c r="A455" i="7"/>
  <c r="H455" i="7" s="1"/>
  <c r="I455" i="7" s="1"/>
  <c r="A456" i="7"/>
  <c r="H456" i="7" s="1"/>
  <c r="I456" i="7" s="1"/>
  <c r="A457" i="7"/>
  <c r="H457" i="7" s="1"/>
  <c r="I457" i="7" s="1"/>
  <c r="A458" i="7"/>
  <c r="H458" i="7" s="1"/>
  <c r="I458" i="7" s="1"/>
  <c r="A459" i="7"/>
  <c r="H459" i="7" s="1"/>
  <c r="I459" i="7" s="1"/>
  <c r="A460" i="7"/>
  <c r="H460" i="7" s="1"/>
  <c r="I460" i="7" s="1"/>
  <c r="A461" i="7"/>
  <c r="H461" i="7" s="1"/>
  <c r="I461" i="7" s="1"/>
  <c r="A462" i="7"/>
  <c r="H462" i="7" s="1"/>
  <c r="I462" i="7" s="1"/>
  <c r="A463" i="7"/>
  <c r="H463" i="7" s="1"/>
  <c r="I463" i="7" s="1"/>
  <c r="A464" i="7"/>
  <c r="H464" i="7" s="1"/>
  <c r="I464" i="7" s="1"/>
  <c r="A465" i="7"/>
  <c r="H465" i="7" s="1"/>
  <c r="I465" i="7" s="1"/>
  <c r="A466" i="7"/>
  <c r="H466" i="7" s="1"/>
  <c r="I466" i="7" s="1"/>
  <c r="A467" i="7"/>
  <c r="H467" i="7" s="1"/>
  <c r="I467" i="7" s="1"/>
  <c r="A468" i="7"/>
  <c r="H468" i="7" s="1"/>
  <c r="I468" i="7" s="1"/>
  <c r="A469" i="7"/>
  <c r="H469" i="7" s="1"/>
  <c r="I469" i="7" s="1"/>
  <c r="A470" i="7"/>
  <c r="H470" i="7" s="1"/>
  <c r="I470" i="7" s="1"/>
  <c r="A471" i="7"/>
  <c r="H471" i="7" s="1"/>
  <c r="I471" i="7" s="1"/>
  <c r="A472" i="7"/>
  <c r="H472" i="7" s="1"/>
  <c r="I472" i="7" s="1"/>
  <c r="A473" i="7"/>
  <c r="H473" i="7" s="1"/>
  <c r="I473" i="7" s="1"/>
  <c r="A474" i="7"/>
  <c r="H474" i="7" s="1"/>
  <c r="I474" i="7" s="1"/>
  <c r="A475" i="7"/>
  <c r="H475" i="7" s="1"/>
  <c r="I475" i="7" s="1"/>
  <c r="A476" i="7"/>
  <c r="H476" i="7" s="1"/>
  <c r="I476" i="7" s="1"/>
  <c r="A477" i="7"/>
  <c r="H477" i="7" s="1"/>
  <c r="I477" i="7" s="1"/>
  <c r="A478" i="7"/>
  <c r="H478" i="7" s="1"/>
  <c r="I478" i="7" s="1"/>
  <c r="A479" i="7"/>
  <c r="H479" i="7" s="1"/>
  <c r="I479" i="7" s="1"/>
  <c r="A480" i="7"/>
  <c r="H480" i="7" s="1"/>
  <c r="I480" i="7" s="1"/>
  <c r="A481" i="7"/>
  <c r="H481" i="7" s="1"/>
  <c r="I481" i="7" s="1"/>
  <c r="A482" i="7"/>
  <c r="H482" i="7" s="1"/>
  <c r="I482" i="7" s="1"/>
  <c r="A483" i="7"/>
  <c r="H483" i="7" s="1"/>
  <c r="I483" i="7" s="1"/>
  <c r="A484" i="7"/>
  <c r="H484" i="7" s="1"/>
  <c r="I484" i="7" s="1"/>
  <c r="A485" i="7"/>
  <c r="H485" i="7" s="1"/>
  <c r="I485" i="7" s="1"/>
  <c r="A486" i="7"/>
  <c r="H486" i="7" s="1"/>
  <c r="I486" i="7" s="1"/>
  <c r="A487" i="7"/>
  <c r="H487" i="7" s="1"/>
  <c r="I487" i="7" s="1"/>
  <c r="A488" i="7"/>
  <c r="H488" i="7" s="1"/>
  <c r="I488" i="7" s="1"/>
  <c r="A489" i="7"/>
  <c r="H489" i="7" s="1"/>
  <c r="I489" i="7" s="1"/>
  <c r="A490" i="7"/>
  <c r="H490" i="7" s="1"/>
  <c r="I490" i="7" s="1"/>
  <c r="A491" i="7"/>
  <c r="H491" i="7" s="1"/>
  <c r="I491" i="7" s="1"/>
  <c r="A492" i="7"/>
  <c r="H492" i="7" s="1"/>
  <c r="I492" i="7" s="1"/>
  <c r="A493" i="7"/>
  <c r="H493" i="7" s="1"/>
  <c r="I493" i="7" s="1"/>
  <c r="A494" i="7"/>
  <c r="H494" i="7" s="1"/>
  <c r="I494" i="7" s="1"/>
  <c r="A495" i="7"/>
  <c r="H495" i="7" s="1"/>
  <c r="I495" i="7" s="1"/>
  <c r="A496" i="7"/>
  <c r="H496" i="7" s="1"/>
  <c r="I496" i="7" s="1"/>
  <c r="A497" i="7"/>
  <c r="H497" i="7" s="1"/>
  <c r="I497" i="7" s="1"/>
  <c r="A498" i="7"/>
  <c r="H498" i="7" s="1"/>
  <c r="I498" i="7" s="1"/>
  <c r="A499" i="7"/>
  <c r="H499" i="7" s="1"/>
  <c r="I499" i="7" s="1"/>
  <c r="A500" i="7"/>
  <c r="H500" i="7" s="1"/>
  <c r="I500" i="7" s="1"/>
  <c r="A501" i="7"/>
  <c r="H501" i="7" s="1"/>
  <c r="I501" i="7" s="1"/>
  <c r="A502" i="7"/>
  <c r="H502" i="7" s="1"/>
  <c r="I502" i="7" s="1"/>
  <c r="A503" i="7"/>
  <c r="H503" i="7" s="1"/>
  <c r="I503" i="7" s="1"/>
  <c r="A504" i="7"/>
  <c r="H504" i="7" s="1"/>
  <c r="I504" i="7" s="1"/>
  <c r="A505" i="7"/>
  <c r="H505" i="7" s="1"/>
  <c r="I505" i="7" s="1"/>
  <c r="A506" i="7"/>
  <c r="H506" i="7" s="1"/>
  <c r="I506" i="7" s="1"/>
  <c r="A507" i="7"/>
  <c r="H507" i="7" s="1"/>
  <c r="I507" i="7" s="1"/>
  <c r="A508" i="7"/>
  <c r="H508" i="7" s="1"/>
  <c r="I508" i="7" s="1"/>
  <c r="A509" i="7"/>
  <c r="H509" i="7" s="1"/>
  <c r="I509" i="7" s="1"/>
  <c r="A510" i="7"/>
  <c r="H510" i="7" s="1"/>
  <c r="I510" i="7" s="1"/>
  <c r="A511" i="7"/>
  <c r="H511" i="7" s="1"/>
  <c r="I511" i="7" s="1"/>
  <c r="A512" i="7"/>
  <c r="H512" i="7" s="1"/>
  <c r="I512" i="7" s="1"/>
  <c r="A513" i="7"/>
  <c r="H513" i="7" s="1"/>
  <c r="I513" i="7" s="1"/>
  <c r="A514" i="7"/>
  <c r="H514" i="7" s="1"/>
  <c r="I514" i="7" s="1"/>
  <c r="A515" i="7"/>
  <c r="H515" i="7" s="1"/>
  <c r="I515" i="7" s="1"/>
  <c r="A516" i="7"/>
  <c r="H516" i="7" s="1"/>
  <c r="I516" i="7" s="1"/>
  <c r="A517" i="7"/>
  <c r="H517" i="7" s="1"/>
  <c r="I517" i="7" s="1"/>
  <c r="A518" i="7"/>
  <c r="H518" i="7" s="1"/>
  <c r="I518" i="7" s="1"/>
  <c r="A519" i="7"/>
  <c r="H519" i="7" s="1"/>
  <c r="I519" i="7" s="1"/>
  <c r="A520" i="7"/>
  <c r="H520" i="7" s="1"/>
  <c r="I520" i="7" s="1"/>
  <c r="A521" i="7"/>
  <c r="H521" i="7" s="1"/>
  <c r="I521" i="7" s="1"/>
  <c r="A522" i="7"/>
  <c r="H522" i="7" s="1"/>
  <c r="I522" i="7" s="1"/>
  <c r="A523" i="7"/>
  <c r="H523" i="7" s="1"/>
  <c r="I523" i="7" s="1"/>
  <c r="A524" i="7"/>
  <c r="H524" i="7" s="1"/>
  <c r="I524" i="7" s="1"/>
  <c r="A525" i="7"/>
  <c r="H525" i="7" s="1"/>
  <c r="I525" i="7" s="1"/>
  <c r="A526" i="7"/>
  <c r="H526" i="7" s="1"/>
  <c r="I526" i="7" s="1"/>
  <c r="A527" i="7"/>
  <c r="H527" i="7" s="1"/>
  <c r="I527" i="7" s="1"/>
  <c r="A528" i="7"/>
  <c r="H528" i="7" s="1"/>
  <c r="I528" i="7" s="1"/>
  <c r="A529" i="7"/>
  <c r="H529" i="7" s="1"/>
  <c r="I529" i="7" s="1"/>
  <c r="A530" i="7"/>
  <c r="H530" i="7" s="1"/>
  <c r="I530" i="7" s="1"/>
  <c r="A531" i="7"/>
  <c r="H531" i="7" s="1"/>
  <c r="I531" i="7" s="1"/>
  <c r="A532" i="7"/>
  <c r="H532" i="7" s="1"/>
  <c r="I532" i="7" s="1"/>
  <c r="A533" i="7"/>
  <c r="H533" i="7" s="1"/>
  <c r="I533" i="7" s="1"/>
  <c r="A534" i="7"/>
  <c r="H534" i="7" s="1"/>
  <c r="I534" i="7" s="1"/>
  <c r="A535" i="7"/>
  <c r="H535" i="7" s="1"/>
  <c r="I535" i="7" s="1"/>
  <c r="A536" i="7"/>
  <c r="H536" i="7" s="1"/>
  <c r="I536" i="7" s="1"/>
  <c r="A537" i="7"/>
  <c r="H537" i="7" s="1"/>
  <c r="I537" i="7" s="1"/>
  <c r="A538" i="7"/>
  <c r="H538" i="7" s="1"/>
  <c r="I538" i="7" s="1"/>
  <c r="A539" i="7"/>
  <c r="H539" i="7" s="1"/>
  <c r="I539" i="7" s="1"/>
  <c r="A540" i="7"/>
  <c r="H540" i="7" s="1"/>
  <c r="I540" i="7" s="1"/>
  <c r="A541" i="7"/>
  <c r="H541" i="7" s="1"/>
  <c r="I541" i="7" s="1"/>
  <c r="A542" i="7"/>
  <c r="H542" i="7" s="1"/>
  <c r="I542" i="7" s="1"/>
  <c r="A543" i="7"/>
  <c r="H543" i="7" s="1"/>
  <c r="I543" i="7" s="1"/>
  <c r="A544" i="7"/>
  <c r="H544" i="7" s="1"/>
  <c r="I544" i="7" s="1"/>
  <c r="A545" i="7"/>
  <c r="H545" i="7" s="1"/>
  <c r="I545" i="7" s="1"/>
  <c r="A546" i="7"/>
  <c r="H546" i="7" s="1"/>
  <c r="I546" i="7" s="1"/>
  <c r="A547" i="7"/>
  <c r="H547" i="7" s="1"/>
  <c r="I547" i="7" s="1"/>
  <c r="A548" i="7"/>
  <c r="H548" i="7" s="1"/>
  <c r="I548" i="7" s="1"/>
  <c r="A549" i="7"/>
  <c r="H549" i="7" s="1"/>
  <c r="I549" i="7" s="1"/>
  <c r="A550" i="7"/>
  <c r="H550" i="7" s="1"/>
  <c r="I550" i="7" s="1"/>
  <c r="A551" i="7"/>
  <c r="H551" i="7" s="1"/>
  <c r="I551" i="7" s="1"/>
  <c r="A552" i="7"/>
  <c r="H552" i="7" s="1"/>
  <c r="I552" i="7" s="1"/>
  <c r="A553" i="7"/>
  <c r="H553" i="7" s="1"/>
  <c r="I553" i="7" s="1"/>
  <c r="A554" i="7"/>
  <c r="H554" i="7" s="1"/>
  <c r="I554" i="7" s="1"/>
  <c r="A555" i="7"/>
  <c r="H555" i="7" s="1"/>
  <c r="I555" i="7" s="1"/>
  <c r="A556" i="7"/>
  <c r="H556" i="7" s="1"/>
  <c r="I556" i="7" s="1"/>
  <c r="A557" i="7"/>
  <c r="H557" i="7" s="1"/>
  <c r="I557" i="7" s="1"/>
  <c r="A558" i="7"/>
  <c r="H558" i="7" s="1"/>
  <c r="I558" i="7" s="1"/>
  <c r="A559" i="7"/>
  <c r="H559" i="7" s="1"/>
  <c r="I559" i="7" s="1"/>
  <c r="A560" i="7"/>
  <c r="H560" i="7" s="1"/>
  <c r="I560" i="7" s="1"/>
  <c r="A561" i="7"/>
  <c r="H561" i="7" s="1"/>
  <c r="I561" i="7" s="1"/>
  <c r="A562" i="7"/>
  <c r="H562" i="7" s="1"/>
  <c r="I562" i="7" s="1"/>
  <c r="A563" i="7"/>
  <c r="H563" i="7" s="1"/>
  <c r="I563" i="7" s="1"/>
  <c r="A564" i="7"/>
  <c r="H564" i="7" s="1"/>
  <c r="I564" i="7" s="1"/>
  <c r="A565" i="7"/>
  <c r="H565" i="7" s="1"/>
  <c r="I565" i="7" s="1"/>
  <c r="A566" i="7"/>
  <c r="H566" i="7" s="1"/>
  <c r="I566" i="7" s="1"/>
  <c r="A567" i="7"/>
  <c r="H567" i="7" s="1"/>
  <c r="I567" i="7" s="1"/>
  <c r="A568" i="7"/>
  <c r="H568" i="7" s="1"/>
  <c r="I568" i="7" s="1"/>
  <c r="A569" i="7"/>
  <c r="H569" i="7" s="1"/>
  <c r="I569" i="7" s="1"/>
  <c r="A570" i="7"/>
  <c r="H570" i="7" s="1"/>
  <c r="I570" i="7" s="1"/>
  <c r="A571" i="7"/>
  <c r="H571" i="7" s="1"/>
  <c r="I571" i="7" s="1"/>
  <c r="A572" i="7"/>
  <c r="H572" i="7" s="1"/>
  <c r="I572" i="7" s="1"/>
  <c r="A573" i="7"/>
  <c r="H573" i="7" s="1"/>
  <c r="I573" i="7" s="1"/>
  <c r="A574" i="7"/>
  <c r="H574" i="7" s="1"/>
  <c r="I574" i="7" s="1"/>
  <c r="A575" i="7"/>
  <c r="H575" i="7" s="1"/>
  <c r="I575" i="7" s="1"/>
  <c r="A576" i="7"/>
  <c r="H576" i="7" s="1"/>
  <c r="I576" i="7" s="1"/>
  <c r="A577" i="7"/>
  <c r="H577" i="7" s="1"/>
  <c r="I577" i="7" s="1"/>
  <c r="A578" i="7"/>
  <c r="H578" i="7" s="1"/>
  <c r="I578" i="7" s="1"/>
  <c r="A579" i="7"/>
  <c r="H579" i="7" s="1"/>
  <c r="I579" i="7" s="1"/>
  <c r="A580" i="7"/>
  <c r="H580" i="7" s="1"/>
  <c r="I580" i="7" s="1"/>
  <c r="A581" i="7"/>
  <c r="H581" i="7" s="1"/>
  <c r="I581" i="7" s="1"/>
  <c r="A582" i="7"/>
  <c r="H582" i="7" s="1"/>
  <c r="I582" i="7" s="1"/>
  <c r="A583" i="7"/>
  <c r="H583" i="7" s="1"/>
  <c r="I583" i="7" s="1"/>
  <c r="A584" i="7"/>
  <c r="H584" i="7" s="1"/>
  <c r="I584" i="7" s="1"/>
  <c r="A585" i="7"/>
  <c r="H585" i="7" s="1"/>
  <c r="I585" i="7" s="1"/>
  <c r="A586" i="7"/>
  <c r="H586" i="7" s="1"/>
  <c r="I586" i="7" s="1"/>
  <c r="A587" i="7"/>
  <c r="H587" i="7" s="1"/>
  <c r="I587" i="7" s="1"/>
  <c r="A588" i="7"/>
  <c r="H588" i="7" s="1"/>
  <c r="I588" i="7" s="1"/>
  <c r="A589" i="7"/>
  <c r="H589" i="7" s="1"/>
  <c r="I589" i="7" s="1"/>
  <c r="A590" i="7"/>
  <c r="H590" i="7" s="1"/>
  <c r="I590" i="7" s="1"/>
  <c r="A591" i="7"/>
  <c r="H591" i="7" s="1"/>
  <c r="I591" i="7" s="1"/>
  <c r="A592" i="7"/>
  <c r="H592" i="7" s="1"/>
  <c r="I592" i="7" s="1"/>
  <c r="A593" i="7"/>
  <c r="H593" i="7" s="1"/>
  <c r="I593" i="7" s="1"/>
  <c r="A594" i="7"/>
  <c r="H594" i="7" s="1"/>
  <c r="I594" i="7" s="1"/>
  <c r="A595" i="7"/>
  <c r="H595" i="7" s="1"/>
  <c r="I595" i="7" s="1"/>
  <c r="A596" i="7"/>
  <c r="H596" i="7" s="1"/>
  <c r="I596" i="7" s="1"/>
  <c r="A597" i="7"/>
  <c r="H597" i="7" s="1"/>
  <c r="I597" i="7" s="1"/>
  <c r="A598" i="7"/>
  <c r="H598" i="7" s="1"/>
  <c r="I598" i="7" s="1"/>
  <c r="A599" i="7"/>
  <c r="H599" i="7" s="1"/>
  <c r="I599" i="7" s="1"/>
  <c r="A600" i="7"/>
  <c r="H600" i="7" s="1"/>
  <c r="I600" i="7" s="1"/>
  <c r="A601" i="7"/>
  <c r="H601" i="7" s="1"/>
  <c r="I601" i="7" s="1"/>
  <c r="A602" i="7"/>
  <c r="H602" i="7" s="1"/>
  <c r="I602" i="7" s="1"/>
  <c r="A603" i="7"/>
  <c r="H603" i="7" s="1"/>
  <c r="I603" i="7" s="1"/>
  <c r="A604" i="7"/>
  <c r="H604" i="7" s="1"/>
  <c r="I604" i="7" s="1"/>
  <c r="A605" i="7"/>
  <c r="H605" i="7" s="1"/>
  <c r="I605" i="7" s="1"/>
  <c r="A606" i="7"/>
  <c r="H606" i="7" s="1"/>
  <c r="I606" i="7" s="1"/>
  <c r="A607" i="7"/>
  <c r="H607" i="7" s="1"/>
  <c r="I607" i="7" s="1"/>
  <c r="A608" i="7"/>
  <c r="H608" i="7" s="1"/>
  <c r="I608" i="7" s="1"/>
  <c r="A609" i="7"/>
  <c r="H609" i="7" s="1"/>
  <c r="I609" i="7" s="1"/>
  <c r="A610" i="7"/>
  <c r="H610" i="7" s="1"/>
  <c r="I610" i="7" s="1"/>
  <c r="A611" i="7"/>
  <c r="H611" i="7" s="1"/>
  <c r="I611" i="7" s="1"/>
  <c r="A612" i="7"/>
  <c r="H612" i="7" s="1"/>
  <c r="I612" i="7" s="1"/>
  <c r="A613" i="7"/>
  <c r="H613" i="7" s="1"/>
  <c r="I613" i="7" s="1"/>
  <c r="A614" i="7"/>
  <c r="H614" i="7" s="1"/>
  <c r="I614" i="7" s="1"/>
  <c r="A615" i="7"/>
  <c r="H615" i="7" s="1"/>
  <c r="I615" i="7" s="1"/>
  <c r="A616" i="7"/>
  <c r="H616" i="7" s="1"/>
  <c r="I616" i="7" s="1"/>
  <c r="A617" i="7"/>
  <c r="H617" i="7" s="1"/>
  <c r="I617" i="7" s="1"/>
  <c r="A618" i="7"/>
  <c r="H618" i="7" s="1"/>
  <c r="I618" i="7" s="1"/>
  <c r="A619" i="7"/>
  <c r="H619" i="7" s="1"/>
  <c r="I619" i="7" s="1"/>
  <c r="A620" i="7"/>
  <c r="H620" i="7" s="1"/>
  <c r="I620" i="7" s="1"/>
  <c r="A621" i="7"/>
  <c r="H621" i="7" s="1"/>
  <c r="I621" i="7" s="1"/>
  <c r="A622" i="7"/>
  <c r="H622" i="7" s="1"/>
  <c r="I622" i="7" s="1"/>
  <c r="A623" i="7"/>
  <c r="H623" i="7" s="1"/>
  <c r="I623" i="7" s="1"/>
  <c r="A624" i="7"/>
  <c r="H624" i="7" s="1"/>
  <c r="I624" i="7" s="1"/>
  <c r="A625" i="7"/>
  <c r="H625" i="7" s="1"/>
  <c r="I625" i="7" s="1"/>
  <c r="A626" i="7"/>
  <c r="H626" i="7" s="1"/>
  <c r="I626" i="7" s="1"/>
  <c r="A627" i="7"/>
  <c r="H627" i="7" s="1"/>
  <c r="I627" i="7" s="1"/>
  <c r="A628" i="7"/>
  <c r="H628" i="7" s="1"/>
  <c r="I628" i="7" s="1"/>
  <c r="A629" i="7"/>
  <c r="H629" i="7" s="1"/>
  <c r="I629" i="7" s="1"/>
  <c r="A630" i="7"/>
  <c r="H630" i="7" s="1"/>
  <c r="I630" i="7" s="1"/>
  <c r="A631" i="7"/>
  <c r="H631" i="7" s="1"/>
  <c r="I631" i="7" s="1"/>
  <c r="A632" i="7"/>
  <c r="H632" i="7" s="1"/>
  <c r="I632" i="7" s="1"/>
  <c r="A633" i="7"/>
  <c r="H633" i="7" s="1"/>
  <c r="I633" i="7" s="1"/>
  <c r="A634" i="7"/>
  <c r="H634" i="7" s="1"/>
  <c r="I634" i="7" s="1"/>
  <c r="A635" i="7"/>
  <c r="H635" i="7" s="1"/>
  <c r="I635" i="7" s="1"/>
  <c r="A636" i="7"/>
  <c r="H636" i="7" s="1"/>
  <c r="I636" i="7" s="1"/>
  <c r="A637" i="7"/>
  <c r="H637" i="7" s="1"/>
  <c r="I637" i="7" s="1"/>
  <c r="A638" i="7"/>
  <c r="H638" i="7" s="1"/>
  <c r="I638" i="7" s="1"/>
  <c r="A639" i="7"/>
  <c r="H639" i="7" s="1"/>
  <c r="I639" i="7" s="1"/>
  <c r="A640" i="7"/>
  <c r="H640" i="7" s="1"/>
  <c r="I640" i="7" s="1"/>
  <c r="A641" i="7"/>
  <c r="H641" i="7" s="1"/>
  <c r="I641" i="7" s="1"/>
  <c r="A642" i="7"/>
  <c r="H642" i="7" s="1"/>
  <c r="I642" i="7" s="1"/>
  <c r="A643" i="7"/>
  <c r="H643" i="7" s="1"/>
  <c r="I643" i="7" s="1"/>
  <c r="A644" i="7"/>
  <c r="H644" i="7" s="1"/>
  <c r="I644" i="7" s="1"/>
  <c r="A645" i="7"/>
  <c r="H645" i="7" s="1"/>
  <c r="I645" i="7" s="1"/>
  <c r="A646" i="7"/>
  <c r="H646" i="7" s="1"/>
  <c r="I646" i="7" s="1"/>
  <c r="A647" i="7"/>
  <c r="H647" i="7" s="1"/>
  <c r="I647" i="7" s="1"/>
  <c r="A648" i="7"/>
  <c r="H648" i="7" s="1"/>
  <c r="I648" i="7" s="1"/>
  <c r="A649" i="7"/>
  <c r="H649" i="7" s="1"/>
  <c r="I649" i="7" s="1"/>
  <c r="A650" i="7"/>
  <c r="H650" i="7" s="1"/>
  <c r="I650" i="7" s="1"/>
  <c r="A651" i="7"/>
  <c r="H651" i="7" s="1"/>
  <c r="I651" i="7" s="1"/>
  <c r="A652" i="7"/>
  <c r="H652" i="7" s="1"/>
  <c r="I652" i="7" s="1"/>
  <c r="A653" i="7"/>
  <c r="H653" i="7" s="1"/>
  <c r="I653" i="7" s="1"/>
  <c r="A654" i="7"/>
  <c r="H654" i="7" s="1"/>
  <c r="I654" i="7" s="1"/>
  <c r="A655" i="7"/>
  <c r="H655" i="7" s="1"/>
  <c r="I655" i="7" s="1"/>
  <c r="A656" i="7"/>
  <c r="H656" i="7" s="1"/>
  <c r="I656" i="7" s="1"/>
  <c r="A657" i="7"/>
  <c r="H657" i="7" s="1"/>
  <c r="I657" i="7" s="1"/>
  <c r="A658" i="7"/>
  <c r="H658" i="7" s="1"/>
  <c r="I658" i="7" s="1"/>
  <c r="A659" i="7"/>
  <c r="H659" i="7" s="1"/>
  <c r="I659" i="7" s="1"/>
  <c r="A660" i="7"/>
  <c r="H660" i="7" s="1"/>
  <c r="I660" i="7" s="1"/>
  <c r="A661" i="7"/>
  <c r="H661" i="7" s="1"/>
  <c r="I661" i="7" s="1"/>
  <c r="A662" i="7"/>
  <c r="H662" i="7" s="1"/>
  <c r="I662" i="7" s="1"/>
  <c r="A663" i="7"/>
  <c r="H663" i="7" s="1"/>
  <c r="I663" i="7" s="1"/>
  <c r="A664" i="7"/>
  <c r="H664" i="7" s="1"/>
  <c r="I664" i="7" s="1"/>
  <c r="A665" i="7"/>
  <c r="H665" i="7" s="1"/>
  <c r="I665" i="7" s="1"/>
  <c r="A666" i="7"/>
  <c r="H666" i="7" s="1"/>
  <c r="I666" i="7" s="1"/>
  <c r="A667" i="7"/>
  <c r="H667" i="7" s="1"/>
  <c r="I667" i="7" s="1"/>
  <c r="A668" i="7"/>
  <c r="H668" i="7" s="1"/>
  <c r="I668" i="7" s="1"/>
  <c r="A669" i="7"/>
  <c r="H669" i="7" s="1"/>
  <c r="I669" i="7" s="1"/>
  <c r="A670" i="7"/>
  <c r="H670" i="7" s="1"/>
  <c r="I670" i="7" s="1"/>
  <c r="A671" i="7"/>
  <c r="H671" i="7" s="1"/>
  <c r="I671" i="7" s="1"/>
  <c r="A672" i="7"/>
  <c r="H672" i="7" s="1"/>
  <c r="I672" i="7" s="1"/>
  <c r="A673" i="7"/>
  <c r="H673" i="7" s="1"/>
  <c r="I673" i="7" s="1"/>
  <c r="A674" i="7"/>
  <c r="H674" i="7" s="1"/>
  <c r="I674" i="7" s="1"/>
  <c r="A675" i="7"/>
  <c r="H675" i="7" s="1"/>
  <c r="I675" i="7" s="1"/>
  <c r="A676" i="7"/>
  <c r="H676" i="7" s="1"/>
  <c r="I676" i="7" s="1"/>
  <c r="A677" i="7"/>
  <c r="H677" i="7" s="1"/>
  <c r="I677" i="7" s="1"/>
  <c r="A678" i="7"/>
  <c r="H678" i="7" s="1"/>
  <c r="I678" i="7" s="1"/>
  <c r="A679" i="7"/>
  <c r="H679" i="7" s="1"/>
  <c r="I679" i="7" s="1"/>
  <c r="A680" i="7"/>
  <c r="H680" i="7" s="1"/>
  <c r="I680" i="7" s="1"/>
  <c r="A681" i="7"/>
  <c r="H681" i="7" s="1"/>
  <c r="I681" i="7" s="1"/>
  <c r="A682" i="7"/>
  <c r="H682" i="7" s="1"/>
  <c r="I682" i="7" s="1"/>
  <c r="A683" i="7"/>
  <c r="H683" i="7" s="1"/>
  <c r="I683" i="7" s="1"/>
  <c r="A684" i="7"/>
  <c r="H684" i="7" s="1"/>
  <c r="I684" i="7" s="1"/>
  <c r="A685" i="7"/>
  <c r="H685" i="7" s="1"/>
  <c r="I685" i="7" s="1"/>
  <c r="A686" i="7"/>
  <c r="H686" i="7" s="1"/>
  <c r="I686" i="7" s="1"/>
  <c r="A687" i="7"/>
  <c r="H687" i="7" s="1"/>
  <c r="I687" i="7" s="1"/>
  <c r="A688" i="7"/>
  <c r="H688" i="7" s="1"/>
  <c r="I688" i="7" s="1"/>
  <c r="A689" i="7"/>
  <c r="H689" i="7" s="1"/>
  <c r="I689" i="7" s="1"/>
  <c r="A690" i="7"/>
  <c r="H690" i="7" s="1"/>
  <c r="I690" i="7" s="1"/>
  <c r="A691" i="7"/>
  <c r="H691" i="7" s="1"/>
  <c r="I691" i="7" s="1"/>
  <c r="A692" i="7"/>
  <c r="H692" i="7" s="1"/>
  <c r="I692" i="7" s="1"/>
  <c r="A693" i="7"/>
  <c r="H693" i="7" s="1"/>
  <c r="I693" i="7" s="1"/>
  <c r="A694" i="7"/>
  <c r="H694" i="7" s="1"/>
  <c r="I694" i="7" s="1"/>
  <c r="A695" i="7"/>
  <c r="H695" i="7" s="1"/>
  <c r="I695" i="7" s="1"/>
  <c r="A696" i="7"/>
  <c r="H696" i="7" s="1"/>
  <c r="I696" i="7" s="1"/>
  <c r="A697" i="7"/>
  <c r="H697" i="7" s="1"/>
  <c r="I697" i="7" s="1"/>
  <c r="A698" i="7"/>
  <c r="H698" i="7" s="1"/>
  <c r="I698" i="7" s="1"/>
  <c r="A699" i="7"/>
  <c r="H699" i="7" s="1"/>
  <c r="I699" i="7" s="1"/>
  <c r="A700" i="7"/>
  <c r="H700" i="7" s="1"/>
  <c r="I700" i="7" s="1"/>
  <c r="A701" i="7"/>
  <c r="H701" i="7" s="1"/>
  <c r="I701" i="7" s="1"/>
  <c r="A702" i="7"/>
  <c r="H702" i="7" s="1"/>
  <c r="I702" i="7" s="1"/>
  <c r="A703" i="7"/>
  <c r="H703" i="7" s="1"/>
  <c r="I703" i="7" s="1"/>
  <c r="A704" i="7"/>
  <c r="H704" i="7" s="1"/>
  <c r="I704" i="7" s="1"/>
  <c r="A705" i="7"/>
  <c r="H705" i="7" s="1"/>
  <c r="I705" i="7" s="1"/>
  <c r="A706" i="7"/>
  <c r="H706" i="7" s="1"/>
  <c r="I706" i="7" s="1"/>
  <c r="A707" i="7"/>
  <c r="H707" i="7" s="1"/>
  <c r="I707" i="7" s="1"/>
  <c r="A708" i="7"/>
  <c r="H708" i="7" s="1"/>
  <c r="I708" i="7" s="1"/>
  <c r="A709" i="7"/>
  <c r="H709" i="7" s="1"/>
  <c r="I709" i="7" s="1"/>
  <c r="A710" i="7"/>
  <c r="H710" i="7" s="1"/>
  <c r="I710" i="7" s="1"/>
  <c r="A711" i="7"/>
  <c r="H711" i="7" s="1"/>
  <c r="I711" i="7" s="1"/>
  <c r="A712" i="7"/>
  <c r="H712" i="7" s="1"/>
  <c r="I712" i="7" s="1"/>
  <c r="A713" i="7"/>
  <c r="H713" i="7" s="1"/>
  <c r="I713" i="7" s="1"/>
  <c r="A714" i="7"/>
  <c r="H714" i="7" s="1"/>
  <c r="I714" i="7" s="1"/>
  <c r="A715" i="7"/>
  <c r="H715" i="7" s="1"/>
  <c r="I715" i="7" s="1"/>
  <c r="A716" i="7"/>
  <c r="H716" i="7" s="1"/>
  <c r="I716" i="7" s="1"/>
  <c r="A717" i="7"/>
  <c r="H717" i="7" s="1"/>
  <c r="I717" i="7" s="1"/>
  <c r="A718" i="7"/>
  <c r="H718" i="7" s="1"/>
  <c r="I718" i="7" s="1"/>
  <c r="A719" i="7"/>
  <c r="H719" i="7" s="1"/>
  <c r="I719" i="7" s="1"/>
  <c r="A720" i="7"/>
  <c r="H720" i="7" s="1"/>
  <c r="I720" i="7" s="1"/>
  <c r="A721" i="7"/>
  <c r="H721" i="7" s="1"/>
  <c r="I721" i="7" s="1"/>
  <c r="A722" i="7"/>
  <c r="H722" i="7" s="1"/>
  <c r="I722" i="7" s="1"/>
  <c r="A723" i="7"/>
  <c r="H723" i="7" s="1"/>
  <c r="I723" i="7" s="1"/>
  <c r="A724" i="7"/>
  <c r="H724" i="7" s="1"/>
  <c r="I724" i="7" s="1"/>
  <c r="A725" i="7"/>
  <c r="H725" i="7" s="1"/>
  <c r="I725" i="7" s="1"/>
  <c r="A726" i="7"/>
  <c r="H726" i="7" s="1"/>
  <c r="I726" i="7" s="1"/>
  <c r="A727" i="7"/>
  <c r="H727" i="7" s="1"/>
  <c r="I727" i="7" s="1"/>
  <c r="A728" i="7"/>
  <c r="H728" i="7" s="1"/>
  <c r="I728" i="7" s="1"/>
  <c r="A729" i="7"/>
  <c r="H729" i="7" s="1"/>
  <c r="I729" i="7" s="1"/>
  <c r="A730" i="7"/>
  <c r="H730" i="7" s="1"/>
  <c r="I730" i="7" s="1"/>
  <c r="A731" i="7"/>
  <c r="H731" i="7" s="1"/>
  <c r="I731" i="7" s="1"/>
  <c r="A732" i="7"/>
  <c r="H732" i="7" s="1"/>
  <c r="I732" i="7" s="1"/>
  <c r="A733" i="7"/>
  <c r="H733" i="7" s="1"/>
  <c r="I733" i="7" s="1"/>
  <c r="A734" i="7"/>
  <c r="H734" i="7" s="1"/>
  <c r="I734" i="7" s="1"/>
  <c r="A735" i="7"/>
  <c r="H735" i="7" s="1"/>
  <c r="I735" i="7" s="1"/>
  <c r="A736" i="7"/>
  <c r="H736" i="7" s="1"/>
  <c r="I736" i="7" s="1"/>
  <c r="A737" i="7"/>
  <c r="H737" i="7" s="1"/>
  <c r="I737" i="7" s="1"/>
  <c r="A738" i="7"/>
  <c r="H738" i="7" s="1"/>
  <c r="I738" i="7" s="1"/>
  <c r="A739" i="7"/>
  <c r="H739" i="7" s="1"/>
  <c r="I739" i="7" s="1"/>
  <c r="A740" i="7"/>
  <c r="H740" i="7" s="1"/>
  <c r="I740" i="7" s="1"/>
  <c r="A741" i="7"/>
  <c r="H741" i="7" s="1"/>
  <c r="I741" i="7" s="1"/>
  <c r="A742" i="7"/>
  <c r="H742" i="7" s="1"/>
  <c r="I742" i="7" s="1"/>
  <c r="A743" i="7"/>
  <c r="H743" i="7" s="1"/>
  <c r="I743" i="7" s="1"/>
  <c r="A744" i="7"/>
  <c r="H744" i="7" s="1"/>
  <c r="I744" i="7" s="1"/>
  <c r="A745" i="7"/>
  <c r="H745" i="7" s="1"/>
  <c r="I745" i="7" s="1"/>
  <c r="A746" i="7"/>
  <c r="H746" i="7" s="1"/>
  <c r="I746" i="7" s="1"/>
  <c r="A747" i="7"/>
  <c r="H747" i="7" s="1"/>
  <c r="I747" i="7" s="1"/>
  <c r="A748" i="7"/>
  <c r="H748" i="7" s="1"/>
  <c r="I748" i="7" s="1"/>
  <c r="A749" i="7"/>
  <c r="H749" i="7" s="1"/>
  <c r="I749" i="7" s="1"/>
  <c r="A750" i="7"/>
  <c r="H750" i="7" s="1"/>
  <c r="I750" i="7" s="1"/>
  <c r="A751" i="7"/>
  <c r="H751" i="7" s="1"/>
  <c r="I751" i="7" s="1"/>
  <c r="A752" i="7"/>
  <c r="H752" i="7" s="1"/>
  <c r="I752" i="7" s="1"/>
  <c r="A753" i="7"/>
  <c r="H753" i="7" s="1"/>
  <c r="I753" i="7" s="1"/>
  <c r="A754" i="7"/>
  <c r="H754" i="7" s="1"/>
  <c r="I754" i="7" s="1"/>
  <c r="A755" i="7"/>
  <c r="H755" i="7" s="1"/>
  <c r="I755" i="7" s="1"/>
  <c r="A756" i="7"/>
  <c r="H756" i="7" s="1"/>
  <c r="I756" i="7" s="1"/>
  <c r="A757" i="7"/>
  <c r="H757" i="7" s="1"/>
  <c r="I757" i="7" s="1"/>
  <c r="A758" i="7"/>
  <c r="H758" i="7" s="1"/>
  <c r="I758" i="7" s="1"/>
  <c r="A759" i="7"/>
  <c r="H759" i="7" s="1"/>
  <c r="I759" i="7" s="1"/>
  <c r="A760" i="7"/>
  <c r="H760" i="7" s="1"/>
  <c r="I760" i="7" s="1"/>
  <c r="A761" i="7"/>
  <c r="H761" i="7" s="1"/>
  <c r="I761" i="7" s="1"/>
  <c r="A762" i="7"/>
  <c r="H762" i="7" s="1"/>
  <c r="I762" i="7" s="1"/>
  <c r="A763" i="7"/>
  <c r="H763" i="7" s="1"/>
  <c r="I763" i="7" s="1"/>
  <c r="A764" i="7"/>
  <c r="H764" i="7" s="1"/>
  <c r="I764" i="7" s="1"/>
  <c r="A765" i="7"/>
  <c r="H765" i="7" s="1"/>
  <c r="I765" i="7" s="1"/>
  <c r="A766" i="7"/>
  <c r="H766" i="7" s="1"/>
  <c r="I766" i="7" s="1"/>
  <c r="A767" i="7"/>
  <c r="H767" i="7" s="1"/>
  <c r="I767" i="7" s="1"/>
  <c r="A768" i="7"/>
  <c r="H768" i="7" s="1"/>
  <c r="I768" i="7" s="1"/>
  <c r="A769" i="7"/>
  <c r="H769" i="7" s="1"/>
  <c r="I769" i="7" s="1"/>
  <c r="A770" i="7"/>
  <c r="H770" i="7" s="1"/>
  <c r="I770" i="7" s="1"/>
  <c r="A771" i="7"/>
  <c r="H771" i="7" s="1"/>
  <c r="I771" i="7" s="1"/>
  <c r="A772" i="7"/>
  <c r="H772" i="7" s="1"/>
  <c r="I772" i="7" s="1"/>
  <c r="A773" i="7"/>
  <c r="H773" i="7" s="1"/>
  <c r="I773" i="7" s="1"/>
  <c r="A774" i="7"/>
  <c r="H774" i="7" s="1"/>
  <c r="I774" i="7" s="1"/>
  <c r="A775" i="7"/>
  <c r="H775" i="7" s="1"/>
  <c r="I775" i="7" s="1"/>
  <c r="A776" i="7"/>
  <c r="H776" i="7" s="1"/>
  <c r="I776" i="7" s="1"/>
  <c r="A777" i="7"/>
  <c r="H777" i="7" s="1"/>
  <c r="I777" i="7" s="1"/>
  <c r="A778" i="7"/>
  <c r="H778" i="7" s="1"/>
  <c r="I778" i="7" s="1"/>
  <c r="A779" i="7"/>
  <c r="H779" i="7" s="1"/>
  <c r="I779" i="7" s="1"/>
  <c r="A780" i="7"/>
  <c r="H780" i="7" s="1"/>
  <c r="I780" i="7" s="1"/>
  <c r="A781" i="7"/>
  <c r="H781" i="7" s="1"/>
  <c r="I781" i="7" s="1"/>
  <c r="A782" i="7"/>
  <c r="H782" i="7" s="1"/>
  <c r="I782" i="7" s="1"/>
  <c r="A783" i="7"/>
  <c r="H783" i="7" s="1"/>
  <c r="I783" i="7" s="1"/>
  <c r="A784" i="7"/>
  <c r="H784" i="7" s="1"/>
  <c r="I784" i="7" s="1"/>
  <c r="A785" i="7"/>
  <c r="H785" i="7" s="1"/>
  <c r="I785" i="7" s="1"/>
  <c r="A786" i="7"/>
  <c r="H786" i="7" s="1"/>
  <c r="I786" i="7" s="1"/>
  <c r="A787" i="7"/>
  <c r="H787" i="7" s="1"/>
  <c r="I787" i="7" s="1"/>
  <c r="A788" i="7"/>
  <c r="H788" i="7" s="1"/>
  <c r="I788" i="7" s="1"/>
  <c r="A789" i="7"/>
  <c r="H789" i="7" s="1"/>
  <c r="I789" i="7" s="1"/>
  <c r="A790" i="7"/>
  <c r="H790" i="7" s="1"/>
  <c r="I790" i="7" s="1"/>
  <c r="A791" i="7"/>
  <c r="H791" i="7" s="1"/>
  <c r="I791" i="7" s="1"/>
  <c r="A792" i="7"/>
  <c r="H792" i="7" s="1"/>
  <c r="I792" i="7" s="1"/>
  <c r="A793" i="7"/>
  <c r="H793" i="7" s="1"/>
  <c r="I793" i="7" s="1"/>
  <c r="A794" i="7"/>
  <c r="H794" i="7" s="1"/>
  <c r="I794" i="7" s="1"/>
  <c r="A795" i="7"/>
  <c r="H795" i="7" s="1"/>
  <c r="I795" i="7" s="1"/>
  <c r="A796" i="7"/>
  <c r="H796" i="7" s="1"/>
  <c r="I796" i="7" s="1"/>
  <c r="A797" i="7"/>
  <c r="H797" i="7" s="1"/>
  <c r="I797" i="7" s="1"/>
  <c r="A798" i="7"/>
  <c r="H798" i="7" s="1"/>
  <c r="I798" i="7" s="1"/>
  <c r="A799" i="7"/>
  <c r="H799" i="7" s="1"/>
  <c r="I799" i="7" s="1"/>
  <c r="A800" i="7"/>
  <c r="H800" i="7" s="1"/>
  <c r="I800" i="7" s="1"/>
  <c r="A801" i="7"/>
  <c r="H801" i="7" s="1"/>
  <c r="I801" i="7" s="1"/>
  <c r="A802" i="7"/>
  <c r="H802" i="7" s="1"/>
  <c r="I802" i="7" s="1"/>
  <c r="A803" i="7"/>
  <c r="H803" i="7" s="1"/>
  <c r="I803" i="7" s="1"/>
  <c r="A804" i="7"/>
  <c r="H804" i="7" s="1"/>
  <c r="I804" i="7" s="1"/>
  <c r="A805" i="7"/>
  <c r="H805" i="7" s="1"/>
  <c r="I805" i="7" s="1"/>
  <c r="A806" i="7"/>
  <c r="H806" i="7" s="1"/>
  <c r="I806" i="7" s="1"/>
  <c r="A807" i="7"/>
  <c r="H807" i="7" s="1"/>
  <c r="I807" i="7" s="1"/>
  <c r="A808" i="7"/>
  <c r="H808" i="7" s="1"/>
  <c r="I808" i="7" s="1"/>
  <c r="A809" i="7"/>
  <c r="H809" i="7" s="1"/>
  <c r="I809" i="7" s="1"/>
  <c r="A810" i="7"/>
  <c r="H810" i="7" s="1"/>
  <c r="I810" i="7" s="1"/>
  <c r="A811" i="7"/>
  <c r="H811" i="7" s="1"/>
  <c r="I811" i="7" s="1"/>
  <c r="A812" i="7"/>
  <c r="H812" i="7" s="1"/>
  <c r="I812" i="7" s="1"/>
  <c r="A813" i="7"/>
  <c r="H813" i="7" s="1"/>
  <c r="I813" i="7" s="1"/>
  <c r="A814" i="7"/>
  <c r="H814" i="7" s="1"/>
  <c r="I814" i="7" s="1"/>
  <c r="A815" i="7"/>
  <c r="H815" i="7" s="1"/>
  <c r="I815" i="7" s="1"/>
  <c r="A816" i="7"/>
  <c r="H816" i="7" s="1"/>
  <c r="I816" i="7" s="1"/>
  <c r="A817" i="7"/>
  <c r="H817" i="7" s="1"/>
  <c r="I817" i="7" s="1"/>
  <c r="A818" i="7"/>
  <c r="H818" i="7" s="1"/>
  <c r="I818" i="7" s="1"/>
  <c r="A819" i="7"/>
  <c r="H819" i="7" s="1"/>
  <c r="I819" i="7" s="1"/>
  <c r="A820" i="7"/>
  <c r="H820" i="7" s="1"/>
  <c r="I820" i="7" s="1"/>
  <c r="A821" i="7"/>
  <c r="H821" i="7" s="1"/>
  <c r="I821" i="7" s="1"/>
  <c r="A822" i="7"/>
  <c r="H822" i="7" s="1"/>
  <c r="I822" i="7" s="1"/>
  <c r="A823" i="7"/>
  <c r="H823" i="7" s="1"/>
  <c r="I823" i="7" s="1"/>
  <c r="A824" i="7"/>
  <c r="H824" i="7" s="1"/>
  <c r="I824" i="7" s="1"/>
  <c r="A825" i="7"/>
  <c r="H825" i="7" s="1"/>
  <c r="I825" i="7" s="1"/>
  <c r="A826" i="7"/>
  <c r="H826" i="7" s="1"/>
  <c r="I826" i="7" s="1"/>
  <c r="A827" i="7"/>
  <c r="H827" i="7" s="1"/>
  <c r="I827" i="7" s="1"/>
  <c r="A828" i="7"/>
  <c r="H828" i="7" s="1"/>
  <c r="I828" i="7" s="1"/>
  <c r="A829" i="7"/>
  <c r="H829" i="7" s="1"/>
  <c r="I829" i="7" s="1"/>
  <c r="A830" i="7"/>
  <c r="H830" i="7" s="1"/>
  <c r="I830" i="7" s="1"/>
  <c r="A831" i="7"/>
  <c r="H831" i="7" s="1"/>
  <c r="I831" i="7" s="1"/>
  <c r="A832" i="7"/>
  <c r="H832" i="7" s="1"/>
  <c r="I832" i="7" s="1"/>
  <c r="A833" i="7"/>
  <c r="H833" i="7" s="1"/>
  <c r="I833" i="7" s="1"/>
  <c r="A834" i="7"/>
  <c r="H834" i="7" s="1"/>
  <c r="I834" i="7" s="1"/>
  <c r="A835" i="7"/>
  <c r="H835" i="7" s="1"/>
  <c r="I835" i="7" s="1"/>
  <c r="A836" i="7"/>
  <c r="H836" i="7" s="1"/>
  <c r="I836" i="7" s="1"/>
  <c r="A837" i="7"/>
  <c r="H837" i="7" s="1"/>
  <c r="I837" i="7" s="1"/>
  <c r="A838" i="7"/>
  <c r="H838" i="7" s="1"/>
  <c r="I838" i="7" s="1"/>
  <c r="A839" i="7"/>
  <c r="H839" i="7" s="1"/>
  <c r="I839" i="7" s="1"/>
  <c r="A840" i="7"/>
  <c r="H840" i="7" s="1"/>
  <c r="I840" i="7" s="1"/>
  <c r="A841" i="7"/>
  <c r="H841" i="7" s="1"/>
  <c r="I841" i="7" s="1"/>
  <c r="A842" i="7"/>
  <c r="H842" i="7" s="1"/>
  <c r="I842" i="7" s="1"/>
  <c r="A843" i="7"/>
  <c r="H843" i="7" s="1"/>
  <c r="I843" i="7" s="1"/>
  <c r="A844" i="7"/>
  <c r="H844" i="7" s="1"/>
  <c r="I844" i="7" s="1"/>
  <c r="A845" i="7"/>
  <c r="H845" i="7" s="1"/>
  <c r="I845" i="7" s="1"/>
  <c r="A846" i="7"/>
  <c r="H846" i="7" s="1"/>
  <c r="I846" i="7" s="1"/>
  <c r="A847" i="7"/>
  <c r="H847" i="7" s="1"/>
  <c r="I847" i="7" s="1"/>
  <c r="A848" i="7"/>
  <c r="H848" i="7" s="1"/>
  <c r="I848" i="7" s="1"/>
  <c r="A849" i="7"/>
  <c r="H849" i="7" s="1"/>
  <c r="I849" i="7" s="1"/>
  <c r="A850" i="7"/>
  <c r="H850" i="7" s="1"/>
  <c r="I850" i="7" s="1"/>
  <c r="A851" i="7"/>
  <c r="H851" i="7" s="1"/>
  <c r="I851" i="7" s="1"/>
  <c r="A852" i="7"/>
  <c r="H852" i="7" s="1"/>
  <c r="I852" i="7" s="1"/>
  <c r="A853" i="7"/>
  <c r="H853" i="7" s="1"/>
  <c r="I853" i="7" s="1"/>
  <c r="A854" i="7"/>
  <c r="H854" i="7" s="1"/>
  <c r="I854" i="7" s="1"/>
  <c r="A855" i="7"/>
  <c r="H855" i="7" s="1"/>
  <c r="I855" i="7" s="1"/>
  <c r="A856" i="7"/>
  <c r="H856" i="7" s="1"/>
  <c r="I856" i="7" s="1"/>
  <c r="A857" i="7"/>
  <c r="H857" i="7" s="1"/>
  <c r="I857" i="7" s="1"/>
  <c r="A858" i="7"/>
  <c r="H858" i="7" s="1"/>
  <c r="I858" i="7" s="1"/>
  <c r="A859" i="7"/>
  <c r="H859" i="7" s="1"/>
  <c r="I859" i="7" s="1"/>
  <c r="A860" i="7"/>
  <c r="H860" i="7" s="1"/>
  <c r="I860" i="7" s="1"/>
  <c r="A861" i="7"/>
  <c r="H861" i="7" s="1"/>
  <c r="I861" i="7" s="1"/>
  <c r="A862" i="7"/>
  <c r="H862" i="7" s="1"/>
  <c r="I862" i="7" s="1"/>
  <c r="A863" i="7"/>
  <c r="H863" i="7" s="1"/>
  <c r="I863" i="7" s="1"/>
  <c r="A864" i="7"/>
  <c r="H864" i="7" s="1"/>
  <c r="I864" i="7" s="1"/>
  <c r="A865" i="7"/>
  <c r="H865" i="7" s="1"/>
  <c r="I865" i="7" s="1"/>
  <c r="A866" i="7"/>
  <c r="H866" i="7" s="1"/>
  <c r="I866" i="7" s="1"/>
  <c r="A867" i="7"/>
  <c r="H867" i="7" s="1"/>
  <c r="I867" i="7" s="1"/>
  <c r="A868" i="7"/>
  <c r="H868" i="7" s="1"/>
  <c r="I868" i="7" s="1"/>
  <c r="A869" i="7"/>
  <c r="H869" i="7" s="1"/>
  <c r="I869" i="7" s="1"/>
  <c r="A870" i="7"/>
  <c r="H870" i="7" s="1"/>
  <c r="I870" i="7" s="1"/>
  <c r="A871" i="7"/>
  <c r="H871" i="7" s="1"/>
  <c r="I871" i="7" s="1"/>
  <c r="A872" i="7"/>
  <c r="H872" i="7" s="1"/>
  <c r="I872" i="7" s="1"/>
  <c r="A873" i="7"/>
  <c r="H873" i="7" s="1"/>
  <c r="I873" i="7" s="1"/>
  <c r="A874" i="7"/>
  <c r="H874" i="7" s="1"/>
  <c r="I874" i="7" s="1"/>
  <c r="A875" i="7"/>
  <c r="H875" i="7" s="1"/>
  <c r="I875" i="7" s="1"/>
  <c r="A876" i="7"/>
  <c r="H876" i="7" s="1"/>
  <c r="I876" i="7" s="1"/>
  <c r="A877" i="7"/>
  <c r="H877" i="7" s="1"/>
  <c r="I877" i="7" s="1"/>
  <c r="A878" i="7"/>
  <c r="H878" i="7" s="1"/>
  <c r="I878" i="7" s="1"/>
  <c r="A879" i="7"/>
  <c r="H879" i="7" s="1"/>
  <c r="I879" i="7" s="1"/>
  <c r="A880" i="7"/>
  <c r="H880" i="7" s="1"/>
  <c r="I880" i="7" s="1"/>
  <c r="A881" i="7"/>
  <c r="H881" i="7" s="1"/>
  <c r="I881" i="7" s="1"/>
  <c r="A882" i="7"/>
  <c r="H882" i="7" s="1"/>
  <c r="I882" i="7" s="1"/>
  <c r="A883" i="7"/>
  <c r="H883" i="7" s="1"/>
  <c r="I883" i="7" s="1"/>
  <c r="A884" i="7"/>
  <c r="H884" i="7" s="1"/>
  <c r="I884" i="7" s="1"/>
  <c r="A885" i="7"/>
  <c r="H885" i="7" s="1"/>
  <c r="I885" i="7" s="1"/>
  <c r="A886" i="7"/>
  <c r="H886" i="7" s="1"/>
  <c r="I886" i="7" s="1"/>
  <c r="A887" i="7"/>
  <c r="H887" i="7" s="1"/>
  <c r="I887" i="7" s="1"/>
  <c r="A888" i="7"/>
  <c r="H888" i="7" s="1"/>
  <c r="I888" i="7" s="1"/>
  <c r="A889" i="7"/>
  <c r="H889" i="7" s="1"/>
  <c r="I889" i="7" s="1"/>
  <c r="A890" i="7"/>
  <c r="H890" i="7" s="1"/>
  <c r="I890" i="7" s="1"/>
  <c r="A891" i="7"/>
  <c r="H891" i="7" s="1"/>
  <c r="I891" i="7" s="1"/>
  <c r="A892" i="7"/>
  <c r="H892" i="7" s="1"/>
  <c r="I892" i="7" s="1"/>
  <c r="A893" i="7"/>
  <c r="H893" i="7" s="1"/>
  <c r="I893" i="7" s="1"/>
  <c r="A894" i="7"/>
  <c r="H894" i="7" s="1"/>
  <c r="I894" i="7" s="1"/>
  <c r="A895" i="7"/>
  <c r="H895" i="7" s="1"/>
  <c r="I895" i="7" s="1"/>
  <c r="A896" i="7"/>
  <c r="H896" i="7" s="1"/>
  <c r="I896" i="7" s="1"/>
  <c r="A897" i="7"/>
  <c r="H897" i="7" s="1"/>
  <c r="I897" i="7" s="1"/>
  <c r="A898" i="7"/>
  <c r="H898" i="7" s="1"/>
  <c r="I898" i="7" s="1"/>
  <c r="A899" i="7"/>
  <c r="H899" i="7" s="1"/>
  <c r="I899" i="7" s="1"/>
  <c r="A900" i="7"/>
  <c r="H900" i="7" s="1"/>
  <c r="I900" i="7" s="1"/>
  <c r="A901" i="7"/>
  <c r="H901" i="7" s="1"/>
  <c r="I901" i="7" s="1"/>
  <c r="A902" i="7"/>
  <c r="H902" i="7" s="1"/>
  <c r="I902" i="7" s="1"/>
  <c r="A903" i="7"/>
  <c r="H903" i="7" s="1"/>
  <c r="I903" i="7" s="1"/>
  <c r="A904" i="7"/>
  <c r="H904" i="7" s="1"/>
  <c r="I904" i="7" s="1"/>
  <c r="A905" i="7"/>
  <c r="H905" i="7" s="1"/>
  <c r="I905" i="7" s="1"/>
  <c r="A906" i="7"/>
  <c r="H906" i="7" s="1"/>
  <c r="I906" i="7" s="1"/>
  <c r="A907" i="7"/>
  <c r="H907" i="7" s="1"/>
  <c r="I907" i="7" s="1"/>
  <c r="A908" i="7"/>
  <c r="H908" i="7" s="1"/>
  <c r="I908" i="7" s="1"/>
  <c r="A909" i="7"/>
  <c r="H909" i="7" s="1"/>
  <c r="I909" i="7" s="1"/>
  <c r="A910" i="7"/>
  <c r="H910" i="7" s="1"/>
  <c r="I910" i="7" s="1"/>
  <c r="A911" i="7"/>
  <c r="H911" i="7" s="1"/>
  <c r="I911" i="7" s="1"/>
  <c r="A912" i="7"/>
  <c r="H912" i="7" s="1"/>
  <c r="I912" i="7" s="1"/>
  <c r="A913" i="7"/>
  <c r="H913" i="7" s="1"/>
  <c r="I913" i="7" s="1"/>
  <c r="A914" i="7"/>
  <c r="H914" i="7" s="1"/>
  <c r="I914" i="7" s="1"/>
  <c r="A915" i="7"/>
  <c r="H915" i="7" s="1"/>
  <c r="I915" i="7" s="1"/>
  <c r="A916" i="7"/>
  <c r="H916" i="7" s="1"/>
  <c r="I916" i="7" s="1"/>
  <c r="A917" i="7"/>
  <c r="H917" i="7" s="1"/>
  <c r="I917" i="7" s="1"/>
  <c r="A918" i="7"/>
  <c r="H918" i="7" s="1"/>
  <c r="I918" i="7" s="1"/>
  <c r="A919" i="7"/>
  <c r="H919" i="7" s="1"/>
  <c r="I919" i="7" s="1"/>
  <c r="A920" i="7"/>
  <c r="H920" i="7" s="1"/>
  <c r="I920" i="7" s="1"/>
  <c r="A921" i="7"/>
  <c r="H921" i="7" s="1"/>
  <c r="I921" i="7" s="1"/>
  <c r="A922" i="7"/>
  <c r="H922" i="7" s="1"/>
  <c r="I922" i="7" s="1"/>
  <c r="A923" i="7"/>
  <c r="H923" i="7" s="1"/>
  <c r="I923" i="7" s="1"/>
  <c r="A924" i="7"/>
  <c r="H924" i="7" s="1"/>
  <c r="I924" i="7" s="1"/>
  <c r="A925" i="7"/>
  <c r="H925" i="7" s="1"/>
  <c r="I925" i="7" s="1"/>
  <c r="A926" i="7"/>
  <c r="H926" i="7" s="1"/>
  <c r="I926" i="7" s="1"/>
  <c r="A927" i="7"/>
  <c r="H927" i="7" s="1"/>
  <c r="I927" i="7" s="1"/>
  <c r="A928" i="7"/>
  <c r="H928" i="7" s="1"/>
  <c r="I928" i="7" s="1"/>
  <c r="A929" i="7"/>
  <c r="H929" i="7" s="1"/>
  <c r="I929" i="7" s="1"/>
  <c r="A930" i="7"/>
  <c r="H930" i="7" s="1"/>
  <c r="I930" i="7" s="1"/>
  <c r="A931" i="7"/>
  <c r="H931" i="7" s="1"/>
  <c r="I931" i="7" s="1"/>
  <c r="A932" i="7"/>
  <c r="H932" i="7" s="1"/>
  <c r="I932" i="7" s="1"/>
  <c r="A933" i="7"/>
  <c r="H933" i="7" s="1"/>
  <c r="I933" i="7" s="1"/>
  <c r="A934" i="7"/>
  <c r="H934" i="7" s="1"/>
  <c r="I934" i="7" s="1"/>
  <c r="A935" i="7"/>
  <c r="H935" i="7" s="1"/>
  <c r="I935" i="7" s="1"/>
  <c r="A936" i="7"/>
  <c r="H936" i="7" s="1"/>
  <c r="I936" i="7" s="1"/>
  <c r="A937" i="7"/>
  <c r="H937" i="7" s="1"/>
  <c r="I937" i="7" s="1"/>
  <c r="A938" i="7"/>
  <c r="H938" i="7" s="1"/>
  <c r="I938" i="7" s="1"/>
  <c r="A939" i="7"/>
  <c r="H939" i="7" s="1"/>
  <c r="I939" i="7" s="1"/>
  <c r="A940" i="7"/>
  <c r="H940" i="7" s="1"/>
  <c r="I940" i="7" s="1"/>
  <c r="A941" i="7"/>
  <c r="H941" i="7" s="1"/>
  <c r="I941" i="7" s="1"/>
  <c r="A942" i="7"/>
  <c r="H942" i="7" s="1"/>
  <c r="I942" i="7" s="1"/>
  <c r="A943" i="7"/>
  <c r="H943" i="7" s="1"/>
  <c r="I943" i="7" s="1"/>
  <c r="A944" i="7"/>
  <c r="H944" i="7" s="1"/>
  <c r="I944" i="7" s="1"/>
  <c r="A945" i="7"/>
  <c r="H945" i="7" s="1"/>
  <c r="I945" i="7" s="1"/>
  <c r="A946" i="7"/>
  <c r="H946" i="7" s="1"/>
  <c r="I946" i="7" s="1"/>
  <c r="A947" i="7"/>
  <c r="H947" i="7" s="1"/>
  <c r="I947" i="7" s="1"/>
  <c r="A948" i="7"/>
  <c r="H948" i="7" s="1"/>
  <c r="I948" i="7" s="1"/>
  <c r="A949" i="7"/>
  <c r="H949" i="7" s="1"/>
  <c r="I949" i="7" s="1"/>
  <c r="A950" i="7"/>
  <c r="H950" i="7" s="1"/>
  <c r="I950" i="7" s="1"/>
  <c r="A951" i="7"/>
  <c r="H951" i="7" s="1"/>
  <c r="I951" i="7" s="1"/>
  <c r="A952" i="7"/>
  <c r="H952" i="7" s="1"/>
  <c r="I952" i="7" s="1"/>
  <c r="A953" i="7"/>
  <c r="H953" i="7" s="1"/>
  <c r="I953" i="7" s="1"/>
  <c r="A954" i="7"/>
  <c r="H954" i="7" s="1"/>
  <c r="I954" i="7" s="1"/>
  <c r="A955" i="7"/>
  <c r="H955" i="7" s="1"/>
  <c r="I955" i="7" s="1"/>
  <c r="A956" i="7"/>
  <c r="H956" i="7" s="1"/>
  <c r="I956" i="7" s="1"/>
  <c r="A957" i="7"/>
  <c r="H957" i="7" s="1"/>
  <c r="I957" i="7" s="1"/>
  <c r="A958" i="7"/>
  <c r="H958" i="7" s="1"/>
  <c r="I958" i="7" s="1"/>
  <c r="A959" i="7"/>
  <c r="H959" i="7" s="1"/>
  <c r="I959" i="7" s="1"/>
  <c r="A960" i="7"/>
  <c r="H960" i="7" s="1"/>
  <c r="I960" i="7" s="1"/>
  <c r="A961" i="7"/>
  <c r="H961" i="7" s="1"/>
  <c r="I961" i="7" s="1"/>
  <c r="A962" i="7"/>
  <c r="H962" i="7" s="1"/>
  <c r="I962" i="7" s="1"/>
  <c r="A963" i="7"/>
  <c r="H963" i="7" s="1"/>
  <c r="I963" i="7" s="1"/>
  <c r="A964" i="7"/>
  <c r="H964" i="7" s="1"/>
  <c r="I964" i="7" s="1"/>
  <c r="A965" i="7"/>
  <c r="H965" i="7" s="1"/>
  <c r="I965" i="7" s="1"/>
  <c r="A966" i="7"/>
  <c r="H966" i="7" s="1"/>
  <c r="I966" i="7" s="1"/>
  <c r="A967" i="7"/>
  <c r="H967" i="7" s="1"/>
  <c r="I967" i="7" s="1"/>
  <c r="A968" i="7"/>
  <c r="H968" i="7" s="1"/>
  <c r="I968" i="7" s="1"/>
  <c r="A969" i="7"/>
  <c r="H969" i="7" s="1"/>
  <c r="I969" i="7" s="1"/>
  <c r="A970" i="7"/>
  <c r="H970" i="7" s="1"/>
  <c r="I970" i="7" s="1"/>
  <c r="A971" i="7"/>
  <c r="H971" i="7" s="1"/>
  <c r="I971" i="7" s="1"/>
  <c r="A972" i="7"/>
  <c r="H972" i="7" s="1"/>
  <c r="I972" i="7" s="1"/>
  <c r="A973" i="7"/>
  <c r="H973" i="7" s="1"/>
  <c r="I973" i="7" s="1"/>
  <c r="A974" i="7"/>
  <c r="H974" i="7" s="1"/>
  <c r="I974" i="7" s="1"/>
  <c r="A975" i="7"/>
  <c r="H975" i="7" s="1"/>
  <c r="I975" i="7" s="1"/>
  <c r="A976" i="7"/>
  <c r="H976" i="7" s="1"/>
  <c r="I976" i="7" s="1"/>
  <c r="A977" i="7"/>
  <c r="H977" i="7" s="1"/>
  <c r="I977" i="7" s="1"/>
  <c r="A978" i="7"/>
  <c r="H978" i="7" s="1"/>
  <c r="I978" i="7" s="1"/>
  <c r="A979" i="7"/>
  <c r="H979" i="7" s="1"/>
  <c r="I979" i="7" s="1"/>
  <c r="A980" i="7"/>
  <c r="H980" i="7" s="1"/>
  <c r="I980" i="7" s="1"/>
  <c r="A981" i="7"/>
  <c r="H981" i="7" s="1"/>
  <c r="I981" i="7" s="1"/>
  <c r="A982" i="7"/>
  <c r="H982" i="7" s="1"/>
  <c r="I982" i="7" s="1"/>
  <c r="A983" i="7"/>
  <c r="H983" i="7" s="1"/>
  <c r="I983" i="7" s="1"/>
  <c r="A984" i="7"/>
  <c r="H984" i="7" s="1"/>
  <c r="I984" i="7" s="1"/>
  <c r="A985" i="7"/>
  <c r="H985" i="7" s="1"/>
  <c r="I985" i="7" s="1"/>
  <c r="A986" i="7"/>
  <c r="H986" i="7" s="1"/>
  <c r="I986" i="7" s="1"/>
  <c r="A987" i="7"/>
  <c r="H987" i="7" s="1"/>
  <c r="I987" i="7" s="1"/>
  <c r="A988" i="7"/>
  <c r="H988" i="7" s="1"/>
  <c r="I988" i="7" s="1"/>
  <c r="A989" i="7"/>
  <c r="H989" i="7" s="1"/>
  <c r="I989" i="7" s="1"/>
  <c r="A990" i="7"/>
  <c r="H990" i="7" s="1"/>
  <c r="I990" i="7" s="1"/>
  <c r="A991" i="7"/>
  <c r="H991" i="7" s="1"/>
  <c r="I991" i="7" s="1"/>
  <c r="A992" i="7"/>
  <c r="H992" i="7" s="1"/>
  <c r="I992" i="7" s="1"/>
  <c r="A993" i="7"/>
  <c r="H993" i="7" s="1"/>
  <c r="I993" i="7" s="1"/>
  <c r="A994" i="7"/>
  <c r="H994" i="7" s="1"/>
  <c r="I994" i="7" s="1"/>
  <c r="A995" i="7"/>
  <c r="H995" i="7" s="1"/>
  <c r="I995" i="7" s="1"/>
  <c r="A996" i="7"/>
  <c r="H996" i="7" s="1"/>
  <c r="I996" i="7" s="1"/>
  <c r="A997" i="7"/>
  <c r="H997" i="7" s="1"/>
  <c r="I997" i="7" s="1"/>
  <c r="A998" i="7"/>
  <c r="H998" i="7" s="1"/>
  <c r="I998" i="7" s="1"/>
  <c r="A999" i="7"/>
  <c r="H999" i="7" s="1"/>
  <c r="I999" i="7" s="1"/>
  <c r="A1000" i="7"/>
  <c r="H1000" i="7" s="1"/>
  <c r="I1000" i="7" s="1"/>
  <c r="A1001" i="7"/>
  <c r="H1001" i="7" s="1"/>
  <c r="I1001" i="7" s="1"/>
  <c r="A1002" i="7"/>
  <c r="H1002" i="7" s="1"/>
  <c r="I1002" i="7" s="1"/>
  <c r="A1003" i="7"/>
  <c r="H1003" i="7" s="1"/>
  <c r="I1003" i="7" s="1"/>
  <c r="A1004" i="7"/>
  <c r="H1004" i="7" s="1"/>
  <c r="I1004" i="7" s="1"/>
  <c r="A1005" i="7"/>
  <c r="H1005" i="7" s="1"/>
  <c r="I1005" i="7" s="1"/>
  <c r="A1006" i="7"/>
  <c r="H1006" i="7" s="1"/>
  <c r="I1006" i="7" s="1"/>
  <c r="A1007" i="7"/>
  <c r="H1007" i="7" s="1"/>
  <c r="I1007" i="7" s="1"/>
  <c r="A1008" i="7"/>
  <c r="H1008" i="7" s="1"/>
  <c r="I1008" i="7" s="1"/>
  <c r="A1009" i="7"/>
  <c r="H1009" i="7" s="1"/>
  <c r="I1009" i="7" s="1"/>
  <c r="A1010" i="7"/>
  <c r="H1010" i="7" s="1"/>
  <c r="I1010" i="7" s="1"/>
  <c r="A1011" i="7"/>
  <c r="H1011" i="7" s="1"/>
  <c r="I1011" i="7" s="1"/>
  <c r="A1012" i="7"/>
  <c r="H1012" i="7" s="1"/>
  <c r="I1012" i="7" s="1"/>
  <c r="A1013" i="7"/>
  <c r="H1013" i="7" s="1"/>
  <c r="I1013" i="7" s="1"/>
  <c r="A1014" i="7"/>
  <c r="H1014" i="7" s="1"/>
  <c r="I1014" i="7" s="1"/>
  <c r="A1015" i="7"/>
  <c r="H1015" i="7" s="1"/>
  <c r="I1015" i="7" s="1"/>
  <c r="A1016" i="7"/>
  <c r="H1016" i="7" s="1"/>
  <c r="I1016" i="7" s="1"/>
  <c r="A1017" i="7"/>
  <c r="H1017" i="7" s="1"/>
  <c r="I1017" i="7" s="1"/>
  <c r="A1018" i="7"/>
  <c r="H1018" i="7" s="1"/>
  <c r="I1018" i="7" s="1"/>
  <c r="A1019" i="7"/>
  <c r="H1019" i="7" s="1"/>
  <c r="I1019" i="7" s="1"/>
  <c r="A1020" i="7"/>
  <c r="H1020" i="7" s="1"/>
  <c r="I1020" i="7" s="1"/>
  <c r="A1021" i="7"/>
  <c r="H1021" i="7" s="1"/>
  <c r="I1021" i="7" s="1"/>
  <c r="A1022" i="7"/>
  <c r="H1022" i="7" s="1"/>
  <c r="I1022" i="7" s="1"/>
  <c r="A1023" i="7"/>
  <c r="H1023" i="7" s="1"/>
  <c r="I1023" i="7" s="1"/>
  <c r="A1024" i="7"/>
  <c r="H1024" i="7" s="1"/>
  <c r="I1024" i="7" s="1"/>
  <c r="A1025" i="7"/>
  <c r="H1025" i="7" s="1"/>
  <c r="I1025" i="7" s="1"/>
  <c r="A1026" i="7"/>
  <c r="H1026" i="7" s="1"/>
  <c r="I1026" i="7" s="1"/>
  <c r="A1027" i="7"/>
  <c r="H1027" i="7" s="1"/>
  <c r="I1027" i="7" s="1"/>
  <c r="A1028" i="7"/>
  <c r="H1028" i="7" s="1"/>
  <c r="I1028" i="7" s="1"/>
  <c r="A1029" i="7"/>
  <c r="H1029" i="7" s="1"/>
  <c r="I1029" i="7" s="1"/>
  <c r="A1030" i="7"/>
  <c r="H1030" i="7" s="1"/>
  <c r="I1030" i="7" s="1"/>
  <c r="A1031" i="7"/>
  <c r="H1031" i="7" s="1"/>
  <c r="I1031" i="7" s="1"/>
  <c r="A1032" i="7"/>
  <c r="H1032" i="7" s="1"/>
  <c r="I1032" i="7" s="1"/>
  <c r="A1033" i="7"/>
  <c r="H1033" i="7" s="1"/>
  <c r="I1033" i="7" s="1"/>
  <c r="A1034" i="7"/>
  <c r="H1034" i="7" s="1"/>
  <c r="I1034" i="7" s="1"/>
  <c r="A1035" i="7"/>
  <c r="H1035" i="7" s="1"/>
  <c r="I1035" i="7" s="1"/>
  <c r="A1036" i="7"/>
  <c r="H1036" i="7" s="1"/>
  <c r="I1036" i="7" s="1"/>
  <c r="A1037" i="7"/>
  <c r="H1037" i="7" s="1"/>
  <c r="I1037" i="7" s="1"/>
  <c r="A1038" i="7"/>
  <c r="H1038" i="7" s="1"/>
  <c r="I1038" i="7" s="1"/>
  <c r="A1039" i="7"/>
  <c r="H1039" i="7" s="1"/>
  <c r="I1039" i="7" s="1"/>
  <c r="A1040" i="7"/>
  <c r="H1040" i="7" s="1"/>
  <c r="I1040" i="7" s="1"/>
  <c r="A1041" i="7"/>
  <c r="H1041" i="7" s="1"/>
  <c r="I1041" i="7" s="1"/>
  <c r="A1042" i="7"/>
  <c r="H1042" i="7" s="1"/>
  <c r="I1042" i="7" s="1"/>
  <c r="A1043" i="7"/>
  <c r="H1043" i="7" s="1"/>
  <c r="I1043" i="7" s="1"/>
  <c r="A1044" i="7"/>
  <c r="H1044" i="7" s="1"/>
  <c r="I1044" i="7" s="1"/>
  <c r="A1045" i="7"/>
  <c r="H1045" i="7" s="1"/>
  <c r="I1045" i="7" s="1"/>
  <c r="A1046" i="7"/>
  <c r="H1046" i="7" s="1"/>
  <c r="I1046" i="7" s="1"/>
  <c r="A1047" i="7"/>
  <c r="H1047" i="7" s="1"/>
  <c r="I1047" i="7" s="1"/>
  <c r="A1048" i="7"/>
  <c r="H1048" i="7" s="1"/>
  <c r="I1048" i="7" s="1"/>
  <c r="A1049" i="7"/>
  <c r="H1049" i="7" s="1"/>
  <c r="I1049" i="7" s="1"/>
  <c r="A1050" i="7"/>
  <c r="H1050" i="7" s="1"/>
  <c r="I1050" i="7" s="1"/>
  <c r="A1051" i="7"/>
  <c r="H1051" i="7" s="1"/>
  <c r="I1051" i="7" s="1"/>
  <c r="A1052" i="7"/>
  <c r="H1052" i="7" s="1"/>
  <c r="I1052" i="7" s="1"/>
  <c r="A1053" i="7"/>
  <c r="H1053" i="7" s="1"/>
  <c r="I1053" i="7" s="1"/>
  <c r="A1054" i="7"/>
  <c r="H1054" i="7" s="1"/>
  <c r="I1054" i="7" s="1"/>
  <c r="A1055" i="7"/>
  <c r="H1055" i="7" s="1"/>
  <c r="I1055" i="7" s="1"/>
  <c r="A1056" i="7"/>
  <c r="H1056" i="7" s="1"/>
  <c r="I1056" i="7" s="1"/>
  <c r="A1057" i="7"/>
  <c r="H1057" i="7" s="1"/>
  <c r="I1057" i="7" s="1"/>
  <c r="A1058" i="7"/>
  <c r="H1058" i="7" s="1"/>
  <c r="I1058" i="7" s="1"/>
  <c r="A1059" i="7"/>
  <c r="H1059" i="7" s="1"/>
  <c r="I1059" i="7" s="1"/>
  <c r="A1060" i="7"/>
  <c r="H1060" i="7" s="1"/>
  <c r="I1060" i="7" s="1"/>
  <c r="A1061" i="7"/>
  <c r="H1061" i="7" s="1"/>
  <c r="I1061" i="7" s="1"/>
  <c r="A1062" i="7"/>
  <c r="H1062" i="7" s="1"/>
  <c r="I1062" i="7" s="1"/>
  <c r="A1063" i="7"/>
  <c r="H1063" i="7" s="1"/>
  <c r="I1063" i="7" s="1"/>
  <c r="A1064" i="7"/>
  <c r="H1064" i="7" s="1"/>
  <c r="I1064" i="7" s="1"/>
  <c r="A1065" i="7"/>
  <c r="H1065" i="7" s="1"/>
  <c r="I1065" i="7" s="1"/>
  <c r="A1066" i="7"/>
  <c r="H1066" i="7" s="1"/>
  <c r="I1066" i="7" s="1"/>
  <c r="A1067" i="7"/>
  <c r="H1067" i="7" s="1"/>
  <c r="I1067" i="7" s="1"/>
  <c r="A1068" i="7"/>
  <c r="H1068" i="7" s="1"/>
  <c r="I1068" i="7" s="1"/>
  <c r="A1069" i="7"/>
  <c r="H1069" i="7" s="1"/>
  <c r="I1069" i="7" s="1"/>
  <c r="A1070" i="7"/>
  <c r="H1070" i="7" s="1"/>
  <c r="I1070" i="7" s="1"/>
  <c r="A1071" i="7"/>
  <c r="H1071" i="7" s="1"/>
  <c r="I1071" i="7" s="1"/>
  <c r="A1072" i="7"/>
  <c r="H1072" i="7" s="1"/>
  <c r="I1072" i="7" s="1"/>
  <c r="A1073" i="7"/>
  <c r="H1073" i="7" s="1"/>
  <c r="I1073" i="7" s="1"/>
  <c r="A1074" i="7"/>
  <c r="H1074" i="7" s="1"/>
  <c r="I1074" i="7" s="1"/>
  <c r="A1075" i="7"/>
  <c r="H1075" i="7" s="1"/>
  <c r="I1075" i="7" s="1"/>
  <c r="A1076" i="7"/>
  <c r="H1076" i="7" s="1"/>
  <c r="I1076" i="7" s="1"/>
  <c r="A1077" i="7"/>
  <c r="H1077" i="7" s="1"/>
  <c r="I1077" i="7" s="1"/>
  <c r="A1078" i="7"/>
  <c r="H1078" i="7" s="1"/>
  <c r="I1078" i="7" s="1"/>
  <c r="A1079" i="7"/>
  <c r="H1079" i="7" s="1"/>
  <c r="I1079" i="7" s="1"/>
  <c r="A1080" i="7"/>
  <c r="H1080" i="7" s="1"/>
  <c r="I1080" i="7" s="1"/>
  <c r="A1081" i="7"/>
  <c r="H1081" i="7" s="1"/>
  <c r="I1081" i="7" s="1"/>
  <c r="A1082" i="7"/>
  <c r="H1082" i="7" s="1"/>
  <c r="I1082" i="7" s="1"/>
  <c r="A1083" i="7"/>
  <c r="H1083" i="7" s="1"/>
  <c r="I1083" i="7" s="1"/>
  <c r="A1084" i="7"/>
  <c r="H1084" i="7" s="1"/>
  <c r="I1084" i="7" s="1"/>
  <c r="A1085" i="7"/>
  <c r="H1085" i="7" s="1"/>
  <c r="I1085" i="7" s="1"/>
  <c r="A1086" i="7"/>
  <c r="H1086" i="7" s="1"/>
  <c r="I1086" i="7" s="1"/>
  <c r="A1087" i="7"/>
  <c r="H1087" i="7" s="1"/>
  <c r="I1087" i="7" s="1"/>
  <c r="A1088" i="7"/>
  <c r="H1088" i="7" s="1"/>
  <c r="I1088" i="7" s="1"/>
  <c r="A1089" i="7"/>
  <c r="H1089" i="7" s="1"/>
  <c r="I1089" i="7" s="1"/>
  <c r="A1090" i="7"/>
  <c r="H1090" i="7" s="1"/>
  <c r="I1090" i="7" s="1"/>
  <c r="A1091" i="7"/>
  <c r="H1091" i="7" s="1"/>
  <c r="I1091" i="7" s="1"/>
  <c r="A1092" i="7"/>
  <c r="H1092" i="7" s="1"/>
  <c r="I1092" i="7" s="1"/>
  <c r="A1093" i="7"/>
  <c r="H1093" i="7" s="1"/>
  <c r="I1093" i="7" s="1"/>
  <c r="A1094" i="7"/>
  <c r="H1094" i="7" s="1"/>
  <c r="I1094" i="7" s="1"/>
  <c r="A1095" i="7"/>
  <c r="H1095" i="7" s="1"/>
  <c r="I1095" i="7" s="1"/>
  <c r="A1096" i="7"/>
  <c r="H1096" i="7" s="1"/>
  <c r="I1096" i="7" s="1"/>
  <c r="A1097" i="7"/>
  <c r="H1097" i="7" s="1"/>
  <c r="I1097" i="7" s="1"/>
  <c r="A1098" i="7"/>
  <c r="H1098" i="7" s="1"/>
  <c r="I1098" i="7" s="1"/>
  <c r="A1099" i="7"/>
  <c r="H1099" i="7" s="1"/>
  <c r="I1099" i="7" s="1"/>
  <c r="A1100" i="7"/>
  <c r="H1100" i="7" s="1"/>
  <c r="I1100" i="7" s="1"/>
  <c r="A1101" i="7"/>
  <c r="H1101" i="7" s="1"/>
  <c r="I1101" i="7" s="1"/>
  <c r="A1102" i="7"/>
  <c r="H1102" i="7" s="1"/>
  <c r="I1102" i="7" s="1"/>
  <c r="A1103" i="7"/>
  <c r="H1103" i="7" s="1"/>
  <c r="I1103" i="7" s="1"/>
  <c r="A1104" i="7"/>
  <c r="H1104" i="7" s="1"/>
  <c r="I1104" i="7" s="1"/>
  <c r="A1105" i="7"/>
  <c r="H1105" i="7" s="1"/>
  <c r="I1105" i="7" s="1"/>
  <c r="A1106" i="7"/>
  <c r="H1106" i="7" s="1"/>
  <c r="I1106" i="7" s="1"/>
  <c r="A1107" i="7"/>
  <c r="H1107" i="7" s="1"/>
  <c r="I1107" i="7" s="1"/>
  <c r="A1108" i="7"/>
  <c r="H1108" i="7" s="1"/>
  <c r="I1108" i="7" s="1"/>
  <c r="A1109" i="7"/>
  <c r="H1109" i="7" s="1"/>
  <c r="I1109" i="7" s="1"/>
  <c r="A1110" i="7"/>
  <c r="H1110" i="7" s="1"/>
  <c r="I1110" i="7" s="1"/>
  <c r="A1111" i="7"/>
  <c r="H1111" i="7" s="1"/>
  <c r="I1111" i="7" s="1"/>
  <c r="A1112" i="7"/>
  <c r="H1112" i="7" s="1"/>
  <c r="I1112" i="7" s="1"/>
  <c r="A1113" i="7"/>
  <c r="H1113" i="7" s="1"/>
  <c r="I1113" i="7" s="1"/>
  <c r="A1114" i="7"/>
  <c r="H1114" i="7" s="1"/>
  <c r="I1114" i="7" s="1"/>
  <c r="A1115" i="7"/>
  <c r="H1115" i="7" s="1"/>
  <c r="I1115" i="7" s="1"/>
  <c r="A1116" i="7"/>
  <c r="H1116" i="7" s="1"/>
  <c r="I1116" i="7" s="1"/>
  <c r="A1117" i="7"/>
  <c r="H1117" i="7" s="1"/>
  <c r="I1117" i="7" s="1"/>
  <c r="A1118" i="7"/>
  <c r="H1118" i="7" s="1"/>
  <c r="I1118" i="7" s="1"/>
  <c r="A1119" i="7"/>
  <c r="H1119" i="7" s="1"/>
  <c r="I1119" i="7" s="1"/>
  <c r="A1120" i="7"/>
  <c r="H1120" i="7" s="1"/>
  <c r="I1120" i="7" s="1"/>
  <c r="A1121" i="7"/>
  <c r="H1121" i="7" s="1"/>
  <c r="I1121" i="7" s="1"/>
  <c r="A1122" i="7"/>
  <c r="H1122" i="7" s="1"/>
  <c r="I1122" i="7" s="1"/>
  <c r="A1123" i="7"/>
  <c r="H1123" i="7" s="1"/>
  <c r="I1123" i="7" s="1"/>
  <c r="A1124" i="7"/>
  <c r="H1124" i="7" s="1"/>
  <c r="I1124" i="7" s="1"/>
  <c r="A1125" i="7"/>
  <c r="H1125" i="7" s="1"/>
  <c r="I1125" i="7" s="1"/>
  <c r="A1126" i="7"/>
  <c r="H1126" i="7" s="1"/>
  <c r="I1126" i="7" s="1"/>
  <c r="A1127" i="7"/>
  <c r="H1127" i="7" s="1"/>
  <c r="I1127" i="7" s="1"/>
  <c r="A1128" i="7"/>
  <c r="H1128" i="7" s="1"/>
  <c r="I1128" i="7" s="1"/>
  <c r="A1129" i="7"/>
  <c r="H1129" i="7" s="1"/>
  <c r="I1129" i="7" s="1"/>
  <c r="A1130" i="7"/>
  <c r="H1130" i="7" s="1"/>
  <c r="I1130" i="7" s="1"/>
  <c r="A1131" i="7"/>
  <c r="H1131" i="7" s="1"/>
  <c r="I1131" i="7" s="1"/>
  <c r="A1132" i="7"/>
  <c r="H1132" i="7" s="1"/>
  <c r="I1132" i="7" s="1"/>
  <c r="A1133" i="7"/>
  <c r="H1133" i="7" s="1"/>
  <c r="I1133" i="7" s="1"/>
  <c r="A1134" i="7"/>
  <c r="H1134" i="7" s="1"/>
  <c r="I1134" i="7" s="1"/>
  <c r="A1135" i="7"/>
  <c r="H1135" i="7" s="1"/>
  <c r="I1135" i="7" s="1"/>
  <c r="A1136" i="7"/>
  <c r="H1136" i="7" s="1"/>
  <c r="I1136" i="7" s="1"/>
  <c r="A1137" i="7"/>
  <c r="H1137" i="7" s="1"/>
  <c r="I1137" i="7" s="1"/>
  <c r="A1138" i="7"/>
  <c r="H1138" i="7" s="1"/>
  <c r="I1138" i="7" s="1"/>
  <c r="A1139" i="7"/>
  <c r="H1139" i="7" s="1"/>
  <c r="I1139" i="7" s="1"/>
  <c r="A1140" i="7"/>
  <c r="H1140" i="7" s="1"/>
  <c r="I1140" i="7" s="1"/>
  <c r="A1141" i="7"/>
  <c r="H1141" i="7" s="1"/>
  <c r="I1141" i="7" s="1"/>
  <c r="A1142" i="7"/>
  <c r="H1142" i="7" s="1"/>
  <c r="I1142" i="7" s="1"/>
  <c r="A1143" i="7"/>
  <c r="H1143" i="7" s="1"/>
  <c r="I1143" i="7" s="1"/>
  <c r="A1144" i="7"/>
  <c r="H1144" i="7" s="1"/>
  <c r="I1144" i="7" s="1"/>
  <c r="A1145" i="7"/>
  <c r="H1145" i="7" s="1"/>
  <c r="I1145" i="7" s="1"/>
  <c r="A1146" i="7"/>
  <c r="H1146" i="7" s="1"/>
  <c r="I1146" i="7" s="1"/>
  <c r="A1147" i="7"/>
  <c r="H1147" i="7" s="1"/>
  <c r="I1147" i="7" s="1"/>
  <c r="A1148" i="7"/>
  <c r="H1148" i="7" s="1"/>
  <c r="I1148" i="7" s="1"/>
  <c r="A1149" i="7"/>
  <c r="H1149" i="7" s="1"/>
  <c r="I1149" i="7" s="1"/>
  <c r="A1150" i="7"/>
  <c r="H1150" i="7" s="1"/>
  <c r="I1150" i="7" s="1"/>
  <c r="A1151" i="7"/>
  <c r="H1151" i="7" s="1"/>
  <c r="I1151" i="7" s="1"/>
  <c r="A1152" i="7"/>
  <c r="H1152" i="7" s="1"/>
  <c r="I1152" i="7" s="1"/>
  <c r="A1153" i="7"/>
  <c r="H1153" i="7" s="1"/>
  <c r="I1153" i="7" s="1"/>
  <c r="A1154" i="7"/>
  <c r="H1154" i="7" s="1"/>
  <c r="I1154" i="7" s="1"/>
  <c r="A1155" i="7"/>
  <c r="H1155" i="7" s="1"/>
  <c r="I1155" i="7" s="1"/>
  <c r="A1156" i="7"/>
  <c r="H1156" i="7" s="1"/>
  <c r="I1156" i="7" s="1"/>
  <c r="A1157" i="7"/>
  <c r="H1157" i="7" s="1"/>
  <c r="I1157" i="7" s="1"/>
  <c r="A1158" i="7"/>
  <c r="H1158" i="7" s="1"/>
  <c r="I1158" i="7" s="1"/>
  <c r="A1159" i="7"/>
  <c r="H1159" i="7" s="1"/>
  <c r="I1159" i="7" s="1"/>
  <c r="A1160" i="7"/>
  <c r="H1160" i="7" s="1"/>
  <c r="I1160" i="7" s="1"/>
  <c r="A1161" i="7"/>
  <c r="H1161" i="7" s="1"/>
  <c r="I1161" i="7" s="1"/>
  <c r="A1162" i="7"/>
  <c r="H1162" i="7" s="1"/>
  <c r="I1162" i="7" s="1"/>
  <c r="A1163" i="7"/>
  <c r="H1163" i="7" s="1"/>
  <c r="I1163" i="7" s="1"/>
  <c r="A1164" i="7"/>
  <c r="H1164" i="7" s="1"/>
  <c r="I1164" i="7" s="1"/>
  <c r="A1165" i="7"/>
  <c r="H1165" i="7" s="1"/>
  <c r="I1165" i="7" s="1"/>
  <c r="A1166" i="7"/>
  <c r="H1166" i="7" s="1"/>
  <c r="I1166" i="7" s="1"/>
  <c r="A1167" i="7"/>
  <c r="H1167" i="7" s="1"/>
  <c r="I1167" i="7" s="1"/>
  <c r="A1168" i="7"/>
  <c r="H1168" i="7" s="1"/>
  <c r="I1168" i="7" s="1"/>
  <c r="A1169" i="7"/>
  <c r="H1169" i="7" s="1"/>
  <c r="I1169" i="7" s="1"/>
  <c r="A1170" i="7"/>
  <c r="H1170" i="7" s="1"/>
  <c r="I1170" i="7" s="1"/>
  <c r="A1171" i="7"/>
  <c r="H1171" i="7" s="1"/>
  <c r="I1171" i="7" s="1"/>
  <c r="A1172" i="7"/>
  <c r="H1172" i="7" s="1"/>
  <c r="I1172" i="7" s="1"/>
  <c r="A1173" i="7"/>
  <c r="H1173" i="7" s="1"/>
  <c r="I1173" i="7" s="1"/>
  <c r="A1174" i="7"/>
  <c r="H1174" i="7" s="1"/>
  <c r="I1174" i="7" s="1"/>
  <c r="A1175" i="7"/>
  <c r="H1175" i="7" s="1"/>
  <c r="I1175" i="7" s="1"/>
  <c r="A1176" i="7"/>
  <c r="H1176" i="7" s="1"/>
  <c r="I1176" i="7" s="1"/>
  <c r="A1177" i="7"/>
  <c r="H1177" i="7" s="1"/>
  <c r="I1177" i="7" s="1"/>
  <c r="A1178" i="7"/>
  <c r="H1178" i="7" s="1"/>
  <c r="I1178" i="7" s="1"/>
  <c r="A1179" i="7"/>
  <c r="H1179" i="7" s="1"/>
  <c r="I1179" i="7" s="1"/>
  <c r="A1180" i="7"/>
  <c r="H1180" i="7" s="1"/>
  <c r="I1180" i="7" s="1"/>
  <c r="A1181" i="7"/>
  <c r="H1181" i="7" s="1"/>
  <c r="I1181" i="7" s="1"/>
  <c r="A1182" i="7"/>
  <c r="H1182" i="7" s="1"/>
  <c r="I1182" i="7" s="1"/>
  <c r="A1183" i="7"/>
  <c r="H1183" i="7" s="1"/>
  <c r="I1183" i="7" s="1"/>
  <c r="A1184" i="7"/>
  <c r="H1184" i="7" s="1"/>
  <c r="I1184" i="7" s="1"/>
  <c r="A1185" i="7"/>
  <c r="H1185" i="7" s="1"/>
  <c r="I1185" i="7" s="1"/>
  <c r="A1186" i="7"/>
  <c r="H1186" i="7" s="1"/>
  <c r="I1186" i="7" s="1"/>
  <c r="A1187" i="7"/>
  <c r="H1187" i="7" s="1"/>
  <c r="I1187" i="7" s="1"/>
  <c r="A1188" i="7"/>
  <c r="H1188" i="7" s="1"/>
  <c r="I1188" i="7" s="1"/>
  <c r="A1189" i="7"/>
  <c r="H1189" i="7" s="1"/>
  <c r="I1189" i="7" s="1"/>
  <c r="A1190" i="7"/>
  <c r="H1190" i="7" s="1"/>
  <c r="I1190" i="7" s="1"/>
  <c r="A1191" i="7"/>
  <c r="H1191" i="7" s="1"/>
  <c r="I1191" i="7" s="1"/>
  <c r="A1192" i="7"/>
  <c r="H1192" i="7" s="1"/>
  <c r="I1192" i="7" s="1"/>
  <c r="A1193" i="7"/>
  <c r="H1193" i="7" s="1"/>
  <c r="I1193" i="7" s="1"/>
  <c r="A1194" i="7"/>
  <c r="H1194" i="7" s="1"/>
  <c r="I1194" i="7" s="1"/>
  <c r="A1195" i="7"/>
  <c r="H1195" i="7" s="1"/>
  <c r="I1195" i="7" s="1"/>
  <c r="A1196" i="7"/>
  <c r="H1196" i="7" s="1"/>
  <c r="I1196" i="7" s="1"/>
  <c r="A1197" i="7"/>
  <c r="H1197" i="7" s="1"/>
  <c r="I1197" i="7" s="1"/>
  <c r="A1198" i="7"/>
  <c r="H1198" i="7" s="1"/>
  <c r="I1198" i="7" s="1"/>
  <c r="A1199" i="7"/>
  <c r="H1199" i="7" s="1"/>
  <c r="I1199" i="7" s="1"/>
  <c r="A1200" i="7"/>
  <c r="H1200" i="7" s="1"/>
  <c r="I1200" i="7" s="1"/>
  <c r="A1201" i="7"/>
  <c r="H1201" i="7" s="1"/>
  <c r="I1201" i="7" s="1"/>
  <c r="A1202" i="7"/>
  <c r="H1202" i="7" s="1"/>
  <c r="I1202" i="7" s="1"/>
  <c r="A1203" i="7"/>
  <c r="H1203" i="7" s="1"/>
  <c r="I1203" i="7" s="1"/>
  <c r="A1204" i="7"/>
  <c r="H1204" i="7" s="1"/>
  <c r="I1204" i="7" s="1"/>
  <c r="A1205" i="7"/>
  <c r="H1205" i="7" s="1"/>
  <c r="I1205" i="7" s="1"/>
  <c r="A1206" i="7"/>
  <c r="H1206" i="7" s="1"/>
  <c r="I1206" i="7" s="1"/>
  <c r="A1207" i="7"/>
  <c r="H1207" i="7" s="1"/>
  <c r="I1207" i="7" s="1"/>
  <c r="A1208" i="7"/>
  <c r="H1208" i="7" s="1"/>
  <c r="I1208" i="7" s="1"/>
  <c r="A1209" i="7"/>
  <c r="H1209" i="7" s="1"/>
  <c r="I1209" i="7" s="1"/>
  <c r="A1210" i="7"/>
  <c r="H1210" i="7" s="1"/>
  <c r="I1210" i="7" s="1"/>
  <c r="A1211" i="7"/>
  <c r="H1211" i="7" s="1"/>
  <c r="I1211" i="7" s="1"/>
  <c r="A1212" i="7"/>
  <c r="H1212" i="7" s="1"/>
  <c r="I1212" i="7" s="1"/>
  <c r="A1213" i="7"/>
  <c r="H1213" i="7" s="1"/>
  <c r="I1213" i="7" s="1"/>
  <c r="A1214" i="7"/>
  <c r="H1214" i="7" s="1"/>
  <c r="I1214" i="7" s="1"/>
  <c r="A1215" i="7"/>
  <c r="H1215" i="7" s="1"/>
  <c r="I1215" i="7" s="1"/>
  <c r="A1216" i="7"/>
  <c r="H1216" i="7" s="1"/>
  <c r="I1216" i="7" s="1"/>
  <c r="A1217" i="7"/>
  <c r="H1217" i="7" s="1"/>
  <c r="I1217" i="7" s="1"/>
  <c r="A1218" i="7"/>
  <c r="H1218" i="7" s="1"/>
  <c r="I1218" i="7" s="1"/>
  <c r="A1219" i="7"/>
  <c r="H1219" i="7" s="1"/>
  <c r="I1219" i="7" s="1"/>
  <c r="A1220" i="7"/>
  <c r="H1220" i="7" s="1"/>
  <c r="I1220" i="7" s="1"/>
  <c r="A1221" i="7"/>
  <c r="H1221" i="7" s="1"/>
  <c r="I1221" i="7" s="1"/>
  <c r="A1222" i="7"/>
  <c r="H1222" i="7" s="1"/>
  <c r="I1222" i="7" s="1"/>
  <c r="A1223" i="7"/>
  <c r="H1223" i="7" s="1"/>
  <c r="I1223" i="7" s="1"/>
  <c r="A1224" i="7"/>
  <c r="H1224" i="7" s="1"/>
  <c r="I1224" i="7" s="1"/>
  <c r="A1225" i="7"/>
  <c r="H1225" i="7" s="1"/>
  <c r="I1225" i="7" s="1"/>
  <c r="A1226" i="7"/>
  <c r="H1226" i="7" s="1"/>
  <c r="I1226" i="7" s="1"/>
  <c r="A1227" i="7"/>
  <c r="H1227" i="7" s="1"/>
  <c r="I1227" i="7" s="1"/>
  <c r="A1228" i="7"/>
  <c r="H1228" i="7" s="1"/>
  <c r="I1228" i="7" s="1"/>
  <c r="A1229" i="7"/>
  <c r="H1229" i="7" s="1"/>
  <c r="I1229" i="7" s="1"/>
  <c r="A1230" i="7"/>
  <c r="H1230" i="7" s="1"/>
  <c r="I1230" i="7" s="1"/>
  <c r="A1231" i="7"/>
  <c r="H1231" i="7" s="1"/>
  <c r="I1231" i="7" s="1"/>
  <c r="A1232" i="7"/>
  <c r="H1232" i="7" s="1"/>
  <c r="I1232" i="7" s="1"/>
  <c r="A1233" i="7"/>
  <c r="H1233" i="7" s="1"/>
  <c r="I1233" i="7" s="1"/>
  <c r="A1234" i="7"/>
  <c r="H1234" i="7" s="1"/>
  <c r="I1234" i="7" s="1"/>
  <c r="A1235" i="7"/>
  <c r="H1235" i="7" s="1"/>
  <c r="I1235" i="7" s="1"/>
  <c r="A1236" i="7"/>
  <c r="H1236" i="7" s="1"/>
  <c r="I1236" i="7" s="1"/>
  <c r="A1237" i="7"/>
  <c r="H1237" i="7" s="1"/>
  <c r="I1237" i="7" s="1"/>
  <c r="A1238" i="7"/>
  <c r="H1238" i="7" s="1"/>
  <c r="I1238" i="7" s="1"/>
  <c r="A1239" i="7"/>
  <c r="H1239" i="7" s="1"/>
  <c r="I1239" i="7" s="1"/>
  <c r="A1240" i="7"/>
  <c r="H1240" i="7" s="1"/>
  <c r="I1240" i="7" s="1"/>
  <c r="A1241" i="7"/>
  <c r="H1241" i="7" s="1"/>
  <c r="I1241" i="7" s="1"/>
  <c r="A1242" i="7"/>
  <c r="H1242" i="7" s="1"/>
  <c r="I1242" i="7" s="1"/>
  <c r="A1243" i="7"/>
  <c r="H1243" i="7" s="1"/>
  <c r="I1243" i="7" s="1"/>
  <c r="A1244" i="7"/>
  <c r="H1244" i="7" s="1"/>
  <c r="I1244" i="7" s="1"/>
  <c r="A1245" i="7"/>
  <c r="H1245" i="7" s="1"/>
  <c r="I1245" i="7" s="1"/>
  <c r="A1246" i="7"/>
  <c r="H1246" i="7" s="1"/>
  <c r="I1246" i="7" s="1"/>
  <c r="A1247" i="7"/>
  <c r="H1247" i="7" s="1"/>
  <c r="I1247" i="7" s="1"/>
  <c r="A1248" i="7"/>
  <c r="H1248" i="7" s="1"/>
  <c r="I1248" i="7" s="1"/>
  <c r="A1249" i="7"/>
  <c r="H1249" i="7" s="1"/>
  <c r="I1249" i="7" s="1"/>
  <c r="A1250" i="7"/>
  <c r="H1250" i="7" s="1"/>
  <c r="I1250" i="7" s="1"/>
  <c r="A1251" i="7"/>
  <c r="H1251" i="7" s="1"/>
  <c r="I1251" i="7" s="1"/>
  <c r="A1252" i="7"/>
  <c r="H1252" i="7" s="1"/>
  <c r="I1252" i="7" s="1"/>
  <c r="A1253" i="7"/>
  <c r="H1253" i="7" s="1"/>
  <c r="I1253" i="7" s="1"/>
  <c r="A1254" i="7"/>
  <c r="H1254" i="7" s="1"/>
  <c r="I1254" i="7" s="1"/>
  <c r="A1255" i="7"/>
  <c r="H1255" i="7" s="1"/>
  <c r="I1255" i="7" s="1"/>
  <c r="A1256" i="7"/>
  <c r="H1256" i="7" s="1"/>
  <c r="I1256" i="7" s="1"/>
  <c r="A1257" i="7"/>
  <c r="H1257" i="7" s="1"/>
  <c r="I1257" i="7" s="1"/>
  <c r="A1258" i="7"/>
  <c r="H1258" i="7" s="1"/>
  <c r="I1258" i="7" s="1"/>
  <c r="A1259" i="7"/>
  <c r="H1259" i="7" s="1"/>
  <c r="I1259" i="7" s="1"/>
  <c r="A1260" i="7"/>
  <c r="H1260" i="7" s="1"/>
  <c r="I1260" i="7" s="1"/>
  <c r="A1261" i="7"/>
  <c r="H1261" i="7" s="1"/>
  <c r="I1261" i="7" s="1"/>
  <c r="A1262" i="7"/>
  <c r="H1262" i="7" s="1"/>
  <c r="I1262" i="7" s="1"/>
  <c r="A1263" i="7"/>
  <c r="H1263" i="7" s="1"/>
  <c r="I1263" i="7" s="1"/>
  <c r="A1264" i="7"/>
  <c r="H1264" i="7" s="1"/>
  <c r="I1264" i="7" s="1"/>
  <c r="A1265" i="7"/>
  <c r="H1265" i="7" s="1"/>
  <c r="I1265" i="7" s="1"/>
  <c r="A1266" i="7"/>
  <c r="H1266" i="7" s="1"/>
  <c r="I1266" i="7" s="1"/>
  <c r="A1267" i="7"/>
  <c r="H1267" i="7" s="1"/>
  <c r="I1267" i="7" s="1"/>
  <c r="A1268" i="7"/>
  <c r="H1268" i="7" s="1"/>
  <c r="I1268" i="7" s="1"/>
  <c r="A1269" i="7"/>
  <c r="H1269" i="7" s="1"/>
  <c r="I1269" i="7" s="1"/>
  <c r="A1270" i="7"/>
  <c r="H1270" i="7" s="1"/>
  <c r="I1270" i="7" s="1"/>
  <c r="A1271" i="7"/>
  <c r="H1271" i="7" s="1"/>
  <c r="I1271" i="7" s="1"/>
  <c r="A1272" i="7"/>
  <c r="H1272" i="7" s="1"/>
  <c r="I1272" i="7" s="1"/>
  <c r="A1273" i="7"/>
  <c r="H1273" i="7" s="1"/>
  <c r="I1273" i="7" s="1"/>
  <c r="A1274" i="7"/>
  <c r="H1274" i="7" s="1"/>
  <c r="I1274" i="7" s="1"/>
  <c r="A1275" i="7"/>
  <c r="H1275" i="7" s="1"/>
  <c r="I1275" i="7" s="1"/>
  <c r="A1276" i="7"/>
  <c r="H1276" i="7" s="1"/>
  <c r="I1276" i="7" s="1"/>
  <c r="A1277" i="7"/>
  <c r="H1277" i="7" s="1"/>
  <c r="I1277" i="7" s="1"/>
  <c r="A1278" i="7"/>
  <c r="H1278" i="7" s="1"/>
  <c r="I1278" i="7" s="1"/>
  <c r="A1279" i="7"/>
  <c r="H1279" i="7" s="1"/>
  <c r="I1279" i="7" s="1"/>
  <c r="A1280" i="7"/>
  <c r="H1280" i="7" s="1"/>
  <c r="I1280" i="7" s="1"/>
  <c r="A1281" i="7"/>
  <c r="H1281" i="7" s="1"/>
  <c r="I1281" i="7" s="1"/>
  <c r="A1282" i="7"/>
  <c r="H1282" i="7" s="1"/>
  <c r="I1282" i="7" s="1"/>
  <c r="A1283" i="7"/>
  <c r="H1283" i="7" s="1"/>
  <c r="I1283" i="7" s="1"/>
  <c r="A1284" i="7"/>
  <c r="H1284" i="7" s="1"/>
  <c r="I1284" i="7" s="1"/>
  <c r="A1285" i="7"/>
  <c r="H1285" i="7" s="1"/>
  <c r="I1285" i="7" s="1"/>
  <c r="A1286" i="7"/>
  <c r="H1286" i="7" s="1"/>
  <c r="I1286" i="7" s="1"/>
  <c r="A1287" i="7"/>
  <c r="H1287" i="7" s="1"/>
  <c r="I1287" i="7" s="1"/>
  <c r="A1288" i="7"/>
  <c r="H1288" i="7" s="1"/>
  <c r="I1288" i="7" s="1"/>
  <c r="A1289" i="7"/>
  <c r="H1289" i="7" s="1"/>
  <c r="I1289" i="7" s="1"/>
  <c r="A1290" i="7"/>
  <c r="H1290" i="7" s="1"/>
  <c r="I1290" i="7" s="1"/>
  <c r="A1291" i="7"/>
  <c r="H1291" i="7" s="1"/>
  <c r="I1291" i="7" s="1"/>
  <c r="A1292" i="7"/>
  <c r="H1292" i="7" s="1"/>
  <c r="I1292" i="7" s="1"/>
  <c r="A1293" i="7"/>
  <c r="H1293" i="7" s="1"/>
  <c r="I1293" i="7" s="1"/>
  <c r="A1294" i="7"/>
  <c r="H1294" i="7" s="1"/>
  <c r="I1294" i="7" s="1"/>
  <c r="A1295" i="7"/>
  <c r="H1295" i="7" s="1"/>
  <c r="I1295" i="7" s="1"/>
  <c r="A1296" i="7"/>
  <c r="H1296" i="7" s="1"/>
  <c r="I1296" i="7" s="1"/>
  <c r="A1297" i="7"/>
  <c r="H1297" i="7" s="1"/>
  <c r="I1297" i="7" s="1"/>
  <c r="A1298" i="7"/>
  <c r="H1298" i="7" s="1"/>
  <c r="I1298" i="7" s="1"/>
  <c r="A1299" i="7"/>
  <c r="H1299" i="7" s="1"/>
  <c r="I1299" i="7" s="1"/>
  <c r="A1300" i="7"/>
  <c r="H1300" i="7" s="1"/>
  <c r="I1300" i="7" s="1"/>
  <c r="A1301" i="7"/>
  <c r="H1301" i="7" s="1"/>
  <c r="I1301" i="7" s="1"/>
  <c r="A1302" i="7"/>
  <c r="H1302" i="7" s="1"/>
  <c r="I1302" i="7" s="1"/>
  <c r="A1303" i="7"/>
  <c r="H1303" i="7" s="1"/>
  <c r="I1303" i="7" s="1"/>
  <c r="A1304" i="7"/>
  <c r="H1304" i="7" s="1"/>
  <c r="I1304" i="7" s="1"/>
  <c r="A1305" i="7"/>
  <c r="H1305" i="7" s="1"/>
  <c r="I1305" i="7" s="1"/>
  <c r="A1306" i="7"/>
  <c r="H1306" i="7" s="1"/>
  <c r="I1306" i="7" s="1"/>
  <c r="A1307" i="7"/>
  <c r="H1307" i="7" s="1"/>
  <c r="I1307" i="7" s="1"/>
  <c r="A1308" i="7"/>
  <c r="H1308" i="7" s="1"/>
  <c r="I1308" i="7" s="1"/>
  <c r="A1309" i="7"/>
  <c r="H1309" i="7" s="1"/>
  <c r="I1309" i="7" s="1"/>
  <c r="A1310" i="7"/>
  <c r="H1310" i="7" s="1"/>
  <c r="I1310" i="7" s="1"/>
  <c r="A1311" i="7"/>
  <c r="H1311" i="7" s="1"/>
  <c r="I1311" i="7" s="1"/>
  <c r="A1312" i="7"/>
  <c r="H1312" i="7" s="1"/>
  <c r="I1312" i="7" s="1"/>
  <c r="A1313" i="7"/>
  <c r="H1313" i="7" s="1"/>
  <c r="I1313" i="7" s="1"/>
  <c r="A1314" i="7"/>
  <c r="H1314" i="7" s="1"/>
  <c r="I1314" i="7" s="1"/>
  <c r="A1315" i="7"/>
  <c r="H1315" i="7" s="1"/>
  <c r="I1315" i="7" s="1"/>
  <c r="A1316" i="7"/>
  <c r="H1316" i="7" s="1"/>
  <c r="I1316" i="7" s="1"/>
  <c r="A1317" i="7"/>
  <c r="H1317" i="7" s="1"/>
  <c r="I1317" i="7" s="1"/>
  <c r="A1318" i="7"/>
  <c r="H1318" i="7" s="1"/>
  <c r="I1318" i="7" s="1"/>
  <c r="A1319" i="7"/>
  <c r="H1319" i="7" s="1"/>
  <c r="I1319" i="7" s="1"/>
  <c r="A1320" i="7"/>
  <c r="H1320" i="7" s="1"/>
  <c r="I1320" i="7" s="1"/>
  <c r="A1321" i="7"/>
  <c r="H1321" i="7" s="1"/>
  <c r="I1321" i="7" s="1"/>
  <c r="A1322" i="7"/>
  <c r="H1322" i="7" s="1"/>
  <c r="I1322" i="7" s="1"/>
  <c r="A1323" i="7"/>
  <c r="H1323" i="7" s="1"/>
  <c r="I1323" i="7" s="1"/>
  <c r="A1324" i="7"/>
  <c r="H1324" i="7" s="1"/>
  <c r="I1324" i="7" s="1"/>
  <c r="A1325" i="7"/>
  <c r="H1325" i="7" s="1"/>
  <c r="I1325" i="7" s="1"/>
  <c r="A1326" i="7"/>
  <c r="H1326" i="7" s="1"/>
  <c r="I1326" i="7" s="1"/>
  <c r="A1327" i="7"/>
  <c r="H1327" i="7" s="1"/>
  <c r="I1327" i="7" s="1"/>
  <c r="A1328" i="7"/>
  <c r="H1328" i="7" s="1"/>
  <c r="I1328" i="7" s="1"/>
  <c r="A1329" i="7"/>
  <c r="H1329" i="7" s="1"/>
  <c r="I1329" i="7" s="1"/>
  <c r="A1330" i="7"/>
  <c r="H1330" i="7" s="1"/>
  <c r="I1330" i="7" s="1"/>
  <c r="A1331" i="7"/>
  <c r="H1331" i="7" s="1"/>
  <c r="I1331" i="7" s="1"/>
  <c r="A1332" i="7"/>
  <c r="H1332" i="7" s="1"/>
  <c r="I1332" i="7" s="1"/>
  <c r="A1333" i="7"/>
  <c r="H1333" i="7" s="1"/>
  <c r="I1333" i="7" s="1"/>
  <c r="A1334" i="7"/>
  <c r="H1334" i="7" s="1"/>
  <c r="I1334" i="7" s="1"/>
  <c r="A1335" i="7"/>
  <c r="H1335" i="7" s="1"/>
  <c r="I1335" i="7" s="1"/>
  <c r="A1336" i="7"/>
  <c r="H1336" i="7" s="1"/>
  <c r="I1336" i="7" s="1"/>
  <c r="A1337" i="7"/>
  <c r="H1337" i="7" s="1"/>
  <c r="I1337" i="7" s="1"/>
  <c r="A1338" i="7"/>
  <c r="H1338" i="7" s="1"/>
  <c r="I1338" i="7" s="1"/>
  <c r="A1339" i="7"/>
  <c r="H1339" i="7" s="1"/>
  <c r="I1339" i="7" s="1"/>
  <c r="A1340" i="7"/>
  <c r="H1340" i="7" s="1"/>
  <c r="I1340" i="7" s="1"/>
  <c r="A1341" i="7"/>
  <c r="H1341" i="7" s="1"/>
  <c r="I1341" i="7" s="1"/>
  <c r="A1342" i="7"/>
  <c r="H1342" i="7" s="1"/>
  <c r="I1342" i="7" s="1"/>
  <c r="A1343" i="7"/>
  <c r="H1343" i="7" s="1"/>
  <c r="I1343" i="7" s="1"/>
  <c r="A1344" i="7"/>
  <c r="H1344" i="7" s="1"/>
  <c r="I1344" i="7" s="1"/>
  <c r="A1345" i="7"/>
  <c r="H1345" i="7" s="1"/>
  <c r="I1345" i="7" s="1"/>
  <c r="A1346" i="7"/>
  <c r="H1346" i="7" s="1"/>
  <c r="I1346" i="7" s="1"/>
  <c r="A1347" i="7"/>
  <c r="H1347" i="7" s="1"/>
  <c r="I1347" i="7" s="1"/>
  <c r="A1348" i="7"/>
  <c r="H1348" i="7" s="1"/>
  <c r="I1348" i="7" s="1"/>
  <c r="A1349" i="7"/>
  <c r="H1349" i="7" s="1"/>
  <c r="I1349" i="7" s="1"/>
  <c r="A1350" i="7"/>
  <c r="H1350" i="7" s="1"/>
  <c r="I1350" i="7" s="1"/>
  <c r="A1351" i="7"/>
  <c r="H1351" i="7" s="1"/>
  <c r="I1351" i="7" s="1"/>
  <c r="A1352" i="7"/>
  <c r="H1352" i="7" s="1"/>
  <c r="I1352" i="7" s="1"/>
  <c r="A1353" i="7"/>
  <c r="H1353" i="7" s="1"/>
  <c r="I1353" i="7" s="1"/>
  <c r="A1354" i="7"/>
  <c r="H1354" i="7" s="1"/>
  <c r="I1354" i="7" s="1"/>
  <c r="A1355" i="7"/>
  <c r="H1355" i="7" s="1"/>
  <c r="I1355" i="7" s="1"/>
  <c r="A1356" i="7"/>
  <c r="H1356" i="7" s="1"/>
  <c r="I1356" i="7" s="1"/>
  <c r="A1357" i="7"/>
  <c r="H1357" i="7" s="1"/>
  <c r="I1357" i="7" s="1"/>
  <c r="A1358" i="7"/>
  <c r="H1358" i="7" s="1"/>
  <c r="I1358" i="7" s="1"/>
  <c r="A1359" i="7"/>
  <c r="H1359" i="7" s="1"/>
  <c r="I1359" i="7" s="1"/>
  <c r="A1360" i="7"/>
  <c r="H1360" i="7" s="1"/>
  <c r="I1360" i="7" s="1"/>
  <c r="A1361" i="7"/>
  <c r="H1361" i="7" s="1"/>
  <c r="I1361" i="7" s="1"/>
  <c r="A1362" i="7"/>
  <c r="H1362" i="7" s="1"/>
  <c r="I1362" i="7" s="1"/>
  <c r="A1363" i="7"/>
  <c r="H1363" i="7" s="1"/>
  <c r="I1363" i="7" s="1"/>
  <c r="A1364" i="7"/>
  <c r="H1364" i="7" s="1"/>
  <c r="I1364" i="7" s="1"/>
  <c r="A1365" i="7"/>
  <c r="H1365" i="7" s="1"/>
  <c r="I1365" i="7" s="1"/>
  <c r="A1366" i="7"/>
  <c r="H1366" i="7" s="1"/>
  <c r="I1366" i="7" s="1"/>
  <c r="A1367" i="7"/>
  <c r="H1367" i="7" s="1"/>
  <c r="I1367" i="7" s="1"/>
  <c r="A1368" i="7"/>
  <c r="H1368" i="7" s="1"/>
  <c r="I1368" i="7" s="1"/>
  <c r="A1369" i="7"/>
  <c r="H1369" i="7" s="1"/>
  <c r="I1369" i="7" s="1"/>
  <c r="A1370" i="7"/>
  <c r="H1370" i="7" s="1"/>
  <c r="I1370" i="7" s="1"/>
  <c r="A1371" i="7"/>
  <c r="H1371" i="7" s="1"/>
  <c r="I1371" i="7" s="1"/>
  <c r="A1372" i="7"/>
  <c r="H1372" i="7" s="1"/>
  <c r="I1372" i="7" s="1"/>
  <c r="A1373" i="7"/>
  <c r="H1373" i="7" s="1"/>
  <c r="I1373" i="7" s="1"/>
  <c r="A1374" i="7"/>
  <c r="H1374" i="7" s="1"/>
  <c r="I1374" i="7" s="1"/>
  <c r="A1375" i="7"/>
  <c r="H1375" i="7" s="1"/>
  <c r="I1375" i="7" s="1"/>
  <c r="A1376" i="7"/>
  <c r="H1376" i="7" s="1"/>
  <c r="I1376" i="7" s="1"/>
  <c r="A1377" i="7"/>
  <c r="H1377" i="7" s="1"/>
  <c r="I1377" i="7" s="1"/>
  <c r="A1378" i="7"/>
  <c r="H1378" i="7" s="1"/>
  <c r="I1378" i="7" s="1"/>
  <c r="A1379" i="7"/>
  <c r="H1379" i="7" s="1"/>
  <c r="I1379" i="7" s="1"/>
  <c r="A1380" i="7"/>
  <c r="H1380" i="7" s="1"/>
  <c r="I1380" i="7" s="1"/>
  <c r="A1381" i="7"/>
  <c r="H1381" i="7" s="1"/>
  <c r="I1381" i="7" s="1"/>
  <c r="A1382" i="7"/>
  <c r="H1382" i="7" s="1"/>
  <c r="I1382" i="7" s="1"/>
  <c r="A1383" i="7"/>
  <c r="H1383" i="7" s="1"/>
  <c r="I1383" i="7" s="1"/>
  <c r="A1384" i="7"/>
  <c r="H1384" i="7" s="1"/>
  <c r="I1384" i="7" s="1"/>
  <c r="A1385" i="7"/>
  <c r="H1385" i="7" s="1"/>
  <c r="I1385" i="7" s="1"/>
  <c r="A1386" i="7"/>
  <c r="H1386" i="7" s="1"/>
  <c r="I1386" i="7" s="1"/>
  <c r="A1387" i="7"/>
  <c r="H1387" i="7" s="1"/>
  <c r="I1387" i="7" s="1"/>
  <c r="A1388" i="7"/>
  <c r="H1388" i="7" s="1"/>
  <c r="I1388" i="7" s="1"/>
  <c r="A1389" i="7"/>
  <c r="H1389" i="7" s="1"/>
  <c r="I1389" i="7" s="1"/>
  <c r="A1390" i="7"/>
  <c r="H1390" i="7" s="1"/>
  <c r="I1390" i="7" s="1"/>
  <c r="A1391" i="7"/>
  <c r="H1391" i="7" s="1"/>
  <c r="I1391" i="7" s="1"/>
  <c r="A1392" i="7"/>
  <c r="H1392" i="7" s="1"/>
  <c r="I1392" i="7" s="1"/>
  <c r="A1393" i="7"/>
  <c r="H1393" i="7" s="1"/>
  <c r="I1393" i="7" s="1"/>
  <c r="A1394" i="7"/>
  <c r="H1394" i="7" s="1"/>
  <c r="I1394" i="7" s="1"/>
  <c r="A1395" i="7"/>
  <c r="H1395" i="7" s="1"/>
  <c r="I1395" i="7" s="1"/>
  <c r="A1396" i="7"/>
  <c r="H1396" i="7" s="1"/>
  <c r="I1396" i="7" s="1"/>
  <c r="A1397" i="7"/>
  <c r="H1397" i="7" s="1"/>
  <c r="I1397" i="7" s="1"/>
  <c r="A1398" i="7"/>
  <c r="H1398" i="7" s="1"/>
  <c r="I1398" i="7" s="1"/>
  <c r="A1399" i="7"/>
  <c r="H1399" i="7" s="1"/>
  <c r="I1399" i="7" s="1"/>
  <c r="A1400" i="7"/>
  <c r="H1400" i="7" s="1"/>
  <c r="I1400" i="7" s="1"/>
  <c r="A1401" i="7"/>
  <c r="H1401" i="7" s="1"/>
  <c r="I1401" i="7" s="1"/>
  <c r="A1402" i="7"/>
  <c r="H1402" i="7" s="1"/>
  <c r="I1402" i="7" s="1"/>
  <c r="A1403" i="7"/>
  <c r="H1403" i="7" s="1"/>
  <c r="I1403" i="7" s="1"/>
  <c r="A1404" i="7"/>
  <c r="H1404" i="7" s="1"/>
  <c r="I1404" i="7" s="1"/>
  <c r="A1405" i="7"/>
  <c r="H1405" i="7" s="1"/>
  <c r="I1405" i="7" s="1"/>
  <c r="A1406" i="7"/>
  <c r="H1406" i="7" s="1"/>
  <c r="I1406" i="7" s="1"/>
  <c r="A1407" i="7"/>
  <c r="H1407" i="7" s="1"/>
  <c r="I1407" i="7" s="1"/>
  <c r="A1408" i="7"/>
  <c r="H1408" i="7" s="1"/>
  <c r="I1408" i="7" s="1"/>
  <c r="A1409" i="7"/>
  <c r="H1409" i="7" s="1"/>
  <c r="I1409" i="7" s="1"/>
  <c r="A1410" i="7"/>
  <c r="H1410" i="7" s="1"/>
  <c r="I1410" i="7" s="1"/>
  <c r="A1411" i="7"/>
  <c r="H1411" i="7" s="1"/>
  <c r="I1411" i="7" s="1"/>
  <c r="A1412" i="7"/>
  <c r="H1412" i="7" s="1"/>
  <c r="I1412" i="7" s="1"/>
  <c r="A1413" i="7"/>
  <c r="H1413" i="7" s="1"/>
  <c r="I1413" i="7" s="1"/>
  <c r="A1414" i="7"/>
  <c r="H1414" i="7" s="1"/>
  <c r="I1414" i="7" s="1"/>
  <c r="A1415" i="7"/>
  <c r="H1415" i="7" s="1"/>
  <c r="I1415" i="7" s="1"/>
  <c r="A1416" i="7"/>
  <c r="H1416" i="7" s="1"/>
  <c r="I1416" i="7" s="1"/>
  <c r="A1417" i="7"/>
  <c r="H1417" i="7" s="1"/>
  <c r="I1417" i="7" s="1"/>
  <c r="A1418" i="7"/>
  <c r="H1418" i="7" s="1"/>
  <c r="I1418" i="7" s="1"/>
  <c r="A1419" i="7"/>
  <c r="H1419" i="7" s="1"/>
  <c r="I1419" i="7" s="1"/>
  <c r="A1420" i="7"/>
  <c r="H1420" i="7" s="1"/>
  <c r="I1420" i="7" s="1"/>
  <c r="A1421" i="7"/>
  <c r="H1421" i="7" s="1"/>
  <c r="I1421" i="7" s="1"/>
  <c r="A1422" i="7"/>
  <c r="H1422" i="7" s="1"/>
  <c r="I1422" i="7" s="1"/>
  <c r="A1423" i="7"/>
  <c r="H1423" i="7" s="1"/>
  <c r="I1423" i="7" s="1"/>
  <c r="A1424" i="7"/>
  <c r="H1424" i="7" s="1"/>
  <c r="I1424" i="7" s="1"/>
  <c r="A1425" i="7"/>
  <c r="H1425" i="7" s="1"/>
  <c r="I1425" i="7" s="1"/>
  <c r="A1426" i="7"/>
  <c r="H1426" i="7" s="1"/>
  <c r="I1426" i="7" s="1"/>
  <c r="A1427" i="7"/>
  <c r="H1427" i="7" s="1"/>
  <c r="I1427" i="7" s="1"/>
  <c r="A1428" i="7"/>
  <c r="H1428" i="7" s="1"/>
  <c r="I1428" i="7" s="1"/>
  <c r="A1429" i="7"/>
  <c r="H1429" i="7" s="1"/>
  <c r="I1429" i="7" s="1"/>
  <c r="A1430" i="7"/>
  <c r="H1430" i="7" s="1"/>
  <c r="I1430" i="7" s="1"/>
  <c r="A1431" i="7"/>
  <c r="H1431" i="7" s="1"/>
  <c r="I1431" i="7" s="1"/>
  <c r="A1432" i="7"/>
  <c r="H1432" i="7" s="1"/>
  <c r="I1432" i="7" s="1"/>
  <c r="A1433" i="7"/>
  <c r="H1433" i="7" s="1"/>
  <c r="I1433" i="7" s="1"/>
  <c r="A1434" i="7"/>
  <c r="H1434" i="7" s="1"/>
  <c r="I1434" i="7" s="1"/>
  <c r="A1435" i="7"/>
  <c r="H1435" i="7" s="1"/>
  <c r="I1435" i="7" s="1"/>
  <c r="A1436" i="7"/>
  <c r="H1436" i="7" s="1"/>
  <c r="I1436" i="7" s="1"/>
  <c r="A1437" i="7"/>
  <c r="H1437" i="7" s="1"/>
  <c r="I1437" i="7" s="1"/>
  <c r="A1438" i="7"/>
  <c r="H1438" i="7" s="1"/>
  <c r="I1438" i="7" s="1"/>
  <c r="A1439" i="7"/>
  <c r="H1439" i="7" s="1"/>
  <c r="I1439" i="7" s="1"/>
  <c r="A1440" i="7"/>
  <c r="H1440" i="7" s="1"/>
  <c r="I1440" i="7" s="1"/>
  <c r="A1441" i="7"/>
  <c r="H1441" i="7" s="1"/>
  <c r="I1441" i="7" s="1"/>
  <c r="A1442" i="7"/>
  <c r="H1442" i="7" s="1"/>
  <c r="I1442" i="7" s="1"/>
  <c r="A1443" i="7"/>
  <c r="H1443" i="7" s="1"/>
  <c r="I1443" i="7" s="1"/>
  <c r="A1444" i="7"/>
  <c r="H1444" i="7" s="1"/>
  <c r="I1444" i="7" s="1"/>
  <c r="A1445" i="7"/>
  <c r="H1445" i="7" s="1"/>
  <c r="I1445" i="7" s="1"/>
  <c r="A1446" i="7"/>
  <c r="H1446" i="7" s="1"/>
  <c r="I1446" i="7" s="1"/>
  <c r="A1447" i="7"/>
  <c r="H1447" i="7" s="1"/>
  <c r="I1447" i="7" s="1"/>
  <c r="A1448" i="7"/>
  <c r="H1448" i="7" s="1"/>
  <c r="I1448" i="7" s="1"/>
  <c r="A1449" i="7"/>
  <c r="H1449" i="7" s="1"/>
  <c r="I1449" i="7" s="1"/>
  <c r="A1450" i="7"/>
  <c r="H1450" i="7" s="1"/>
  <c r="I1450" i="7" s="1"/>
  <c r="A1451" i="7"/>
  <c r="H1451" i="7" s="1"/>
  <c r="I1451" i="7" s="1"/>
  <c r="A1452" i="7"/>
  <c r="H1452" i="7" s="1"/>
  <c r="I1452" i="7" s="1"/>
  <c r="A1453" i="7"/>
  <c r="H1453" i="7" s="1"/>
  <c r="I1453" i="7" s="1"/>
  <c r="A1454" i="7"/>
  <c r="H1454" i="7" s="1"/>
  <c r="I1454" i="7" s="1"/>
  <c r="A1455" i="7"/>
  <c r="H1455" i="7" s="1"/>
  <c r="I1455" i="7" s="1"/>
  <c r="A1456" i="7"/>
  <c r="H1456" i="7" s="1"/>
  <c r="I1456" i="7" s="1"/>
  <c r="A1457" i="7"/>
  <c r="H1457" i="7" s="1"/>
  <c r="I1457" i="7" s="1"/>
  <c r="A1458" i="7"/>
  <c r="H1458" i="7" s="1"/>
  <c r="I1458" i="7" s="1"/>
  <c r="A1459" i="7"/>
  <c r="H1459" i="7" s="1"/>
  <c r="I1459" i="7" s="1"/>
  <c r="A1460" i="7"/>
  <c r="H1460" i="7" s="1"/>
  <c r="I1460" i="7" s="1"/>
  <c r="A1461" i="7"/>
  <c r="H1461" i="7" s="1"/>
  <c r="I1461" i="7" s="1"/>
  <c r="A1462" i="7"/>
  <c r="H1462" i="7" s="1"/>
  <c r="I1462" i="7" s="1"/>
  <c r="A1463" i="7"/>
  <c r="H1463" i="7" s="1"/>
  <c r="I1463" i="7" s="1"/>
  <c r="A1464" i="7"/>
  <c r="H1464" i="7" s="1"/>
  <c r="I1464" i="7" s="1"/>
  <c r="A1465" i="7"/>
  <c r="H1465" i="7" s="1"/>
  <c r="I1465" i="7" s="1"/>
  <c r="A1466" i="7"/>
  <c r="H1466" i="7" s="1"/>
  <c r="I1466" i="7" s="1"/>
  <c r="A1467" i="7"/>
  <c r="H1467" i="7" s="1"/>
  <c r="I1467" i="7" s="1"/>
  <c r="A1468" i="7"/>
  <c r="H1468" i="7" s="1"/>
  <c r="I1468" i="7" s="1"/>
  <c r="A1469" i="7"/>
  <c r="H1469" i="7" s="1"/>
  <c r="I1469" i="7" s="1"/>
  <c r="A1470" i="7"/>
  <c r="H1470" i="7" s="1"/>
  <c r="I1470" i="7" s="1"/>
  <c r="A1471" i="7"/>
  <c r="H1471" i="7" s="1"/>
  <c r="I1471" i="7" s="1"/>
  <c r="A1472" i="7"/>
  <c r="H1472" i="7" s="1"/>
  <c r="I1472" i="7" s="1"/>
  <c r="A1473" i="7"/>
  <c r="H1473" i="7" s="1"/>
  <c r="I1473" i="7" s="1"/>
  <c r="A1474" i="7"/>
  <c r="H1474" i="7" s="1"/>
  <c r="I1474" i="7" s="1"/>
  <c r="A1475" i="7"/>
  <c r="H1475" i="7" s="1"/>
  <c r="I1475" i="7" s="1"/>
  <c r="A1476" i="7"/>
  <c r="H1476" i="7" s="1"/>
  <c r="I1476" i="7" s="1"/>
  <c r="A1477" i="7"/>
  <c r="H1477" i="7" s="1"/>
  <c r="I1477" i="7" s="1"/>
  <c r="A1478" i="7"/>
  <c r="H1478" i="7" s="1"/>
  <c r="I1478" i="7" s="1"/>
  <c r="A1479" i="7"/>
  <c r="H1479" i="7" s="1"/>
  <c r="I1479" i="7" s="1"/>
  <c r="A1480" i="7"/>
  <c r="H1480" i="7" s="1"/>
  <c r="I1480" i="7" s="1"/>
  <c r="A1481" i="7"/>
  <c r="H1481" i="7" s="1"/>
  <c r="I1481" i="7" s="1"/>
  <c r="A1482" i="7"/>
  <c r="H1482" i="7" s="1"/>
  <c r="I1482" i="7" s="1"/>
  <c r="A1483" i="7"/>
  <c r="H1483" i="7" s="1"/>
  <c r="I1483" i="7" s="1"/>
  <c r="A1484" i="7"/>
  <c r="H1484" i="7" s="1"/>
  <c r="I1484" i="7" s="1"/>
  <c r="A1485" i="7"/>
  <c r="H1485" i="7" s="1"/>
  <c r="I1485" i="7" s="1"/>
  <c r="A1486" i="7"/>
  <c r="H1486" i="7" s="1"/>
  <c r="I1486" i="7" s="1"/>
  <c r="A1487" i="7"/>
  <c r="H1487" i="7" s="1"/>
  <c r="I1487" i="7" s="1"/>
  <c r="A1488" i="7"/>
  <c r="H1488" i="7" s="1"/>
  <c r="I1488" i="7" s="1"/>
  <c r="A1489" i="7"/>
  <c r="H1489" i="7" s="1"/>
  <c r="I1489" i="7" s="1"/>
  <c r="A1490" i="7"/>
  <c r="H1490" i="7" s="1"/>
  <c r="I1490" i="7" s="1"/>
  <c r="A1491" i="7"/>
  <c r="H1491" i="7" s="1"/>
  <c r="I1491" i="7" s="1"/>
  <c r="A1492" i="7"/>
  <c r="H1492" i="7" s="1"/>
  <c r="I1492" i="7" s="1"/>
  <c r="A1493" i="7"/>
  <c r="H1493" i="7" s="1"/>
  <c r="I1493" i="7" s="1"/>
  <c r="A1494" i="7"/>
  <c r="H1494" i="7" s="1"/>
  <c r="I1494" i="7" s="1"/>
  <c r="A1495" i="7"/>
  <c r="H1495" i="7" s="1"/>
  <c r="I1495" i="7" s="1"/>
  <c r="A1496" i="7"/>
  <c r="H1496" i="7" s="1"/>
  <c r="I1496" i="7" s="1"/>
  <c r="A1497" i="7"/>
  <c r="H1497" i="7" s="1"/>
  <c r="I1497" i="7" s="1"/>
  <c r="A1498" i="7"/>
  <c r="H1498" i="7" s="1"/>
  <c r="I1498" i="7" s="1"/>
  <c r="A1499" i="7"/>
  <c r="H1499" i="7" s="1"/>
  <c r="I1499" i="7" s="1"/>
  <c r="A1500" i="7"/>
  <c r="H1500" i="7" s="1"/>
  <c r="I1500" i="7" s="1"/>
  <c r="A1501" i="7"/>
  <c r="H1501" i="7" s="1"/>
  <c r="I1501" i="7" s="1"/>
  <c r="A1502" i="7"/>
  <c r="H1502" i="7" s="1"/>
  <c r="I1502" i="7" s="1"/>
  <c r="A1503" i="7"/>
  <c r="H1503" i="7" s="1"/>
  <c r="I1503" i="7" s="1"/>
  <c r="A1504" i="7"/>
  <c r="H1504" i="7" s="1"/>
  <c r="I1504" i="7" s="1"/>
  <c r="A1505" i="7"/>
  <c r="H1505" i="7" s="1"/>
  <c r="I1505" i="7" s="1"/>
  <c r="A1506" i="7"/>
  <c r="H1506" i="7" s="1"/>
  <c r="I1506" i="7" s="1"/>
  <c r="A1507" i="7"/>
  <c r="H1507" i="7" s="1"/>
  <c r="I1507" i="7" s="1"/>
  <c r="A1508" i="7"/>
  <c r="H1508" i="7" s="1"/>
  <c r="I1508" i="7" s="1"/>
  <c r="A1509" i="7"/>
  <c r="H1509" i="7" s="1"/>
  <c r="I1509" i="7" s="1"/>
  <c r="A1510" i="7"/>
  <c r="H1510" i="7" s="1"/>
  <c r="I1510" i="7" s="1"/>
  <c r="A1511" i="7"/>
  <c r="H1511" i="7" s="1"/>
  <c r="I1511" i="7" s="1"/>
  <c r="A1512" i="7"/>
  <c r="H1512" i="7" s="1"/>
  <c r="I1512" i="7" s="1"/>
  <c r="A1513" i="7"/>
  <c r="H1513" i="7" s="1"/>
  <c r="I1513" i="7" s="1"/>
  <c r="A1514" i="7"/>
  <c r="H1514" i="7" s="1"/>
  <c r="I1514" i="7" s="1"/>
  <c r="A1515" i="7"/>
  <c r="H1515" i="7" s="1"/>
  <c r="I1515" i="7" s="1"/>
  <c r="A1516" i="7"/>
  <c r="H1516" i="7" s="1"/>
  <c r="I1516" i="7" s="1"/>
  <c r="A1517" i="7"/>
  <c r="H1517" i="7" s="1"/>
  <c r="I1517" i="7" s="1"/>
  <c r="A1518" i="7"/>
  <c r="H1518" i="7" s="1"/>
  <c r="I1518" i="7" s="1"/>
  <c r="A1519" i="7"/>
  <c r="H1519" i="7" s="1"/>
  <c r="I1519" i="7" s="1"/>
  <c r="A1520" i="7"/>
  <c r="H1520" i="7" s="1"/>
  <c r="I1520" i="7" s="1"/>
  <c r="A1521" i="7"/>
  <c r="H1521" i="7" s="1"/>
  <c r="I1521" i="7" s="1"/>
  <c r="A1522" i="7"/>
  <c r="H1522" i="7" s="1"/>
  <c r="I1522" i="7" s="1"/>
  <c r="A1523" i="7"/>
  <c r="H1523" i="7" s="1"/>
  <c r="I1523" i="7" s="1"/>
  <c r="A1524" i="7"/>
  <c r="H1524" i="7" s="1"/>
  <c r="I1524" i="7" s="1"/>
  <c r="A1525" i="7"/>
  <c r="H1525" i="7" s="1"/>
  <c r="I1525" i="7" s="1"/>
  <c r="A1526" i="7"/>
  <c r="H1526" i="7" s="1"/>
  <c r="I1526" i="7" s="1"/>
  <c r="A1527" i="7"/>
  <c r="H1527" i="7" s="1"/>
  <c r="I1527" i="7" s="1"/>
  <c r="A1528" i="7"/>
  <c r="H1528" i="7" s="1"/>
  <c r="I1528" i="7" s="1"/>
  <c r="A1529" i="7"/>
  <c r="H1529" i="7" s="1"/>
  <c r="I1529" i="7" s="1"/>
  <c r="A1530" i="7"/>
  <c r="H1530" i="7" s="1"/>
  <c r="I1530" i="7" s="1"/>
  <c r="A1531" i="7"/>
  <c r="H1531" i="7" s="1"/>
  <c r="I1531" i="7" s="1"/>
  <c r="A1532" i="7"/>
  <c r="H1532" i="7" s="1"/>
  <c r="I1532" i="7" s="1"/>
  <c r="A1533" i="7"/>
  <c r="H1533" i="7" s="1"/>
  <c r="I1533" i="7" s="1"/>
  <c r="A1534" i="7"/>
  <c r="H1534" i="7" s="1"/>
  <c r="I1534" i="7" s="1"/>
  <c r="A1535" i="7"/>
  <c r="H1535" i="7" s="1"/>
  <c r="I1535" i="7" s="1"/>
  <c r="A1536" i="7"/>
  <c r="H1536" i="7" s="1"/>
  <c r="I1536" i="7" s="1"/>
  <c r="A1537" i="7"/>
  <c r="H1537" i="7" s="1"/>
  <c r="I1537" i="7" s="1"/>
  <c r="A1538" i="7"/>
  <c r="H1538" i="7" s="1"/>
  <c r="I1538" i="7" s="1"/>
  <c r="A1539" i="7"/>
  <c r="H1539" i="7" s="1"/>
  <c r="I1539" i="7" s="1"/>
  <c r="A1540" i="7"/>
  <c r="H1540" i="7" s="1"/>
  <c r="I1540" i="7" s="1"/>
  <c r="A1541" i="7"/>
  <c r="H1541" i="7" s="1"/>
  <c r="I1541" i="7" s="1"/>
  <c r="A1542" i="7"/>
  <c r="H1542" i="7" s="1"/>
  <c r="I1542" i="7" s="1"/>
  <c r="A1543" i="7"/>
  <c r="H1543" i="7" s="1"/>
  <c r="I1543" i="7" s="1"/>
  <c r="A1544" i="7"/>
  <c r="H1544" i="7" s="1"/>
  <c r="I1544" i="7" s="1"/>
  <c r="A1545" i="7"/>
  <c r="H1545" i="7" s="1"/>
  <c r="I1545" i="7" s="1"/>
  <c r="A1546" i="7"/>
  <c r="H1546" i="7" s="1"/>
  <c r="I1546" i="7" s="1"/>
  <c r="A1547" i="7"/>
  <c r="H1547" i="7" s="1"/>
  <c r="I1547" i="7" s="1"/>
  <c r="A1548" i="7"/>
  <c r="H1548" i="7" s="1"/>
  <c r="I1548" i="7" s="1"/>
  <c r="A1549" i="7"/>
  <c r="H1549" i="7" s="1"/>
  <c r="I1549" i="7" s="1"/>
  <c r="A1550" i="7"/>
  <c r="H1550" i="7" s="1"/>
  <c r="I1550" i="7" s="1"/>
  <c r="A1551" i="7"/>
  <c r="H1551" i="7" s="1"/>
  <c r="I1551" i="7" s="1"/>
  <c r="A1552" i="7"/>
  <c r="H1552" i="7" s="1"/>
  <c r="I1552" i="7" s="1"/>
  <c r="A1553" i="7"/>
  <c r="H1553" i="7" s="1"/>
  <c r="I1553" i="7" s="1"/>
  <c r="A1554" i="7"/>
  <c r="H1554" i="7" s="1"/>
  <c r="I1554" i="7" s="1"/>
  <c r="A1555" i="7"/>
  <c r="H1555" i="7" s="1"/>
  <c r="I1555" i="7" s="1"/>
  <c r="A1556" i="7"/>
  <c r="H1556" i="7" s="1"/>
  <c r="I1556" i="7" s="1"/>
  <c r="A1557" i="7"/>
  <c r="H1557" i="7" s="1"/>
  <c r="I1557" i="7" s="1"/>
  <c r="A1558" i="7"/>
  <c r="H1558" i="7" s="1"/>
  <c r="I1558" i="7" s="1"/>
  <c r="A1559" i="7"/>
  <c r="H1559" i="7" s="1"/>
  <c r="I1559" i="7" s="1"/>
  <c r="A1560" i="7"/>
  <c r="H1560" i="7" s="1"/>
  <c r="I1560" i="7" s="1"/>
  <c r="A1561" i="7"/>
  <c r="H1561" i="7" s="1"/>
  <c r="I1561" i="7" s="1"/>
  <c r="A1562" i="7"/>
  <c r="H1562" i="7" s="1"/>
  <c r="I1562" i="7" s="1"/>
  <c r="A1563" i="7"/>
  <c r="H1563" i="7" s="1"/>
  <c r="I1563" i="7" s="1"/>
  <c r="A1564" i="7"/>
  <c r="H1564" i="7" s="1"/>
  <c r="I1564" i="7" s="1"/>
  <c r="A1565" i="7"/>
  <c r="H1565" i="7" s="1"/>
  <c r="I1565" i="7" s="1"/>
  <c r="A1566" i="7"/>
  <c r="H1566" i="7" s="1"/>
  <c r="I1566" i="7" s="1"/>
  <c r="A1567" i="7"/>
  <c r="H1567" i="7" s="1"/>
  <c r="I1567" i="7" s="1"/>
  <c r="A1568" i="7"/>
  <c r="H1568" i="7" s="1"/>
  <c r="I1568" i="7" s="1"/>
  <c r="A1569" i="7"/>
  <c r="H1569" i="7" s="1"/>
  <c r="I1569" i="7" s="1"/>
  <c r="A1570" i="7"/>
  <c r="H1570" i="7" s="1"/>
  <c r="I1570" i="7" s="1"/>
  <c r="A1571" i="7"/>
  <c r="H1571" i="7" s="1"/>
  <c r="I1571" i="7" s="1"/>
  <c r="A1572" i="7"/>
  <c r="H1572" i="7" s="1"/>
  <c r="I1572" i="7" s="1"/>
  <c r="A1573" i="7"/>
  <c r="H1573" i="7" s="1"/>
  <c r="I1573" i="7" s="1"/>
  <c r="A1574" i="7"/>
  <c r="H1574" i="7" s="1"/>
  <c r="I1574" i="7" s="1"/>
  <c r="A1575" i="7"/>
  <c r="H1575" i="7" s="1"/>
  <c r="I1575" i="7" s="1"/>
  <c r="A1576" i="7"/>
  <c r="H1576" i="7" s="1"/>
  <c r="I1576" i="7" s="1"/>
  <c r="A1577" i="7"/>
  <c r="H1577" i="7" s="1"/>
  <c r="I1577" i="7" s="1"/>
  <c r="A1578" i="7"/>
  <c r="H1578" i="7" s="1"/>
  <c r="I1578" i="7" s="1"/>
  <c r="A1579" i="7"/>
  <c r="H1579" i="7" s="1"/>
  <c r="I1579" i="7" s="1"/>
  <c r="A1580" i="7"/>
  <c r="H1580" i="7" s="1"/>
  <c r="I1580" i="7" s="1"/>
  <c r="A1581" i="7"/>
  <c r="H1581" i="7" s="1"/>
  <c r="I1581" i="7" s="1"/>
  <c r="A1582" i="7"/>
  <c r="H1582" i="7" s="1"/>
  <c r="I1582" i="7" s="1"/>
  <c r="A1583" i="7"/>
  <c r="H1583" i="7" s="1"/>
  <c r="I1583" i="7" s="1"/>
  <c r="A1584" i="7"/>
  <c r="H1584" i="7" s="1"/>
  <c r="I1584" i="7" s="1"/>
  <c r="A1585" i="7"/>
  <c r="H1585" i="7" s="1"/>
  <c r="I1585" i="7" s="1"/>
  <c r="A1586" i="7"/>
  <c r="H1586" i="7" s="1"/>
  <c r="I1586" i="7" s="1"/>
  <c r="A1587" i="7"/>
  <c r="H1587" i="7" s="1"/>
  <c r="I1587" i="7" s="1"/>
  <c r="A1588" i="7"/>
  <c r="H1588" i="7" s="1"/>
  <c r="I1588" i="7" s="1"/>
  <c r="A1589" i="7"/>
  <c r="H1589" i="7" s="1"/>
  <c r="I1589" i="7" s="1"/>
  <c r="A1590" i="7"/>
  <c r="H1590" i="7" s="1"/>
  <c r="I1590" i="7" s="1"/>
  <c r="A1591" i="7"/>
  <c r="H1591" i="7" s="1"/>
  <c r="I1591" i="7" s="1"/>
  <c r="A1592" i="7"/>
  <c r="H1592" i="7" s="1"/>
  <c r="I1592" i="7" s="1"/>
  <c r="A1593" i="7"/>
  <c r="H1593" i="7" s="1"/>
  <c r="I1593" i="7" s="1"/>
  <c r="A1594" i="7"/>
  <c r="H1594" i="7" s="1"/>
  <c r="I1594" i="7" s="1"/>
  <c r="A1595" i="7"/>
  <c r="H1595" i="7" s="1"/>
  <c r="I1595" i="7" s="1"/>
  <c r="A1596" i="7"/>
  <c r="H1596" i="7" s="1"/>
  <c r="I1596" i="7" s="1"/>
  <c r="A1597" i="7"/>
  <c r="H1597" i="7" s="1"/>
  <c r="I1597" i="7" s="1"/>
  <c r="A1598" i="7"/>
  <c r="H1598" i="7" s="1"/>
  <c r="I1598" i="7" s="1"/>
  <c r="A1599" i="7"/>
  <c r="H1599" i="7" s="1"/>
  <c r="I1599" i="7" s="1"/>
  <c r="A1600" i="7"/>
  <c r="H1600" i="7" s="1"/>
  <c r="I1600" i="7" s="1"/>
  <c r="A1601" i="7"/>
  <c r="H1601" i="7" s="1"/>
  <c r="I1601" i="7" s="1"/>
  <c r="A1602" i="7"/>
  <c r="H1602" i="7" s="1"/>
  <c r="I1602" i="7" s="1"/>
  <c r="A1603" i="7"/>
  <c r="H1603" i="7" s="1"/>
  <c r="I1603" i="7" s="1"/>
  <c r="A1604" i="7"/>
  <c r="H1604" i="7" s="1"/>
  <c r="I1604" i="7" s="1"/>
  <c r="A1605" i="7"/>
  <c r="H1605" i="7" s="1"/>
  <c r="I1605" i="7" s="1"/>
  <c r="A1606" i="7"/>
  <c r="H1606" i="7" s="1"/>
  <c r="I1606" i="7" s="1"/>
  <c r="A1607" i="7"/>
  <c r="H1607" i="7" s="1"/>
  <c r="I1607" i="7" s="1"/>
  <c r="A1608" i="7"/>
  <c r="H1608" i="7" s="1"/>
  <c r="I1608" i="7" s="1"/>
  <c r="A1609" i="7"/>
  <c r="H1609" i="7" s="1"/>
  <c r="I1609" i="7" s="1"/>
  <c r="A1610" i="7"/>
  <c r="H1610" i="7" s="1"/>
  <c r="I1610" i="7" s="1"/>
  <c r="A1611" i="7"/>
  <c r="H1611" i="7" s="1"/>
  <c r="I1611" i="7" s="1"/>
  <c r="A1612" i="7"/>
  <c r="H1612" i="7" s="1"/>
  <c r="I1612" i="7" s="1"/>
  <c r="A1613" i="7"/>
  <c r="H1613" i="7" s="1"/>
  <c r="I1613" i="7" s="1"/>
  <c r="A1614" i="7"/>
  <c r="H1614" i="7" s="1"/>
  <c r="I1614" i="7" s="1"/>
  <c r="A1615" i="7"/>
  <c r="H1615" i="7" s="1"/>
  <c r="I1615" i="7" s="1"/>
  <c r="A1616" i="7"/>
  <c r="H1616" i="7" s="1"/>
  <c r="I1616" i="7" s="1"/>
  <c r="A1617" i="7"/>
  <c r="H1617" i="7" s="1"/>
  <c r="I1617" i="7" s="1"/>
  <c r="A1618" i="7"/>
  <c r="H1618" i="7" s="1"/>
  <c r="I1618" i="7" s="1"/>
  <c r="A1619" i="7"/>
  <c r="H1619" i="7" s="1"/>
  <c r="I1619" i="7" s="1"/>
  <c r="A1620" i="7"/>
  <c r="H1620" i="7" s="1"/>
  <c r="I1620" i="7" s="1"/>
  <c r="A1621" i="7"/>
  <c r="H1621" i="7" s="1"/>
  <c r="I1621" i="7" s="1"/>
  <c r="A1622" i="7"/>
  <c r="H1622" i="7" s="1"/>
  <c r="I1622" i="7" s="1"/>
  <c r="A1623" i="7"/>
  <c r="H1623" i="7" s="1"/>
  <c r="I1623" i="7" s="1"/>
  <c r="A1624" i="7"/>
  <c r="H1624" i="7" s="1"/>
  <c r="I1624" i="7" s="1"/>
  <c r="A1625" i="7"/>
  <c r="H1625" i="7" s="1"/>
  <c r="I1625" i="7" s="1"/>
  <c r="A1626" i="7"/>
  <c r="H1626" i="7" s="1"/>
  <c r="I1626" i="7" s="1"/>
  <c r="A1627" i="7"/>
  <c r="H1627" i="7" s="1"/>
  <c r="I1627" i="7" s="1"/>
  <c r="A1628" i="7"/>
  <c r="H1628" i="7" s="1"/>
  <c r="I1628" i="7" s="1"/>
  <c r="A1629" i="7"/>
  <c r="H1629" i="7" s="1"/>
  <c r="I1629" i="7" s="1"/>
  <c r="A1630" i="7"/>
  <c r="H1630" i="7" s="1"/>
  <c r="I1630" i="7" s="1"/>
  <c r="A1631" i="7"/>
  <c r="H1631" i="7" s="1"/>
  <c r="I1631" i="7" s="1"/>
  <c r="A1632" i="7"/>
  <c r="H1632" i="7" s="1"/>
  <c r="I1632" i="7" s="1"/>
  <c r="A1633" i="7"/>
  <c r="H1633" i="7" s="1"/>
  <c r="I1633" i="7" s="1"/>
  <c r="A1634" i="7"/>
  <c r="H1634" i="7" s="1"/>
  <c r="I1634" i="7" s="1"/>
  <c r="A1635" i="7"/>
  <c r="H1635" i="7" s="1"/>
  <c r="I1635" i="7" s="1"/>
  <c r="A1636" i="7"/>
  <c r="H1636" i="7" s="1"/>
  <c r="I1636" i="7" s="1"/>
  <c r="A1637" i="7"/>
  <c r="H1637" i="7" s="1"/>
  <c r="I1637" i="7" s="1"/>
  <c r="A1638" i="7"/>
  <c r="H1638" i="7" s="1"/>
  <c r="I1638" i="7" s="1"/>
  <c r="A1639" i="7"/>
  <c r="H1639" i="7" s="1"/>
  <c r="I1639" i="7" s="1"/>
  <c r="A1640" i="7"/>
  <c r="H1640" i="7" s="1"/>
  <c r="I1640" i="7" s="1"/>
  <c r="A1641" i="7"/>
  <c r="H1641" i="7" s="1"/>
  <c r="I1641" i="7" s="1"/>
  <c r="A1642" i="7"/>
  <c r="H1642" i="7" s="1"/>
  <c r="I1642" i="7" s="1"/>
  <c r="A1643" i="7"/>
  <c r="H1643" i="7" s="1"/>
  <c r="I1643" i="7" s="1"/>
  <c r="A1644" i="7"/>
  <c r="H1644" i="7" s="1"/>
  <c r="I1644" i="7" s="1"/>
  <c r="A1645" i="7"/>
  <c r="H1645" i="7" s="1"/>
  <c r="I1645" i="7" s="1"/>
  <c r="A1646" i="7"/>
  <c r="H1646" i="7" s="1"/>
  <c r="I1646" i="7" s="1"/>
  <c r="A1647" i="7"/>
  <c r="H1647" i="7" s="1"/>
  <c r="I1647" i="7" s="1"/>
  <c r="A1648" i="7"/>
  <c r="H1648" i="7" s="1"/>
  <c r="I1648" i="7" s="1"/>
  <c r="A1649" i="7"/>
  <c r="H1649" i="7" s="1"/>
  <c r="I1649" i="7" s="1"/>
  <c r="A1650" i="7"/>
  <c r="H1650" i="7" s="1"/>
  <c r="I1650" i="7" s="1"/>
  <c r="A1651" i="7"/>
  <c r="H1651" i="7" s="1"/>
  <c r="I1651" i="7" s="1"/>
  <c r="A1652" i="7"/>
  <c r="H1652" i="7" s="1"/>
  <c r="I1652" i="7" s="1"/>
  <c r="A1653" i="7"/>
  <c r="H1653" i="7" s="1"/>
  <c r="I1653" i="7" s="1"/>
  <c r="A1654" i="7"/>
  <c r="H1654" i="7" s="1"/>
  <c r="I1654" i="7" s="1"/>
  <c r="A1655" i="7"/>
  <c r="H1655" i="7" s="1"/>
  <c r="I1655" i="7" s="1"/>
  <c r="A1656" i="7"/>
  <c r="H1656" i="7" s="1"/>
  <c r="I1656" i="7" s="1"/>
  <c r="A1657" i="7"/>
  <c r="H1657" i="7" s="1"/>
  <c r="I1657" i="7" s="1"/>
  <c r="A1658" i="7"/>
  <c r="H1658" i="7" s="1"/>
  <c r="I1658" i="7" s="1"/>
  <c r="A1659" i="7"/>
  <c r="H1659" i="7" s="1"/>
  <c r="I1659" i="7" s="1"/>
  <c r="A1660" i="7"/>
  <c r="H1660" i="7" s="1"/>
  <c r="I1660" i="7" s="1"/>
  <c r="A1661" i="7"/>
  <c r="H1661" i="7" s="1"/>
  <c r="I1661" i="7" s="1"/>
  <c r="A1662" i="7"/>
  <c r="H1662" i="7" s="1"/>
  <c r="I1662" i="7" s="1"/>
  <c r="A1663" i="7"/>
  <c r="H1663" i="7" s="1"/>
  <c r="I1663" i="7" s="1"/>
  <c r="A1664" i="7"/>
  <c r="H1664" i="7" s="1"/>
  <c r="I1664" i="7" s="1"/>
  <c r="A1665" i="7"/>
  <c r="H1665" i="7" s="1"/>
  <c r="I1665" i="7" s="1"/>
  <c r="A1666" i="7"/>
  <c r="H1666" i="7" s="1"/>
  <c r="I1666" i="7" s="1"/>
  <c r="A1667" i="7"/>
  <c r="H1667" i="7" s="1"/>
  <c r="I1667" i="7" s="1"/>
  <c r="A1668" i="7"/>
  <c r="H1668" i="7" s="1"/>
  <c r="I1668" i="7" s="1"/>
  <c r="A1669" i="7"/>
  <c r="H1669" i="7" s="1"/>
  <c r="I1669" i="7" s="1"/>
  <c r="A1670" i="7"/>
  <c r="H1670" i="7" s="1"/>
  <c r="I1670" i="7" s="1"/>
  <c r="A1671" i="7"/>
  <c r="H1671" i="7" s="1"/>
  <c r="I1671" i="7" s="1"/>
  <c r="A1672" i="7"/>
  <c r="H1672" i="7" s="1"/>
  <c r="I1672" i="7" s="1"/>
  <c r="A1673" i="7"/>
  <c r="H1673" i="7" s="1"/>
  <c r="I1673" i="7" s="1"/>
  <c r="A1674" i="7"/>
  <c r="H1674" i="7" s="1"/>
  <c r="I1674" i="7" s="1"/>
  <c r="A1675" i="7"/>
  <c r="H1675" i="7" s="1"/>
  <c r="I1675" i="7" s="1"/>
  <c r="A1676" i="7"/>
  <c r="H1676" i="7" s="1"/>
  <c r="I1676" i="7" s="1"/>
  <c r="A1677" i="7"/>
  <c r="H1677" i="7" s="1"/>
  <c r="I1677" i="7" s="1"/>
  <c r="A1678" i="7"/>
  <c r="H1678" i="7" s="1"/>
  <c r="I1678" i="7" s="1"/>
  <c r="A1679" i="7"/>
  <c r="H1679" i="7" s="1"/>
  <c r="I1679" i="7" s="1"/>
  <c r="A1680" i="7"/>
  <c r="H1680" i="7" s="1"/>
  <c r="I1680" i="7" s="1"/>
  <c r="A1681" i="7"/>
  <c r="H1681" i="7" s="1"/>
  <c r="I1681" i="7" s="1"/>
  <c r="A1682" i="7"/>
  <c r="H1682" i="7" s="1"/>
  <c r="I1682" i="7" s="1"/>
  <c r="A1683" i="7"/>
  <c r="H1683" i="7" s="1"/>
  <c r="I1683" i="7" s="1"/>
  <c r="A1684" i="7"/>
  <c r="H1684" i="7" s="1"/>
  <c r="I1684" i="7" s="1"/>
  <c r="A1685" i="7"/>
  <c r="H1685" i="7" s="1"/>
  <c r="I1685" i="7" s="1"/>
  <c r="A1686" i="7"/>
  <c r="H1686" i="7" s="1"/>
  <c r="I1686" i="7" s="1"/>
  <c r="A1687" i="7"/>
  <c r="H1687" i="7" s="1"/>
  <c r="I1687" i="7" s="1"/>
  <c r="A1688" i="7"/>
  <c r="H1688" i="7" s="1"/>
  <c r="I1688" i="7" s="1"/>
  <c r="A1689" i="7"/>
  <c r="H1689" i="7" s="1"/>
  <c r="I1689" i="7" s="1"/>
  <c r="A1690" i="7"/>
  <c r="H1690" i="7" s="1"/>
  <c r="I1690" i="7" s="1"/>
  <c r="A1691" i="7"/>
  <c r="H1691" i="7" s="1"/>
  <c r="I1691" i="7" s="1"/>
  <c r="A1692" i="7"/>
  <c r="H1692" i="7" s="1"/>
  <c r="I1692" i="7" s="1"/>
  <c r="A1693" i="7"/>
  <c r="H1693" i="7" s="1"/>
  <c r="I1693" i="7" s="1"/>
  <c r="A1694" i="7"/>
  <c r="H1694" i="7" s="1"/>
  <c r="I1694" i="7" s="1"/>
  <c r="A1695" i="7"/>
  <c r="H1695" i="7" s="1"/>
  <c r="I1695" i="7" s="1"/>
  <c r="A1696" i="7"/>
  <c r="H1696" i="7" s="1"/>
  <c r="I1696" i="7" s="1"/>
  <c r="A1697" i="7"/>
  <c r="H1697" i="7" s="1"/>
  <c r="I1697" i="7" s="1"/>
  <c r="A1698" i="7"/>
  <c r="H1698" i="7" s="1"/>
  <c r="I1698" i="7" s="1"/>
  <c r="A1699" i="7"/>
  <c r="H1699" i="7" s="1"/>
  <c r="I1699" i="7" s="1"/>
  <c r="A1700" i="7"/>
  <c r="H1700" i="7" s="1"/>
  <c r="I1700" i="7" s="1"/>
  <c r="A1701" i="7"/>
  <c r="H1701" i="7" s="1"/>
  <c r="I1701" i="7" s="1"/>
  <c r="A1702" i="7"/>
  <c r="H1702" i="7" s="1"/>
  <c r="I1702" i="7" s="1"/>
  <c r="A1703" i="7"/>
  <c r="H1703" i="7" s="1"/>
  <c r="I1703" i="7" s="1"/>
  <c r="A1704" i="7"/>
  <c r="H1704" i="7" s="1"/>
  <c r="I1704" i="7" s="1"/>
  <c r="A1705" i="7"/>
  <c r="H1705" i="7" s="1"/>
  <c r="I1705" i="7" s="1"/>
  <c r="A1706" i="7"/>
  <c r="H1706" i="7" s="1"/>
  <c r="I1706" i="7" s="1"/>
  <c r="A1707" i="7"/>
  <c r="H1707" i="7" s="1"/>
  <c r="I1707" i="7" s="1"/>
  <c r="A1708" i="7"/>
  <c r="H1708" i="7" s="1"/>
  <c r="I1708" i="7" s="1"/>
  <c r="A1709" i="7"/>
  <c r="H1709" i="7" s="1"/>
  <c r="I1709" i="7" s="1"/>
  <c r="A1710" i="7"/>
  <c r="H1710" i="7" s="1"/>
  <c r="I1710" i="7" s="1"/>
  <c r="A1711" i="7"/>
  <c r="H1711" i="7" s="1"/>
  <c r="I1711" i="7" s="1"/>
  <c r="A1712" i="7"/>
  <c r="H1712" i="7" s="1"/>
  <c r="I1712" i="7" s="1"/>
  <c r="A1713" i="7"/>
  <c r="H1713" i="7" s="1"/>
  <c r="I1713" i="7" s="1"/>
  <c r="A1714" i="7"/>
  <c r="H1714" i="7" s="1"/>
  <c r="I1714" i="7" s="1"/>
  <c r="A1715" i="7"/>
  <c r="H1715" i="7" s="1"/>
  <c r="I1715" i="7" s="1"/>
  <c r="A1716" i="7"/>
  <c r="H1716" i="7" s="1"/>
  <c r="I1716" i="7" s="1"/>
  <c r="A1717" i="7"/>
  <c r="H1717" i="7" s="1"/>
  <c r="I1717" i="7" s="1"/>
  <c r="A1718" i="7"/>
  <c r="H1718" i="7" s="1"/>
  <c r="I1718" i="7" s="1"/>
  <c r="A1719" i="7"/>
  <c r="H1719" i="7" s="1"/>
  <c r="I1719" i="7" s="1"/>
  <c r="A1720" i="7"/>
  <c r="H1720" i="7" s="1"/>
  <c r="I1720" i="7" s="1"/>
  <c r="A1721" i="7"/>
  <c r="H1721" i="7" s="1"/>
  <c r="I1721" i="7" s="1"/>
  <c r="A1722" i="7"/>
  <c r="H1722" i="7" s="1"/>
  <c r="I1722" i="7" s="1"/>
  <c r="A1723" i="7"/>
  <c r="H1723" i="7" s="1"/>
  <c r="I1723" i="7" s="1"/>
  <c r="A1724" i="7"/>
  <c r="H1724" i="7" s="1"/>
  <c r="I1724" i="7" s="1"/>
  <c r="A1725" i="7"/>
  <c r="H1725" i="7" s="1"/>
  <c r="I1725" i="7" s="1"/>
  <c r="A1726" i="7"/>
  <c r="H1726" i="7" s="1"/>
  <c r="I1726" i="7" s="1"/>
  <c r="A1727" i="7"/>
  <c r="H1727" i="7" s="1"/>
  <c r="I1727" i="7" s="1"/>
  <c r="A1728" i="7"/>
  <c r="H1728" i="7" s="1"/>
  <c r="I1728" i="7" s="1"/>
  <c r="A1729" i="7"/>
  <c r="H1729" i="7" s="1"/>
  <c r="I1729" i="7" s="1"/>
  <c r="A1730" i="7"/>
  <c r="H1730" i="7" s="1"/>
  <c r="I1730" i="7" s="1"/>
  <c r="A1731" i="7"/>
  <c r="H1731" i="7" s="1"/>
  <c r="I1731" i="7" s="1"/>
  <c r="A1732" i="7"/>
  <c r="H1732" i="7" s="1"/>
  <c r="I1732" i="7" s="1"/>
  <c r="A1733" i="7"/>
  <c r="H1733" i="7" s="1"/>
  <c r="I1733" i="7" s="1"/>
  <c r="A1734" i="7"/>
  <c r="H1734" i="7" s="1"/>
  <c r="I1734" i="7" s="1"/>
  <c r="A1735" i="7"/>
  <c r="H1735" i="7" s="1"/>
  <c r="I1735" i="7" s="1"/>
  <c r="A1736" i="7"/>
  <c r="H1736" i="7" s="1"/>
  <c r="I1736" i="7" s="1"/>
  <c r="A1737" i="7"/>
  <c r="H1737" i="7" s="1"/>
  <c r="I1737" i="7" s="1"/>
  <c r="A1738" i="7"/>
  <c r="H1738" i="7" s="1"/>
  <c r="I1738" i="7" s="1"/>
  <c r="A1739" i="7"/>
  <c r="H1739" i="7" s="1"/>
  <c r="I1739" i="7" s="1"/>
  <c r="A1740" i="7"/>
  <c r="H1740" i="7" s="1"/>
  <c r="I1740" i="7" s="1"/>
  <c r="A1741" i="7"/>
  <c r="H1741" i="7" s="1"/>
  <c r="I1741" i="7" s="1"/>
  <c r="A1742" i="7"/>
  <c r="H1742" i="7" s="1"/>
  <c r="I1742" i="7" s="1"/>
  <c r="A1743" i="7"/>
  <c r="H1743" i="7" s="1"/>
  <c r="I1743" i="7" s="1"/>
  <c r="A1744" i="7"/>
  <c r="H1744" i="7" s="1"/>
  <c r="I1744" i="7" s="1"/>
  <c r="A1745" i="7"/>
  <c r="H1745" i="7" s="1"/>
  <c r="I1745" i="7" s="1"/>
  <c r="A1746" i="7"/>
  <c r="H1746" i="7" s="1"/>
  <c r="I1746" i="7" s="1"/>
  <c r="A1747" i="7"/>
  <c r="H1747" i="7" s="1"/>
  <c r="I1747" i="7" s="1"/>
  <c r="A1748" i="7"/>
  <c r="H1748" i="7" s="1"/>
  <c r="I1748" i="7" s="1"/>
  <c r="A1749" i="7"/>
  <c r="H1749" i="7" s="1"/>
  <c r="I1749" i="7" s="1"/>
  <c r="A1750" i="7"/>
  <c r="H1750" i="7" s="1"/>
  <c r="I1750" i="7" s="1"/>
  <c r="A1751" i="7"/>
  <c r="H1751" i="7" s="1"/>
  <c r="I1751" i="7" s="1"/>
  <c r="A1752" i="7"/>
  <c r="H1752" i="7" s="1"/>
  <c r="I1752" i="7" s="1"/>
  <c r="A1753" i="7"/>
  <c r="H1753" i="7" s="1"/>
  <c r="I1753" i="7" s="1"/>
  <c r="A1754" i="7"/>
  <c r="H1754" i="7" s="1"/>
  <c r="I1754" i="7" s="1"/>
  <c r="A1755" i="7"/>
  <c r="H1755" i="7" s="1"/>
  <c r="I1755" i="7" s="1"/>
  <c r="A1756" i="7"/>
  <c r="H1756" i="7" s="1"/>
  <c r="I1756" i="7" s="1"/>
  <c r="A1757" i="7"/>
  <c r="H1757" i="7" s="1"/>
  <c r="I1757" i="7" s="1"/>
  <c r="A1758" i="7"/>
  <c r="H1758" i="7" s="1"/>
  <c r="I1758" i="7" s="1"/>
  <c r="A1759" i="7"/>
  <c r="H1759" i="7" s="1"/>
  <c r="I1759" i="7" s="1"/>
  <c r="A1760" i="7"/>
  <c r="H1760" i="7" s="1"/>
  <c r="I1760" i="7" s="1"/>
  <c r="A1761" i="7"/>
  <c r="H1761" i="7" s="1"/>
  <c r="I1761" i="7" s="1"/>
  <c r="A1762" i="7"/>
  <c r="H1762" i="7" s="1"/>
  <c r="I1762" i="7" s="1"/>
  <c r="A1763" i="7"/>
  <c r="H1763" i="7" s="1"/>
  <c r="I1763" i="7" s="1"/>
  <c r="A1764" i="7"/>
  <c r="H1764" i="7" s="1"/>
  <c r="I1764" i="7" s="1"/>
  <c r="A1765" i="7"/>
  <c r="H1765" i="7" s="1"/>
  <c r="I1765" i="7" s="1"/>
  <c r="A1766" i="7"/>
  <c r="H1766" i="7" s="1"/>
  <c r="I1766" i="7" s="1"/>
  <c r="A1767" i="7"/>
  <c r="H1767" i="7" s="1"/>
  <c r="I1767" i="7" s="1"/>
  <c r="A1768" i="7"/>
  <c r="H1768" i="7" s="1"/>
  <c r="I1768" i="7" s="1"/>
  <c r="A1769" i="7"/>
  <c r="H1769" i="7" s="1"/>
  <c r="I1769" i="7" s="1"/>
  <c r="A1770" i="7"/>
  <c r="H1770" i="7" s="1"/>
  <c r="I1770" i="7" s="1"/>
  <c r="A1771" i="7"/>
  <c r="H1771" i="7" s="1"/>
  <c r="I1771" i="7" s="1"/>
  <c r="A1772" i="7"/>
  <c r="H1772" i="7" s="1"/>
  <c r="I1772" i="7" s="1"/>
  <c r="A1773" i="7"/>
  <c r="H1773" i="7" s="1"/>
  <c r="I1773" i="7" s="1"/>
  <c r="A1774" i="7"/>
  <c r="H1774" i="7" s="1"/>
  <c r="I1774" i="7" s="1"/>
  <c r="A1775" i="7"/>
  <c r="H1775" i="7" s="1"/>
  <c r="I1775" i="7" s="1"/>
  <c r="A1776" i="7"/>
  <c r="H1776" i="7" s="1"/>
  <c r="I1776" i="7" s="1"/>
  <c r="A1777" i="7"/>
  <c r="H1777" i="7" s="1"/>
  <c r="I1777" i="7" s="1"/>
  <c r="A1778" i="7"/>
  <c r="H1778" i="7" s="1"/>
  <c r="I1778" i="7" s="1"/>
  <c r="A1779" i="7"/>
  <c r="H1779" i="7" s="1"/>
  <c r="I1779" i="7" s="1"/>
  <c r="A1780" i="7"/>
  <c r="H1780" i="7" s="1"/>
  <c r="I1780" i="7" s="1"/>
  <c r="A1781" i="7"/>
  <c r="H1781" i="7" s="1"/>
  <c r="I1781" i="7" s="1"/>
  <c r="A1782" i="7"/>
  <c r="H1782" i="7" s="1"/>
  <c r="I1782" i="7" s="1"/>
  <c r="A1783" i="7"/>
  <c r="H1783" i="7" s="1"/>
  <c r="I1783" i="7" s="1"/>
  <c r="A1784" i="7"/>
  <c r="H1784" i="7" s="1"/>
  <c r="I1784" i="7" s="1"/>
  <c r="A1785" i="7"/>
  <c r="H1785" i="7" s="1"/>
  <c r="I1785" i="7" s="1"/>
  <c r="A1786" i="7"/>
  <c r="H1786" i="7" s="1"/>
  <c r="I1786" i="7" s="1"/>
  <c r="A1787" i="7"/>
  <c r="H1787" i="7" s="1"/>
  <c r="I1787" i="7" s="1"/>
  <c r="A1788" i="7"/>
  <c r="H1788" i="7" s="1"/>
  <c r="I1788" i="7" s="1"/>
  <c r="A1789" i="7"/>
  <c r="H1789" i="7" s="1"/>
  <c r="I1789" i="7" s="1"/>
  <c r="A1790" i="7"/>
  <c r="H1790" i="7" s="1"/>
  <c r="I1790" i="7" s="1"/>
  <c r="A1791" i="7"/>
  <c r="H1791" i="7" s="1"/>
  <c r="I1791" i="7" s="1"/>
  <c r="A1792" i="7"/>
  <c r="H1792" i="7" s="1"/>
  <c r="I1792" i="7" s="1"/>
  <c r="A1793" i="7"/>
  <c r="H1793" i="7" s="1"/>
  <c r="I1793" i="7" s="1"/>
  <c r="A1794" i="7"/>
  <c r="H1794" i="7" s="1"/>
  <c r="I1794" i="7" s="1"/>
  <c r="A1795" i="7"/>
  <c r="H1795" i="7" s="1"/>
  <c r="I1795" i="7" s="1"/>
  <c r="A1796" i="7"/>
  <c r="H1796" i="7" s="1"/>
  <c r="I1796" i="7" s="1"/>
  <c r="A1797" i="7"/>
  <c r="H1797" i="7" s="1"/>
  <c r="I1797" i="7" s="1"/>
  <c r="A1798" i="7"/>
  <c r="H1798" i="7" s="1"/>
  <c r="I1798" i="7" s="1"/>
  <c r="A1799" i="7"/>
  <c r="H1799" i="7" s="1"/>
  <c r="I1799" i="7" s="1"/>
  <c r="A1800" i="7"/>
  <c r="H1800" i="7" s="1"/>
  <c r="I1800" i="7" s="1"/>
  <c r="A1801" i="7"/>
  <c r="H1801" i="7" s="1"/>
  <c r="I1801" i="7" s="1"/>
  <c r="A1802" i="7"/>
  <c r="H1802" i="7" s="1"/>
  <c r="I1802" i="7" s="1"/>
  <c r="A1803" i="7"/>
  <c r="H1803" i="7" s="1"/>
  <c r="I1803" i="7" s="1"/>
  <c r="A1804" i="7"/>
  <c r="H1804" i="7" s="1"/>
  <c r="I1804" i="7" s="1"/>
  <c r="A1805" i="7"/>
  <c r="H1805" i="7" s="1"/>
  <c r="I1805" i="7" s="1"/>
  <c r="A1806" i="7"/>
  <c r="H1806" i="7" s="1"/>
  <c r="I1806" i="7" s="1"/>
  <c r="A1807" i="7"/>
  <c r="H1807" i="7" s="1"/>
  <c r="I1807" i="7" s="1"/>
  <c r="A1808" i="7"/>
  <c r="H1808" i="7" s="1"/>
  <c r="I1808" i="7" s="1"/>
  <c r="A1809" i="7"/>
  <c r="H1809" i="7" s="1"/>
  <c r="I1809" i="7" s="1"/>
  <c r="A1810" i="7"/>
  <c r="H1810" i="7" s="1"/>
  <c r="I1810" i="7" s="1"/>
  <c r="A1811" i="7"/>
  <c r="H1811" i="7" s="1"/>
  <c r="I1811" i="7" s="1"/>
  <c r="A1812" i="7"/>
  <c r="H1812" i="7" s="1"/>
  <c r="I1812" i="7" s="1"/>
  <c r="A1813" i="7"/>
  <c r="H1813" i="7" s="1"/>
  <c r="I1813" i="7" s="1"/>
  <c r="A1814" i="7"/>
  <c r="H1814" i="7" s="1"/>
  <c r="I1814" i="7" s="1"/>
  <c r="A1815" i="7"/>
  <c r="H1815" i="7" s="1"/>
  <c r="I1815" i="7" s="1"/>
  <c r="A1816" i="7"/>
  <c r="H1816" i="7" s="1"/>
  <c r="I1816" i="7" s="1"/>
  <c r="A1817" i="7"/>
  <c r="H1817" i="7" s="1"/>
  <c r="I1817" i="7" s="1"/>
  <c r="A1818" i="7"/>
  <c r="H1818" i="7" s="1"/>
  <c r="I1818" i="7" s="1"/>
  <c r="A1819" i="7"/>
  <c r="H1819" i="7" s="1"/>
  <c r="I1819" i="7" s="1"/>
  <c r="A1820" i="7"/>
  <c r="H1820" i="7" s="1"/>
  <c r="I1820" i="7" s="1"/>
  <c r="A1821" i="7"/>
  <c r="H1821" i="7" s="1"/>
  <c r="I1821" i="7" s="1"/>
  <c r="A1822" i="7"/>
  <c r="H1822" i="7" s="1"/>
  <c r="I1822" i="7" s="1"/>
  <c r="A1823" i="7"/>
  <c r="H1823" i="7" s="1"/>
  <c r="I1823" i="7" s="1"/>
  <c r="A1824" i="7"/>
  <c r="H1824" i="7" s="1"/>
  <c r="I1824" i="7" s="1"/>
  <c r="A1825" i="7"/>
  <c r="H1825" i="7" s="1"/>
  <c r="I1825" i="7" s="1"/>
  <c r="A1826" i="7"/>
  <c r="H1826" i="7" s="1"/>
  <c r="I1826" i="7" s="1"/>
  <c r="A1827" i="7"/>
  <c r="H1827" i="7" s="1"/>
  <c r="I1827" i="7" s="1"/>
  <c r="A1828" i="7"/>
  <c r="H1828" i="7" s="1"/>
  <c r="I1828" i="7" s="1"/>
  <c r="A1829" i="7"/>
  <c r="H1829" i="7" s="1"/>
  <c r="I1829" i="7" s="1"/>
  <c r="A1830" i="7"/>
  <c r="H1830" i="7" s="1"/>
  <c r="I1830" i="7" s="1"/>
  <c r="A1831" i="7"/>
  <c r="H1831" i="7" s="1"/>
  <c r="I1831" i="7" s="1"/>
  <c r="A1832" i="7"/>
  <c r="H1832" i="7" s="1"/>
  <c r="I1832" i="7" s="1"/>
  <c r="A1833" i="7"/>
  <c r="H1833" i="7" s="1"/>
  <c r="I1833" i="7" s="1"/>
  <c r="A1834" i="7"/>
  <c r="H1834" i="7" s="1"/>
  <c r="I1834" i="7" s="1"/>
  <c r="A1835" i="7"/>
  <c r="H1835" i="7" s="1"/>
  <c r="I1835" i="7" s="1"/>
  <c r="A1836" i="7"/>
  <c r="H1836" i="7" s="1"/>
  <c r="I1836" i="7" s="1"/>
  <c r="A1837" i="7"/>
  <c r="H1837" i="7" s="1"/>
  <c r="I1837" i="7" s="1"/>
  <c r="A1838" i="7"/>
  <c r="H1838" i="7" s="1"/>
  <c r="I1838" i="7" s="1"/>
  <c r="A1839" i="7"/>
  <c r="H1839" i="7" s="1"/>
  <c r="I1839" i="7" s="1"/>
  <c r="A1840" i="7"/>
  <c r="H1840" i="7" s="1"/>
  <c r="I1840" i="7" s="1"/>
  <c r="A1841" i="7"/>
  <c r="H1841" i="7" s="1"/>
  <c r="I1841" i="7" s="1"/>
  <c r="A1842" i="7"/>
  <c r="H1842" i="7" s="1"/>
  <c r="I1842" i="7" s="1"/>
  <c r="A1843" i="7"/>
  <c r="H1843" i="7" s="1"/>
  <c r="I1843" i="7" s="1"/>
  <c r="A1844" i="7"/>
  <c r="H1844" i="7" s="1"/>
  <c r="I1844" i="7" s="1"/>
  <c r="A1845" i="7"/>
  <c r="H1845" i="7" s="1"/>
  <c r="I1845" i="7" s="1"/>
  <c r="A1846" i="7"/>
  <c r="H1846" i="7" s="1"/>
  <c r="I1846" i="7" s="1"/>
  <c r="A1847" i="7"/>
  <c r="H1847" i="7" s="1"/>
  <c r="I1847" i="7" s="1"/>
  <c r="A1848" i="7"/>
  <c r="H1848" i="7" s="1"/>
  <c r="I1848" i="7" s="1"/>
  <c r="A1849" i="7"/>
  <c r="H1849" i="7" s="1"/>
  <c r="I1849" i="7" s="1"/>
  <c r="A1850" i="7"/>
  <c r="H1850" i="7" s="1"/>
  <c r="I1850" i="7" s="1"/>
  <c r="A1851" i="7"/>
  <c r="H1851" i="7" s="1"/>
  <c r="I1851" i="7" s="1"/>
  <c r="A1852" i="7"/>
  <c r="H1852" i="7" s="1"/>
  <c r="I1852" i="7" s="1"/>
  <c r="A1853" i="7"/>
  <c r="H1853" i="7" s="1"/>
  <c r="I1853" i="7" s="1"/>
  <c r="A1854" i="7"/>
  <c r="H1854" i="7" s="1"/>
  <c r="I1854" i="7" s="1"/>
  <c r="A1855" i="7"/>
  <c r="H1855" i="7" s="1"/>
  <c r="I1855" i="7" s="1"/>
  <c r="A1856" i="7"/>
  <c r="H1856" i="7" s="1"/>
  <c r="I1856" i="7" s="1"/>
  <c r="A1857" i="7"/>
  <c r="H1857" i="7" s="1"/>
  <c r="I1857" i="7" s="1"/>
  <c r="A1858" i="7"/>
  <c r="H1858" i="7" s="1"/>
  <c r="I1858" i="7" s="1"/>
  <c r="A1859" i="7"/>
  <c r="H1859" i="7" s="1"/>
  <c r="I1859" i="7" s="1"/>
  <c r="A1860" i="7"/>
  <c r="H1860" i="7" s="1"/>
  <c r="I1860" i="7" s="1"/>
  <c r="A1861" i="7"/>
  <c r="H1861" i="7" s="1"/>
  <c r="I1861" i="7" s="1"/>
  <c r="A1862" i="7"/>
  <c r="H1862" i="7" s="1"/>
  <c r="I1862" i="7" s="1"/>
  <c r="A1863" i="7"/>
  <c r="H1863" i="7" s="1"/>
  <c r="I1863" i="7" s="1"/>
  <c r="A1864" i="7"/>
  <c r="H1864" i="7" s="1"/>
  <c r="I1864" i="7" s="1"/>
  <c r="A1865" i="7"/>
  <c r="H1865" i="7" s="1"/>
  <c r="I1865" i="7" s="1"/>
  <c r="A1866" i="7"/>
  <c r="H1866" i="7" s="1"/>
  <c r="I1866" i="7" s="1"/>
  <c r="A1867" i="7"/>
  <c r="H1867" i="7" s="1"/>
  <c r="I1867" i="7" s="1"/>
  <c r="A1868" i="7"/>
  <c r="H1868" i="7" s="1"/>
  <c r="I1868" i="7" s="1"/>
  <c r="A1869" i="7"/>
  <c r="H1869" i="7" s="1"/>
  <c r="I1869" i="7" s="1"/>
  <c r="A1870" i="7"/>
  <c r="H1870" i="7" s="1"/>
  <c r="I1870" i="7" s="1"/>
  <c r="A1871" i="7"/>
  <c r="H1871" i="7" s="1"/>
  <c r="I1871" i="7" s="1"/>
  <c r="A1872" i="7"/>
  <c r="H1872" i="7" s="1"/>
  <c r="I1872" i="7" s="1"/>
  <c r="A1873" i="7"/>
  <c r="H1873" i="7" s="1"/>
  <c r="I1873" i="7" s="1"/>
  <c r="A1874" i="7"/>
  <c r="H1874" i="7" s="1"/>
  <c r="I1874" i="7" s="1"/>
  <c r="A1875" i="7"/>
  <c r="H1875" i="7" s="1"/>
  <c r="I1875" i="7" s="1"/>
  <c r="A1876" i="7"/>
  <c r="H1876" i="7" s="1"/>
  <c r="I1876" i="7" s="1"/>
  <c r="A1877" i="7"/>
  <c r="H1877" i="7" s="1"/>
  <c r="I1877" i="7" s="1"/>
  <c r="A1878" i="7"/>
  <c r="H1878" i="7" s="1"/>
  <c r="I1878" i="7" s="1"/>
  <c r="A1879" i="7"/>
  <c r="H1879" i="7" s="1"/>
  <c r="I1879" i="7" s="1"/>
  <c r="A1880" i="7"/>
  <c r="H1880" i="7" s="1"/>
  <c r="I1880" i="7" s="1"/>
  <c r="A1881" i="7"/>
  <c r="H1881" i="7" s="1"/>
  <c r="I1881" i="7" s="1"/>
  <c r="A1882" i="7"/>
  <c r="H1882" i="7" s="1"/>
  <c r="I1882" i="7" s="1"/>
  <c r="A1883" i="7"/>
  <c r="H1883" i="7" s="1"/>
  <c r="I1883" i="7" s="1"/>
  <c r="A1884" i="7"/>
  <c r="H1884" i="7" s="1"/>
  <c r="I1884" i="7" s="1"/>
  <c r="A1885" i="7"/>
  <c r="H1885" i="7" s="1"/>
  <c r="I1885" i="7" s="1"/>
  <c r="A1886" i="7"/>
  <c r="H1886" i="7" s="1"/>
  <c r="I1886" i="7" s="1"/>
  <c r="A1887" i="7"/>
  <c r="H1887" i="7" s="1"/>
  <c r="I1887" i="7" s="1"/>
  <c r="A1888" i="7"/>
  <c r="H1888" i="7" s="1"/>
  <c r="I1888" i="7" s="1"/>
  <c r="A1889" i="7"/>
  <c r="H1889" i="7" s="1"/>
  <c r="I1889" i="7" s="1"/>
  <c r="A1890" i="7"/>
  <c r="H1890" i="7" s="1"/>
  <c r="I1890" i="7" s="1"/>
  <c r="A1891" i="7"/>
  <c r="H1891" i="7" s="1"/>
  <c r="I1891" i="7" s="1"/>
  <c r="A1892" i="7"/>
  <c r="H1892" i="7" s="1"/>
  <c r="I1892" i="7" s="1"/>
  <c r="A1893" i="7"/>
  <c r="H1893" i="7" s="1"/>
  <c r="I1893" i="7" s="1"/>
  <c r="A1894" i="7"/>
  <c r="H1894" i="7" s="1"/>
  <c r="I1894" i="7" s="1"/>
  <c r="A1895" i="7"/>
  <c r="H1895" i="7" s="1"/>
  <c r="I1895" i="7" s="1"/>
  <c r="A1896" i="7"/>
  <c r="H1896" i="7" s="1"/>
  <c r="I1896" i="7" s="1"/>
  <c r="A1897" i="7"/>
  <c r="H1897" i="7" s="1"/>
  <c r="I1897" i="7" s="1"/>
  <c r="A1898" i="7"/>
  <c r="H1898" i="7" s="1"/>
  <c r="I1898" i="7" s="1"/>
  <c r="A1899" i="7"/>
  <c r="H1899" i="7" s="1"/>
  <c r="I1899" i="7" s="1"/>
  <c r="A1900" i="7"/>
  <c r="H1900" i="7" s="1"/>
  <c r="I1900" i="7" s="1"/>
  <c r="A1901" i="7"/>
  <c r="H1901" i="7" s="1"/>
  <c r="I1901" i="7" s="1"/>
  <c r="A1902" i="7"/>
  <c r="H1902" i="7" s="1"/>
  <c r="I1902" i="7" s="1"/>
  <c r="A1903" i="7"/>
  <c r="H1903" i="7" s="1"/>
  <c r="I1903" i="7" s="1"/>
  <c r="A1904" i="7"/>
  <c r="H1904" i="7" s="1"/>
  <c r="I1904" i="7" s="1"/>
  <c r="A1905" i="7"/>
  <c r="H1905" i="7" s="1"/>
  <c r="I1905" i="7" s="1"/>
  <c r="A1906" i="7"/>
  <c r="H1906" i="7" s="1"/>
  <c r="I1906" i="7" s="1"/>
  <c r="A1907" i="7"/>
  <c r="H1907" i="7" s="1"/>
  <c r="I1907" i="7" s="1"/>
  <c r="A1908" i="7"/>
  <c r="H1908" i="7" s="1"/>
  <c r="I1908" i="7" s="1"/>
  <c r="A1909" i="7"/>
  <c r="H1909" i="7" s="1"/>
  <c r="I1909" i="7" s="1"/>
  <c r="A1910" i="7"/>
  <c r="H1910" i="7" s="1"/>
  <c r="I1910" i="7" s="1"/>
  <c r="A1911" i="7"/>
  <c r="H1911" i="7" s="1"/>
  <c r="I1911" i="7" s="1"/>
  <c r="A1912" i="7"/>
  <c r="H1912" i="7" s="1"/>
  <c r="I1912" i="7" s="1"/>
  <c r="A1913" i="7"/>
  <c r="H1913" i="7" s="1"/>
  <c r="I1913" i="7" s="1"/>
  <c r="A1914" i="7"/>
  <c r="H1914" i="7" s="1"/>
  <c r="I1914" i="7" s="1"/>
  <c r="A1915" i="7"/>
  <c r="H1915" i="7" s="1"/>
  <c r="I1915" i="7" s="1"/>
  <c r="A1916" i="7"/>
  <c r="H1916" i="7" s="1"/>
  <c r="I1916" i="7" s="1"/>
  <c r="A1917" i="7"/>
  <c r="H1917" i="7" s="1"/>
  <c r="I1917" i="7" s="1"/>
  <c r="A1918" i="7"/>
  <c r="H1918" i="7" s="1"/>
  <c r="I1918" i="7" s="1"/>
  <c r="A1919" i="7"/>
  <c r="H1919" i="7" s="1"/>
  <c r="I1919" i="7" s="1"/>
  <c r="A1920" i="7"/>
  <c r="H1920" i="7" s="1"/>
  <c r="I1920" i="7" s="1"/>
  <c r="A1921" i="7"/>
  <c r="H1921" i="7" s="1"/>
  <c r="I1921" i="7" s="1"/>
  <c r="A1922" i="7"/>
  <c r="H1922" i="7" s="1"/>
  <c r="I1922" i="7" s="1"/>
  <c r="A1923" i="7"/>
  <c r="H1923" i="7" s="1"/>
  <c r="I1923" i="7" s="1"/>
  <c r="A1924" i="7"/>
  <c r="H1924" i="7" s="1"/>
  <c r="I1924" i="7" s="1"/>
  <c r="A1925" i="7"/>
  <c r="H1925" i="7" s="1"/>
  <c r="I1925" i="7" s="1"/>
  <c r="A1926" i="7"/>
  <c r="H1926" i="7" s="1"/>
  <c r="I1926" i="7" s="1"/>
  <c r="A1927" i="7"/>
  <c r="H1927" i="7" s="1"/>
  <c r="I1927" i="7" s="1"/>
  <c r="A1928" i="7"/>
  <c r="H1928" i="7" s="1"/>
  <c r="I1928" i="7" s="1"/>
  <c r="A1929" i="7"/>
  <c r="H1929" i="7" s="1"/>
  <c r="I1929" i="7" s="1"/>
  <c r="A1930" i="7"/>
  <c r="H1930" i="7" s="1"/>
  <c r="I1930" i="7" s="1"/>
  <c r="A1931" i="7"/>
  <c r="H1931" i="7" s="1"/>
  <c r="I1931" i="7" s="1"/>
  <c r="A1932" i="7"/>
  <c r="H1932" i="7" s="1"/>
  <c r="I1932" i="7" s="1"/>
  <c r="A1933" i="7"/>
  <c r="H1933" i="7" s="1"/>
  <c r="I1933" i="7" s="1"/>
  <c r="A1934" i="7"/>
  <c r="H1934" i="7" s="1"/>
  <c r="I1934" i="7" s="1"/>
  <c r="A1935" i="7"/>
  <c r="H1935" i="7" s="1"/>
  <c r="I1935" i="7" s="1"/>
  <c r="A1936" i="7"/>
  <c r="H1936" i="7" s="1"/>
  <c r="I1936" i="7" s="1"/>
  <c r="A1937" i="7"/>
  <c r="H1937" i="7" s="1"/>
  <c r="I1937" i="7" s="1"/>
  <c r="A1938" i="7"/>
  <c r="H1938" i="7" s="1"/>
  <c r="I1938" i="7" s="1"/>
  <c r="A1939" i="7"/>
  <c r="H1939" i="7" s="1"/>
  <c r="I1939" i="7" s="1"/>
  <c r="A1940" i="7"/>
  <c r="H1940" i="7" s="1"/>
  <c r="I1940" i="7" s="1"/>
  <c r="A1941" i="7"/>
  <c r="H1941" i="7" s="1"/>
  <c r="I1941" i="7" s="1"/>
  <c r="A1942" i="7"/>
  <c r="H1942" i="7" s="1"/>
  <c r="I1942" i="7" s="1"/>
  <c r="A1943" i="7"/>
  <c r="H1943" i="7" s="1"/>
  <c r="I1943" i="7" s="1"/>
  <c r="A1944" i="7"/>
  <c r="H1944" i="7" s="1"/>
  <c r="I1944" i="7" s="1"/>
  <c r="A1945" i="7"/>
  <c r="H1945" i="7" s="1"/>
  <c r="I1945" i="7" s="1"/>
  <c r="A1946" i="7"/>
  <c r="H1946" i="7" s="1"/>
  <c r="I1946" i="7" s="1"/>
  <c r="A1947" i="7"/>
  <c r="H1947" i="7" s="1"/>
  <c r="I1947" i="7" s="1"/>
  <c r="A1948" i="7"/>
  <c r="H1948" i="7" s="1"/>
  <c r="I1948" i="7" s="1"/>
  <c r="A1949" i="7"/>
  <c r="H1949" i="7" s="1"/>
  <c r="I1949" i="7" s="1"/>
  <c r="A1950" i="7"/>
  <c r="H1950" i="7" s="1"/>
  <c r="I1950" i="7" s="1"/>
  <c r="A1951" i="7"/>
  <c r="H1951" i="7" s="1"/>
  <c r="I1951" i="7" s="1"/>
  <c r="A1952" i="7"/>
  <c r="H1952" i="7" s="1"/>
  <c r="I1952" i="7" s="1"/>
  <c r="A1953" i="7"/>
  <c r="H1953" i="7" s="1"/>
  <c r="I1953" i="7" s="1"/>
  <c r="A1954" i="7"/>
  <c r="H1954" i="7" s="1"/>
  <c r="I1954" i="7" s="1"/>
  <c r="A1955" i="7"/>
  <c r="H1955" i="7" s="1"/>
  <c r="I1955" i="7" s="1"/>
  <c r="A1956" i="7"/>
  <c r="H1956" i="7" s="1"/>
  <c r="I1956" i="7" s="1"/>
  <c r="A1957" i="7"/>
  <c r="H1957" i="7" s="1"/>
  <c r="I1957" i="7" s="1"/>
  <c r="A1958" i="7"/>
  <c r="H1958" i="7" s="1"/>
  <c r="I1958" i="7" s="1"/>
  <c r="A1959" i="7"/>
  <c r="H1959" i="7" s="1"/>
  <c r="I1959" i="7" s="1"/>
  <c r="A1960" i="7"/>
  <c r="H1960" i="7" s="1"/>
  <c r="I1960" i="7" s="1"/>
  <c r="A1961" i="7"/>
  <c r="H1961" i="7" s="1"/>
  <c r="I1961" i="7" s="1"/>
  <c r="A1962" i="7"/>
  <c r="H1962" i="7" s="1"/>
  <c r="I1962" i="7" s="1"/>
  <c r="A1963" i="7"/>
  <c r="H1963" i="7" s="1"/>
  <c r="I1963" i="7" s="1"/>
  <c r="A1964" i="7"/>
  <c r="H1964" i="7" s="1"/>
  <c r="I1964" i="7" s="1"/>
  <c r="A1965" i="7"/>
  <c r="H1965" i="7" s="1"/>
  <c r="I1965" i="7" s="1"/>
  <c r="A1966" i="7"/>
  <c r="H1966" i="7" s="1"/>
  <c r="I1966" i="7" s="1"/>
  <c r="A1967" i="7"/>
  <c r="H1967" i="7" s="1"/>
  <c r="I1967" i="7" s="1"/>
  <c r="A1968" i="7"/>
  <c r="H1968" i="7" s="1"/>
  <c r="I1968" i="7" s="1"/>
  <c r="A1969" i="7"/>
  <c r="H1969" i="7" s="1"/>
  <c r="I1969" i="7" s="1"/>
  <c r="A1970" i="7"/>
  <c r="H1970" i="7" s="1"/>
  <c r="I1970" i="7" s="1"/>
  <c r="A1971" i="7"/>
  <c r="H1971" i="7" s="1"/>
  <c r="I1971" i="7" s="1"/>
  <c r="A1972" i="7"/>
  <c r="H1972" i="7" s="1"/>
  <c r="I1972" i="7" s="1"/>
  <c r="A1973" i="7"/>
  <c r="H1973" i="7" s="1"/>
  <c r="I1973" i="7" s="1"/>
  <c r="A1974" i="7"/>
  <c r="H1974" i="7" s="1"/>
  <c r="I1974" i="7" s="1"/>
  <c r="A1975" i="7"/>
  <c r="H1975" i="7" s="1"/>
  <c r="I1975" i="7" s="1"/>
  <c r="A1976" i="7"/>
  <c r="H1976" i="7" s="1"/>
  <c r="I1976" i="7" s="1"/>
  <c r="A1977" i="7"/>
  <c r="H1977" i="7" s="1"/>
  <c r="I1977" i="7" s="1"/>
  <c r="A1978" i="7"/>
  <c r="H1978" i="7" s="1"/>
  <c r="I1978" i="7" s="1"/>
  <c r="A1979" i="7"/>
  <c r="H1979" i="7" s="1"/>
  <c r="I1979" i="7" s="1"/>
  <c r="A1980" i="7"/>
  <c r="H1980" i="7" s="1"/>
  <c r="I1980" i="7" s="1"/>
  <c r="A1981" i="7"/>
  <c r="H1981" i="7" s="1"/>
  <c r="I1981" i="7" s="1"/>
  <c r="A1982" i="7"/>
  <c r="H1982" i="7" s="1"/>
  <c r="I1982" i="7" s="1"/>
  <c r="A1983" i="7"/>
  <c r="H1983" i="7" s="1"/>
  <c r="I1983" i="7" s="1"/>
  <c r="A1984" i="7"/>
  <c r="H1984" i="7" s="1"/>
  <c r="I1984" i="7" s="1"/>
  <c r="A1985" i="7"/>
  <c r="H1985" i="7" s="1"/>
  <c r="I1985" i="7" s="1"/>
  <c r="A1986" i="7"/>
  <c r="H1986" i="7" s="1"/>
  <c r="I1986" i="7" s="1"/>
  <c r="A1987" i="7"/>
  <c r="H1987" i="7" s="1"/>
  <c r="I1987" i="7" s="1"/>
  <c r="A1988" i="7"/>
  <c r="H1988" i="7" s="1"/>
  <c r="I1988" i="7" s="1"/>
  <c r="A1989" i="7"/>
  <c r="H1989" i="7" s="1"/>
  <c r="I1989" i="7" s="1"/>
  <c r="A1990" i="7"/>
  <c r="H1990" i="7" s="1"/>
  <c r="I1990" i="7" s="1"/>
  <c r="A1991" i="7"/>
  <c r="H1991" i="7" s="1"/>
  <c r="I1991" i="7" s="1"/>
  <c r="A1992" i="7"/>
  <c r="H1992" i="7" s="1"/>
  <c r="I1992" i="7" s="1"/>
  <c r="A1993" i="7"/>
  <c r="H1993" i="7" s="1"/>
  <c r="I1993" i="7" s="1"/>
  <c r="A1994" i="7"/>
  <c r="H1994" i="7" s="1"/>
  <c r="I1994" i="7" s="1"/>
  <c r="A1995" i="7"/>
  <c r="H1995" i="7" s="1"/>
  <c r="I1995" i="7" s="1"/>
  <c r="A1996" i="7"/>
  <c r="H1996" i="7" s="1"/>
  <c r="I1996" i="7" s="1"/>
  <c r="A1997" i="7"/>
  <c r="H1997" i="7" s="1"/>
  <c r="I1997" i="7" s="1"/>
  <c r="A1998" i="7"/>
  <c r="H1998" i="7" s="1"/>
  <c r="I1998" i="7" s="1"/>
  <c r="A1999" i="7"/>
  <c r="H1999" i="7" s="1"/>
  <c r="I1999" i="7" s="1"/>
  <c r="A2000" i="7"/>
  <c r="H2000" i="7" s="1"/>
  <c r="I2000" i="7" s="1"/>
  <c r="A2001" i="7"/>
  <c r="H2001" i="7" s="1"/>
  <c r="I2001" i="7" s="1"/>
  <c r="A2002" i="7"/>
  <c r="H2002" i="7" s="1"/>
  <c r="I2002" i="7" s="1"/>
  <c r="A2003" i="7"/>
  <c r="H2003" i="7" s="1"/>
  <c r="I2003" i="7" s="1"/>
  <c r="A2004" i="7"/>
  <c r="H2004" i="7" s="1"/>
  <c r="I2004" i="7" s="1"/>
  <c r="A2005" i="7"/>
  <c r="H2005" i="7" s="1"/>
  <c r="I2005" i="7" s="1"/>
  <c r="A2006" i="7"/>
  <c r="H2006" i="7" s="1"/>
  <c r="I2006" i="7" s="1"/>
  <c r="A2007" i="7"/>
  <c r="H2007" i="7" s="1"/>
  <c r="I2007" i="7" s="1"/>
  <c r="A2008" i="7"/>
  <c r="H2008" i="7" s="1"/>
  <c r="I2008" i="7" s="1"/>
  <c r="A2009" i="7"/>
  <c r="H2009" i="7" s="1"/>
  <c r="I2009" i="7" s="1"/>
  <c r="A2010" i="7"/>
  <c r="H2010" i="7" s="1"/>
  <c r="I2010" i="7" s="1"/>
  <c r="A2011" i="7"/>
  <c r="H2011" i="7" s="1"/>
  <c r="I2011" i="7" s="1"/>
  <c r="A2012" i="7"/>
  <c r="H2012" i="7" s="1"/>
  <c r="I2012" i="7" s="1"/>
  <c r="A2013" i="7"/>
  <c r="H2013" i="7" s="1"/>
  <c r="I2013" i="7" s="1"/>
  <c r="A2014" i="7"/>
  <c r="H2014" i="7" s="1"/>
  <c r="I2014" i="7" s="1"/>
  <c r="A2015" i="7"/>
  <c r="H2015" i="7" s="1"/>
  <c r="I2015" i="7" s="1"/>
  <c r="A2016" i="7"/>
  <c r="H2016" i="7" s="1"/>
  <c r="I2016" i="7" s="1"/>
  <c r="A2017" i="7"/>
  <c r="H2017" i="7" s="1"/>
  <c r="I2017" i="7" s="1"/>
  <c r="A2018" i="7"/>
  <c r="H2018" i="7" s="1"/>
  <c r="I2018" i="7" s="1"/>
  <c r="A2019" i="7"/>
  <c r="H2019" i="7" s="1"/>
  <c r="I2019" i="7" s="1"/>
  <c r="A2020" i="7"/>
  <c r="H2020" i="7" s="1"/>
  <c r="I2020" i="7" s="1"/>
  <c r="A2021" i="7"/>
  <c r="H2021" i="7" s="1"/>
  <c r="I2021" i="7" s="1"/>
  <c r="A2022" i="7"/>
  <c r="H2022" i="7" s="1"/>
  <c r="I2022" i="7" s="1"/>
  <c r="A2023" i="7"/>
  <c r="H2023" i="7" s="1"/>
  <c r="I2023" i="7" s="1"/>
  <c r="A2024" i="7"/>
  <c r="H2024" i="7" s="1"/>
  <c r="I2024" i="7" s="1"/>
  <c r="A2025" i="7"/>
  <c r="H2025" i="7" s="1"/>
  <c r="I2025" i="7" s="1"/>
  <c r="A2026" i="7"/>
  <c r="H2026" i="7" s="1"/>
  <c r="I2026" i="7" s="1"/>
  <c r="A2027" i="7"/>
  <c r="H2027" i="7" s="1"/>
  <c r="I2027" i="7" s="1"/>
  <c r="A2028" i="7"/>
  <c r="H2028" i="7" s="1"/>
  <c r="I2028" i="7" s="1"/>
  <c r="A2029" i="7"/>
  <c r="H2029" i="7" s="1"/>
  <c r="I2029" i="7" s="1"/>
  <c r="A2030" i="7"/>
  <c r="H2030" i="7" s="1"/>
  <c r="I2030" i="7" s="1"/>
  <c r="A2031" i="7"/>
  <c r="H2031" i="7" s="1"/>
  <c r="I2031" i="7" s="1"/>
  <c r="A2032" i="7"/>
  <c r="H2032" i="7" s="1"/>
  <c r="I2032" i="7" s="1"/>
  <c r="A2033" i="7"/>
  <c r="H2033" i="7" s="1"/>
  <c r="I2033" i="7" s="1"/>
  <c r="A2034" i="7"/>
  <c r="H2034" i="7" s="1"/>
  <c r="I2034" i="7" s="1"/>
  <c r="A2035" i="7"/>
  <c r="H2035" i="7" s="1"/>
  <c r="I2035" i="7" s="1"/>
  <c r="A2036" i="7"/>
  <c r="H2036" i="7" s="1"/>
  <c r="I2036" i="7" s="1"/>
  <c r="A2037" i="7"/>
  <c r="H2037" i="7" s="1"/>
  <c r="I2037" i="7" s="1"/>
  <c r="A2038" i="7"/>
  <c r="H2038" i="7" s="1"/>
  <c r="I2038" i="7" s="1"/>
  <c r="A2039" i="7"/>
  <c r="H2039" i="7" s="1"/>
  <c r="I2039" i="7" s="1"/>
  <c r="A2040" i="7"/>
  <c r="H2040" i="7" s="1"/>
  <c r="I2040" i="7" s="1"/>
  <c r="A2041" i="7"/>
  <c r="H2041" i="7" s="1"/>
  <c r="I2041" i="7" s="1"/>
  <c r="A2042" i="7"/>
  <c r="H2042" i="7" s="1"/>
  <c r="I2042" i="7" s="1"/>
  <c r="A2043" i="7"/>
  <c r="H2043" i="7" s="1"/>
  <c r="I2043" i="7" s="1"/>
  <c r="A2044" i="7"/>
  <c r="H2044" i="7" s="1"/>
  <c r="I2044" i="7" s="1"/>
  <c r="A2045" i="7"/>
  <c r="H2045" i="7" s="1"/>
  <c r="I2045" i="7" s="1"/>
  <c r="A2046" i="7"/>
  <c r="H2046" i="7" s="1"/>
  <c r="I2046" i="7" s="1"/>
  <c r="A2047" i="7"/>
  <c r="H2047" i="7" s="1"/>
  <c r="I2047" i="7" s="1"/>
  <c r="A2048" i="7"/>
  <c r="H2048" i="7" s="1"/>
  <c r="I2048" i="7" s="1"/>
  <c r="A2049" i="7"/>
  <c r="H2049" i="7" s="1"/>
  <c r="I2049" i="7" s="1"/>
  <c r="A2050" i="7"/>
  <c r="H2050" i="7" s="1"/>
  <c r="I2050" i="7" s="1"/>
  <c r="A2051" i="7"/>
  <c r="H2051" i="7" s="1"/>
  <c r="I2051" i="7" s="1"/>
  <c r="A2052" i="7"/>
  <c r="H2052" i="7" s="1"/>
  <c r="I2052" i="7" s="1"/>
  <c r="A2053" i="7"/>
  <c r="H2053" i="7" s="1"/>
  <c r="I2053" i="7" s="1"/>
  <c r="A2054" i="7"/>
  <c r="H2054" i="7" s="1"/>
  <c r="I2054" i="7" s="1"/>
  <c r="A2055" i="7"/>
  <c r="H2055" i="7" s="1"/>
  <c r="I2055" i="7" s="1"/>
  <c r="A2056" i="7"/>
  <c r="H2056" i="7" s="1"/>
  <c r="I2056" i="7" s="1"/>
  <c r="A2057" i="7"/>
  <c r="H2057" i="7" s="1"/>
  <c r="I2057" i="7" s="1"/>
  <c r="A2058" i="7"/>
  <c r="H2058" i="7" s="1"/>
  <c r="I2058" i="7" s="1"/>
  <c r="A2059" i="7"/>
  <c r="H2059" i="7" s="1"/>
  <c r="I2059" i="7" s="1"/>
  <c r="A2060" i="7"/>
  <c r="H2060" i="7" s="1"/>
  <c r="I2060" i="7" s="1"/>
  <c r="A2061" i="7"/>
  <c r="H2061" i="7" s="1"/>
  <c r="I2061" i="7" s="1"/>
  <c r="A2062" i="7"/>
  <c r="H2062" i="7" s="1"/>
  <c r="I2062" i="7" s="1"/>
  <c r="A2063" i="7"/>
  <c r="H2063" i="7" s="1"/>
  <c r="I2063" i="7" s="1"/>
  <c r="A2064" i="7"/>
  <c r="H2064" i="7" s="1"/>
  <c r="I2064" i="7" s="1"/>
  <c r="A2065" i="7"/>
  <c r="H2065" i="7" s="1"/>
  <c r="I2065" i="7" s="1"/>
  <c r="A2066" i="7"/>
  <c r="H2066" i="7" s="1"/>
  <c r="I2066" i="7" s="1"/>
  <c r="A2067" i="7"/>
  <c r="H2067" i="7" s="1"/>
  <c r="I2067" i="7" s="1"/>
  <c r="A2068" i="7"/>
  <c r="H2068" i="7" s="1"/>
  <c r="I2068" i="7" s="1"/>
  <c r="A2069" i="7"/>
  <c r="H2069" i="7" s="1"/>
  <c r="I2069" i="7" s="1"/>
  <c r="A2070" i="7"/>
  <c r="H2070" i="7" s="1"/>
  <c r="I2070" i="7" s="1"/>
  <c r="A2071" i="7"/>
  <c r="H2071" i="7" s="1"/>
  <c r="I2071" i="7" s="1"/>
  <c r="A2072" i="7"/>
  <c r="H2072" i="7" s="1"/>
  <c r="I2072" i="7" s="1"/>
  <c r="A2073" i="7"/>
  <c r="H2073" i="7" s="1"/>
  <c r="I2073" i="7" s="1"/>
  <c r="A2074" i="7"/>
  <c r="H2074" i="7" s="1"/>
  <c r="I2074" i="7" s="1"/>
  <c r="A2075" i="7"/>
  <c r="H2075" i="7" s="1"/>
  <c r="I2075" i="7" s="1"/>
  <c r="A2076" i="7"/>
  <c r="H2076" i="7" s="1"/>
  <c r="I2076" i="7" s="1"/>
  <c r="A2077" i="7"/>
  <c r="H2077" i="7" s="1"/>
  <c r="I2077" i="7" s="1"/>
  <c r="A2078" i="7"/>
  <c r="H2078" i="7" s="1"/>
  <c r="I2078" i="7" s="1"/>
  <c r="A2079" i="7"/>
  <c r="H2079" i="7" s="1"/>
  <c r="I2079" i="7" s="1"/>
  <c r="A2080" i="7"/>
  <c r="H2080" i="7" s="1"/>
  <c r="I2080" i="7" s="1"/>
  <c r="A2081" i="7"/>
  <c r="H2081" i="7" s="1"/>
  <c r="I2081" i="7" s="1"/>
  <c r="A2082" i="7"/>
  <c r="H2082" i="7" s="1"/>
  <c r="I2082" i="7" s="1"/>
  <c r="A2083" i="7"/>
  <c r="H2083" i="7" s="1"/>
  <c r="I2083" i="7" s="1"/>
  <c r="A2084" i="7"/>
  <c r="H2084" i="7" s="1"/>
  <c r="I2084" i="7" s="1"/>
  <c r="A2085" i="7"/>
  <c r="H2085" i="7" s="1"/>
  <c r="I2085" i="7" s="1"/>
  <c r="A2086" i="7"/>
  <c r="H2086" i="7" s="1"/>
  <c r="I2086" i="7" s="1"/>
  <c r="A2087" i="7"/>
  <c r="H2087" i="7" s="1"/>
  <c r="I2087" i="7" s="1"/>
  <c r="A2088" i="7"/>
  <c r="H2088" i="7" s="1"/>
  <c r="I2088" i="7" s="1"/>
  <c r="A2089" i="7"/>
  <c r="H2089" i="7" s="1"/>
  <c r="I2089" i="7" s="1"/>
  <c r="A2090" i="7"/>
  <c r="H2090" i="7" s="1"/>
  <c r="I2090" i="7" s="1"/>
  <c r="A2091" i="7"/>
  <c r="H2091" i="7" s="1"/>
  <c r="I2091" i="7" s="1"/>
  <c r="A2092" i="7"/>
  <c r="H2092" i="7" s="1"/>
  <c r="I2092" i="7" s="1"/>
  <c r="A2093" i="7"/>
  <c r="H2093" i="7" s="1"/>
  <c r="I2093" i="7" s="1"/>
  <c r="A2094" i="7"/>
  <c r="H2094" i="7" s="1"/>
  <c r="I2094" i="7" s="1"/>
  <c r="A2095" i="7"/>
  <c r="H2095" i="7" s="1"/>
  <c r="I2095" i="7" s="1"/>
  <c r="A2096" i="7"/>
  <c r="H2096" i="7" s="1"/>
  <c r="I2096" i="7" s="1"/>
  <c r="A2097" i="7"/>
  <c r="H2097" i="7" s="1"/>
  <c r="I2097" i="7" s="1"/>
  <c r="A2098" i="7"/>
  <c r="H2098" i="7" s="1"/>
  <c r="I2098" i="7" s="1"/>
  <c r="A2099" i="7"/>
  <c r="H2099" i="7" s="1"/>
  <c r="I2099" i="7" s="1"/>
  <c r="A2100" i="7"/>
  <c r="H2100" i="7" s="1"/>
  <c r="I2100" i="7" s="1"/>
  <c r="A2101" i="7"/>
  <c r="H2101" i="7" s="1"/>
  <c r="I2101" i="7" s="1"/>
  <c r="A2102" i="7"/>
  <c r="H2102" i="7" s="1"/>
  <c r="I2102" i="7" s="1"/>
  <c r="A2103" i="7"/>
  <c r="H2103" i="7" s="1"/>
  <c r="I2103" i="7" s="1"/>
  <c r="A2104" i="7"/>
  <c r="H2104" i="7" s="1"/>
  <c r="I2104" i="7" s="1"/>
  <c r="A2105" i="7"/>
  <c r="H2105" i="7" s="1"/>
  <c r="I2105" i="7" s="1"/>
  <c r="A2106" i="7"/>
  <c r="H2106" i="7" s="1"/>
  <c r="I2106" i="7" s="1"/>
  <c r="A2107" i="7"/>
  <c r="H2107" i="7" s="1"/>
  <c r="I2107" i="7" s="1"/>
  <c r="A2108" i="7"/>
  <c r="H2108" i="7" s="1"/>
  <c r="I2108" i="7" s="1"/>
  <c r="A2109" i="7"/>
  <c r="H2109" i="7" s="1"/>
  <c r="I2109" i="7" s="1"/>
  <c r="A2110" i="7"/>
  <c r="H2110" i="7" s="1"/>
  <c r="I2110" i="7" s="1"/>
  <c r="A2111" i="7"/>
  <c r="H2111" i="7" s="1"/>
  <c r="I2111" i="7" s="1"/>
  <c r="A2112" i="7"/>
  <c r="H2112" i="7" s="1"/>
  <c r="I2112" i="7" s="1"/>
  <c r="A2113" i="7"/>
  <c r="H2113" i="7" s="1"/>
  <c r="I2113" i="7" s="1"/>
  <c r="A2114" i="7"/>
  <c r="H2114" i="7" s="1"/>
  <c r="I2114" i="7" s="1"/>
  <c r="A2115" i="7"/>
  <c r="H2115" i="7" s="1"/>
  <c r="I2115" i="7" s="1"/>
  <c r="A2116" i="7"/>
  <c r="H2116" i="7" s="1"/>
  <c r="I2116" i="7" s="1"/>
  <c r="A2117" i="7"/>
  <c r="H2117" i="7" s="1"/>
  <c r="I2117" i="7" s="1"/>
  <c r="A2118" i="7"/>
  <c r="H2118" i="7" s="1"/>
  <c r="I2118" i="7" s="1"/>
  <c r="A2119" i="7"/>
  <c r="H2119" i="7" s="1"/>
  <c r="I2119" i="7" s="1"/>
  <c r="A2120" i="7"/>
  <c r="H2120" i="7" s="1"/>
  <c r="I2120" i="7" s="1"/>
  <c r="A2121" i="7"/>
  <c r="H2121" i="7" s="1"/>
  <c r="I2121" i="7" s="1"/>
  <c r="A2122" i="7"/>
  <c r="H2122" i="7" s="1"/>
  <c r="I2122" i="7" s="1"/>
  <c r="A2123" i="7"/>
  <c r="H2123" i="7" s="1"/>
  <c r="I2123" i="7" s="1"/>
  <c r="A2124" i="7"/>
  <c r="H2124" i="7" s="1"/>
  <c r="I2124" i="7" s="1"/>
  <c r="A2125" i="7"/>
  <c r="H2125" i="7" s="1"/>
  <c r="I2125" i="7" s="1"/>
  <c r="A2126" i="7"/>
  <c r="H2126" i="7" s="1"/>
  <c r="I2126" i="7" s="1"/>
  <c r="A2127" i="7"/>
  <c r="H2127" i="7" s="1"/>
  <c r="I2127" i="7" s="1"/>
  <c r="A2128" i="7"/>
  <c r="H2128" i="7" s="1"/>
  <c r="I2128" i="7" s="1"/>
  <c r="A2129" i="7"/>
  <c r="H2129" i="7" s="1"/>
  <c r="I2129" i="7" s="1"/>
  <c r="A2130" i="7"/>
  <c r="H2130" i="7" s="1"/>
  <c r="I2130" i="7" s="1"/>
  <c r="A2131" i="7"/>
  <c r="H2131" i="7" s="1"/>
  <c r="I2131" i="7" s="1"/>
  <c r="A2132" i="7"/>
  <c r="H2132" i="7" s="1"/>
  <c r="I2132" i="7" s="1"/>
  <c r="A2133" i="7"/>
  <c r="H2133" i="7" s="1"/>
  <c r="I2133" i="7" s="1"/>
  <c r="A2134" i="7"/>
  <c r="H2134" i="7" s="1"/>
  <c r="I2134" i="7" s="1"/>
  <c r="A2135" i="7"/>
  <c r="H2135" i="7" s="1"/>
  <c r="I2135" i="7" s="1"/>
  <c r="A2136" i="7"/>
  <c r="H2136" i="7" s="1"/>
  <c r="I2136" i="7" s="1"/>
  <c r="A2137" i="7"/>
  <c r="H2137" i="7" s="1"/>
  <c r="I2137" i="7" s="1"/>
  <c r="A2138" i="7"/>
  <c r="H2138" i="7" s="1"/>
  <c r="I2138" i="7" s="1"/>
  <c r="A2139" i="7"/>
  <c r="H2139" i="7" s="1"/>
  <c r="I2139" i="7" s="1"/>
  <c r="A2140" i="7"/>
  <c r="H2140" i="7" s="1"/>
  <c r="I2140" i="7" s="1"/>
  <c r="A2141" i="7"/>
  <c r="H2141" i="7" s="1"/>
  <c r="I2141" i="7" s="1"/>
  <c r="A2142" i="7"/>
  <c r="H2142" i="7" s="1"/>
  <c r="I2142" i="7" s="1"/>
  <c r="A2143" i="7"/>
  <c r="H2143" i="7" s="1"/>
  <c r="I2143" i="7" s="1"/>
  <c r="A2144" i="7"/>
  <c r="H2144" i="7" s="1"/>
  <c r="I2144" i="7" s="1"/>
  <c r="A2145" i="7"/>
  <c r="H2145" i="7" s="1"/>
  <c r="I2145" i="7" s="1"/>
  <c r="A2146" i="7"/>
  <c r="H2146" i="7" s="1"/>
  <c r="I2146" i="7" s="1"/>
  <c r="A2147" i="7"/>
  <c r="H2147" i="7" s="1"/>
  <c r="I2147" i="7" s="1"/>
  <c r="A2148" i="7"/>
  <c r="H2148" i="7" s="1"/>
  <c r="I2148" i="7" s="1"/>
  <c r="A2149" i="7"/>
  <c r="H2149" i="7" s="1"/>
  <c r="I2149" i="7" s="1"/>
  <c r="A2150" i="7"/>
  <c r="H2150" i="7" s="1"/>
  <c r="I2150" i="7" s="1"/>
  <c r="A2151" i="7"/>
  <c r="H2151" i="7" s="1"/>
  <c r="I2151" i="7" s="1"/>
  <c r="A2152" i="7"/>
  <c r="H2152" i="7" s="1"/>
  <c r="I2152" i="7" s="1"/>
  <c r="A2153" i="7"/>
  <c r="H2153" i="7" s="1"/>
  <c r="I2153" i="7" s="1"/>
  <c r="A2154" i="7"/>
  <c r="H2154" i="7" s="1"/>
  <c r="I2154" i="7" s="1"/>
  <c r="A2155" i="7"/>
  <c r="H2155" i="7" s="1"/>
  <c r="I2155" i="7" s="1"/>
  <c r="A2156" i="7"/>
  <c r="H2156" i="7" s="1"/>
  <c r="I2156" i="7" s="1"/>
  <c r="A2157" i="7"/>
  <c r="H2157" i="7" s="1"/>
  <c r="I2157" i="7" s="1"/>
  <c r="A2158" i="7"/>
  <c r="H2158" i="7" s="1"/>
  <c r="I2158" i="7" s="1"/>
  <c r="A2159" i="7"/>
  <c r="H2159" i="7" s="1"/>
  <c r="I2159" i="7" s="1"/>
  <c r="A2160" i="7"/>
  <c r="H2160" i="7" s="1"/>
  <c r="I2160" i="7" s="1"/>
  <c r="A2161" i="7"/>
  <c r="H2161" i="7" s="1"/>
  <c r="I2161" i="7" s="1"/>
  <c r="A2162" i="7"/>
  <c r="H2162" i="7" s="1"/>
  <c r="I2162" i="7" s="1"/>
  <c r="A2163" i="7"/>
  <c r="H2163" i="7" s="1"/>
  <c r="I2163" i="7" s="1"/>
  <c r="A2164" i="7"/>
  <c r="H2164" i="7" s="1"/>
  <c r="I2164" i="7" s="1"/>
  <c r="A2165" i="7"/>
  <c r="H2165" i="7" s="1"/>
  <c r="I2165" i="7" s="1"/>
  <c r="A2166" i="7"/>
  <c r="H2166" i="7" s="1"/>
  <c r="I2166" i="7" s="1"/>
  <c r="A2167" i="7"/>
  <c r="H2167" i="7" s="1"/>
  <c r="I2167" i="7" s="1"/>
  <c r="A2168" i="7"/>
  <c r="H2168" i="7" s="1"/>
  <c r="I2168" i="7" s="1"/>
  <c r="A2169" i="7"/>
  <c r="H2169" i="7" s="1"/>
  <c r="I2169" i="7" s="1"/>
  <c r="A2170" i="7"/>
  <c r="H2170" i="7" s="1"/>
  <c r="I2170" i="7" s="1"/>
  <c r="A2171" i="7"/>
  <c r="H2171" i="7" s="1"/>
  <c r="I2171" i="7" s="1"/>
  <c r="A2172" i="7"/>
  <c r="H2172" i="7" s="1"/>
  <c r="I2172" i="7" s="1"/>
  <c r="A2173" i="7"/>
  <c r="H2173" i="7" s="1"/>
  <c r="I2173" i="7" s="1"/>
  <c r="A2174" i="7"/>
  <c r="H2174" i="7" s="1"/>
  <c r="I2174" i="7" s="1"/>
  <c r="A2175" i="7"/>
  <c r="H2175" i="7" s="1"/>
  <c r="I2175" i="7" s="1"/>
  <c r="A2176" i="7"/>
  <c r="H2176" i="7" s="1"/>
  <c r="I2176" i="7" s="1"/>
  <c r="A2177" i="7"/>
  <c r="H2177" i="7" s="1"/>
  <c r="I2177" i="7" s="1"/>
  <c r="A2178" i="7"/>
  <c r="H2178" i="7" s="1"/>
  <c r="I2178" i="7" s="1"/>
  <c r="A2179" i="7"/>
  <c r="H2179" i="7" s="1"/>
  <c r="I2179" i="7" s="1"/>
  <c r="A2180" i="7"/>
  <c r="H2180" i="7" s="1"/>
  <c r="I2180" i="7" s="1"/>
  <c r="A2181" i="7"/>
  <c r="H2181" i="7" s="1"/>
  <c r="I2181" i="7" s="1"/>
  <c r="A2182" i="7"/>
  <c r="H2182" i="7" s="1"/>
  <c r="I2182" i="7" s="1"/>
  <c r="A2183" i="7"/>
  <c r="H2183" i="7" s="1"/>
  <c r="I2183" i="7" s="1"/>
  <c r="A2184" i="7"/>
  <c r="H2184" i="7" s="1"/>
  <c r="I2184" i="7" s="1"/>
  <c r="A2185" i="7"/>
  <c r="H2185" i="7" s="1"/>
  <c r="I2185" i="7" s="1"/>
  <c r="A2186" i="7"/>
  <c r="H2186" i="7" s="1"/>
  <c r="I2186" i="7" s="1"/>
  <c r="A2187" i="7"/>
  <c r="H2187" i="7" s="1"/>
  <c r="I2187" i="7" s="1"/>
  <c r="A2188" i="7"/>
  <c r="H2188" i="7" s="1"/>
  <c r="I2188" i="7" s="1"/>
  <c r="A2189" i="7"/>
  <c r="H2189" i="7" s="1"/>
  <c r="I2189" i="7" s="1"/>
  <c r="A2190" i="7"/>
  <c r="H2190" i="7" s="1"/>
  <c r="I2190" i="7" s="1"/>
  <c r="A2191" i="7"/>
  <c r="H2191" i="7" s="1"/>
  <c r="I2191" i="7" s="1"/>
  <c r="A2192" i="7"/>
  <c r="H2192" i="7" s="1"/>
  <c r="I2192" i="7" s="1"/>
  <c r="A2193" i="7"/>
  <c r="H2193" i="7" s="1"/>
  <c r="I2193" i="7" s="1"/>
  <c r="A2194" i="7"/>
  <c r="H2194" i="7" s="1"/>
  <c r="I2194" i="7" s="1"/>
  <c r="A2195" i="7"/>
  <c r="H2195" i="7" s="1"/>
  <c r="I2195" i="7" s="1"/>
  <c r="A2196" i="7"/>
  <c r="H2196" i="7" s="1"/>
  <c r="I2196" i="7" s="1"/>
  <c r="A2197" i="7"/>
  <c r="H2197" i="7" s="1"/>
  <c r="I2197" i="7" s="1"/>
  <c r="A2198" i="7"/>
  <c r="H2198" i="7" s="1"/>
  <c r="I2198" i="7" s="1"/>
  <c r="A2199" i="7"/>
  <c r="H2199" i="7" s="1"/>
  <c r="I2199" i="7" s="1"/>
  <c r="A2200" i="7"/>
  <c r="H2200" i="7" s="1"/>
  <c r="I2200" i="7" s="1"/>
  <c r="A2201" i="7"/>
  <c r="H2201" i="7" s="1"/>
  <c r="I2201" i="7" s="1"/>
  <c r="A2202" i="7"/>
  <c r="H2202" i="7" s="1"/>
  <c r="I2202" i="7" s="1"/>
  <c r="A2203" i="7"/>
  <c r="H2203" i="7" s="1"/>
  <c r="I2203" i="7" s="1"/>
  <c r="A2204" i="7"/>
  <c r="H2204" i="7" s="1"/>
  <c r="I2204" i="7" s="1"/>
  <c r="A2205" i="7"/>
  <c r="H2205" i="7" s="1"/>
  <c r="I2205" i="7" s="1"/>
  <c r="A2206" i="7"/>
  <c r="H2206" i="7" s="1"/>
  <c r="I2206" i="7" s="1"/>
  <c r="A2207" i="7"/>
  <c r="H2207" i="7" s="1"/>
  <c r="I2207" i="7" s="1"/>
  <c r="A2208" i="7"/>
  <c r="H2208" i="7" s="1"/>
  <c r="I2208" i="7" s="1"/>
  <c r="A2209" i="7"/>
  <c r="H2209" i="7" s="1"/>
  <c r="I2209" i="7" s="1"/>
  <c r="A2210" i="7"/>
  <c r="H2210" i="7" s="1"/>
  <c r="I2210" i="7" s="1"/>
  <c r="A2211" i="7"/>
  <c r="H2211" i="7" s="1"/>
  <c r="I2211" i="7" s="1"/>
  <c r="A2212" i="7"/>
  <c r="H2212" i="7" s="1"/>
  <c r="I2212" i="7" s="1"/>
  <c r="A2213" i="7"/>
  <c r="H2213" i="7" s="1"/>
  <c r="I2213" i="7" s="1"/>
  <c r="A2214" i="7"/>
  <c r="H2214" i="7" s="1"/>
  <c r="I2214" i="7" s="1"/>
  <c r="A2215" i="7"/>
  <c r="H2215" i="7" s="1"/>
  <c r="I2215" i="7" s="1"/>
  <c r="A2216" i="7"/>
  <c r="H2216" i="7" s="1"/>
  <c r="I2216" i="7" s="1"/>
  <c r="A2217" i="7"/>
  <c r="H2217" i="7" s="1"/>
  <c r="I2217" i="7" s="1"/>
  <c r="A2218" i="7"/>
  <c r="H2218" i="7" s="1"/>
  <c r="I2218" i="7" s="1"/>
  <c r="A2219" i="7"/>
  <c r="H2219" i="7" s="1"/>
  <c r="I2219" i="7" s="1"/>
  <c r="A2220" i="7"/>
  <c r="H2220" i="7" s="1"/>
  <c r="I2220" i="7" s="1"/>
  <c r="A2221" i="7"/>
  <c r="H2221" i="7" s="1"/>
  <c r="I2221" i="7" s="1"/>
  <c r="A2222" i="7"/>
  <c r="H2222" i="7" s="1"/>
  <c r="I2222" i="7" s="1"/>
  <c r="A2223" i="7"/>
  <c r="H2223" i="7" s="1"/>
  <c r="I2223" i="7" s="1"/>
  <c r="A2224" i="7"/>
  <c r="H2224" i="7" s="1"/>
  <c r="I2224" i="7" s="1"/>
  <c r="A2225" i="7"/>
  <c r="H2225" i="7" s="1"/>
  <c r="I2225" i="7" s="1"/>
  <c r="A2226" i="7"/>
  <c r="H2226" i="7" s="1"/>
  <c r="I2226" i="7" s="1"/>
  <c r="A2227" i="7"/>
  <c r="H2227" i="7" s="1"/>
  <c r="I2227" i="7" s="1"/>
  <c r="A2228" i="7"/>
  <c r="H2228" i="7" s="1"/>
  <c r="I2228" i="7" s="1"/>
  <c r="A2229" i="7"/>
  <c r="H2229" i="7" s="1"/>
  <c r="I2229" i="7" s="1"/>
  <c r="A2230" i="7"/>
  <c r="H2230" i="7" s="1"/>
  <c r="I2230" i="7" s="1"/>
  <c r="A2231" i="7"/>
  <c r="H2231" i="7" s="1"/>
  <c r="I2231" i="7" s="1"/>
  <c r="A2232" i="7"/>
  <c r="H2232" i="7" s="1"/>
  <c r="I2232" i="7" s="1"/>
  <c r="A2233" i="7"/>
  <c r="H2233" i="7" s="1"/>
  <c r="I2233" i="7" s="1"/>
  <c r="A2234" i="7"/>
  <c r="H2234" i="7" s="1"/>
  <c r="I2234" i="7" s="1"/>
  <c r="A2235" i="7"/>
  <c r="H2235" i="7" s="1"/>
  <c r="I2235" i="7" s="1"/>
  <c r="A2236" i="7"/>
  <c r="H2236" i="7" s="1"/>
  <c r="I2236" i="7" s="1"/>
  <c r="A2237" i="7"/>
  <c r="H2237" i="7" s="1"/>
  <c r="I2237" i="7" s="1"/>
  <c r="A2238" i="7"/>
  <c r="H2238" i="7" s="1"/>
  <c r="I2238" i="7" s="1"/>
  <c r="A2239" i="7"/>
  <c r="H2239" i="7" s="1"/>
  <c r="I2239" i="7" s="1"/>
  <c r="A2240" i="7"/>
  <c r="H2240" i="7" s="1"/>
  <c r="I2240" i="7" s="1"/>
  <c r="A2241" i="7"/>
  <c r="H2241" i="7" s="1"/>
  <c r="I2241" i="7" s="1"/>
  <c r="A2242" i="7"/>
  <c r="H2242" i="7" s="1"/>
  <c r="I2242" i="7" s="1"/>
  <c r="A2243" i="7"/>
  <c r="H2243" i="7" s="1"/>
  <c r="I2243" i="7" s="1"/>
  <c r="A2244" i="7"/>
  <c r="H2244" i="7" s="1"/>
  <c r="I2244" i="7" s="1"/>
  <c r="A2245" i="7"/>
  <c r="H2245" i="7" s="1"/>
  <c r="I2245" i="7" s="1"/>
  <c r="A2246" i="7"/>
  <c r="H2246" i="7" s="1"/>
  <c r="I2246" i="7" s="1"/>
  <c r="A2247" i="7"/>
  <c r="H2247" i="7" s="1"/>
  <c r="I2247" i="7" s="1"/>
  <c r="A2248" i="7"/>
  <c r="H2248" i="7" s="1"/>
  <c r="I2248" i="7" s="1"/>
  <c r="A2249" i="7"/>
  <c r="H2249" i="7" s="1"/>
  <c r="I2249" i="7" s="1"/>
  <c r="A2250" i="7"/>
  <c r="H2250" i="7" s="1"/>
  <c r="I2250" i="7" s="1"/>
  <c r="A2251" i="7"/>
  <c r="H2251" i="7" s="1"/>
  <c r="I2251" i="7" s="1"/>
  <c r="A2252" i="7"/>
  <c r="H2252" i="7" s="1"/>
  <c r="I2252" i="7" s="1"/>
  <c r="A2253" i="7"/>
  <c r="H2253" i="7" s="1"/>
  <c r="I2253" i="7" s="1"/>
  <c r="A2254" i="7"/>
  <c r="H2254" i="7" s="1"/>
  <c r="I2254" i="7" s="1"/>
  <c r="A2255" i="7"/>
  <c r="H2255" i="7" s="1"/>
  <c r="I2255" i="7" s="1"/>
  <c r="A2256" i="7"/>
  <c r="H2256" i="7" s="1"/>
  <c r="I2256" i="7" s="1"/>
  <c r="A2257" i="7"/>
  <c r="H2257" i="7" s="1"/>
  <c r="I2257" i="7" s="1"/>
  <c r="A2258" i="7"/>
  <c r="H2258" i="7" s="1"/>
  <c r="I2258" i="7" s="1"/>
  <c r="A2259" i="7"/>
  <c r="H2259" i="7" s="1"/>
  <c r="I2259" i="7" s="1"/>
  <c r="A2260" i="7"/>
  <c r="H2260" i="7" s="1"/>
  <c r="I2260" i="7" s="1"/>
  <c r="A2261" i="7"/>
  <c r="H2261" i="7" s="1"/>
  <c r="I2261" i="7" s="1"/>
  <c r="A2262" i="7"/>
  <c r="H2262" i="7" s="1"/>
  <c r="I2262" i="7" s="1"/>
  <c r="A2263" i="7"/>
  <c r="H2263" i="7" s="1"/>
  <c r="I2263" i="7" s="1"/>
  <c r="A2264" i="7"/>
  <c r="H2264" i="7" s="1"/>
  <c r="I2264" i="7" s="1"/>
  <c r="A2265" i="7"/>
  <c r="H2265" i="7" s="1"/>
  <c r="I2265" i="7" s="1"/>
  <c r="A2266" i="7"/>
  <c r="H2266" i="7" s="1"/>
  <c r="I2266" i="7" s="1"/>
  <c r="A2267" i="7"/>
  <c r="H2267" i="7" s="1"/>
  <c r="I2267" i="7" s="1"/>
  <c r="A2268" i="7"/>
  <c r="H2268" i="7" s="1"/>
  <c r="I2268" i="7" s="1"/>
  <c r="A2269" i="7"/>
  <c r="H2269" i="7" s="1"/>
  <c r="I2269" i="7" s="1"/>
  <c r="A2270" i="7"/>
  <c r="H2270" i="7" s="1"/>
  <c r="I2270" i="7" s="1"/>
  <c r="A2271" i="7"/>
  <c r="H2271" i="7" s="1"/>
  <c r="I2271" i="7" s="1"/>
  <c r="A2272" i="7"/>
  <c r="H2272" i="7" s="1"/>
  <c r="I2272" i="7" s="1"/>
  <c r="A2273" i="7"/>
  <c r="H2273" i="7" s="1"/>
  <c r="I2273" i="7" s="1"/>
  <c r="A2274" i="7"/>
  <c r="H2274" i="7" s="1"/>
  <c r="I2274" i="7" s="1"/>
  <c r="A2275" i="7"/>
  <c r="H2275" i="7" s="1"/>
  <c r="I2275" i="7" s="1"/>
  <c r="A2276" i="7"/>
  <c r="H2276" i="7" s="1"/>
  <c r="I2276" i="7" s="1"/>
  <c r="A2277" i="7"/>
  <c r="H2277" i="7" s="1"/>
  <c r="I2277" i="7" s="1"/>
  <c r="A2278" i="7"/>
  <c r="H2278" i="7" s="1"/>
  <c r="I2278" i="7" s="1"/>
  <c r="A2279" i="7"/>
  <c r="H2279" i="7" s="1"/>
  <c r="I2279" i="7" s="1"/>
  <c r="A2280" i="7"/>
  <c r="H2280" i="7" s="1"/>
  <c r="I2280" i="7" s="1"/>
  <c r="A2281" i="7"/>
  <c r="H2281" i="7" s="1"/>
  <c r="I2281" i="7" s="1"/>
  <c r="A2282" i="7"/>
  <c r="H2282" i="7" s="1"/>
  <c r="I2282" i="7" s="1"/>
  <c r="A2283" i="7"/>
  <c r="H2283" i="7" s="1"/>
  <c r="I2283" i="7" s="1"/>
  <c r="A2284" i="7"/>
  <c r="H2284" i="7" s="1"/>
  <c r="I2284" i="7" s="1"/>
  <c r="A2285" i="7"/>
  <c r="H2285" i="7" s="1"/>
  <c r="I2285" i="7" s="1"/>
  <c r="A2286" i="7"/>
  <c r="H2286" i="7" s="1"/>
  <c r="I2286" i="7" s="1"/>
  <c r="A2287" i="7"/>
  <c r="H2287" i="7" s="1"/>
  <c r="I2287" i="7" s="1"/>
  <c r="A2288" i="7"/>
  <c r="H2288" i="7" s="1"/>
  <c r="I2288" i="7" s="1"/>
  <c r="A2289" i="7"/>
  <c r="H2289" i="7" s="1"/>
  <c r="I2289" i="7" s="1"/>
  <c r="A2290" i="7"/>
  <c r="H2290" i="7" s="1"/>
  <c r="I2290" i="7" s="1"/>
  <c r="A2291" i="7"/>
  <c r="H2291" i="7" s="1"/>
  <c r="I2291" i="7" s="1"/>
  <c r="A2292" i="7"/>
  <c r="H2292" i="7" s="1"/>
  <c r="I2292" i="7" s="1"/>
  <c r="A2293" i="7"/>
  <c r="H2293" i="7" s="1"/>
  <c r="I2293" i="7" s="1"/>
  <c r="A2294" i="7"/>
  <c r="H2294" i="7" s="1"/>
  <c r="I2294" i="7" s="1"/>
  <c r="A2295" i="7"/>
  <c r="H2295" i="7" s="1"/>
  <c r="I2295" i="7" s="1"/>
  <c r="A2296" i="7"/>
  <c r="H2296" i="7" s="1"/>
  <c r="I2296" i="7" s="1"/>
  <c r="A2297" i="7"/>
  <c r="H2297" i="7" s="1"/>
  <c r="I2297" i="7" s="1"/>
  <c r="A2298" i="7"/>
  <c r="H2298" i="7" s="1"/>
  <c r="I2298" i="7" s="1"/>
  <c r="A2299" i="7"/>
  <c r="H2299" i="7" s="1"/>
  <c r="I2299" i="7" s="1"/>
  <c r="A2300" i="7"/>
  <c r="H2300" i="7" s="1"/>
  <c r="I2300" i="7" s="1"/>
  <c r="A2301" i="7"/>
  <c r="H2301" i="7" s="1"/>
  <c r="I2301" i="7" s="1"/>
  <c r="A2302" i="7"/>
  <c r="H2302" i="7" s="1"/>
  <c r="I2302" i="7" s="1"/>
  <c r="A2303" i="7"/>
  <c r="H2303" i="7" s="1"/>
  <c r="I2303" i="7" s="1"/>
  <c r="A2304" i="7"/>
  <c r="H2304" i="7" s="1"/>
  <c r="I2304" i="7" s="1"/>
  <c r="A2305" i="7"/>
  <c r="H2305" i="7" s="1"/>
  <c r="I2305" i="7" s="1"/>
  <c r="A2306" i="7"/>
  <c r="H2306" i="7" s="1"/>
  <c r="I2306" i="7" s="1"/>
  <c r="A2307" i="7"/>
  <c r="H2307" i="7" s="1"/>
  <c r="I2307" i="7" s="1"/>
  <c r="A2308" i="7"/>
  <c r="H2308" i="7" s="1"/>
  <c r="I2308" i="7" s="1"/>
  <c r="A2309" i="7"/>
  <c r="H2309" i="7" s="1"/>
  <c r="I2309" i="7" s="1"/>
  <c r="A2310" i="7"/>
  <c r="H2310" i="7" s="1"/>
  <c r="I2310" i="7" s="1"/>
  <c r="A2311" i="7"/>
  <c r="H2311" i="7" s="1"/>
  <c r="I2311" i="7" s="1"/>
  <c r="A2312" i="7"/>
  <c r="H2312" i="7" s="1"/>
  <c r="I2312" i="7" s="1"/>
  <c r="A2313" i="7"/>
  <c r="H2313" i="7" s="1"/>
  <c r="I2313" i="7" s="1"/>
  <c r="A2314" i="7"/>
  <c r="H2314" i="7" s="1"/>
  <c r="I2314" i="7" s="1"/>
  <c r="A2315" i="7"/>
  <c r="H2315" i="7" s="1"/>
  <c r="I2315" i="7" s="1"/>
  <c r="A2316" i="7"/>
  <c r="H2316" i="7" s="1"/>
  <c r="I2316" i="7" s="1"/>
  <c r="A2317" i="7"/>
  <c r="H2317" i="7" s="1"/>
  <c r="I2317" i="7" s="1"/>
  <c r="A2318" i="7"/>
  <c r="H2318" i="7" s="1"/>
  <c r="I2318" i="7" s="1"/>
  <c r="A2319" i="7"/>
  <c r="H2319" i="7" s="1"/>
  <c r="I2319" i="7" s="1"/>
  <c r="A2320" i="7"/>
  <c r="H2320" i="7" s="1"/>
  <c r="I2320" i="7" s="1"/>
  <c r="A2321" i="7"/>
  <c r="H2321" i="7" s="1"/>
  <c r="I2321" i="7" s="1"/>
  <c r="A2322" i="7"/>
  <c r="H2322" i="7" s="1"/>
  <c r="I2322" i="7" s="1"/>
  <c r="A2323" i="7"/>
  <c r="H2323" i="7" s="1"/>
  <c r="I2323" i="7" s="1"/>
  <c r="A2324" i="7"/>
  <c r="H2324" i="7" s="1"/>
  <c r="I2324" i="7" s="1"/>
  <c r="A2325" i="7"/>
  <c r="H2325" i="7" s="1"/>
  <c r="I2325" i="7" s="1"/>
  <c r="A2326" i="7"/>
  <c r="H2326" i="7" s="1"/>
  <c r="I2326" i="7" s="1"/>
  <c r="A2327" i="7"/>
  <c r="H2327" i="7" s="1"/>
  <c r="I2327" i="7" s="1"/>
  <c r="A2328" i="7"/>
  <c r="H2328" i="7" s="1"/>
  <c r="I2328" i="7" s="1"/>
  <c r="A2329" i="7"/>
  <c r="H2329" i="7" s="1"/>
  <c r="I2329" i="7" s="1"/>
  <c r="A2330" i="7"/>
  <c r="H2330" i="7" s="1"/>
  <c r="I2330" i="7" s="1"/>
  <c r="A2331" i="7"/>
  <c r="H2331" i="7" s="1"/>
  <c r="I2331" i="7" s="1"/>
  <c r="A2332" i="7"/>
  <c r="H2332" i="7" s="1"/>
  <c r="I2332" i="7" s="1"/>
  <c r="A2333" i="7"/>
  <c r="H2333" i="7" s="1"/>
  <c r="I2333" i="7" s="1"/>
  <c r="A2334" i="7"/>
  <c r="H2334" i="7" s="1"/>
  <c r="I2334" i="7" s="1"/>
  <c r="A2335" i="7"/>
  <c r="H2335" i="7" s="1"/>
  <c r="I2335" i="7" s="1"/>
  <c r="A2336" i="7"/>
  <c r="H2336" i="7" s="1"/>
  <c r="I2336" i="7" s="1"/>
  <c r="A2337" i="7"/>
  <c r="H2337" i="7" s="1"/>
  <c r="I2337" i="7" s="1"/>
  <c r="A2338" i="7"/>
  <c r="H2338" i="7" s="1"/>
  <c r="I2338" i="7" s="1"/>
  <c r="A2339" i="7"/>
  <c r="H2339" i="7" s="1"/>
  <c r="I2339" i="7" s="1"/>
  <c r="A2340" i="7"/>
  <c r="H2340" i="7" s="1"/>
  <c r="I2340" i="7" s="1"/>
  <c r="A2341" i="7"/>
  <c r="H2341" i="7" s="1"/>
  <c r="I2341" i="7" s="1"/>
  <c r="A2342" i="7"/>
  <c r="H2342" i="7" s="1"/>
  <c r="I2342" i="7" s="1"/>
  <c r="A2343" i="7"/>
  <c r="H2343" i="7" s="1"/>
  <c r="I2343" i="7" s="1"/>
  <c r="A2344" i="7"/>
  <c r="H2344" i="7" s="1"/>
  <c r="I2344" i="7" s="1"/>
  <c r="A2345" i="7"/>
  <c r="H2345" i="7" s="1"/>
  <c r="I2345" i="7" s="1"/>
  <c r="A2346" i="7"/>
  <c r="H2346" i="7" s="1"/>
  <c r="I2346" i="7" s="1"/>
  <c r="A2347" i="7"/>
  <c r="H2347" i="7" s="1"/>
  <c r="I2347" i="7" s="1"/>
  <c r="A2348" i="7"/>
  <c r="H2348" i="7" s="1"/>
  <c r="I2348" i="7" s="1"/>
  <c r="A2349" i="7"/>
  <c r="H2349" i="7" s="1"/>
  <c r="I2349" i="7" s="1"/>
  <c r="A2350" i="7"/>
  <c r="H2350" i="7" s="1"/>
  <c r="I2350" i="7" s="1"/>
  <c r="A2351" i="7"/>
  <c r="H2351" i="7" s="1"/>
  <c r="I2351" i="7" s="1"/>
  <c r="A2352" i="7"/>
  <c r="H2352" i="7" s="1"/>
  <c r="I2352" i="7" s="1"/>
  <c r="A2353" i="7"/>
  <c r="H2353" i="7" s="1"/>
  <c r="I2353" i="7" s="1"/>
  <c r="A2354" i="7"/>
  <c r="H2354" i="7" s="1"/>
  <c r="I2354" i="7" s="1"/>
  <c r="A2355" i="7"/>
  <c r="H2355" i="7" s="1"/>
  <c r="I2355" i="7" s="1"/>
  <c r="A2356" i="7"/>
  <c r="H2356" i="7" s="1"/>
  <c r="I2356" i="7" s="1"/>
  <c r="A2357" i="7"/>
  <c r="H2357" i="7" s="1"/>
  <c r="I2357" i="7" s="1"/>
  <c r="A2358" i="7"/>
  <c r="H2358" i="7" s="1"/>
  <c r="I2358" i="7" s="1"/>
  <c r="A2359" i="7"/>
  <c r="H2359" i="7" s="1"/>
  <c r="I2359" i="7" s="1"/>
  <c r="A2360" i="7"/>
  <c r="H2360" i="7" s="1"/>
  <c r="I2360" i="7" s="1"/>
  <c r="A2361" i="7"/>
  <c r="H2361" i="7" s="1"/>
  <c r="I2361" i="7" s="1"/>
  <c r="A2362" i="7"/>
  <c r="H2362" i="7" s="1"/>
  <c r="I2362" i="7" s="1"/>
  <c r="A2363" i="7"/>
  <c r="H2363" i="7" s="1"/>
  <c r="I2363" i="7" s="1"/>
  <c r="A2364" i="7"/>
  <c r="H2364" i="7" s="1"/>
  <c r="I2364" i="7" s="1"/>
  <c r="A2365" i="7"/>
  <c r="H2365" i="7" s="1"/>
  <c r="I2365" i="7" s="1"/>
  <c r="A2366" i="7"/>
  <c r="H2366" i="7" s="1"/>
  <c r="I2366" i="7" s="1"/>
  <c r="A2367" i="7"/>
  <c r="H2367" i="7" s="1"/>
  <c r="I2367" i="7" s="1"/>
  <c r="A2368" i="7"/>
  <c r="H2368" i="7" s="1"/>
  <c r="I2368" i="7" s="1"/>
  <c r="A2369" i="7"/>
  <c r="H2369" i="7" s="1"/>
  <c r="I2369" i="7" s="1"/>
  <c r="A2370" i="7"/>
  <c r="H2370" i="7" s="1"/>
  <c r="I2370" i="7" s="1"/>
  <c r="A2371" i="7"/>
  <c r="H2371" i="7" s="1"/>
  <c r="I2371" i="7" s="1"/>
  <c r="A2372" i="7"/>
  <c r="H2372" i="7" s="1"/>
  <c r="I2372" i="7" s="1"/>
  <c r="A2373" i="7"/>
  <c r="H2373" i="7" s="1"/>
  <c r="I2373" i="7" s="1"/>
  <c r="A2374" i="7"/>
  <c r="H2374" i="7" s="1"/>
  <c r="I2374" i="7" s="1"/>
  <c r="A2375" i="7"/>
  <c r="H2375" i="7" s="1"/>
  <c r="I2375" i="7" s="1"/>
  <c r="A2376" i="7"/>
  <c r="H2376" i="7" s="1"/>
  <c r="I2376" i="7" s="1"/>
  <c r="A2377" i="7"/>
  <c r="H2377" i="7" s="1"/>
  <c r="I2377" i="7" s="1"/>
  <c r="A2378" i="7"/>
  <c r="H2378" i="7" s="1"/>
  <c r="I2378" i="7" s="1"/>
  <c r="A2379" i="7"/>
  <c r="H2379" i="7" s="1"/>
  <c r="I2379" i="7" s="1"/>
  <c r="A2380" i="7"/>
  <c r="H2380" i="7" s="1"/>
  <c r="I2380" i="7" s="1"/>
  <c r="A2381" i="7"/>
  <c r="H2381" i="7" s="1"/>
  <c r="I2381" i="7" s="1"/>
  <c r="A2382" i="7"/>
  <c r="H2382" i="7" s="1"/>
  <c r="I2382" i="7" s="1"/>
  <c r="A2383" i="7"/>
  <c r="H2383" i="7" s="1"/>
  <c r="I2383" i="7" s="1"/>
  <c r="A2384" i="7"/>
  <c r="H2384" i="7" s="1"/>
  <c r="I2384" i="7" s="1"/>
  <c r="A2385" i="7"/>
  <c r="H2385" i="7" s="1"/>
  <c r="I2385" i="7" s="1"/>
  <c r="A2386" i="7"/>
  <c r="H2386" i="7" s="1"/>
  <c r="I2386" i="7" s="1"/>
  <c r="A2387" i="7"/>
  <c r="H2387" i="7" s="1"/>
  <c r="I2387" i="7" s="1"/>
  <c r="A2388" i="7"/>
  <c r="H2388" i="7" s="1"/>
  <c r="I2388" i="7" s="1"/>
  <c r="A2389" i="7"/>
  <c r="H2389" i="7" s="1"/>
  <c r="I2389" i="7" s="1"/>
  <c r="A2390" i="7"/>
  <c r="H2390" i="7" s="1"/>
  <c r="I2390" i="7" s="1"/>
  <c r="A2391" i="7"/>
  <c r="H2391" i="7" s="1"/>
  <c r="I2391" i="7" s="1"/>
  <c r="A2392" i="7"/>
  <c r="H2392" i="7" s="1"/>
  <c r="I2392" i="7" s="1"/>
  <c r="A2393" i="7"/>
  <c r="H2393" i="7" s="1"/>
  <c r="I2393" i="7" s="1"/>
  <c r="A2394" i="7"/>
  <c r="H2394" i="7" s="1"/>
  <c r="I2394" i="7" s="1"/>
  <c r="A2395" i="7"/>
  <c r="H2395" i="7" s="1"/>
  <c r="I2395" i="7" s="1"/>
  <c r="A2396" i="7"/>
  <c r="H2396" i="7" s="1"/>
  <c r="I2396" i="7" s="1"/>
  <c r="A2397" i="7"/>
  <c r="H2397" i="7" s="1"/>
  <c r="I2397" i="7" s="1"/>
  <c r="A2398" i="7"/>
  <c r="H2398" i="7" s="1"/>
  <c r="I2398" i="7" s="1"/>
  <c r="A2399" i="7"/>
  <c r="H2399" i="7" s="1"/>
  <c r="I2399" i="7" s="1"/>
  <c r="A2400" i="7"/>
  <c r="H2400" i="7" s="1"/>
  <c r="I2400" i="7" s="1"/>
  <c r="A2401" i="7"/>
  <c r="H2401" i="7" s="1"/>
  <c r="I2401" i="7" s="1"/>
  <c r="A2402" i="7"/>
  <c r="H2402" i="7" s="1"/>
  <c r="I2402" i="7" s="1"/>
  <c r="A2403" i="7"/>
  <c r="H2403" i="7" s="1"/>
  <c r="I2403" i="7" s="1"/>
  <c r="A2404" i="7"/>
  <c r="H2404" i="7" s="1"/>
  <c r="I2404" i="7" s="1"/>
  <c r="A2405" i="7"/>
  <c r="H2405" i="7" s="1"/>
  <c r="I2405" i="7" s="1"/>
  <c r="A2406" i="7"/>
  <c r="H2406" i="7" s="1"/>
  <c r="I2406" i="7" s="1"/>
  <c r="A2407" i="7"/>
  <c r="H2407" i="7" s="1"/>
  <c r="I2407" i="7" s="1"/>
  <c r="A2408" i="7"/>
  <c r="H2408" i="7" s="1"/>
  <c r="I2408" i="7" s="1"/>
  <c r="A2409" i="7"/>
  <c r="H2409" i="7" s="1"/>
  <c r="I2409" i="7" s="1"/>
  <c r="A2410" i="7"/>
  <c r="H2410" i="7" s="1"/>
  <c r="I2410" i="7" s="1"/>
  <c r="A2411" i="7"/>
  <c r="H2411" i="7" s="1"/>
  <c r="I2411" i="7" s="1"/>
  <c r="A2412" i="7"/>
  <c r="H2412" i="7" s="1"/>
  <c r="I2412" i="7" s="1"/>
  <c r="A2413" i="7"/>
  <c r="H2413" i="7" s="1"/>
  <c r="I2413" i="7" s="1"/>
  <c r="A2414" i="7"/>
  <c r="H2414" i="7" s="1"/>
  <c r="I2414" i="7" s="1"/>
  <c r="A2415" i="7"/>
  <c r="H2415" i="7" s="1"/>
  <c r="I2415" i="7" s="1"/>
  <c r="A2416" i="7"/>
  <c r="H2416" i="7" s="1"/>
  <c r="I2416" i="7" s="1"/>
  <c r="A2417" i="7"/>
  <c r="H2417" i="7" s="1"/>
  <c r="I2417" i="7" s="1"/>
  <c r="A2418" i="7"/>
  <c r="H2418" i="7" s="1"/>
  <c r="I2418" i="7" s="1"/>
  <c r="A2419" i="7"/>
  <c r="H2419" i="7" s="1"/>
  <c r="I2419" i="7" s="1"/>
  <c r="A2420" i="7"/>
  <c r="H2420" i="7" s="1"/>
  <c r="I2420" i="7" s="1"/>
  <c r="A2421" i="7"/>
  <c r="H2421" i="7" s="1"/>
  <c r="I2421" i="7" s="1"/>
  <c r="A2422" i="7"/>
  <c r="H2422" i="7" s="1"/>
  <c r="I2422" i="7" s="1"/>
  <c r="A2423" i="7"/>
  <c r="H2423" i="7" s="1"/>
  <c r="I2423" i="7" s="1"/>
  <c r="A2424" i="7"/>
  <c r="H2424" i="7" s="1"/>
  <c r="I2424" i="7" s="1"/>
  <c r="A2425" i="7"/>
  <c r="H2425" i="7" s="1"/>
  <c r="I2425" i="7" s="1"/>
  <c r="A2426" i="7"/>
  <c r="H2426" i="7" s="1"/>
  <c r="I2426" i="7" s="1"/>
  <c r="A2427" i="7"/>
  <c r="H2427" i="7" s="1"/>
  <c r="I2427" i="7" s="1"/>
  <c r="A2428" i="7"/>
  <c r="H2428" i="7" s="1"/>
  <c r="I2428" i="7" s="1"/>
  <c r="A2429" i="7"/>
  <c r="H2429" i="7" s="1"/>
  <c r="I2429" i="7" s="1"/>
  <c r="A2430" i="7"/>
  <c r="H2430" i="7" s="1"/>
  <c r="I2430" i="7" s="1"/>
  <c r="A2431" i="7"/>
  <c r="H2431" i="7" s="1"/>
  <c r="I2431" i="7" s="1"/>
  <c r="A2432" i="7"/>
  <c r="H2432" i="7" s="1"/>
  <c r="I2432" i="7" s="1"/>
  <c r="A2433" i="7"/>
  <c r="H2433" i="7" s="1"/>
  <c r="I2433" i="7" s="1"/>
  <c r="A2434" i="7"/>
  <c r="H2434" i="7" s="1"/>
  <c r="I2434" i="7" s="1"/>
  <c r="A2435" i="7"/>
  <c r="H2435" i="7" s="1"/>
  <c r="I2435" i="7" s="1"/>
  <c r="A2436" i="7"/>
  <c r="H2436" i="7" s="1"/>
  <c r="I2436" i="7" s="1"/>
  <c r="A2437" i="7"/>
  <c r="H2437" i="7" s="1"/>
  <c r="I2437" i="7" s="1"/>
  <c r="A2438" i="7"/>
  <c r="H2438" i="7" s="1"/>
  <c r="I2438" i="7" s="1"/>
  <c r="A2439" i="7"/>
  <c r="H2439" i="7" s="1"/>
  <c r="I2439" i="7" s="1"/>
  <c r="A2440" i="7"/>
  <c r="H2440" i="7" s="1"/>
  <c r="I2440" i="7" s="1"/>
  <c r="A2441" i="7"/>
  <c r="H2441" i="7" s="1"/>
  <c r="I2441" i="7" s="1"/>
  <c r="A2442" i="7"/>
  <c r="H2442" i="7" s="1"/>
  <c r="I2442" i="7" s="1"/>
  <c r="A2443" i="7"/>
  <c r="H2443" i="7" s="1"/>
  <c r="I2443" i="7" s="1"/>
  <c r="A2444" i="7"/>
  <c r="H2444" i="7" s="1"/>
  <c r="I2444" i="7" s="1"/>
  <c r="A2445" i="7"/>
  <c r="H2445" i="7" s="1"/>
  <c r="I2445" i="7" s="1"/>
  <c r="A2446" i="7"/>
  <c r="H2446" i="7" s="1"/>
  <c r="I2446" i="7" s="1"/>
  <c r="A2447" i="7"/>
  <c r="H2447" i="7" s="1"/>
  <c r="I2447" i="7" s="1"/>
  <c r="A2448" i="7"/>
  <c r="H2448" i="7" s="1"/>
  <c r="I2448" i="7" s="1"/>
  <c r="A2449" i="7"/>
  <c r="H2449" i="7" s="1"/>
  <c r="I2449" i="7" s="1"/>
  <c r="A2450" i="7"/>
  <c r="H2450" i="7" s="1"/>
  <c r="I2450" i="7" s="1"/>
  <c r="A2451" i="7"/>
  <c r="H2451" i="7" s="1"/>
  <c r="I2451" i="7" s="1"/>
  <c r="A2452" i="7"/>
  <c r="H2452" i="7" s="1"/>
  <c r="I2452" i="7" s="1"/>
  <c r="A2453" i="7"/>
  <c r="H2453" i="7" s="1"/>
  <c r="I2453" i="7" s="1"/>
  <c r="A2454" i="7"/>
  <c r="H2454" i="7" s="1"/>
  <c r="I2454" i="7" s="1"/>
  <c r="A2455" i="7"/>
  <c r="H2455" i="7" s="1"/>
  <c r="I2455" i="7" s="1"/>
  <c r="A2456" i="7"/>
  <c r="H2456" i="7" s="1"/>
  <c r="I2456" i="7" s="1"/>
  <c r="A2457" i="7"/>
  <c r="H2457" i="7" s="1"/>
  <c r="I2457" i="7" s="1"/>
  <c r="A2458" i="7"/>
  <c r="H2458" i="7" s="1"/>
  <c r="I2458" i="7" s="1"/>
  <c r="A2459" i="7"/>
  <c r="H2459" i="7" s="1"/>
  <c r="I2459" i="7" s="1"/>
  <c r="A2460" i="7"/>
  <c r="H2460" i="7" s="1"/>
  <c r="I2460" i="7" s="1"/>
  <c r="A2461" i="7"/>
  <c r="H2461" i="7" s="1"/>
  <c r="I2461" i="7" s="1"/>
  <c r="A2462" i="7"/>
  <c r="H2462" i="7" s="1"/>
  <c r="I2462" i="7" s="1"/>
  <c r="A2463" i="7"/>
  <c r="H2463" i="7" s="1"/>
  <c r="I2463" i="7" s="1"/>
  <c r="A2464" i="7"/>
  <c r="H2464" i="7" s="1"/>
  <c r="I2464" i="7" s="1"/>
  <c r="A2465" i="7"/>
  <c r="H2465" i="7" s="1"/>
  <c r="I2465" i="7" s="1"/>
  <c r="A2466" i="7"/>
  <c r="H2466" i="7" s="1"/>
  <c r="I2466" i="7" s="1"/>
  <c r="A2467" i="7"/>
  <c r="H2467" i="7" s="1"/>
  <c r="I2467" i="7" s="1"/>
  <c r="A2468" i="7"/>
  <c r="H2468" i="7" s="1"/>
  <c r="I2468" i="7" s="1"/>
  <c r="A2469" i="7"/>
  <c r="H2469" i="7" s="1"/>
  <c r="I2469" i="7" s="1"/>
  <c r="A2470" i="7"/>
  <c r="H2470" i="7" s="1"/>
  <c r="I2470" i="7" s="1"/>
  <c r="A2471" i="7"/>
  <c r="H2471" i="7" s="1"/>
  <c r="I2471" i="7" s="1"/>
  <c r="A2472" i="7"/>
  <c r="H2472" i="7" s="1"/>
  <c r="I2472" i="7" s="1"/>
  <c r="A2473" i="7"/>
  <c r="H2473" i="7" s="1"/>
  <c r="I2473" i="7" s="1"/>
  <c r="A2474" i="7"/>
  <c r="H2474" i="7" s="1"/>
  <c r="I2474" i="7" s="1"/>
  <c r="A2475" i="7"/>
  <c r="H2475" i="7" s="1"/>
  <c r="I2475" i="7" s="1"/>
  <c r="A2476" i="7"/>
  <c r="H2476" i="7" s="1"/>
  <c r="I2476" i="7" s="1"/>
  <c r="A2477" i="7"/>
  <c r="H2477" i="7" s="1"/>
  <c r="I2477" i="7" s="1"/>
  <c r="A2478" i="7"/>
  <c r="H2478" i="7" s="1"/>
  <c r="I2478" i="7" s="1"/>
  <c r="A2479" i="7"/>
  <c r="H2479" i="7" s="1"/>
  <c r="I2479" i="7" s="1"/>
  <c r="A2480" i="7"/>
  <c r="H2480" i="7" s="1"/>
  <c r="I2480" i="7" s="1"/>
  <c r="A2481" i="7"/>
  <c r="H2481" i="7" s="1"/>
  <c r="I2481" i="7" s="1"/>
  <c r="A2482" i="7"/>
  <c r="H2482" i="7" s="1"/>
  <c r="I2482" i="7" s="1"/>
  <c r="A2483" i="7"/>
  <c r="H2483" i="7" s="1"/>
  <c r="I2483" i="7" s="1"/>
  <c r="A2484" i="7"/>
  <c r="H2484" i="7" s="1"/>
  <c r="I2484" i="7" s="1"/>
  <c r="A2485" i="7"/>
  <c r="H2485" i="7" s="1"/>
  <c r="I2485" i="7" s="1"/>
  <c r="A2486" i="7"/>
  <c r="H2486" i="7" s="1"/>
  <c r="I2486" i="7" s="1"/>
  <c r="A2487" i="7"/>
  <c r="H2487" i="7" s="1"/>
  <c r="I2487" i="7" s="1"/>
  <c r="A2488" i="7"/>
  <c r="H2488" i="7" s="1"/>
  <c r="I2488" i="7" s="1"/>
  <c r="A2489" i="7"/>
  <c r="H2489" i="7" s="1"/>
  <c r="I2489" i="7" s="1"/>
  <c r="A2490" i="7"/>
  <c r="H2490" i="7" s="1"/>
  <c r="I2490" i="7" s="1"/>
  <c r="A2491" i="7"/>
  <c r="H2491" i="7" s="1"/>
  <c r="I2491" i="7" s="1"/>
  <c r="A2492" i="7"/>
  <c r="H2492" i="7" s="1"/>
  <c r="I2492" i="7" s="1"/>
  <c r="A2493" i="7"/>
  <c r="H2493" i="7" s="1"/>
  <c r="I2493" i="7" s="1"/>
  <c r="A2494" i="7"/>
  <c r="H2494" i="7" s="1"/>
  <c r="I2494" i="7" s="1"/>
  <c r="A2495" i="7"/>
  <c r="H2495" i="7" s="1"/>
  <c r="I2495" i="7" s="1"/>
  <c r="A2496" i="7"/>
  <c r="H2496" i="7" s="1"/>
  <c r="I2496" i="7" s="1"/>
  <c r="A2497" i="7"/>
  <c r="H2497" i="7" s="1"/>
  <c r="I2497" i="7" s="1"/>
  <c r="A2498" i="7"/>
  <c r="H2498" i="7" s="1"/>
  <c r="I2498" i="7" s="1"/>
  <c r="A2499" i="7"/>
  <c r="H2499" i="7" s="1"/>
  <c r="I2499" i="7" s="1"/>
  <c r="A2500" i="7"/>
  <c r="H2500" i="7" s="1"/>
  <c r="I2500" i="7" s="1"/>
  <c r="A2501" i="7"/>
  <c r="H2501" i="7" s="1"/>
  <c r="I2501" i="7" s="1"/>
  <c r="A2502" i="7"/>
  <c r="H2502" i="7" s="1"/>
  <c r="I2502" i="7" s="1"/>
  <c r="A2503" i="7"/>
  <c r="H2503" i="7" s="1"/>
  <c r="I2503" i="7" s="1"/>
  <c r="A2504" i="7"/>
  <c r="H2504" i="7" s="1"/>
  <c r="I2504" i="7" s="1"/>
  <c r="A2505" i="7"/>
  <c r="H2505" i="7" s="1"/>
  <c r="I2505" i="7" s="1"/>
  <c r="A2506" i="7"/>
  <c r="H2506" i="7" s="1"/>
  <c r="I2506" i="7" s="1"/>
  <c r="A2507" i="7"/>
  <c r="H2507" i="7" s="1"/>
  <c r="I2507" i="7" s="1"/>
  <c r="A2508" i="7"/>
  <c r="H2508" i="7" s="1"/>
  <c r="I2508" i="7" s="1"/>
  <c r="A2509" i="7"/>
  <c r="H2509" i="7" s="1"/>
  <c r="I2509" i="7" s="1"/>
  <c r="A2510" i="7"/>
  <c r="H2510" i="7" s="1"/>
  <c r="I2510" i="7" s="1"/>
  <c r="A2511" i="7"/>
  <c r="H2511" i="7" s="1"/>
  <c r="I2511" i="7" s="1"/>
  <c r="A2512" i="7"/>
  <c r="H2512" i="7" s="1"/>
  <c r="I2512" i="7" s="1"/>
  <c r="A2513" i="7"/>
  <c r="H2513" i="7" s="1"/>
  <c r="I2513" i="7" s="1"/>
  <c r="A2514" i="7"/>
  <c r="H2514" i="7" s="1"/>
  <c r="I2514" i="7" s="1"/>
  <c r="A2515" i="7"/>
  <c r="H2515" i="7" s="1"/>
  <c r="I2515" i="7" s="1"/>
  <c r="A2516" i="7"/>
  <c r="H2516" i="7" s="1"/>
  <c r="I2516" i="7" s="1"/>
  <c r="A2517" i="7"/>
  <c r="H2517" i="7" s="1"/>
  <c r="I2517" i="7" s="1"/>
  <c r="A2518" i="7"/>
  <c r="H2518" i="7" s="1"/>
  <c r="I2518" i="7" s="1"/>
  <c r="A2519" i="7"/>
  <c r="H2519" i="7" s="1"/>
  <c r="I2519" i="7" s="1"/>
  <c r="A2520" i="7"/>
  <c r="H2520" i="7" s="1"/>
  <c r="I2520" i="7" s="1"/>
  <c r="A2521" i="7"/>
  <c r="H2521" i="7" s="1"/>
  <c r="I2521" i="7" s="1"/>
  <c r="A2522" i="7"/>
  <c r="H2522" i="7" s="1"/>
  <c r="I2522" i="7" s="1"/>
  <c r="A2523" i="7"/>
  <c r="H2523" i="7" s="1"/>
  <c r="I2523" i="7" s="1"/>
  <c r="A2524" i="7"/>
  <c r="H2524" i="7" s="1"/>
  <c r="I2524" i="7" s="1"/>
  <c r="A2525" i="7"/>
  <c r="H2525" i="7" s="1"/>
  <c r="I2525" i="7" s="1"/>
  <c r="A2526" i="7"/>
  <c r="H2526" i="7" s="1"/>
  <c r="I2526" i="7" s="1"/>
  <c r="A2527" i="7"/>
  <c r="H2527" i="7" s="1"/>
  <c r="I2527" i="7" s="1"/>
  <c r="A2528" i="7"/>
  <c r="H2528" i="7" s="1"/>
  <c r="I2528" i="7" s="1"/>
  <c r="A2529" i="7"/>
  <c r="H2529" i="7" s="1"/>
  <c r="I2529" i="7" s="1"/>
  <c r="A2530" i="7"/>
  <c r="H2530" i="7" s="1"/>
  <c r="I2530" i="7" s="1"/>
  <c r="A2531" i="7"/>
  <c r="H2531" i="7" s="1"/>
  <c r="I2531" i="7" s="1"/>
  <c r="A2532" i="7"/>
  <c r="H2532" i="7" s="1"/>
  <c r="I2532" i="7" s="1"/>
  <c r="A2533" i="7"/>
  <c r="H2533" i="7" s="1"/>
  <c r="I2533" i="7" s="1"/>
  <c r="A2534" i="7"/>
  <c r="H2534" i="7" s="1"/>
  <c r="I2534" i="7" s="1"/>
  <c r="A2535" i="7"/>
  <c r="H2535" i="7" s="1"/>
  <c r="I2535" i="7" s="1"/>
  <c r="A2536" i="7"/>
  <c r="H2536" i="7" s="1"/>
  <c r="I2536" i="7" s="1"/>
  <c r="A2537" i="7"/>
  <c r="H2537" i="7" s="1"/>
  <c r="I2537" i="7" s="1"/>
  <c r="A2538" i="7"/>
  <c r="H2538" i="7" s="1"/>
  <c r="I2538" i="7" s="1"/>
  <c r="A2539" i="7"/>
  <c r="H2539" i="7" s="1"/>
  <c r="I2539" i="7" s="1"/>
  <c r="A2540" i="7"/>
  <c r="H2540" i="7" s="1"/>
  <c r="I2540" i="7" s="1"/>
  <c r="A2541" i="7"/>
  <c r="H2541" i="7" s="1"/>
  <c r="I2541" i="7" s="1"/>
  <c r="A2542" i="7"/>
  <c r="H2542" i="7" s="1"/>
  <c r="I2542" i="7" s="1"/>
  <c r="A2543" i="7"/>
  <c r="H2543" i="7" s="1"/>
  <c r="I2543" i="7" s="1"/>
  <c r="A2544" i="7"/>
  <c r="H2544" i="7" s="1"/>
  <c r="I2544" i="7" s="1"/>
  <c r="A2545" i="7"/>
  <c r="H2545" i="7" s="1"/>
  <c r="I2545" i="7" s="1"/>
  <c r="A2546" i="7"/>
  <c r="H2546" i="7" s="1"/>
  <c r="I2546" i="7" s="1"/>
  <c r="A2547" i="7"/>
  <c r="H2547" i="7" s="1"/>
  <c r="I2547" i="7" s="1"/>
  <c r="A2548" i="7"/>
  <c r="H2548" i="7" s="1"/>
  <c r="I2548" i="7" s="1"/>
  <c r="A2549" i="7"/>
  <c r="H2549" i="7" s="1"/>
  <c r="I2549" i="7" s="1"/>
  <c r="A2550" i="7"/>
  <c r="H2550" i="7" s="1"/>
  <c r="I2550" i="7" s="1"/>
  <c r="A2551" i="7"/>
  <c r="H2551" i="7" s="1"/>
  <c r="I2551" i="7" s="1"/>
  <c r="A2552" i="7"/>
  <c r="H2552" i="7" s="1"/>
  <c r="I2552" i="7" s="1"/>
  <c r="A2553" i="7"/>
  <c r="H2553" i="7" s="1"/>
  <c r="I2553" i="7" s="1"/>
  <c r="A2554" i="7"/>
  <c r="H2554" i="7" s="1"/>
  <c r="I2554" i="7" s="1"/>
  <c r="A2555" i="7"/>
  <c r="H2555" i="7" s="1"/>
  <c r="I2555" i="7" s="1"/>
  <c r="A2556" i="7"/>
  <c r="H2556" i="7" s="1"/>
  <c r="I2556" i="7" s="1"/>
  <c r="A2557" i="7"/>
  <c r="H2557" i="7" s="1"/>
  <c r="I2557" i="7" s="1"/>
  <c r="A2558" i="7"/>
  <c r="H2558" i="7" s="1"/>
  <c r="I2558" i="7" s="1"/>
  <c r="A2559" i="7"/>
  <c r="H2559" i="7" s="1"/>
  <c r="I2559" i="7" s="1"/>
  <c r="A2560" i="7"/>
  <c r="H2560" i="7" s="1"/>
  <c r="I2560" i="7" s="1"/>
  <c r="A2561" i="7"/>
  <c r="H2561" i="7" s="1"/>
  <c r="I2561" i="7" s="1"/>
  <c r="A2562" i="7"/>
  <c r="H2562" i="7" s="1"/>
  <c r="I2562" i="7" s="1"/>
  <c r="A2563" i="7"/>
  <c r="H2563" i="7" s="1"/>
  <c r="I2563" i="7" s="1"/>
  <c r="A2564" i="7"/>
  <c r="H2564" i="7" s="1"/>
  <c r="I2564" i="7" s="1"/>
  <c r="A2565" i="7"/>
  <c r="H2565" i="7" s="1"/>
  <c r="I2565" i="7" s="1"/>
  <c r="A2566" i="7"/>
  <c r="H2566" i="7" s="1"/>
  <c r="I2566" i="7" s="1"/>
  <c r="A2567" i="7"/>
  <c r="H2567" i="7" s="1"/>
  <c r="I2567" i="7" s="1"/>
  <c r="A2568" i="7"/>
  <c r="H2568" i="7" s="1"/>
  <c r="I2568" i="7" s="1"/>
  <c r="A2569" i="7"/>
  <c r="H2569" i="7" s="1"/>
  <c r="I2569" i="7" s="1"/>
  <c r="A2570" i="7"/>
  <c r="H2570" i="7" s="1"/>
  <c r="I2570" i="7" s="1"/>
  <c r="A2571" i="7"/>
  <c r="H2571" i="7" s="1"/>
  <c r="I2571" i="7" s="1"/>
  <c r="A2572" i="7"/>
  <c r="H2572" i="7" s="1"/>
  <c r="I2572" i="7" s="1"/>
  <c r="A2573" i="7"/>
  <c r="H2573" i="7" s="1"/>
  <c r="I2573" i="7" s="1"/>
  <c r="A2574" i="7"/>
  <c r="H2574" i="7" s="1"/>
  <c r="I2574" i="7" s="1"/>
  <c r="A2575" i="7"/>
  <c r="H2575" i="7" s="1"/>
  <c r="I2575" i="7" s="1"/>
  <c r="A2576" i="7"/>
  <c r="H2576" i="7" s="1"/>
  <c r="I2576" i="7" s="1"/>
  <c r="A2577" i="7"/>
  <c r="H2577" i="7" s="1"/>
  <c r="I2577" i="7" s="1"/>
  <c r="A2578" i="7"/>
  <c r="H2578" i="7" s="1"/>
  <c r="I2578" i="7" s="1"/>
  <c r="A2579" i="7"/>
  <c r="H2579" i="7" s="1"/>
  <c r="I2579" i="7" s="1"/>
  <c r="A2580" i="7"/>
  <c r="H2580" i="7" s="1"/>
  <c r="I2580" i="7" s="1"/>
  <c r="A2581" i="7"/>
  <c r="H2581" i="7" s="1"/>
  <c r="I2581" i="7" s="1"/>
  <c r="A2582" i="7"/>
  <c r="H2582" i="7" s="1"/>
  <c r="I2582" i="7" s="1"/>
  <c r="A2583" i="7"/>
  <c r="H2583" i="7" s="1"/>
  <c r="I2583" i="7" s="1"/>
  <c r="A2584" i="7"/>
  <c r="H2584" i="7" s="1"/>
  <c r="I2584" i="7" s="1"/>
  <c r="A2585" i="7"/>
  <c r="H2585" i="7" s="1"/>
  <c r="I2585" i="7" s="1"/>
  <c r="A2586" i="7"/>
  <c r="H2586" i="7" s="1"/>
  <c r="I2586" i="7" s="1"/>
  <c r="A2587" i="7"/>
  <c r="H2587" i="7" s="1"/>
  <c r="I2587" i="7" s="1"/>
  <c r="A2588" i="7"/>
  <c r="H2588" i="7" s="1"/>
  <c r="I2588" i="7" s="1"/>
  <c r="A2589" i="7"/>
  <c r="H2589" i="7" s="1"/>
  <c r="I2589" i="7" s="1"/>
  <c r="A2590" i="7"/>
  <c r="H2590" i="7" s="1"/>
  <c r="I2590" i="7" s="1"/>
  <c r="A2591" i="7"/>
  <c r="H2591" i="7" s="1"/>
  <c r="I2591" i="7" s="1"/>
  <c r="A2592" i="7"/>
  <c r="H2592" i="7" s="1"/>
  <c r="I2592" i="7" s="1"/>
  <c r="A2593" i="7"/>
  <c r="H2593" i="7" s="1"/>
  <c r="I2593" i="7" s="1"/>
  <c r="A2594" i="7"/>
  <c r="H2594" i="7" s="1"/>
  <c r="I2594" i="7" s="1"/>
  <c r="A2595" i="7"/>
  <c r="H2595" i="7" s="1"/>
  <c r="I2595" i="7" s="1"/>
  <c r="A2596" i="7"/>
  <c r="H2596" i="7" s="1"/>
  <c r="I2596" i="7" s="1"/>
  <c r="A2597" i="7"/>
  <c r="H2597" i="7" s="1"/>
  <c r="I2597" i="7" s="1"/>
  <c r="A2598" i="7"/>
  <c r="H2598" i="7" s="1"/>
  <c r="I2598" i="7" s="1"/>
  <c r="A2599" i="7"/>
  <c r="H2599" i="7" s="1"/>
  <c r="I2599" i="7" s="1"/>
  <c r="A2600" i="7"/>
  <c r="H2600" i="7" s="1"/>
  <c r="I2600" i="7" s="1"/>
  <c r="A2601" i="7"/>
  <c r="H2601" i="7" s="1"/>
  <c r="I2601" i="7" s="1"/>
  <c r="A2602" i="7"/>
  <c r="H2602" i="7" s="1"/>
  <c r="I2602" i="7" s="1"/>
  <c r="A2603" i="7"/>
  <c r="H2603" i="7" s="1"/>
  <c r="I2603" i="7" s="1"/>
  <c r="A2604" i="7"/>
  <c r="H2604" i="7" s="1"/>
  <c r="I2604" i="7" s="1"/>
  <c r="A2605" i="7"/>
  <c r="H2605" i="7" s="1"/>
  <c r="I2605" i="7" s="1"/>
  <c r="A2606" i="7"/>
  <c r="H2606" i="7" s="1"/>
  <c r="I2606" i="7" s="1"/>
  <c r="A2607" i="7"/>
  <c r="H2607" i="7" s="1"/>
  <c r="I2607" i="7" s="1"/>
  <c r="A2608" i="7"/>
  <c r="H2608" i="7" s="1"/>
  <c r="I2608" i="7" s="1"/>
  <c r="A2609" i="7"/>
  <c r="H2609" i="7" s="1"/>
  <c r="I2609" i="7" s="1"/>
  <c r="A2610" i="7"/>
  <c r="H2610" i="7" s="1"/>
  <c r="I2610" i="7" s="1"/>
  <c r="A2611" i="7"/>
  <c r="H2611" i="7" s="1"/>
  <c r="I2611" i="7" s="1"/>
  <c r="A2612" i="7"/>
  <c r="H2612" i="7" s="1"/>
  <c r="I2612" i="7" s="1"/>
  <c r="A2613" i="7"/>
  <c r="H2613" i="7" s="1"/>
  <c r="I2613" i="7" s="1"/>
  <c r="A2614" i="7"/>
  <c r="H2614" i="7" s="1"/>
  <c r="I2614" i="7" s="1"/>
  <c r="A2615" i="7"/>
  <c r="H2615" i="7" s="1"/>
  <c r="I2615" i="7" s="1"/>
  <c r="A2616" i="7"/>
  <c r="H2616" i="7" s="1"/>
  <c r="I2616" i="7" s="1"/>
  <c r="A2617" i="7"/>
  <c r="H2617" i="7" s="1"/>
  <c r="I2617" i="7" s="1"/>
  <c r="A2618" i="7"/>
  <c r="H2618" i="7" s="1"/>
  <c r="I2618" i="7" s="1"/>
  <c r="A2619" i="7"/>
  <c r="H2619" i="7" s="1"/>
  <c r="I2619" i="7" s="1"/>
  <c r="A2620" i="7"/>
  <c r="H2620" i="7" s="1"/>
  <c r="I2620" i="7" s="1"/>
  <c r="A2621" i="7"/>
  <c r="H2621" i="7" s="1"/>
  <c r="I2621" i="7" s="1"/>
  <c r="A2622" i="7"/>
  <c r="H2622" i="7" s="1"/>
  <c r="I2622" i="7" s="1"/>
  <c r="A2623" i="7"/>
  <c r="H2623" i="7" s="1"/>
  <c r="I2623" i="7" s="1"/>
  <c r="A2624" i="7"/>
  <c r="H2624" i="7" s="1"/>
  <c r="I2624" i="7" s="1"/>
  <c r="A2625" i="7"/>
  <c r="H2625" i="7" s="1"/>
  <c r="I2625" i="7" s="1"/>
  <c r="A2626" i="7"/>
  <c r="H2626" i="7" s="1"/>
  <c r="I2626" i="7" s="1"/>
  <c r="A2627" i="7"/>
  <c r="H2627" i="7" s="1"/>
  <c r="I2627" i="7" s="1"/>
  <c r="A2628" i="7"/>
  <c r="H2628" i="7" s="1"/>
  <c r="I2628" i="7" s="1"/>
  <c r="A2629" i="7"/>
  <c r="H2629" i="7" s="1"/>
  <c r="I2629" i="7" s="1"/>
  <c r="A2630" i="7"/>
  <c r="H2630" i="7" s="1"/>
  <c r="I2630" i="7" s="1"/>
  <c r="A2631" i="7"/>
  <c r="H2631" i="7" s="1"/>
  <c r="I2631" i="7" s="1"/>
  <c r="A2632" i="7"/>
  <c r="H2632" i="7" s="1"/>
  <c r="I2632" i="7" s="1"/>
  <c r="A2633" i="7"/>
  <c r="H2633" i="7" s="1"/>
  <c r="I2633" i="7" s="1"/>
  <c r="A2634" i="7"/>
  <c r="H2634" i="7" s="1"/>
  <c r="I2634" i="7" s="1"/>
  <c r="A2635" i="7"/>
  <c r="H2635" i="7" s="1"/>
  <c r="I2635" i="7" s="1"/>
  <c r="A2636" i="7"/>
  <c r="H2636" i="7" s="1"/>
  <c r="I2636" i="7" s="1"/>
  <c r="A2637" i="7"/>
  <c r="H2637" i="7" s="1"/>
  <c r="I2637" i="7" s="1"/>
  <c r="A2638" i="7"/>
  <c r="H2638" i="7" s="1"/>
  <c r="I2638" i="7" s="1"/>
  <c r="A2639" i="7"/>
  <c r="H2639" i="7" s="1"/>
  <c r="I2639" i="7" s="1"/>
  <c r="A2640" i="7"/>
  <c r="H2640" i="7" s="1"/>
  <c r="I2640" i="7" s="1"/>
  <c r="A2641" i="7"/>
  <c r="H2641" i="7" s="1"/>
  <c r="I2641" i="7" s="1"/>
  <c r="A2642" i="7"/>
  <c r="H2642" i="7" s="1"/>
  <c r="I2642" i="7" s="1"/>
  <c r="A2643" i="7"/>
  <c r="H2643" i="7" s="1"/>
  <c r="I2643" i="7" s="1"/>
  <c r="A2644" i="7"/>
  <c r="H2644" i="7" s="1"/>
  <c r="I2644" i="7" s="1"/>
  <c r="A2645" i="7"/>
  <c r="H2645" i="7" s="1"/>
  <c r="I2645" i="7" s="1"/>
  <c r="A2646" i="7"/>
  <c r="H2646" i="7" s="1"/>
  <c r="I2646" i="7" s="1"/>
  <c r="A2647" i="7"/>
  <c r="H2647" i="7" s="1"/>
  <c r="I2647" i="7" s="1"/>
  <c r="A2648" i="7"/>
  <c r="H2648" i="7" s="1"/>
  <c r="I2648" i="7" s="1"/>
  <c r="A2649" i="7"/>
  <c r="H2649" i="7" s="1"/>
  <c r="I2649" i="7" s="1"/>
  <c r="A2650" i="7"/>
  <c r="H2650" i="7" s="1"/>
  <c r="I2650" i="7" s="1"/>
  <c r="A2651" i="7"/>
  <c r="H2651" i="7" s="1"/>
  <c r="I2651" i="7" s="1"/>
  <c r="A2652" i="7"/>
  <c r="H2652" i="7" s="1"/>
  <c r="I2652" i="7" s="1"/>
  <c r="A2653" i="7"/>
  <c r="H2653" i="7" s="1"/>
  <c r="I2653" i="7" s="1"/>
  <c r="A2654" i="7"/>
  <c r="H2654" i="7" s="1"/>
  <c r="I2654" i="7" s="1"/>
  <c r="A2655" i="7"/>
  <c r="H2655" i="7" s="1"/>
  <c r="I2655" i="7" s="1"/>
  <c r="A2656" i="7"/>
  <c r="H2656" i="7" s="1"/>
  <c r="I2656" i="7" s="1"/>
  <c r="A2657" i="7"/>
  <c r="H2657" i="7" s="1"/>
  <c r="I2657" i="7" s="1"/>
  <c r="A2658" i="7"/>
  <c r="H2658" i="7" s="1"/>
  <c r="I2658" i="7" s="1"/>
  <c r="A2659" i="7"/>
  <c r="H2659" i="7" s="1"/>
  <c r="I2659" i="7" s="1"/>
  <c r="A2660" i="7"/>
  <c r="H2660" i="7" s="1"/>
  <c r="I2660" i="7" s="1"/>
  <c r="A2661" i="7"/>
  <c r="H2661" i="7" s="1"/>
  <c r="I2661" i="7" s="1"/>
  <c r="A2662" i="7"/>
  <c r="H2662" i="7" s="1"/>
  <c r="I2662" i="7" s="1"/>
  <c r="A2663" i="7"/>
  <c r="H2663" i="7" s="1"/>
  <c r="I2663" i="7" s="1"/>
  <c r="A2664" i="7"/>
  <c r="H2664" i="7" s="1"/>
  <c r="I2664" i="7" s="1"/>
  <c r="A2665" i="7"/>
  <c r="H2665" i="7" s="1"/>
  <c r="I2665" i="7" s="1"/>
  <c r="A2666" i="7"/>
  <c r="H2666" i="7" s="1"/>
  <c r="I2666" i="7" s="1"/>
  <c r="A2667" i="7"/>
  <c r="H2667" i="7" s="1"/>
  <c r="I2667" i="7" s="1"/>
  <c r="A2668" i="7"/>
  <c r="H2668" i="7" s="1"/>
  <c r="I2668" i="7" s="1"/>
  <c r="A2669" i="7"/>
  <c r="H2669" i="7" s="1"/>
  <c r="I2669" i="7" s="1"/>
  <c r="A2670" i="7"/>
  <c r="H2670" i="7" s="1"/>
  <c r="I2670" i="7" s="1"/>
  <c r="A2671" i="7"/>
  <c r="H2671" i="7" s="1"/>
  <c r="I2671" i="7" s="1"/>
  <c r="A2672" i="7"/>
  <c r="H2672" i="7" s="1"/>
  <c r="I2672" i="7" s="1"/>
  <c r="A2673" i="7"/>
  <c r="H2673" i="7" s="1"/>
  <c r="I2673" i="7" s="1"/>
  <c r="A2674" i="7"/>
  <c r="H2674" i="7" s="1"/>
  <c r="I2674" i="7" s="1"/>
  <c r="A2675" i="7"/>
  <c r="H2675" i="7" s="1"/>
  <c r="I2675" i="7" s="1"/>
  <c r="A2676" i="7"/>
  <c r="H2676" i="7" s="1"/>
  <c r="I2676" i="7" s="1"/>
  <c r="A2677" i="7"/>
  <c r="H2677" i="7" s="1"/>
  <c r="I2677" i="7" s="1"/>
  <c r="A2678" i="7"/>
  <c r="H2678" i="7" s="1"/>
  <c r="I2678" i="7" s="1"/>
  <c r="A2679" i="7"/>
  <c r="H2679" i="7" s="1"/>
  <c r="I2679" i="7" s="1"/>
  <c r="A2680" i="7"/>
  <c r="H2680" i="7" s="1"/>
  <c r="I2680" i="7" s="1"/>
  <c r="A2681" i="7"/>
  <c r="H2681" i="7" s="1"/>
  <c r="I2681" i="7" s="1"/>
  <c r="A2682" i="7"/>
  <c r="H2682" i="7" s="1"/>
  <c r="I2682" i="7" s="1"/>
  <c r="A2683" i="7"/>
  <c r="H2683" i="7" s="1"/>
  <c r="I2683" i="7" s="1"/>
  <c r="A2684" i="7"/>
  <c r="H2684" i="7" s="1"/>
  <c r="I2684" i="7" s="1"/>
  <c r="A2685" i="7"/>
  <c r="H2685" i="7" s="1"/>
  <c r="I2685" i="7" s="1"/>
  <c r="A2686" i="7"/>
  <c r="H2686" i="7" s="1"/>
  <c r="I2686" i="7" s="1"/>
  <c r="A2687" i="7"/>
  <c r="H2687" i="7" s="1"/>
  <c r="I2687" i="7" s="1"/>
  <c r="A2688" i="7"/>
  <c r="H2688" i="7" s="1"/>
  <c r="I2688" i="7" s="1"/>
  <c r="A2689" i="7"/>
  <c r="H2689" i="7" s="1"/>
  <c r="I2689" i="7" s="1"/>
  <c r="A2690" i="7"/>
  <c r="H2690" i="7" s="1"/>
  <c r="I2690" i="7" s="1"/>
  <c r="A2691" i="7"/>
  <c r="H2691" i="7" s="1"/>
  <c r="I2691" i="7" s="1"/>
  <c r="A2692" i="7"/>
  <c r="H2692" i="7" s="1"/>
  <c r="I2692" i="7" s="1"/>
  <c r="A2693" i="7"/>
  <c r="H2693" i="7" s="1"/>
  <c r="I2693" i="7" s="1"/>
  <c r="A2694" i="7"/>
  <c r="H2694" i="7" s="1"/>
  <c r="I2694" i="7" s="1"/>
  <c r="A2695" i="7"/>
  <c r="H2695" i="7" s="1"/>
  <c r="I2695" i="7" s="1"/>
  <c r="A2696" i="7"/>
  <c r="H2696" i="7" s="1"/>
  <c r="I2696" i="7" s="1"/>
  <c r="A2697" i="7"/>
  <c r="H2697" i="7" s="1"/>
  <c r="I2697" i="7" s="1"/>
  <c r="A2698" i="7"/>
  <c r="H2698" i="7" s="1"/>
  <c r="I2698" i="7" s="1"/>
  <c r="A2699" i="7"/>
  <c r="H2699" i="7" s="1"/>
  <c r="I2699" i="7" s="1"/>
  <c r="A2700" i="7"/>
  <c r="H2700" i="7" s="1"/>
  <c r="I2700" i="7" s="1"/>
  <c r="A2701" i="7"/>
  <c r="H2701" i="7" s="1"/>
  <c r="I2701" i="7" s="1"/>
  <c r="A2702" i="7"/>
  <c r="H2702" i="7" s="1"/>
  <c r="I2702" i="7" s="1"/>
  <c r="A2703" i="7"/>
  <c r="H2703" i="7" s="1"/>
  <c r="I2703" i="7" s="1"/>
  <c r="A2704" i="7"/>
  <c r="H2704" i="7" s="1"/>
  <c r="I2704" i="7" s="1"/>
  <c r="A2705" i="7"/>
  <c r="H2705" i="7" s="1"/>
  <c r="I2705" i="7" s="1"/>
  <c r="A2706" i="7"/>
  <c r="H2706" i="7" s="1"/>
  <c r="I2706" i="7" s="1"/>
  <c r="A2707" i="7"/>
  <c r="H2707" i="7" s="1"/>
  <c r="I2707" i="7" s="1"/>
  <c r="A2708" i="7"/>
  <c r="H2708" i="7" s="1"/>
  <c r="I2708" i="7" s="1"/>
  <c r="A2709" i="7"/>
  <c r="H2709" i="7" s="1"/>
  <c r="I2709" i="7" s="1"/>
  <c r="A2710" i="7"/>
  <c r="H2710" i="7" s="1"/>
  <c r="I2710" i="7" s="1"/>
  <c r="A2711" i="7"/>
  <c r="H2711" i="7" s="1"/>
  <c r="I2711" i="7" s="1"/>
  <c r="A2712" i="7"/>
  <c r="H2712" i="7" s="1"/>
  <c r="I2712" i="7" s="1"/>
  <c r="A2713" i="7"/>
  <c r="H2713" i="7" s="1"/>
  <c r="I2713" i="7" s="1"/>
  <c r="A2714" i="7"/>
  <c r="H2714" i="7" s="1"/>
  <c r="I2714" i="7" s="1"/>
  <c r="A2715" i="7"/>
  <c r="H2715" i="7" s="1"/>
  <c r="I2715" i="7" s="1"/>
  <c r="A2716" i="7"/>
  <c r="H2716" i="7" s="1"/>
  <c r="I2716" i="7" s="1"/>
  <c r="A2717" i="7"/>
  <c r="H2717" i="7" s="1"/>
  <c r="I2717" i="7" s="1"/>
  <c r="A2718" i="7"/>
  <c r="H2718" i="7" s="1"/>
  <c r="I2718" i="7" s="1"/>
  <c r="A2719" i="7"/>
  <c r="H2719" i="7" s="1"/>
  <c r="I2719" i="7" s="1"/>
  <c r="A2720" i="7"/>
  <c r="H2720" i="7" s="1"/>
  <c r="I2720" i="7" s="1"/>
  <c r="A2721" i="7"/>
  <c r="H2721" i="7" s="1"/>
  <c r="I2721" i="7" s="1"/>
  <c r="A2722" i="7"/>
  <c r="H2722" i="7" s="1"/>
  <c r="I2722" i="7" s="1"/>
  <c r="A2723" i="7"/>
  <c r="H2723" i="7" s="1"/>
  <c r="I2723" i="7" s="1"/>
  <c r="A2724" i="7"/>
  <c r="H2724" i="7" s="1"/>
  <c r="I2724" i="7" s="1"/>
  <c r="A2725" i="7"/>
  <c r="H2725" i="7" s="1"/>
  <c r="I2725" i="7" s="1"/>
  <c r="A2726" i="7"/>
  <c r="H2726" i="7" s="1"/>
  <c r="I2726" i="7" s="1"/>
  <c r="A2727" i="7"/>
  <c r="H2727" i="7" s="1"/>
  <c r="I2727" i="7" s="1"/>
  <c r="A2728" i="7"/>
  <c r="H2728" i="7" s="1"/>
  <c r="I2728" i="7" s="1"/>
  <c r="A2729" i="7"/>
  <c r="H2729" i="7" s="1"/>
  <c r="I2729" i="7" s="1"/>
  <c r="A2730" i="7"/>
  <c r="H2730" i="7" s="1"/>
  <c r="I2730" i="7" s="1"/>
  <c r="A2731" i="7"/>
  <c r="H2731" i="7" s="1"/>
  <c r="I2731" i="7" s="1"/>
  <c r="A2732" i="7"/>
  <c r="H2732" i="7" s="1"/>
  <c r="I2732" i="7" s="1"/>
  <c r="A2733" i="7"/>
  <c r="H2733" i="7" s="1"/>
  <c r="I2733" i="7" s="1"/>
  <c r="A2734" i="7"/>
  <c r="H2734" i="7" s="1"/>
  <c r="I2734" i="7" s="1"/>
  <c r="A2735" i="7"/>
  <c r="H2735" i="7" s="1"/>
  <c r="I2735" i="7" s="1"/>
  <c r="A2736" i="7"/>
  <c r="H2736" i="7" s="1"/>
  <c r="I2736" i="7" s="1"/>
  <c r="A2737" i="7"/>
  <c r="H2737" i="7" s="1"/>
  <c r="I2737" i="7" s="1"/>
  <c r="A2738" i="7"/>
  <c r="H2738" i="7" s="1"/>
  <c r="I2738" i="7" s="1"/>
  <c r="A2739" i="7"/>
  <c r="H2739" i="7" s="1"/>
  <c r="I2739" i="7" s="1"/>
  <c r="A2740" i="7"/>
  <c r="H2740" i="7" s="1"/>
  <c r="I2740" i="7" s="1"/>
  <c r="A2741" i="7"/>
  <c r="H2741" i="7" s="1"/>
  <c r="I2741" i="7" s="1"/>
  <c r="A2742" i="7"/>
  <c r="H2742" i="7" s="1"/>
  <c r="I2742" i="7" s="1"/>
  <c r="A2743" i="7"/>
  <c r="H2743" i="7" s="1"/>
  <c r="I2743" i="7" s="1"/>
  <c r="A2744" i="7"/>
  <c r="H2744" i="7" s="1"/>
  <c r="I2744" i="7" s="1"/>
  <c r="A2745" i="7"/>
  <c r="H2745" i="7" s="1"/>
  <c r="I2745" i="7" s="1"/>
  <c r="A2746" i="7"/>
  <c r="H2746" i="7" s="1"/>
  <c r="I2746" i="7" s="1"/>
  <c r="A2747" i="7"/>
  <c r="H2747" i="7" s="1"/>
  <c r="I2747" i="7" s="1"/>
  <c r="A2748" i="7"/>
  <c r="H2748" i="7" s="1"/>
  <c r="I2748" i="7" s="1"/>
  <c r="A2749" i="7"/>
  <c r="H2749" i="7" s="1"/>
  <c r="I2749" i="7" s="1"/>
  <c r="A2750" i="7"/>
  <c r="H2750" i="7" s="1"/>
  <c r="I2750" i="7" s="1"/>
  <c r="A2751" i="7"/>
  <c r="H2751" i="7" s="1"/>
  <c r="I2751" i="7" s="1"/>
  <c r="A2752" i="7"/>
  <c r="H2752" i="7" s="1"/>
  <c r="I2752" i="7" s="1"/>
  <c r="A2753" i="7"/>
  <c r="H2753" i="7" s="1"/>
  <c r="I2753" i="7" s="1"/>
  <c r="A2754" i="7"/>
  <c r="H2754" i="7" s="1"/>
  <c r="I2754" i="7" s="1"/>
  <c r="A2755" i="7"/>
  <c r="H2755" i="7" s="1"/>
  <c r="I2755" i="7" s="1"/>
  <c r="A2756" i="7"/>
  <c r="H2756" i="7" s="1"/>
  <c r="I2756" i="7" s="1"/>
  <c r="A2757" i="7"/>
  <c r="H2757" i="7" s="1"/>
  <c r="I2757" i="7" s="1"/>
  <c r="A2758" i="7"/>
  <c r="H2758" i="7" s="1"/>
  <c r="I2758" i="7" s="1"/>
  <c r="A2759" i="7"/>
  <c r="H2759" i="7" s="1"/>
  <c r="I2759" i="7" s="1"/>
  <c r="A2760" i="7"/>
  <c r="H2760" i="7" s="1"/>
  <c r="I2760" i="7" s="1"/>
  <c r="A2761" i="7"/>
  <c r="H2761" i="7" s="1"/>
  <c r="I2761" i="7" s="1"/>
  <c r="A2762" i="7"/>
  <c r="H2762" i="7" s="1"/>
  <c r="I2762" i="7" s="1"/>
  <c r="A2763" i="7"/>
  <c r="H2763" i="7" s="1"/>
  <c r="I2763" i="7" s="1"/>
  <c r="A2764" i="7"/>
  <c r="H2764" i="7" s="1"/>
  <c r="I2764" i="7" s="1"/>
  <c r="A2765" i="7"/>
  <c r="H2765" i="7" s="1"/>
  <c r="I2765" i="7" s="1"/>
  <c r="A2766" i="7"/>
  <c r="H2766" i="7" s="1"/>
  <c r="I2766" i="7" s="1"/>
  <c r="A2767" i="7"/>
  <c r="H2767" i="7" s="1"/>
  <c r="I2767" i="7" s="1"/>
  <c r="A2768" i="7"/>
  <c r="H2768" i="7" s="1"/>
  <c r="I2768" i="7" s="1"/>
  <c r="A2769" i="7"/>
  <c r="H2769" i="7" s="1"/>
  <c r="I2769" i="7" s="1"/>
  <c r="A2770" i="7"/>
  <c r="H2770" i="7" s="1"/>
  <c r="I2770" i="7" s="1"/>
  <c r="A2771" i="7"/>
  <c r="H2771" i="7" s="1"/>
  <c r="I2771" i="7" s="1"/>
  <c r="A2772" i="7"/>
  <c r="H2772" i="7" s="1"/>
  <c r="I2772" i="7" s="1"/>
  <c r="A2773" i="7"/>
  <c r="H2773" i="7" s="1"/>
  <c r="I2773" i="7" s="1"/>
  <c r="A2774" i="7"/>
  <c r="H2774" i="7" s="1"/>
  <c r="I2774" i="7" s="1"/>
  <c r="A2775" i="7"/>
  <c r="H2775" i="7" s="1"/>
  <c r="I2775" i="7" s="1"/>
  <c r="A2776" i="7"/>
  <c r="H2776" i="7" s="1"/>
  <c r="I2776" i="7" s="1"/>
  <c r="A2777" i="7"/>
  <c r="H2777" i="7" s="1"/>
  <c r="I2777" i="7" s="1"/>
  <c r="A2778" i="7"/>
  <c r="H2778" i="7" s="1"/>
  <c r="I2778" i="7" s="1"/>
  <c r="A2779" i="7"/>
  <c r="H2779" i="7" s="1"/>
  <c r="I2779" i="7" s="1"/>
  <c r="A2780" i="7"/>
  <c r="H2780" i="7" s="1"/>
  <c r="I2780" i="7" s="1"/>
  <c r="A2781" i="7"/>
  <c r="H2781" i="7" s="1"/>
  <c r="I2781" i="7" s="1"/>
  <c r="A2782" i="7"/>
  <c r="H2782" i="7" s="1"/>
  <c r="I2782" i="7" s="1"/>
  <c r="A2783" i="7"/>
  <c r="H2783" i="7" s="1"/>
  <c r="I2783" i="7" s="1"/>
  <c r="A2784" i="7"/>
  <c r="H2784" i="7" s="1"/>
  <c r="I2784" i="7" s="1"/>
  <c r="A2785" i="7"/>
  <c r="H2785" i="7" s="1"/>
  <c r="I2785" i="7" s="1"/>
  <c r="A2786" i="7"/>
  <c r="H2786" i="7" s="1"/>
  <c r="I2786" i="7" s="1"/>
  <c r="A2787" i="7"/>
  <c r="H2787" i="7" s="1"/>
  <c r="I2787" i="7" s="1"/>
  <c r="A2788" i="7"/>
  <c r="H2788" i="7" s="1"/>
  <c r="I2788" i="7" s="1"/>
  <c r="A2789" i="7"/>
  <c r="H2789" i="7" s="1"/>
  <c r="I2789" i="7" s="1"/>
  <c r="A2790" i="7"/>
  <c r="H2790" i="7" s="1"/>
  <c r="I2790" i="7" s="1"/>
  <c r="A2791" i="7"/>
  <c r="H2791" i="7" s="1"/>
  <c r="I2791" i="7" s="1"/>
  <c r="A2792" i="7"/>
  <c r="H2792" i="7" s="1"/>
  <c r="I2792" i="7" s="1"/>
  <c r="A2793" i="7"/>
  <c r="H2793" i="7" s="1"/>
  <c r="I2793" i="7" s="1"/>
  <c r="A2794" i="7"/>
  <c r="H2794" i="7" s="1"/>
  <c r="I2794" i="7" s="1"/>
  <c r="A2795" i="7"/>
  <c r="H2795" i="7" s="1"/>
  <c r="I2795" i="7" s="1"/>
  <c r="A2796" i="7"/>
  <c r="H2796" i="7" s="1"/>
  <c r="I2796" i="7" s="1"/>
  <c r="A2797" i="7"/>
  <c r="H2797" i="7" s="1"/>
  <c r="I2797" i="7" s="1"/>
  <c r="A2798" i="7"/>
  <c r="H2798" i="7" s="1"/>
  <c r="I2798" i="7" s="1"/>
  <c r="A2799" i="7"/>
  <c r="H2799" i="7" s="1"/>
  <c r="I2799" i="7" s="1"/>
  <c r="A2800" i="7"/>
  <c r="H2800" i="7" s="1"/>
  <c r="I2800" i="7" s="1"/>
  <c r="A2801" i="7"/>
  <c r="H2801" i="7" s="1"/>
  <c r="I2801" i="7" s="1"/>
  <c r="A2802" i="7"/>
  <c r="H2802" i="7" s="1"/>
  <c r="I2802" i="7" s="1"/>
  <c r="A2803" i="7"/>
  <c r="H2803" i="7" s="1"/>
  <c r="I2803" i="7" s="1"/>
  <c r="A2804" i="7"/>
  <c r="H2804" i="7" s="1"/>
  <c r="I2804" i="7" s="1"/>
  <c r="A2805" i="7"/>
  <c r="H2805" i="7" s="1"/>
  <c r="I2805" i="7" s="1"/>
  <c r="A2806" i="7"/>
  <c r="H2806" i="7" s="1"/>
  <c r="I2806" i="7" s="1"/>
  <c r="A2807" i="7"/>
  <c r="H2807" i="7" s="1"/>
  <c r="I2807" i="7" s="1"/>
  <c r="A2808" i="7"/>
  <c r="H2808" i="7" s="1"/>
  <c r="I2808" i="7" s="1"/>
  <c r="A2809" i="7"/>
  <c r="H2809" i="7" s="1"/>
  <c r="I2809" i="7" s="1"/>
  <c r="A2810" i="7"/>
  <c r="H2810" i="7" s="1"/>
  <c r="I2810" i="7" s="1"/>
  <c r="A2811" i="7"/>
  <c r="H2811" i="7" s="1"/>
  <c r="I2811" i="7" s="1"/>
  <c r="A2812" i="7"/>
  <c r="H2812" i="7" s="1"/>
  <c r="I2812" i="7" s="1"/>
  <c r="A2813" i="7"/>
  <c r="H2813" i="7" s="1"/>
  <c r="I2813" i="7" s="1"/>
  <c r="A2814" i="7"/>
  <c r="H2814" i="7" s="1"/>
  <c r="I2814" i="7" s="1"/>
  <c r="A2815" i="7"/>
  <c r="H2815" i="7" s="1"/>
  <c r="I2815" i="7" s="1"/>
  <c r="A2816" i="7"/>
  <c r="H2816" i="7" s="1"/>
  <c r="I2816" i="7" s="1"/>
  <c r="A2817" i="7"/>
  <c r="H2817" i="7" s="1"/>
  <c r="I2817" i="7" s="1"/>
  <c r="A2818" i="7"/>
  <c r="H2818" i="7" s="1"/>
  <c r="I2818" i="7" s="1"/>
  <c r="A2819" i="7"/>
  <c r="H2819" i="7" s="1"/>
  <c r="I2819" i="7" s="1"/>
  <c r="A2820" i="7"/>
  <c r="H2820" i="7" s="1"/>
  <c r="I2820" i="7" s="1"/>
  <c r="A2821" i="7"/>
  <c r="H2821" i="7" s="1"/>
  <c r="I2821" i="7" s="1"/>
  <c r="A2822" i="7"/>
  <c r="H2822" i="7" s="1"/>
  <c r="I2822" i="7" s="1"/>
  <c r="A2823" i="7"/>
  <c r="H2823" i="7" s="1"/>
  <c r="I2823" i="7" s="1"/>
  <c r="A2824" i="7"/>
  <c r="H2824" i="7" s="1"/>
  <c r="I2824" i="7" s="1"/>
  <c r="A2825" i="7"/>
  <c r="H2825" i="7" s="1"/>
  <c r="I2825" i="7" s="1"/>
  <c r="A2826" i="7"/>
  <c r="H2826" i="7" s="1"/>
  <c r="I2826" i="7" s="1"/>
  <c r="A2827" i="7"/>
  <c r="H2827" i="7" s="1"/>
  <c r="I2827" i="7" s="1"/>
  <c r="A2828" i="7"/>
  <c r="H2828" i="7" s="1"/>
  <c r="I2828" i="7" s="1"/>
  <c r="A2829" i="7"/>
  <c r="H2829" i="7" s="1"/>
  <c r="I2829" i="7" s="1"/>
  <c r="A2830" i="7"/>
  <c r="H2830" i="7" s="1"/>
  <c r="I2830" i="7" s="1"/>
  <c r="A2831" i="7"/>
  <c r="H2831" i="7" s="1"/>
  <c r="I2831" i="7" s="1"/>
  <c r="A2832" i="7"/>
  <c r="H2832" i="7" s="1"/>
  <c r="I2832" i="7" s="1"/>
  <c r="A2833" i="7"/>
  <c r="H2833" i="7" s="1"/>
  <c r="I2833" i="7" s="1"/>
  <c r="A2834" i="7"/>
  <c r="H2834" i="7" s="1"/>
  <c r="I2834" i="7" s="1"/>
  <c r="A2835" i="7"/>
  <c r="H2835" i="7" s="1"/>
  <c r="I2835" i="7" s="1"/>
  <c r="A2836" i="7"/>
  <c r="H2836" i="7" s="1"/>
  <c r="I2836" i="7" s="1"/>
  <c r="A2837" i="7"/>
  <c r="H2837" i="7" s="1"/>
  <c r="I2837" i="7" s="1"/>
  <c r="A2838" i="7"/>
  <c r="H2838" i="7" s="1"/>
  <c r="I2838" i="7" s="1"/>
  <c r="A2839" i="7"/>
  <c r="H2839" i="7" s="1"/>
  <c r="I2839" i="7" s="1"/>
  <c r="A2840" i="7"/>
  <c r="H2840" i="7" s="1"/>
  <c r="I2840" i="7" s="1"/>
  <c r="A2841" i="7"/>
  <c r="H2841" i="7" s="1"/>
  <c r="I2841" i="7" s="1"/>
  <c r="A2842" i="7"/>
  <c r="H2842" i="7" s="1"/>
  <c r="I2842" i="7" s="1"/>
  <c r="A2843" i="7"/>
  <c r="H2843" i="7" s="1"/>
  <c r="I2843" i="7" s="1"/>
  <c r="A2844" i="7"/>
  <c r="H2844" i="7" s="1"/>
  <c r="I2844" i="7" s="1"/>
  <c r="A2845" i="7"/>
  <c r="H2845" i="7" s="1"/>
  <c r="I2845" i="7" s="1"/>
  <c r="A2846" i="7"/>
  <c r="H2846" i="7" s="1"/>
  <c r="I2846" i="7" s="1"/>
  <c r="A2847" i="7"/>
  <c r="H2847" i="7" s="1"/>
  <c r="I2847" i="7" s="1"/>
  <c r="A2848" i="7"/>
  <c r="H2848" i="7" s="1"/>
  <c r="I2848" i="7" s="1"/>
  <c r="A2849" i="7"/>
  <c r="H2849" i="7" s="1"/>
  <c r="I2849" i="7" s="1"/>
  <c r="A2850" i="7"/>
  <c r="H2850" i="7" s="1"/>
  <c r="I2850" i="7" s="1"/>
  <c r="A2851" i="7"/>
  <c r="H2851" i="7" s="1"/>
  <c r="I2851" i="7" s="1"/>
  <c r="A2852" i="7"/>
  <c r="H2852" i="7" s="1"/>
  <c r="I2852" i="7" s="1"/>
  <c r="A2853" i="7"/>
  <c r="H2853" i="7" s="1"/>
  <c r="I2853" i="7" s="1"/>
  <c r="A2854" i="7"/>
  <c r="H2854" i="7" s="1"/>
  <c r="I2854" i="7" s="1"/>
  <c r="A2855" i="7"/>
  <c r="H2855" i="7" s="1"/>
  <c r="I2855" i="7" s="1"/>
  <c r="A2856" i="7"/>
  <c r="H2856" i="7" s="1"/>
  <c r="I2856" i="7" s="1"/>
  <c r="A2857" i="7"/>
  <c r="H2857" i="7" s="1"/>
  <c r="I2857" i="7" s="1"/>
  <c r="A2858" i="7"/>
  <c r="H2858" i="7" s="1"/>
  <c r="I2858" i="7" s="1"/>
  <c r="A2859" i="7"/>
  <c r="H2859" i="7" s="1"/>
  <c r="I2859" i="7" s="1"/>
  <c r="A2860" i="7"/>
  <c r="H2860" i="7" s="1"/>
  <c r="I2860" i="7" s="1"/>
  <c r="A2861" i="7"/>
  <c r="H2861" i="7" s="1"/>
  <c r="I2861" i="7" s="1"/>
  <c r="A2862" i="7"/>
  <c r="H2862" i="7" s="1"/>
  <c r="I2862" i="7" s="1"/>
  <c r="A2863" i="7"/>
  <c r="H2863" i="7" s="1"/>
  <c r="I2863" i="7" s="1"/>
  <c r="A2864" i="7"/>
  <c r="H2864" i="7" s="1"/>
  <c r="I2864" i="7" s="1"/>
  <c r="A2865" i="7"/>
  <c r="H2865" i="7" s="1"/>
  <c r="I2865" i="7" s="1"/>
  <c r="A2866" i="7"/>
  <c r="H2866" i="7" s="1"/>
  <c r="I2866" i="7" s="1"/>
  <c r="A2867" i="7"/>
  <c r="H2867" i="7" s="1"/>
  <c r="I2867" i="7" s="1"/>
  <c r="A2868" i="7"/>
  <c r="H2868" i="7" s="1"/>
  <c r="I2868" i="7" s="1"/>
  <c r="A2869" i="7"/>
  <c r="H2869" i="7" s="1"/>
  <c r="I2869" i="7" s="1"/>
  <c r="A2870" i="7"/>
  <c r="H2870" i="7" s="1"/>
  <c r="I2870" i="7" s="1"/>
  <c r="A2871" i="7"/>
  <c r="H2871" i="7" s="1"/>
  <c r="I2871" i="7" s="1"/>
  <c r="A2872" i="7"/>
  <c r="H2872" i="7" s="1"/>
  <c r="I2872" i="7" s="1"/>
  <c r="A2873" i="7"/>
  <c r="H2873" i="7" s="1"/>
  <c r="I2873" i="7" s="1"/>
  <c r="A2874" i="7"/>
  <c r="H2874" i="7" s="1"/>
  <c r="I2874" i="7" s="1"/>
  <c r="A2875" i="7"/>
  <c r="H2875" i="7" s="1"/>
  <c r="I2875" i="7" s="1"/>
  <c r="A2876" i="7"/>
  <c r="H2876" i="7" s="1"/>
  <c r="I2876" i="7" s="1"/>
  <c r="A2877" i="7"/>
  <c r="H2877" i="7" s="1"/>
  <c r="I2877" i="7" s="1"/>
  <c r="A2878" i="7"/>
  <c r="H2878" i="7" s="1"/>
  <c r="I2878" i="7" s="1"/>
  <c r="A2879" i="7"/>
  <c r="H2879" i="7" s="1"/>
  <c r="I2879" i="7" s="1"/>
  <c r="A2880" i="7"/>
  <c r="H2880" i="7" s="1"/>
  <c r="I2880" i="7" s="1"/>
  <c r="A2881" i="7"/>
  <c r="H2881" i="7" s="1"/>
  <c r="I2881" i="7" s="1"/>
  <c r="A2882" i="7"/>
  <c r="H2882" i="7" s="1"/>
  <c r="I2882" i="7" s="1"/>
  <c r="A2883" i="7"/>
  <c r="H2883" i="7" s="1"/>
  <c r="I2883" i="7" s="1"/>
  <c r="A2884" i="7"/>
  <c r="H2884" i="7" s="1"/>
  <c r="I2884" i="7" s="1"/>
  <c r="A2885" i="7"/>
  <c r="H2885" i="7" s="1"/>
  <c r="I2885" i="7" s="1"/>
  <c r="A2886" i="7"/>
  <c r="H2886" i="7" s="1"/>
  <c r="I2886" i="7" s="1"/>
  <c r="A2887" i="7"/>
  <c r="H2887" i="7" s="1"/>
  <c r="I2887" i="7" s="1"/>
  <c r="A2888" i="7"/>
  <c r="H2888" i="7" s="1"/>
  <c r="I2888" i="7" s="1"/>
  <c r="A2889" i="7"/>
  <c r="H2889" i="7" s="1"/>
  <c r="I2889" i="7" s="1"/>
  <c r="A2890" i="7"/>
  <c r="H2890" i="7" s="1"/>
  <c r="I2890" i="7" s="1"/>
  <c r="A2891" i="7"/>
  <c r="H2891" i="7" s="1"/>
  <c r="I2891" i="7" s="1"/>
  <c r="A2892" i="7"/>
  <c r="H2892" i="7" s="1"/>
  <c r="I2892" i="7" s="1"/>
  <c r="A2893" i="7"/>
  <c r="H2893" i="7" s="1"/>
  <c r="I2893" i="7" s="1"/>
  <c r="A2894" i="7"/>
  <c r="H2894" i="7" s="1"/>
  <c r="I2894" i="7" s="1"/>
  <c r="A2895" i="7"/>
  <c r="H2895" i="7" s="1"/>
  <c r="I2895" i="7" s="1"/>
  <c r="A2896" i="7"/>
  <c r="H2896" i="7" s="1"/>
  <c r="I2896" i="7" s="1"/>
  <c r="A2897" i="7"/>
  <c r="H2897" i="7" s="1"/>
  <c r="I2897" i="7" s="1"/>
  <c r="A2898" i="7"/>
  <c r="H2898" i="7" s="1"/>
  <c r="I2898" i="7" s="1"/>
  <c r="A2899" i="7"/>
  <c r="H2899" i="7" s="1"/>
  <c r="I2899" i="7" s="1"/>
  <c r="A2900" i="7"/>
  <c r="H2900" i="7" s="1"/>
  <c r="I2900" i="7" s="1"/>
  <c r="A2901" i="7"/>
  <c r="H2901" i="7" s="1"/>
  <c r="I2901" i="7" s="1"/>
  <c r="A2902" i="7"/>
  <c r="H2902" i="7" s="1"/>
  <c r="I2902" i="7" s="1"/>
  <c r="A2903" i="7"/>
  <c r="H2903" i="7" s="1"/>
  <c r="I2903" i="7" s="1"/>
  <c r="A2904" i="7"/>
  <c r="H2904" i="7" s="1"/>
  <c r="I2904" i="7" s="1"/>
  <c r="A2905" i="7"/>
  <c r="H2905" i="7" s="1"/>
  <c r="I2905" i="7" s="1"/>
  <c r="A2906" i="7"/>
  <c r="H2906" i="7" s="1"/>
  <c r="I2906" i="7" s="1"/>
  <c r="A2907" i="7"/>
  <c r="H2907" i="7" s="1"/>
  <c r="I2907" i="7" s="1"/>
  <c r="A2908" i="7"/>
  <c r="H2908" i="7" s="1"/>
  <c r="I2908" i="7" s="1"/>
  <c r="A2909" i="7"/>
  <c r="H2909" i="7" s="1"/>
  <c r="I2909" i="7" s="1"/>
  <c r="A2910" i="7"/>
  <c r="H2910" i="7" s="1"/>
  <c r="I2910" i="7" s="1"/>
  <c r="A2911" i="7"/>
  <c r="H2911" i="7" s="1"/>
  <c r="I2911" i="7" s="1"/>
  <c r="A2912" i="7"/>
  <c r="H2912" i="7" s="1"/>
  <c r="I2912" i="7" s="1"/>
  <c r="A2913" i="7"/>
  <c r="H2913" i="7" s="1"/>
  <c r="I2913" i="7" s="1"/>
  <c r="A2914" i="7"/>
  <c r="H2914" i="7" s="1"/>
  <c r="I2914" i="7" s="1"/>
  <c r="A2915" i="7"/>
  <c r="H2915" i="7" s="1"/>
  <c r="I2915" i="7" s="1"/>
  <c r="A2916" i="7"/>
  <c r="H2916" i="7" s="1"/>
  <c r="I2916" i="7" s="1"/>
  <c r="A2917" i="7"/>
  <c r="H2917" i="7" s="1"/>
  <c r="I2917" i="7" s="1"/>
  <c r="A2918" i="7"/>
  <c r="H2918" i="7" s="1"/>
  <c r="I2918" i="7" s="1"/>
  <c r="A2919" i="7"/>
  <c r="H2919" i="7" s="1"/>
  <c r="I2919" i="7" s="1"/>
  <c r="A2920" i="7"/>
  <c r="H2920" i="7" s="1"/>
  <c r="I2920" i="7" s="1"/>
  <c r="A2921" i="7"/>
  <c r="H2921" i="7" s="1"/>
  <c r="I2921" i="7" s="1"/>
  <c r="A2922" i="7"/>
  <c r="H2922" i="7" s="1"/>
  <c r="I2922" i="7" s="1"/>
  <c r="A2923" i="7"/>
  <c r="H2923" i="7" s="1"/>
  <c r="I2923" i="7" s="1"/>
  <c r="A2924" i="7"/>
  <c r="H2924" i="7" s="1"/>
  <c r="I2924" i="7" s="1"/>
  <c r="A2925" i="7"/>
  <c r="H2925" i="7" s="1"/>
  <c r="I2925" i="7" s="1"/>
  <c r="A2926" i="7"/>
  <c r="H2926" i="7" s="1"/>
  <c r="I2926" i="7" s="1"/>
  <c r="A2927" i="7"/>
  <c r="H2927" i="7" s="1"/>
  <c r="I2927" i="7" s="1"/>
  <c r="A2928" i="7"/>
  <c r="H2928" i="7" s="1"/>
  <c r="I2928" i="7" s="1"/>
  <c r="A2929" i="7"/>
  <c r="H2929" i="7" s="1"/>
  <c r="I2929" i="7" s="1"/>
  <c r="A2930" i="7"/>
  <c r="H2930" i="7" s="1"/>
  <c r="I2930" i="7" s="1"/>
  <c r="A2931" i="7"/>
  <c r="H2931" i="7" s="1"/>
  <c r="I2931" i="7" s="1"/>
  <c r="A2932" i="7"/>
  <c r="H2932" i="7" s="1"/>
  <c r="I2932" i="7" s="1"/>
  <c r="A2933" i="7"/>
  <c r="H2933" i="7" s="1"/>
  <c r="I2933" i="7" s="1"/>
  <c r="A2934" i="7"/>
  <c r="H2934" i="7" s="1"/>
  <c r="I2934" i="7" s="1"/>
  <c r="A2935" i="7"/>
  <c r="H2935" i="7" s="1"/>
  <c r="I2935" i="7" s="1"/>
  <c r="A2936" i="7"/>
  <c r="H2936" i="7" s="1"/>
  <c r="I2936" i="7" s="1"/>
  <c r="A2937" i="7"/>
  <c r="H2937" i="7" s="1"/>
  <c r="I2937" i="7" s="1"/>
  <c r="A2938" i="7"/>
  <c r="H2938" i="7" s="1"/>
  <c r="I2938" i="7" s="1"/>
  <c r="A2939" i="7"/>
  <c r="H2939" i="7" s="1"/>
  <c r="I2939" i="7" s="1"/>
  <c r="A2940" i="7"/>
  <c r="H2940" i="7" s="1"/>
  <c r="I2940" i="7" s="1"/>
  <c r="A2941" i="7"/>
  <c r="H2941" i="7" s="1"/>
  <c r="I2941" i="7" s="1"/>
  <c r="A2942" i="7"/>
  <c r="H2942" i="7" s="1"/>
  <c r="I2942" i="7" s="1"/>
  <c r="A2943" i="7"/>
  <c r="H2943" i="7" s="1"/>
  <c r="I2943" i="7" s="1"/>
  <c r="A2944" i="7"/>
  <c r="H2944" i="7" s="1"/>
  <c r="I2944" i="7" s="1"/>
  <c r="A2945" i="7"/>
  <c r="H2945" i="7" s="1"/>
  <c r="I2945" i="7" s="1"/>
  <c r="A2946" i="7"/>
  <c r="H2946" i="7" s="1"/>
  <c r="I2946" i="7" s="1"/>
  <c r="A2947" i="7"/>
  <c r="H2947" i="7" s="1"/>
  <c r="I2947" i="7" s="1"/>
  <c r="A2948" i="7"/>
  <c r="H2948" i="7" s="1"/>
  <c r="I2948" i="7" s="1"/>
  <c r="A2949" i="7"/>
  <c r="H2949" i="7" s="1"/>
  <c r="I2949" i="7" s="1"/>
  <c r="A2950" i="7"/>
  <c r="H2950" i="7" s="1"/>
  <c r="I2950" i="7" s="1"/>
  <c r="A2951" i="7"/>
  <c r="H2951" i="7" s="1"/>
  <c r="I2951" i="7" s="1"/>
  <c r="A2952" i="7"/>
  <c r="H2952" i="7" s="1"/>
  <c r="I2952" i="7" s="1"/>
  <c r="A2953" i="7"/>
  <c r="H2953" i="7" s="1"/>
  <c r="I2953" i="7" s="1"/>
  <c r="A2954" i="7"/>
  <c r="H2954" i="7" s="1"/>
  <c r="I2954" i="7" s="1"/>
  <c r="A2955" i="7"/>
  <c r="H2955" i="7" s="1"/>
  <c r="I2955" i="7" s="1"/>
  <c r="A2956" i="7"/>
  <c r="H2956" i="7" s="1"/>
  <c r="I2956" i="7" s="1"/>
  <c r="A2957" i="7"/>
  <c r="H2957" i="7" s="1"/>
  <c r="I2957" i="7" s="1"/>
  <c r="A2958" i="7"/>
  <c r="H2958" i="7" s="1"/>
  <c r="I2958" i="7" s="1"/>
  <c r="A2959" i="7"/>
  <c r="H2959" i="7" s="1"/>
  <c r="I2959" i="7" s="1"/>
  <c r="A2960" i="7"/>
  <c r="H2960" i="7" s="1"/>
  <c r="I2960" i="7" s="1"/>
  <c r="A2961" i="7"/>
  <c r="H2961" i="7" s="1"/>
  <c r="I2961" i="7" s="1"/>
  <c r="A2962" i="7"/>
  <c r="H2962" i="7" s="1"/>
  <c r="I2962" i="7" s="1"/>
  <c r="A2963" i="7"/>
  <c r="H2963" i="7" s="1"/>
  <c r="I2963" i="7" s="1"/>
  <c r="A2964" i="7"/>
  <c r="H2964" i="7" s="1"/>
  <c r="I2964" i="7" s="1"/>
  <c r="A2965" i="7"/>
  <c r="H2965" i="7" s="1"/>
  <c r="I2965" i="7" s="1"/>
  <c r="A2966" i="7"/>
  <c r="H2966" i="7" s="1"/>
  <c r="I2966" i="7" s="1"/>
  <c r="A2967" i="7"/>
  <c r="H2967" i="7" s="1"/>
  <c r="I2967" i="7" s="1"/>
  <c r="A2968" i="7"/>
  <c r="H2968" i="7" s="1"/>
  <c r="I2968" i="7" s="1"/>
  <c r="A2969" i="7"/>
  <c r="H2969" i="7" s="1"/>
  <c r="I2969" i="7" s="1"/>
  <c r="A2970" i="7"/>
  <c r="H2970" i="7" s="1"/>
  <c r="I2970" i="7" s="1"/>
  <c r="A2971" i="7"/>
  <c r="H2971" i="7" s="1"/>
  <c r="I2971" i="7" s="1"/>
  <c r="A2972" i="7"/>
  <c r="H2972" i="7" s="1"/>
  <c r="I2972" i="7" s="1"/>
  <c r="A2973" i="7"/>
  <c r="H2973" i="7" s="1"/>
  <c r="I2973" i="7" s="1"/>
  <c r="A2974" i="7"/>
  <c r="H2974" i="7" s="1"/>
  <c r="I2974" i="7" s="1"/>
  <c r="A2975" i="7"/>
  <c r="H2975" i="7" s="1"/>
  <c r="I2975" i="7" s="1"/>
  <c r="A2976" i="7"/>
  <c r="H2976" i="7" s="1"/>
  <c r="I2976" i="7" s="1"/>
  <c r="A2977" i="7"/>
  <c r="H2977" i="7" s="1"/>
  <c r="I2977" i="7" s="1"/>
  <c r="A2978" i="7"/>
  <c r="H2978" i="7" s="1"/>
  <c r="I2978" i="7" s="1"/>
  <c r="A2979" i="7"/>
  <c r="H2979" i="7" s="1"/>
  <c r="I2979" i="7" s="1"/>
  <c r="A2980" i="7"/>
  <c r="H2980" i="7" s="1"/>
  <c r="I2980" i="7" s="1"/>
  <c r="A2981" i="7"/>
  <c r="H2981" i="7" s="1"/>
  <c r="I2981" i="7" s="1"/>
  <c r="A2982" i="7"/>
  <c r="H2982" i="7" s="1"/>
  <c r="I2982" i="7" s="1"/>
  <c r="A2983" i="7"/>
  <c r="H2983" i="7" s="1"/>
  <c r="I2983" i="7" s="1"/>
  <c r="A2984" i="7"/>
  <c r="H2984" i="7" s="1"/>
  <c r="I2984" i="7" s="1"/>
  <c r="A2985" i="7"/>
  <c r="H2985" i="7" s="1"/>
  <c r="I2985" i="7" s="1"/>
  <c r="A2986" i="7"/>
  <c r="H2986" i="7" s="1"/>
  <c r="I2986" i="7" s="1"/>
  <c r="A2987" i="7"/>
  <c r="H2987" i="7" s="1"/>
  <c r="I2987" i="7" s="1"/>
  <c r="A2988" i="7"/>
  <c r="H2988" i="7" s="1"/>
  <c r="I2988" i="7" s="1"/>
  <c r="A2989" i="7"/>
  <c r="H2989" i="7" s="1"/>
  <c r="I2989" i="7" s="1"/>
  <c r="A2990" i="7"/>
  <c r="H2990" i="7" s="1"/>
  <c r="I2990" i="7" s="1"/>
  <c r="A2991" i="7"/>
  <c r="H2991" i="7" s="1"/>
  <c r="I2991" i="7" s="1"/>
  <c r="A2992" i="7"/>
  <c r="H2992" i="7" s="1"/>
  <c r="I2992" i="7" s="1"/>
  <c r="A2993" i="7"/>
  <c r="H2993" i="7" s="1"/>
  <c r="I2993" i="7" s="1"/>
  <c r="A2994" i="7"/>
  <c r="H2994" i="7" s="1"/>
  <c r="I2994" i="7" s="1"/>
  <c r="A2995" i="7"/>
  <c r="H2995" i="7" s="1"/>
  <c r="I2995" i="7" s="1"/>
  <c r="A2996" i="7"/>
  <c r="H2996" i="7" s="1"/>
  <c r="I2996" i="7" s="1"/>
  <c r="A2997" i="7"/>
  <c r="H2997" i="7" s="1"/>
  <c r="I2997" i="7" s="1"/>
  <c r="A2998" i="7"/>
  <c r="H2998" i="7" s="1"/>
  <c r="I2998" i="7" s="1"/>
  <c r="A2999" i="7"/>
  <c r="H2999" i="7" s="1"/>
  <c r="I2999" i="7" s="1"/>
  <c r="A3000" i="7"/>
  <c r="H3000" i="7" s="1"/>
  <c r="I3000" i="7" s="1"/>
  <c r="A3001" i="7"/>
  <c r="H3001" i="7" s="1"/>
  <c r="I3001" i="7" s="1"/>
  <c r="A3002" i="7"/>
  <c r="H3002" i="7" s="1"/>
  <c r="I3002" i="7" s="1"/>
  <c r="A3003" i="7"/>
  <c r="H3003" i="7" s="1"/>
  <c r="I3003" i="7" s="1"/>
  <c r="A3004" i="7"/>
  <c r="H3004" i="7" s="1"/>
  <c r="I3004" i="7" s="1"/>
  <c r="A3005" i="7"/>
  <c r="H3005" i="7" s="1"/>
  <c r="I3005" i="7" s="1"/>
  <c r="A3006" i="7"/>
  <c r="H3006" i="7" s="1"/>
  <c r="I3006" i="7" s="1"/>
  <c r="A3007" i="7"/>
  <c r="H3007" i="7" s="1"/>
  <c r="I3007" i="7" s="1"/>
  <c r="A3008" i="7"/>
  <c r="H3008" i="7" s="1"/>
  <c r="I3008" i="7" s="1"/>
  <c r="A3009" i="7"/>
  <c r="H3009" i="7" s="1"/>
  <c r="I3009" i="7" s="1"/>
  <c r="A3010" i="7"/>
  <c r="H3010" i="7" s="1"/>
  <c r="I3010" i="7" s="1"/>
  <c r="A3011" i="7"/>
  <c r="H3011" i="7" s="1"/>
  <c r="I3011" i="7" s="1"/>
  <c r="A3012" i="7"/>
  <c r="H3012" i="7" s="1"/>
  <c r="I3012" i="7" s="1"/>
  <c r="A3013" i="7"/>
  <c r="H3013" i="7" s="1"/>
  <c r="I3013" i="7" s="1"/>
  <c r="A3014" i="7"/>
  <c r="H3014" i="7" s="1"/>
  <c r="I3014" i="7" s="1"/>
  <c r="A3015" i="7"/>
  <c r="H3015" i="7" s="1"/>
  <c r="I3015" i="7" s="1"/>
  <c r="A3016" i="7"/>
  <c r="H3016" i="7" s="1"/>
  <c r="I3016" i="7" s="1"/>
  <c r="A3017" i="7"/>
  <c r="H3017" i="7" s="1"/>
  <c r="I3017" i="7" s="1"/>
  <c r="A3018" i="7"/>
  <c r="H3018" i="7" s="1"/>
  <c r="I3018" i="7" s="1"/>
  <c r="A3019" i="7"/>
  <c r="H3019" i="7" s="1"/>
  <c r="I3019" i="7" s="1"/>
  <c r="A3020" i="7"/>
  <c r="H3020" i="7" s="1"/>
  <c r="I3020" i="7" s="1"/>
  <c r="A3021" i="7"/>
  <c r="H3021" i="7" s="1"/>
  <c r="I3021" i="7" s="1"/>
  <c r="A3022" i="7"/>
  <c r="H3022" i="7" s="1"/>
  <c r="I3022" i="7" s="1"/>
  <c r="A3023" i="7"/>
  <c r="H3023" i="7" s="1"/>
  <c r="I3023" i="7" s="1"/>
  <c r="A3024" i="7"/>
  <c r="H3024" i="7" s="1"/>
  <c r="I3024" i="7" s="1"/>
  <c r="A3025" i="7"/>
  <c r="H3025" i="7" s="1"/>
  <c r="I3025" i="7" s="1"/>
  <c r="A3026" i="7"/>
  <c r="H3026" i="7" s="1"/>
  <c r="I3026" i="7" s="1"/>
  <c r="A3027" i="7"/>
  <c r="H3027" i="7" s="1"/>
  <c r="I3027" i="7" s="1"/>
  <c r="A3028" i="7"/>
  <c r="H3028" i="7" s="1"/>
  <c r="I3028" i="7" s="1"/>
  <c r="A3029" i="7"/>
  <c r="H3029" i="7" s="1"/>
  <c r="I3029" i="7" s="1"/>
  <c r="A3030" i="7"/>
  <c r="H3030" i="7" s="1"/>
  <c r="I3030" i="7" s="1"/>
  <c r="A3031" i="7"/>
  <c r="H3031" i="7" s="1"/>
  <c r="I3031" i="7" s="1"/>
  <c r="A3032" i="7"/>
  <c r="H3032" i="7" s="1"/>
  <c r="I3032" i="7" s="1"/>
  <c r="A3033" i="7"/>
  <c r="H3033" i="7" s="1"/>
  <c r="I3033" i="7" s="1"/>
  <c r="A3034" i="7"/>
  <c r="H3034" i="7" s="1"/>
  <c r="I3034" i="7" s="1"/>
  <c r="A3035" i="7"/>
  <c r="H3035" i="7" s="1"/>
  <c r="I3035" i="7" s="1"/>
  <c r="A3036" i="7"/>
  <c r="H3036" i="7" s="1"/>
  <c r="I3036" i="7" s="1"/>
  <c r="A3037" i="7"/>
  <c r="H3037" i="7" s="1"/>
  <c r="I3037" i="7" s="1"/>
  <c r="A3038" i="7"/>
  <c r="H3038" i="7" s="1"/>
  <c r="I3038" i="7" s="1"/>
  <c r="A3039" i="7"/>
  <c r="H3039" i="7" s="1"/>
  <c r="I3039" i="7" s="1"/>
  <c r="A3040" i="7"/>
  <c r="H3040" i="7" s="1"/>
  <c r="I3040" i="7" s="1"/>
  <c r="A3041" i="7"/>
  <c r="H3041" i="7" s="1"/>
  <c r="I3041" i="7" s="1"/>
  <c r="A3042" i="7"/>
  <c r="H3042" i="7" s="1"/>
  <c r="I3042" i="7" s="1"/>
  <c r="A3043" i="7"/>
  <c r="H3043" i="7" s="1"/>
  <c r="I3043" i="7" s="1"/>
  <c r="A3044" i="7"/>
  <c r="H3044" i="7" s="1"/>
  <c r="I3044" i="7" s="1"/>
  <c r="A3045" i="7"/>
  <c r="H3045" i="7" s="1"/>
  <c r="I3045" i="7" s="1"/>
  <c r="A3046" i="7"/>
  <c r="H3046" i="7" s="1"/>
  <c r="I3046" i="7" s="1"/>
  <c r="A3047" i="7"/>
  <c r="H3047" i="7" s="1"/>
  <c r="I3047" i="7" s="1"/>
  <c r="A3048" i="7"/>
  <c r="H3048" i="7" s="1"/>
  <c r="I3048" i="7" s="1"/>
  <c r="A3049" i="7"/>
  <c r="H3049" i="7" s="1"/>
  <c r="I3049" i="7" s="1"/>
  <c r="A3050" i="7"/>
  <c r="H3050" i="7" s="1"/>
  <c r="I3050" i="7" s="1"/>
  <c r="A3051" i="7"/>
  <c r="H3051" i="7" s="1"/>
  <c r="I3051" i="7" s="1"/>
  <c r="A3052" i="7"/>
  <c r="H3052" i="7" s="1"/>
  <c r="I3052" i="7" s="1"/>
  <c r="A3053" i="7"/>
  <c r="H3053" i="7" s="1"/>
  <c r="I3053" i="7" s="1"/>
  <c r="A3054" i="7"/>
  <c r="H3054" i="7" s="1"/>
  <c r="I3054" i="7" s="1"/>
  <c r="A3055" i="7"/>
  <c r="H3055" i="7" s="1"/>
  <c r="I3055" i="7" s="1"/>
  <c r="A3056" i="7"/>
  <c r="H3056" i="7" s="1"/>
  <c r="I3056" i="7" s="1"/>
  <c r="A3057" i="7"/>
  <c r="H3057" i="7" s="1"/>
  <c r="I3057" i="7" s="1"/>
  <c r="A3058" i="7"/>
  <c r="H3058" i="7" s="1"/>
  <c r="I3058" i="7" s="1"/>
  <c r="A3059" i="7"/>
  <c r="H3059" i="7" s="1"/>
  <c r="I3059" i="7" s="1"/>
  <c r="A3060" i="7"/>
  <c r="H3060" i="7" s="1"/>
  <c r="I3060" i="7" s="1"/>
  <c r="A3061" i="7"/>
  <c r="H3061" i="7" s="1"/>
  <c r="I3061" i="7" s="1"/>
  <c r="A3062" i="7"/>
  <c r="H3062" i="7" s="1"/>
  <c r="I3062" i="7" s="1"/>
  <c r="A3063" i="7"/>
  <c r="H3063" i="7" s="1"/>
  <c r="I3063" i="7" s="1"/>
  <c r="A3064" i="7"/>
  <c r="H3064" i="7" s="1"/>
  <c r="I3064" i="7" s="1"/>
  <c r="A3065" i="7"/>
  <c r="H3065" i="7" s="1"/>
  <c r="I3065" i="7" s="1"/>
  <c r="A3066" i="7"/>
  <c r="H3066" i="7" s="1"/>
  <c r="I3066" i="7" s="1"/>
  <c r="A3067" i="7"/>
  <c r="H3067" i="7" s="1"/>
  <c r="I3067" i="7" s="1"/>
  <c r="A3068" i="7"/>
  <c r="H3068" i="7" s="1"/>
  <c r="I3068" i="7" s="1"/>
  <c r="A3069" i="7"/>
  <c r="H3069" i="7" s="1"/>
  <c r="I3069" i="7" s="1"/>
  <c r="A3070" i="7"/>
  <c r="H3070" i="7" s="1"/>
  <c r="I3070" i="7" s="1"/>
  <c r="A3071" i="7"/>
  <c r="H3071" i="7" s="1"/>
  <c r="I3071" i="7" s="1"/>
  <c r="A3072" i="7"/>
  <c r="H3072" i="7" s="1"/>
  <c r="I3072" i="7" s="1"/>
  <c r="A3073" i="7"/>
  <c r="H3073" i="7" s="1"/>
  <c r="I3073" i="7" s="1"/>
  <c r="A3074" i="7"/>
  <c r="H3074" i="7" s="1"/>
  <c r="I3074" i="7" s="1"/>
  <c r="A3075" i="7"/>
  <c r="H3075" i="7" s="1"/>
  <c r="I3075" i="7" s="1"/>
  <c r="A3076" i="7"/>
  <c r="H3076" i="7" s="1"/>
  <c r="I3076" i="7" s="1"/>
  <c r="A3077" i="7"/>
  <c r="H3077" i="7" s="1"/>
  <c r="I3077" i="7" s="1"/>
  <c r="A3078" i="7"/>
  <c r="H3078" i="7" s="1"/>
  <c r="I3078" i="7" s="1"/>
  <c r="A3079" i="7"/>
  <c r="H3079" i="7" s="1"/>
  <c r="I3079" i="7" s="1"/>
  <c r="A3080" i="7"/>
  <c r="H3080" i="7" s="1"/>
  <c r="I3080" i="7" s="1"/>
  <c r="A3081" i="7"/>
  <c r="H3081" i="7" s="1"/>
  <c r="I3081" i="7" s="1"/>
  <c r="A3082" i="7"/>
  <c r="H3082" i="7" s="1"/>
  <c r="I3082" i="7" s="1"/>
  <c r="A3083" i="7"/>
  <c r="H3083" i="7" s="1"/>
  <c r="I3083" i="7" s="1"/>
  <c r="A3084" i="7"/>
  <c r="H3084" i="7" s="1"/>
  <c r="I3084" i="7" s="1"/>
  <c r="A3085" i="7"/>
  <c r="H3085" i="7" s="1"/>
  <c r="I3085" i="7" s="1"/>
  <c r="A3086" i="7"/>
  <c r="H3086" i="7" s="1"/>
  <c r="I3086" i="7" s="1"/>
  <c r="A3087" i="7"/>
  <c r="H3087" i="7" s="1"/>
  <c r="I3087" i="7" s="1"/>
  <c r="A3088" i="7"/>
  <c r="H3088" i="7" s="1"/>
  <c r="I3088" i="7" s="1"/>
  <c r="A3089" i="7"/>
  <c r="H3089" i="7" s="1"/>
  <c r="I3089" i="7" s="1"/>
  <c r="A3090" i="7"/>
  <c r="H3090" i="7" s="1"/>
  <c r="I3090" i="7" s="1"/>
  <c r="A3091" i="7"/>
  <c r="H3091" i="7" s="1"/>
  <c r="I3091" i="7" s="1"/>
  <c r="A3092" i="7"/>
  <c r="H3092" i="7" s="1"/>
  <c r="I3092" i="7" s="1"/>
  <c r="A3093" i="7"/>
  <c r="H3093" i="7" s="1"/>
  <c r="I3093" i="7" s="1"/>
  <c r="A3094" i="7"/>
  <c r="H3094" i="7" s="1"/>
  <c r="I3094" i="7" s="1"/>
  <c r="A3095" i="7"/>
  <c r="H3095" i="7" s="1"/>
  <c r="I3095" i="7" s="1"/>
  <c r="A3096" i="7"/>
  <c r="H3096" i="7" s="1"/>
  <c r="I3096" i="7" s="1"/>
  <c r="A3097" i="7"/>
  <c r="H3097" i="7" s="1"/>
  <c r="I3097" i="7" s="1"/>
  <c r="A3098" i="7"/>
  <c r="H3098" i="7" s="1"/>
  <c r="I3098" i="7" s="1"/>
  <c r="A3099" i="7"/>
  <c r="H3099" i="7" s="1"/>
  <c r="I3099" i="7" s="1"/>
  <c r="A3100" i="7"/>
  <c r="H3100" i="7" s="1"/>
  <c r="I3100" i="7" s="1"/>
  <c r="A3101" i="7"/>
  <c r="H3101" i="7" s="1"/>
  <c r="I3101" i="7" s="1"/>
  <c r="A3102" i="7"/>
  <c r="H3102" i="7" s="1"/>
  <c r="I3102" i="7" s="1"/>
  <c r="A3103" i="7"/>
  <c r="H3103" i="7" s="1"/>
  <c r="I3103" i="7" s="1"/>
  <c r="A3104" i="7"/>
  <c r="H3104" i="7" s="1"/>
  <c r="I3104" i="7" s="1"/>
  <c r="A3105" i="7"/>
  <c r="H3105" i="7" s="1"/>
  <c r="I3105" i="7" s="1"/>
  <c r="A3106" i="7"/>
  <c r="H3106" i="7" s="1"/>
  <c r="I3106" i="7" s="1"/>
  <c r="A3107" i="7"/>
  <c r="H3107" i="7" s="1"/>
  <c r="I3107" i="7" s="1"/>
  <c r="A3108" i="7"/>
  <c r="H3108" i="7" s="1"/>
  <c r="I3108" i="7" s="1"/>
  <c r="A3109" i="7"/>
  <c r="H3109" i="7" s="1"/>
  <c r="I3109" i="7" s="1"/>
  <c r="A3110" i="7"/>
  <c r="H3110" i="7" s="1"/>
  <c r="I3110" i="7" s="1"/>
  <c r="A3111" i="7"/>
  <c r="H3111" i="7" s="1"/>
  <c r="I3111" i="7" s="1"/>
  <c r="A3112" i="7"/>
  <c r="H3112" i="7" s="1"/>
  <c r="I3112" i="7" s="1"/>
  <c r="A3113" i="7"/>
  <c r="H3113" i="7" s="1"/>
  <c r="I3113" i="7" s="1"/>
  <c r="A3114" i="7"/>
  <c r="H3114" i="7" s="1"/>
  <c r="I3114" i="7" s="1"/>
  <c r="A3115" i="7"/>
  <c r="H3115" i="7" s="1"/>
  <c r="I3115" i="7" s="1"/>
  <c r="A3116" i="7"/>
  <c r="H3116" i="7" s="1"/>
  <c r="I3116" i="7" s="1"/>
  <c r="A3117" i="7"/>
  <c r="H3117" i="7" s="1"/>
  <c r="I3117" i="7" s="1"/>
  <c r="A3118" i="7"/>
  <c r="H3118" i="7" s="1"/>
  <c r="I3118" i="7" s="1"/>
  <c r="A3119" i="7"/>
  <c r="H3119" i="7" s="1"/>
  <c r="I3119" i="7" s="1"/>
  <c r="A3120" i="7"/>
  <c r="H3120" i="7" s="1"/>
  <c r="I3120" i="7" s="1"/>
  <c r="A3121" i="7"/>
  <c r="H3121" i="7" s="1"/>
  <c r="I3121" i="7" s="1"/>
  <c r="A3122" i="7"/>
  <c r="H3122" i="7" s="1"/>
  <c r="I3122" i="7" s="1"/>
  <c r="A3123" i="7"/>
  <c r="H3123" i="7" s="1"/>
  <c r="I3123" i="7" s="1"/>
  <c r="A3124" i="7"/>
  <c r="H3124" i="7" s="1"/>
  <c r="I3124" i="7" s="1"/>
  <c r="A3125" i="7"/>
  <c r="H3125" i="7" s="1"/>
  <c r="I3125" i="7" s="1"/>
  <c r="A3126" i="7"/>
  <c r="H3126" i="7" s="1"/>
  <c r="I3126" i="7" s="1"/>
  <c r="A3127" i="7"/>
  <c r="H3127" i="7" s="1"/>
  <c r="I3127" i="7" s="1"/>
  <c r="A3128" i="7"/>
  <c r="H3128" i="7" s="1"/>
  <c r="I3128" i="7" s="1"/>
  <c r="A3129" i="7"/>
  <c r="H3129" i="7" s="1"/>
  <c r="I3129" i="7" s="1"/>
  <c r="A3130" i="7"/>
  <c r="H3130" i="7" s="1"/>
  <c r="I3130" i="7" s="1"/>
  <c r="A3131" i="7"/>
  <c r="H3131" i="7" s="1"/>
  <c r="I3131" i="7" s="1"/>
  <c r="A3132" i="7"/>
  <c r="H3132" i="7" s="1"/>
  <c r="I3132" i="7" s="1"/>
  <c r="A3133" i="7"/>
  <c r="H3133" i="7" s="1"/>
  <c r="I3133" i="7" s="1"/>
  <c r="A3134" i="7"/>
  <c r="H3134" i="7" s="1"/>
  <c r="I3134" i="7" s="1"/>
  <c r="A3135" i="7"/>
  <c r="H3135" i="7" s="1"/>
  <c r="I3135" i="7" s="1"/>
  <c r="A3136" i="7"/>
  <c r="H3136" i="7" s="1"/>
  <c r="I3136" i="7" s="1"/>
  <c r="A3137" i="7"/>
  <c r="H3137" i="7" s="1"/>
  <c r="I3137" i="7" s="1"/>
  <c r="A3138" i="7"/>
  <c r="H3138" i="7" s="1"/>
  <c r="I3138" i="7" s="1"/>
  <c r="A3139" i="7"/>
  <c r="H3139" i="7" s="1"/>
  <c r="I3139" i="7" s="1"/>
  <c r="A3140" i="7"/>
  <c r="H3140" i="7" s="1"/>
  <c r="I3140" i="7" s="1"/>
  <c r="A3141" i="7"/>
  <c r="H3141" i="7" s="1"/>
  <c r="I3141" i="7" s="1"/>
  <c r="A3142" i="7"/>
  <c r="H3142" i="7" s="1"/>
  <c r="I3142" i="7" s="1"/>
  <c r="A3143" i="7"/>
  <c r="H3143" i="7" s="1"/>
  <c r="I3143" i="7" s="1"/>
  <c r="A3144" i="7"/>
  <c r="H3144" i="7" s="1"/>
  <c r="I3144" i="7" s="1"/>
  <c r="A3145" i="7"/>
  <c r="H3145" i="7" s="1"/>
  <c r="I3145" i="7" s="1"/>
  <c r="A3146" i="7"/>
  <c r="H3146" i="7" s="1"/>
  <c r="I3146" i="7" s="1"/>
  <c r="A3147" i="7"/>
  <c r="H3147" i="7" s="1"/>
  <c r="I3147" i="7" s="1"/>
  <c r="A3148" i="7"/>
  <c r="H3148" i="7" s="1"/>
  <c r="I3148" i="7" s="1"/>
  <c r="A3149" i="7"/>
  <c r="H3149" i="7" s="1"/>
  <c r="I3149" i="7" s="1"/>
  <c r="A3150" i="7"/>
  <c r="H3150" i="7" s="1"/>
  <c r="I3150" i="7" s="1"/>
  <c r="A3151" i="7"/>
  <c r="H3151" i="7" s="1"/>
  <c r="I3151" i="7" s="1"/>
  <c r="A3152" i="7"/>
  <c r="H3152" i="7" s="1"/>
  <c r="I3152" i="7" s="1"/>
  <c r="A3153" i="7"/>
  <c r="H3153" i="7" s="1"/>
  <c r="I3153" i="7" s="1"/>
  <c r="A3154" i="7"/>
  <c r="H3154" i="7" s="1"/>
  <c r="I3154" i="7" s="1"/>
  <c r="A3155" i="7"/>
  <c r="H3155" i="7" s="1"/>
  <c r="I3155" i="7" s="1"/>
  <c r="A3156" i="7"/>
  <c r="H3156" i="7" s="1"/>
  <c r="I3156" i="7" s="1"/>
  <c r="A3157" i="7"/>
  <c r="H3157" i="7" s="1"/>
  <c r="I3157" i="7" s="1"/>
  <c r="A3158" i="7"/>
  <c r="H3158" i="7" s="1"/>
  <c r="I3158" i="7" s="1"/>
  <c r="A3159" i="7"/>
  <c r="H3159" i="7" s="1"/>
  <c r="I3159" i="7" s="1"/>
  <c r="A3160" i="7"/>
  <c r="H3160" i="7" s="1"/>
  <c r="I3160" i="7" s="1"/>
  <c r="A3161" i="7"/>
  <c r="H3161" i="7" s="1"/>
  <c r="I3161" i="7" s="1"/>
  <c r="A3162" i="7"/>
  <c r="H3162" i="7" s="1"/>
  <c r="I3162" i="7" s="1"/>
  <c r="A3163" i="7"/>
  <c r="H3163" i="7" s="1"/>
  <c r="I3163" i="7" s="1"/>
  <c r="A3164" i="7"/>
  <c r="H3164" i="7" s="1"/>
  <c r="I3164" i="7" s="1"/>
  <c r="A3165" i="7"/>
  <c r="H3165" i="7" s="1"/>
  <c r="I3165" i="7" s="1"/>
  <c r="A3166" i="7"/>
  <c r="H3166" i="7" s="1"/>
  <c r="I3166" i="7" s="1"/>
  <c r="A3167" i="7"/>
  <c r="H3167" i="7" s="1"/>
  <c r="I3167" i="7" s="1"/>
  <c r="A3168" i="7"/>
  <c r="H3168" i="7" s="1"/>
  <c r="I3168" i="7" s="1"/>
  <c r="A3169" i="7"/>
  <c r="H3169" i="7" s="1"/>
  <c r="I3169" i="7" s="1"/>
  <c r="A3170" i="7"/>
  <c r="H3170" i="7" s="1"/>
  <c r="I3170" i="7" s="1"/>
  <c r="A3171" i="7"/>
  <c r="H3171" i="7" s="1"/>
  <c r="I3171" i="7" s="1"/>
  <c r="A3172" i="7"/>
  <c r="H3172" i="7" s="1"/>
  <c r="I3172" i="7" s="1"/>
  <c r="A3173" i="7"/>
  <c r="H3173" i="7" s="1"/>
  <c r="I3173" i="7" s="1"/>
  <c r="A3174" i="7"/>
  <c r="H3174" i="7" s="1"/>
  <c r="I3174" i="7" s="1"/>
  <c r="A3175" i="7"/>
  <c r="H3175" i="7" s="1"/>
  <c r="I3175" i="7" s="1"/>
  <c r="A3176" i="7"/>
  <c r="H3176" i="7" s="1"/>
  <c r="I3176" i="7" s="1"/>
  <c r="A3177" i="7"/>
  <c r="H3177" i="7" s="1"/>
  <c r="I3177" i="7" s="1"/>
  <c r="A3178" i="7"/>
  <c r="H3178" i="7" s="1"/>
  <c r="I3178" i="7" s="1"/>
  <c r="A3179" i="7"/>
  <c r="H3179" i="7" s="1"/>
  <c r="I3179" i="7" s="1"/>
  <c r="A3180" i="7"/>
  <c r="H3180" i="7" s="1"/>
  <c r="I3180" i="7" s="1"/>
  <c r="A3181" i="7"/>
  <c r="H3181" i="7" s="1"/>
  <c r="I3181" i="7" s="1"/>
  <c r="A3182" i="7"/>
  <c r="H3182" i="7" s="1"/>
  <c r="I3182" i="7" s="1"/>
  <c r="A3183" i="7"/>
  <c r="H3183" i="7" s="1"/>
  <c r="I3183" i="7" s="1"/>
  <c r="A3184" i="7"/>
  <c r="H3184" i="7" s="1"/>
  <c r="I3184" i="7" s="1"/>
  <c r="A3185" i="7"/>
  <c r="H3185" i="7" s="1"/>
  <c r="I3185" i="7" s="1"/>
  <c r="A3186" i="7"/>
  <c r="H3186" i="7" s="1"/>
  <c r="I3186" i="7" s="1"/>
  <c r="A3187" i="7"/>
  <c r="H3187" i="7" s="1"/>
  <c r="I3187" i="7" s="1"/>
  <c r="A3188" i="7"/>
  <c r="H3188" i="7" s="1"/>
  <c r="I3188" i="7" s="1"/>
  <c r="A3189" i="7"/>
  <c r="H3189" i="7" s="1"/>
  <c r="I3189" i="7" s="1"/>
  <c r="A3190" i="7"/>
  <c r="H3190" i="7" s="1"/>
  <c r="I3190" i="7" s="1"/>
  <c r="A3191" i="7"/>
  <c r="H3191" i="7" s="1"/>
  <c r="I3191" i="7" s="1"/>
  <c r="A3192" i="7"/>
  <c r="H3192" i="7" s="1"/>
  <c r="I3192" i="7" s="1"/>
  <c r="A3193" i="7"/>
  <c r="H3193" i="7" s="1"/>
  <c r="I3193" i="7" s="1"/>
  <c r="A3194" i="7"/>
  <c r="H3194" i="7" s="1"/>
  <c r="I3194" i="7" s="1"/>
  <c r="A3195" i="7"/>
  <c r="H3195" i="7" s="1"/>
  <c r="I3195" i="7" s="1"/>
  <c r="A3196" i="7"/>
  <c r="H3196" i="7" s="1"/>
  <c r="I3196" i="7" s="1"/>
  <c r="A3197" i="7"/>
  <c r="H3197" i="7" s="1"/>
  <c r="I3197" i="7" s="1"/>
  <c r="A3198" i="7"/>
  <c r="H3198" i="7" s="1"/>
  <c r="I3198" i="7" s="1"/>
  <c r="A3199" i="7"/>
  <c r="H3199" i="7" s="1"/>
  <c r="I3199" i="7" s="1"/>
  <c r="A3200" i="7"/>
  <c r="H3200" i="7" s="1"/>
  <c r="I3200" i="7" s="1"/>
  <c r="A3201" i="7"/>
  <c r="H3201" i="7" s="1"/>
  <c r="I3201" i="7" s="1"/>
  <c r="A3202" i="7"/>
  <c r="H3202" i="7" s="1"/>
  <c r="I3202" i="7" s="1"/>
  <c r="A3203" i="7"/>
  <c r="H3203" i="7" s="1"/>
  <c r="I3203" i="7" s="1"/>
  <c r="A3204" i="7"/>
  <c r="H3204" i="7" s="1"/>
  <c r="I3204" i="7" s="1"/>
  <c r="A3205" i="7"/>
  <c r="H3205" i="7" s="1"/>
  <c r="I3205" i="7" s="1"/>
  <c r="A3206" i="7"/>
  <c r="H3206" i="7" s="1"/>
  <c r="I3206" i="7" s="1"/>
  <c r="A3207" i="7"/>
  <c r="H3207" i="7" s="1"/>
  <c r="I3207" i="7" s="1"/>
  <c r="A3208" i="7"/>
  <c r="H3208" i="7" s="1"/>
  <c r="I3208" i="7" s="1"/>
  <c r="A3209" i="7"/>
  <c r="H3209" i="7" s="1"/>
  <c r="I3209" i="7" s="1"/>
  <c r="A3210" i="7"/>
  <c r="H3210" i="7" s="1"/>
  <c r="I3210" i="7" s="1"/>
  <c r="A3211" i="7"/>
  <c r="H3211" i="7" s="1"/>
  <c r="I3211" i="7" s="1"/>
  <c r="A3212" i="7"/>
  <c r="H3212" i="7" s="1"/>
  <c r="I3212" i="7" s="1"/>
  <c r="A3213" i="7"/>
  <c r="H3213" i="7" s="1"/>
  <c r="I3213" i="7" s="1"/>
  <c r="A3214" i="7"/>
  <c r="H3214" i="7" s="1"/>
  <c r="I3214" i="7" s="1"/>
  <c r="A3215" i="7"/>
  <c r="H3215" i="7" s="1"/>
  <c r="I3215" i="7" s="1"/>
  <c r="A3216" i="7"/>
  <c r="H3216" i="7" s="1"/>
  <c r="I3216" i="7" s="1"/>
  <c r="A3217" i="7"/>
  <c r="H3217" i="7" s="1"/>
  <c r="I3217" i="7" s="1"/>
  <c r="A3218" i="7"/>
  <c r="H3218" i="7" s="1"/>
  <c r="I3218" i="7" s="1"/>
  <c r="A3219" i="7"/>
  <c r="H3219" i="7" s="1"/>
  <c r="I3219" i="7" s="1"/>
  <c r="A3220" i="7"/>
  <c r="H3220" i="7" s="1"/>
  <c r="I3220" i="7" s="1"/>
  <c r="A3221" i="7"/>
  <c r="H3221" i="7" s="1"/>
  <c r="I3221" i="7" s="1"/>
  <c r="A3222" i="7"/>
  <c r="H3222" i="7" s="1"/>
  <c r="I3222" i="7" s="1"/>
  <c r="A3223" i="7"/>
  <c r="H3223" i="7" s="1"/>
  <c r="I3223" i="7" s="1"/>
  <c r="A3224" i="7"/>
  <c r="H3224" i="7" s="1"/>
  <c r="I3224" i="7" s="1"/>
  <c r="A3225" i="7"/>
  <c r="H3225" i="7" s="1"/>
  <c r="I3225" i="7" s="1"/>
  <c r="A3226" i="7"/>
  <c r="H3226" i="7" s="1"/>
  <c r="I3226" i="7" s="1"/>
  <c r="A3227" i="7"/>
  <c r="H3227" i="7" s="1"/>
  <c r="I3227" i="7" s="1"/>
  <c r="A3228" i="7"/>
  <c r="H3228" i="7" s="1"/>
  <c r="I3228" i="7" s="1"/>
  <c r="A3229" i="7"/>
  <c r="H3229" i="7" s="1"/>
  <c r="I3229" i="7" s="1"/>
  <c r="A3230" i="7"/>
  <c r="H3230" i="7" s="1"/>
  <c r="I3230" i="7" s="1"/>
  <c r="A3231" i="7"/>
  <c r="H3231" i="7" s="1"/>
  <c r="I3231" i="7" s="1"/>
  <c r="A3232" i="7"/>
  <c r="H3232" i="7" s="1"/>
  <c r="I3232" i="7" s="1"/>
  <c r="A3233" i="7"/>
  <c r="H3233" i="7" s="1"/>
  <c r="I3233" i="7" s="1"/>
  <c r="A3234" i="7"/>
  <c r="H3234" i="7" s="1"/>
  <c r="I3234" i="7" s="1"/>
  <c r="A3235" i="7"/>
  <c r="H3235" i="7" s="1"/>
  <c r="I3235" i="7" s="1"/>
  <c r="A3236" i="7"/>
  <c r="H3236" i="7" s="1"/>
  <c r="I3236" i="7" s="1"/>
  <c r="A3237" i="7"/>
  <c r="H3237" i="7" s="1"/>
  <c r="I3237" i="7" s="1"/>
  <c r="A3238" i="7"/>
  <c r="H3238" i="7" s="1"/>
  <c r="I3238" i="7" s="1"/>
  <c r="A3239" i="7"/>
  <c r="H3239" i="7" s="1"/>
  <c r="I3239" i="7" s="1"/>
  <c r="A3240" i="7"/>
  <c r="H3240" i="7" s="1"/>
  <c r="I3240" i="7" s="1"/>
  <c r="A3241" i="7"/>
  <c r="H3241" i="7" s="1"/>
  <c r="I3241" i="7" s="1"/>
  <c r="A3242" i="7"/>
  <c r="H3242" i="7" s="1"/>
  <c r="I3242" i="7" s="1"/>
  <c r="A3243" i="7"/>
  <c r="H3243" i="7" s="1"/>
  <c r="I3243" i="7" s="1"/>
  <c r="A3244" i="7"/>
  <c r="H3244" i="7" s="1"/>
  <c r="I3244" i="7" s="1"/>
  <c r="A3245" i="7"/>
  <c r="H3245" i="7" s="1"/>
  <c r="I3245" i="7" s="1"/>
  <c r="A3246" i="7"/>
  <c r="H3246" i="7" s="1"/>
  <c r="I3246" i="7" s="1"/>
  <c r="A3247" i="7"/>
  <c r="H3247" i="7" s="1"/>
  <c r="I3247" i="7" s="1"/>
  <c r="A3248" i="7"/>
  <c r="H3248" i="7" s="1"/>
  <c r="I3248" i="7" s="1"/>
  <c r="A3249" i="7"/>
  <c r="H3249" i="7" s="1"/>
  <c r="I3249" i="7" s="1"/>
  <c r="A3250" i="7"/>
  <c r="H3250" i="7" s="1"/>
  <c r="I3250" i="7" s="1"/>
  <c r="A3251" i="7"/>
  <c r="H3251" i="7" s="1"/>
  <c r="I3251" i="7" s="1"/>
  <c r="A3252" i="7"/>
  <c r="H3252" i="7" s="1"/>
  <c r="I3252" i="7" s="1"/>
  <c r="A3253" i="7"/>
  <c r="H3253" i="7" s="1"/>
  <c r="I3253" i="7" s="1"/>
  <c r="A3254" i="7"/>
  <c r="H3254" i="7" s="1"/>
  <c r="I3254" i="7" s="1"/>
  <c r="A3255" i="7"/>
  <c r="H3255" i="7" s="1"/>
  <c r="I3255" i="7" s="1"/>
  <c r="A3256" i="7"/>
  <c r="H3256" i="7" s="1"/>
  <c r="I3256" i="7" s="1"/>
  <c r="A3257" i="7"/>
  <c r="H3257" i="7" s="1"/>
  <c r="I3257" i="7" s="1"/>
  <c r="A3258" i="7"/>
  <c r="H3258" i="7" s="1"/>
  <c r="I3258" i="7" s="1"/>
  <c r="A3259" i="7"/>
  <c r="H3259" i="7" s="1"/>
  <c r="I3259" i="7" s="1"/>
  <c r="A3260" i="7"/>
  <c r="H3260" i="7" s="1"/>
  <c r="I3260" i="7" s="1"/>
  <c r="A3261" i="7"/>
  <c r="H3261" i="7" s="1"/>
  <c r="I3261" i="7" s="1"/>
  <c r="A3262" i="7"/>
  <c r="H3262" i="7" s="1"/>
  <c r="I3262" i="7" s="1"/>
  <c r="A3263" i="7"/>
  <c r="H3263" i="7" s="1"/>
  <c r="I3263" i="7" s="1"/>
  <c r="A3264" i="7"/>
  <c r="H3264" i="7" s="1"/>
  <c r="I3264" i="7" s="1"/>
  <c r="A3265" i="7"/>
  <c r="H3265" i="7" s="1"/>
  <c r="I3265" i="7" s="1"/>
  <c r="A3266" i="7"/>
  <c r="H3266" i="7" s="1"/>
  <c r="I3266" i="7" s="1"/>
  <c r="A3267" i="7"/>
  <c r="H3267" i="7" s="1"/>
  <c r="I3267" i="7" s="1"/>
  <c r="A3268" i="7"/>
  <c r="H3268" i="7" s="1"/>
  <c r="I3268" i="7" s="1"/>
  <c r="A3269" i="7"/>
  <c r="H3269" i="7" s="1"/>
  <c r="I3269" i="7" s="1"/>
  <c r="A3270" i="7"/>
  <c r="H3270" i="7" s="1"/>
  <c r="I3270" i="7" s="1"/>
  <c r="A3271" i="7"/>
  <c r="H3271" i="7" s="1"/>
  <c r="I3271" i="7" s="1"/>
  <c r="A3272" i="7"/>
  <c r="H3272" i="7" s="1"/>
  <c r="I3272" i="7" s="1"/>
  <c r="A3273" i="7"/>
  <c r="H3273" i="7" s="1"/>
  <c r="I3273" i="7" s="1"/>
  <c r="A3274" i="7"/>
  <c r="H3274" i="7" s="1"/>
  <c r="I3274" i="7" s="1"/>
  <c r="A3275" i="7"/>
  <c r="H3275" i="7" s="1"/>
  <c r="I3275" i="7" s="1"/>
  <c r="A3276" i="7"/>
  <c r="H3276" i="7" s="1"/>
  <c r="I3276" i="7" s="1"/>
  <c r="A3277" i="7"/>
  <c r="H3277" i="7" s="1"/>
  <c r="I3277" i="7" s="1"/>
  <c r="A3278" i="7"/>
  <c r="H3278" i="7" s="1"/>
  <c r="I3278" i="7" s="1"/>
  <c r="A3279" i="7"/>
  <c r="H3279" i="7" s="1"/>
  <c r="I3279" i="7" s="1"/>
  <c r="A3280" i="7"/>
  <c r="H3280" i="7" s="1"/>
  <c r="I3280" i="7" s="1"/>
  <c r="A3281" i="7"/>
  <c r="H3281" i="7" s="1"/>
  <c r="I3281" i="7" s="1"/>
  <c r="A3282" i="7"/>
  <c r="H3282" i="7" s="1"/>
  <c r="I3282" i="7" s="1"/>
  <c r="A3283" i="7"/>
  <c r="H3283" i="7" s="1"/>
  <c r="I3283" i="7" s="1"/>
  <c r="A3284" i="7"/>
  <c r="H3284" i="7" s="1"/>
  <c r="I3284" i="7" s="1"/>
  <c r="A3285" i="7"/>
  <c r="H3285" i="7" s="1"/>
  <c r="I3285" i="7" s="1"/>
  <c r="A3286" i="7"/>
  <c r="H3286" i="7" s="1"/>
  <c r="I3286" i="7" s="1"/>
  <c r="A3287" i="7"/>
  <c r="H3287" i="7" s="1"/>
  <c r="I3287" i="7" s="1"/>
  <c r="A3288" i="7"/>
  <c r="H3288" i="7" s="1"/>
  <c r="I3288" i="7" s="1"/>
  <c r="A3289" i="7"/>
  <c r="H3289" i="7" s="1"/>
  <c r="I3289" i="7" s="1"/>
  <c r="A3290" i="7"/>
  <c r="H3290" i="7" s="1"/>
  <c r="I3290" i="7" s="1"/>
  <c r="A3291" i="7"/>
  <c r="H3291" i="7" s="1"/>
  <c r="I3291" i="7" s="1"/>
  <c r="A3292" i="7"/>
  <c r="H3292" i="7" s="1"/>
  <c r="I3292" i="7" s="1"/>
  <c r="A3293" i="7"/>
  <c r="H3293" i="7" s="1"/>
  <c r="I3293" i="7" s="1"/>
  <c r="A3294" i="7"/>
  <c r="H3294" i="7" s="1"/>
  <c r="I3294" i="7" s="1"/>
  <c r="A3295" i="7"/>
  <c r="H3295" i="7" s="1"/>
  <c r="I3295" i="7" s="1"/>
  <c r="A3296" i="7"/>
  <c r="H3296" i="7" s="1"/>
  <c r="I3296" i="7" s="1"/>
  <c r="A3297" i="7"/>
  <c r="H3297" i="7" s="1"/>
  <c r="I3297" i="7" s="1"/>
  <c r="A3298" i="7"/>
  <c r="H3298" i="7" s="1"/>
  <c r="I3298" i="7" s="1"/>
  <c r="A3299" i="7"/>
  <c r="H3299" i="7" s="1"/>
  <c r="I3299" i="7" s="1"/>
  <c r="A3300" i="7"/>
  <c r="H3300" i="7" s="1"/>
  <c r="I3300" i="7" s="1"/>
  <c r="A3301" i="7"/>
  <c r="H3301" i="7" s="1"/>
  <c r="I3301" i="7" s="1"/>
  <c r="A3302" i="7"/>
  <c r="H3302" i="7" s="1"/>
  <c r="I3302" i="7" s="1"/>
  <c r="A3303" i="7"/>
  <c r="H3303" i="7" s="1"/>
  <c r="I3303" i="7" s="1"/>
  <c r="A3304" i="7"/>
  <c r="H3304" i="7" s="1"/>
  <c r="I3304" i="7" s="1"/>
  <c r="A3305" i="7"/>
  <c r="H3305" i="7" s="1"/>
  <c r="I3305" i="7" s="1"/>
  <c r="A3306" i="7"/>
  <c r="H3306" i="7" s="1"/>
  <c r="I3306" i="7" s="1"/>
  <c r="A3307" i="7"/>
  <c r="H3307" i="7" s="1"/>
  <c r="I3307" i="7" s="1"/>
  <c r="A3308" i="7"/>
  <c r="H3308" i="7" s="1"/>
  <c r="I3308" i="7" s="1"/>
  <c r="A3309" i="7"/>
  <c r="H3309" i="7" s="1"/>
  <c r="I3309" i="7" s="1"/>
  <c r="A3310" i="7"/>
  <c r="H3310" i="7" s="1"/>
  <c r="I3310" i="7" s="1"/>
  <c r="A3311" i="7"/>
  <c r="H3311" i="7" s="1"/>
  <c r="I3311" i="7" s="1"/>
  <c r="A3312" i="7"/>
  <c r="H3312" i="7" s="1"/>
  <c r="I3312" i="7" s="1"/>
  <c r="A3313" i="7"/>
  <c r="H3313" i="7" s="1"/>
  <c r="I3313" i="7" s="1"/>
  <c r="A3314" i="7"/>
  <c r="H3314" i="7" s="1"/>
  <c r="I3314" i="7" s="1"/>
  <c r="A3315" i="7"/>
  <c r="H3315" i="7" s="1"/>
  <c r="I3315" i="7" s="1"/>
  <c r="A3316" i="7"/>
  <c r="H3316" i="7" s="1"/>
  <c r="I3316" i="7" s="1"/>
  <c r="A3317" i="7"/>
  <c r="H3317" i="7" s="1"/>
  <c r="I3317" i="7" s="1"/>
  <c r="A3318" i="7"/>
  <c r="H3318" i="7" s="1"/>
  <c r="I3318" i="7" s="1"/>
  <c r="A3319" i="7"/>
  <c r="H3319" i="7" s="1"/>
  <c r="I3319" i="7" s="1"/>
  <c r="A3320" i="7"/>
  <c r="H3320" i="7" s="1"/>
  <c r="I3320" i="7" s="1"/>
  <c r="A3321" i="7"/>
  <c r="H3321" i="7" s="1"/>
  <c r="I3321" i="7" s="1"/>
  <c r="A3322" i="7"/>
  <c r="H3322" i="7" s="1"/>
  <c r="I3322" i="7" s="1"/>
  <c r="A3323" i="7"/>
  <c r="H3323" i="7" s="1"/>
  <c r="I3323" i="7" s="1"/>
  <c r="A3324" i="7"/>
  <c r="H3324" i="7" s="1"/>
  <c r="I3324" i="7" s="1"/>
  <c r="A3325" i="7"/>
  <c r="H3325" i="7" s="1"/>
  <c r="I3325" i="7" s="1"/>
  <c r="A3326" i="7"/>
  <c r="H3326" i="7" s="1"/>
  <c r="I3326" i="7" s="1"/>
  <c r="A3327" i="7"/>
  <c r="H3327" i="7" s="1"/>
  <c r="I3327" i="7" s="1"/>
  <c r="A3328" i="7"/>
  <c r="H3328" i="7" s="1"/>
  <c r="I3328" i="7" s="1"/>
  <c r="A3329" i="7"/>
  <c r="H3329" i="7" s="1"/>
  <c r="I3329" i="7" s="1"/>
  <c r="A3330" i="7"/>
  <c r="H3330" i="7" s="1"/>
  <c r="I3330" i="7" s="1"/>
  <c r="A3331" i="7"/>
  <c r="H3331" i="7" s="1"/>
  <c r="I3331" i="7" s="1"/>
  <c r="A3332" i="7"/>
  <c r="H3332" i="7" s="1"/>
  <c r="I3332" i="7" s="1"/>
  <c r="A3333" i="7"/>
  <c r="H3333" i="7" s="1"/>
  <c r="I3333" i="7" s="1"/>
  <c r="A3334" i="7"/>
  <c r="H3334" i="7" s="1"/>
  <c r="I3334" i="7" s="1"/>
  <c r="A3335" i="7"/>
  <c r="H3335" i="7" s="1"/>
  <c r="I3335" i="7" s="1"/>
  <c r="A3336" i="7"/>
  <c r="H3336" i="7" s="1"/>
  <c r="I3336" i="7" s="1"/>
  <c r="A3337" i="7"/>
  <c r="H3337" i="7" s="1"/>
  <c r="I3337" i="7" s="1"/>
  <c r="A3338" i="7"/>
  <c r="H3338" i="7" s="1"/>
  <c r="I3338" i="7" s="1"/>
  <c r="A3339" i="7"/>
  <c r="H3339" i="7" s="1"/>
  <c r="I3339" i="7" s="1"/>
  <c r="A3340" i="7"/>
  <c r="H3340" i="7" s="1"/>
  <c r="I3340" i="7" s="1"/>
  <c r="A3341" i="7"/>
  <c r="H3341" i="7" s="1"/>
  <c r="I3341" i="7" s="1"/>
  <c r="A3342" i="7"/>
  <c r="H3342" i="7" s="1"/>
  <c r="I3342" i="7" s="1"/>
  <c r="A3343" i="7"/>
  <c r="H3343" i="7" s="1"/>
  <c r="I3343" i="7" s="1"/>
  <c r="A3344" i="7"/>
  <c r="H3344" i="7" s="1"/>
  <c r="I3344" i="7" s="1"/>
  <c r="A3345" i="7"/>
  <c r="H3345" i="7" s="1"/>
  <c r="I3345" i="7" s="1"/>
  <c r="A3346" i="7"/>
  <c r="H3346" i="7" s="1"/>
  <c r="I3346" i="7" s="1"/>
  <c r="A3347" i="7"/>
  <c r="H3347" i="7" s="1"/>
  <c r="I3347" i="7" s="1"/>
  <c r="A3348" i="7"/>
  <c r="H3348" i="7" s="1"/>
  <c r="I3348" i="7" s="1"/>
  <c r="A3349" i="7"/>
  <c r="H3349" i="7" s="1"/>
  <c r="I3349" i="7" s="1"/>
  <c r="A3350" i="7"/>
  <c r="H3350" i="7" s="1"/>
  <c r="I3350" i="7" s="1"/>
  <c r="A3351" i="7"/>
  <c r="H3351" i="7" s="1"/>
  <c r="I3351" i="7" s="1"/>
  <c r="A3352" i="7"/>
  <c r="H3352" i="7" s="1"/>
  <c r="I3352" i="7" s="1"/>
  <c r="A3353" i="7"/>
  <c r="H3353" i="7" s="1"/>
  <c r="I3353" i="7" s="1"/>
  <c r="A3354" i="7"/>
  <c r="H3354" i="7" s="1"/>
  <c r="I3354" i="7" s="1"/>
  <c r="A3355" i="7"/>
  <c r="H3355" i="7" s="1"/>
  <c r="I3355" i="7" s="1"/>
  <c r="A3356" i="7"/>
  <c r="H3356" i="7" s="1"/>
  <c r="I3356" i="7" s="1"/>
  <c r="A3357" i="7"/>
  <c r="H3357" i="7" s="1"/>
  <c r="I3357" i="7" s="1"/>
  <c r="A3358" i="7"/>
  <c r="H3358" i="7" s="1"/>
  <c r="I3358" i="7" s="1"/>
  <c r="A3359" i="7"/>
  <c r="H3359" i="7" s="1"/>
  <c r="I3359" i="7" s="1"/>
  <c r="A3360" i="7"/>
  <c r="H3360" i="7" s="1"/>
  <c r="I3360" i="7" s="1"/>
  <c r="A3361" i="7"/>
  <c r="H3361" i="7" s="1"/>
  <c r="I3361" i="7" s="1"/>
  <c r="A3362" i="7"/>
  <c r="H3362" i="7" s="1"/>
  <c r="I3362" i="7" s="1"/>
  <c r="A3363" i="7"/>
  <c r="H3363" i="7" s="1"/>
  <c r="I3363" i="7" s="1"/>
  <c r="A3364" i="7"/>
  <c r="H3364" i="7" s="1"/>
  <c r="I3364" i="7" s="1"/>
  <c r="A3365" i="7"/>
  <c r="H3365" i="7" s="1"/>
  <c r="I3365" i="7" s="1"/>
  <c r="A3366" i="7"/>
  <c r="H3366" i="7" s="1"/>
  <c r="I3366" i="7" s="1"/>
  <c r="A3367" i="7"/>
  <c r="H3367" i="7" s="1"/>
  <c r="I3367" i="7" s="1"/>
  <c r="A3368" i="7"/>
  <c r="H3368" i="7" s="1"/>
  <c r="I3368" i="7" s="1"/>
  <c r="A3369" i="7"/>
  <c r="H3369" i="7" s="1"/>
  <c r="I3369" i="7" s="1"/>
  <c r="A3370" i="7"/>
  <c r="H3370" i="7" s="1"/>
  <c r="I3370" i="7" s="1"/>
  <c r="A3371" i="7"/>
  <c r="H3371" i="7" s="1"/>
  <c r="I3371" i="7" s="1"/>
  <c r="A3372" i="7"/>
  <c r="H3372" i="7" s="1"/>
  <c r="I3372" i="7" s="1"/>
  <c r="A3373" i="7"/>
  <c r="H3373" i="7" s="1"/>
  <c r="I3373" i="7" s="1"/>
  <c r="A3374" i="7"/>
  <c r="H3374" i="7" s="1"/>
  <c r="I3374" i="7" s="1"/>
  <c r="A3375" i="7"/>
  <c r="H3375" i="7" s="1"/>
  <c r="I3375" i="7" s="1"/>
  <c r="A3376" i="7"/>
  <c r="H3376" i="7" s="1"/>
  <c r="I3376" i="7" s="1"/>
  <c r="A3377" i="7"/>
  <c r="H3377" i="7" s="1"/>
  <c r="I3377" i="7" s="1"/>
  <c r="A3378" i="7"/>
  <c r="H3378" i="7" s="1"/>
  <c r="I3378" i="7" s="1"/>
  <c r="A3379" i="7"/>
  <c r="H3379" i="7" s="1"/>
  <c r="I3379" i="7" s="1"/>
  <c r="A3380" i="7"/>
  <c r="H3380" i="7" s="1"/>
  <c r="I3380" i="7" s="1"/>
  <c r="A3381" i="7"/>
  <c r="H3381" i="7" s="1"/>
  <c r="I3381" i="7" s="1"/>
  <c r="A3382" i="7"/>
  <c r="H3382" i="7" s="1"/>
  <c r="I3382" i="7" s="1"/>
  <c r="A3383" i="7"/>
  <c r="H3383" i="7" s="1"/>
  <c r="I3383" i="7" s="1"/>
  <c r="A3384" i="7"/>
  <c r="H3384" i="7" s="1"/>
  <c r="I3384" i="7" s="1"/>
  <c r="A3385" i="7"/>
  <c r="H3385" i="7" s="1"/>
  <c r="I3385" i="7" s="1"/>
  <c r="A3386" i="7"/>
  <c r="H3386" i="7" s="1"/>
  <c r="I3386" i="7" s="1"/>
  <c r="A3387" i="7"/>
  <c r="H3387" i="7" s="1"/>
  <c r="I3387" i="7" s="1"/>
  <c r="A3388" i="7"/>
  <c r="H3388" i="7" s="1"/>
  <c r="I3388" i="7" s="1"/>
  <c r="A3389" i="7"/>
  <c r="H3389" i="7" s="1"/>
  <c r="I3389" i="7" s="1"/>
  <c r="A3390" i="7"/>
  <c r="H3390" i="7" s="1"/>
  <c r="I3390" i="7" s="1"/>
  <c r="A3391" i="7"/>
  <c r="H3391" i="7" s="1"/>
  <c r="I3391" i="7" s="1"/>
  <c r="A3392" i="7"/>
  <c r="H3392" i="7" s="1"/>
  <c r="I3392" i="7" s="1"/>
  <c r="A3393" i="7"/>
  <c r="H3393" i="7" s="1"/>
  <c r="I3393" i="7" s="1"/>
  <c r="A3394" i="7"/>
  <c r="H3394" i="7" s="1"/>
  <c r="I3394" i="7" s="1"/>
  <c r="A3395" i="7"/>
  <c r="H3395" i="7" s="1"/>
  <c r="I3395" i="7" s="1"/>
  <c r="A3396" i="7"/>
  <c r="H3396" i="7" s="1"/>
  <c r="I3396" i="7" s="1"/>
  <c r="A3397" i="7"/>
  <c r="H3397" i="7" s="1"/>
  <c r="I3397" i="7" s="1"/>
  <c r="A3398" i="7"/>
  <c r="H3398" i="7" s="1"/>
  <c r="I3398" i="7" s="1"/>
  <c r="A3399" i="7"/>
  <c r="H3399" i="7" s="1"/>
  <c r="I3399" i="7" s="1"/>
  <c r="A3400" i="7"/>
  <c r="H3400" i="7" s="1"/>
  <c r="I3400" i="7" s="1"/>
  <c r="A3401" i="7"/>
  <c r="H3401" i="7" s="1"/>
  <c r="I3401" i="7" s="1"/>
  <c r="A3402" i="7"/>
  <c r="H3402" i="7" s="1"/>
  <c r="I3402" i="7" s="1"/>
  <c r="A3403" i="7"/>
  <c r="H3403" i="7" s="1"/>
  <c r="I3403" i="7" s="1"/>
  <c r="A3404" i="7"/>
  <c r="H3404" i="7" s="1"/>
  <c r="I3404" i="7" s="1"/>
  <c r="A3405" i="7"/>
  <c r="H3405" i="7" s="1"/>
  <c r="I3405" i="7" s="1"/>
  <c r="A3406" i="7"/>
  <c r="H3406" i="7" s="1"/>
  <c r="I3406" i="7" s="1"/>
  <c r="A3407" i="7"/>
  <c r="H3407" i="7" s="1"/>
  <c r="I3407" i="7" s="1"/>
  <c r="A3408" i="7"/>
  <c r="H3408" i="7" s="1"/>
  <c r="I3408" i="7" s="1"/>
  <c r="A3409" i="7"/>
  <c r="H3409" i="7" s="1"/>
  <c r="I3409" i="7" s="1"/>
  <c r="A3410" i="7"/>
  <c r="H3410" i="7" s="1"/>
  <c r="I3410" i="7" s="1"/>
  <c r="A3411" i="7"/>
  <c r="H3411" i="7" s="1"/>
  <c r="I3411" i="7" s="1"/>
  <c r="A3412" i="7"/>
  <c r="H3412" i="7" s="1"/>
  <c r="I3412" i="7" s="1"/>
  <c r="A3413" i="7"/>
  <c r="H3413" i="7" s="1"/>
  <c r="I3413" i="7" s="1"/>
  <c r="A3414" i="7"/>
  <c r="H3414" i="7" s="1"/>
  <c r="I3414" i="7" s="1"/>
  <c r="A3415" i="7"/>
  <c r="H3415" i="7" s="1"/>
  <c r="I3415" i="7" s="1"/>
  <c r="A3416" i="7"/>
  <c r="H3416" i="7" s="1"/>
  <c r="I3416" i="7" s="1"/>
  <c r="A3417" i="7"/>
  <c r="H3417" i="7" s="1"/>
  <c r="I3417" i="7" s="1"/>
  <c r="A3418" i="7"/>
  <c r="H3418" i="7" s="1"/>
  <c r="I3418" i="7" s="1"/>
  <c r="A3419" i="7"/>
  <c r="H3419" i="7" s="1"/>
  <c r="I3419" i="7" s="1"/>
  <c r="A3420" i="7"/>
  <c r="H3420" i="7" s="1"/>
  <c r="I3420" i="7" s="1"/>
  <c r="A3421" i="7"/>
  <c r="H3421" i="7" s="1"/>
  <c r="I3421" i="7" s="1"/>
  <c r="A3422" i="7"/>
  <c r="H3422" i="7" s="1"/>
  <c r="I3422" i="7" s="1"/>
  <c r="A3423" i="7"/>
  <c r="H3423" i="7" s="1"/>
  <c r="I3423" i="7" s="1"/>
  <c r="A3424" i="7"/>
  <c r="H3424" i="7" s="1"/>
  <c r="I3424" i="7" s="1"/>
  <c r="A3425" i="7"/>
  <c r="H3425" i="7" s="1"/>
  <c r="I3425" i="7" s="1"/>
  <c r="A3426" i="7"/>
  <c r="H3426" i="7" s="1"/>
  <c r="I3426" i="7" s="1"/>
  <c r="A3427" i="7"/>
  <c r="H3427" i="7" s="1"/>
  <c r="I3427" i="7" s="1"/>
  <c r="A3428" i="7"/>
  <c r="H3428" i="7" s="1"/>
  <c r="I3428" i="7" s="1"/>
  <c r="A3429" i="7"/>
  <c r="H3429" i="7" s="1"/>
  <c r="I3429" i="7" s="1"/>
  <c r="A3430" i="7"/>
  <c r="H3430" i="7" s="1"/>
  <c r="I3430" i="7" s="1"/>
  <c r="A3431" i="7"/>
  <c r="H3431" i="7" s="1"/>
  <c r="I3431" i="7" s="1"/>
  <c r="A3432" i="7"/>
  <c r="H3432" i="7" s="1"/>
  <c r="I3432" i="7" s="1"/>
  <c r="A3433" i="7"/>
  <c r="H3433" i="7" s="1"/>
  <c r="I3433" i="7" s="1"/>
  <c r="A3434" i="7"/>
  <c r="H3434" i="7" s="1"/>
  <c r="I3434" i="7" s="1"/>
  <c r="A3435" i="7"/>
  <c r="H3435" i="7" s="1"/>
  <c r="I3435" i="7" s="1"/>
  <c r="A3436" i="7"/>
  <c r="H3436" i="7" s="1"/>
  <c r="I3436" i="7" s="1"/>
  <c r="A3437" i="7"/>
  <c r="H3437" i="7" s="1"/>
  <c r="I3437" i="7" s="1"/>
  <c r="A3438" i="7"/>
  <c r="H3438" i="7" s="1"/>
  <c r="I3438" i="7" s="1"/>
  <c r="A3439" i="7"/>
  <c r="H3439" i="7" s="1"/>
  <c r="I3439" i="7" s="1"/>
  <c r="A3440" i="7"/>
  <c r="H3440" i="7" s="1"/>
  <c r="I3440" i="7" s="1"/>
  <c r="A3441" i="7"/>
  <c r="H3441" i="7" s="1"/>
  <c r="I3441" i="7" s="1"/>
  <c r="A3442" i="7"/>
  <c r="H3442" i="7" s="1"/>
  <c r="I3442" i="7" s="1"/>
  <c r="A3443" i="7"/>
  <c r="H3443" i="7" s="1"/>
  <c r="I3443" i="7" s="1"/>
  <c r="A3444" i="7"/>
  <c r="H3444" i="7" s="1"/>
  <c r="I3444" i="7" s="1"/>
  <c r="A3445" i="7"/>
  <c r="H3445" i="7" s="1"/>
  <c r="I3445" i="7" s="1"/>
  <c r="A3446" i="7"/>
  <c r="H3446" i="7" s="1"/>
  <c r="I3446" i="7" s="1"/>
  <c r="A3447" i="7"/>
  <c r="H3447" i="7" s="1"/>
  <c r="I3447" i="7" s="1"/>
  <c r="A3448" i="7"/>
  <c r="H3448" i="7" s="1"/>
  <c r="I3448" i="7" s="1"/>
  <c r="A3449" i="7"/>
  <c r="H3449" i="7" s="1"/>
  <c r="I3449" i="7" s="1"/>
  <c r="A3450" i="7"/>
  <c r="H3450" i="7" s="1"/>
  <c r="I3450" i="7" s="1"/>
  <c r="A3451" i="7"/>
  <c r="H3451" i="7" s="1"/>
  <c r="I3451" i="7" s="1"/>
  <c r="A3452" i="7"/>
  <c r="H3452" i="7" s="1"/>
  <c r="I3452" i="7" s="1"/>
  <c r="A3453" i="7"/>
  <c r="H3453" i="7" s="1"/>
  <c r="I3453" i="7" s="1"/>
  <c r="A3454" i="7"/>
  <c r="H3454" i="7" s="1"/>
  <c r="I3454" i="7" s="1"/>
  <c r="A3455" i="7"/>
  <c r="H3455" i="7" s="1"/>
  <c r="I3455" i="7" s="1"/>
  <c r="A3456" i="7"/>
  <c r="H3456" i="7" s="1"/>
  <c r="I3456" i="7" s="1"/>
  <c r="A3457" i="7"/>
  <c r="H3457" i="7" s="1"/>
  <c r="I3457" i="7" s="1"/>
  <c r="A3458" i="7"/>
  <c r="H3458" i="7" s="1"/>
  <c r="I3458" i="7" s="1"/>
  <c r="A3459" i="7"/>
  <c r="H3459" i="7" s="1"/>
  <c r="I3459" i="7" s="1"/>
  <c r="A3460" i="7"/>
  <c r="H3460" i="7" s="1"/>
  <c r="I3460" i="7" s="1"/>
  <c r="A3461" i="7"/>
  <c r="H3461" i="7" s="1"/>
  <c r="I3461" i="7" s="1"/>
  <c r="A3462" i="7"/>
  <c r="H3462" i="7" s="1"/>
  <c r="I3462" i="7" s="1"/>
  <c r="A3463" i="7"/>
  <c r="H3463" i="7" s="1"/>
  <c r="I3463" i="7" s="1"/>
  <c r="A3464" i="7"/>
  <c r="H3464" i="7" s="1"/>
  <c r="I3464" i="7" s="1"/>
  <c r="A3465" i="7"/>
  <c r="H3465" i="7" s="1"/>
  <c r="I3465" i="7" s="1"/>
  <c r="A3466" i="7"/>
  <c r="H3466" i="7" s="1"/>
  <c r="I3466" i="7" s="1"/>
  <c r="A3467" i="7"/>
  <c r="H3467" i="7" s="1"/>
  <c r="I3467" i="7" s="1"/>
  <c r="A3468" i="7"/>
  <c r="H3468" i="7" s="1"/>
  <c r="I3468" i="7" s="1"/>
  <c r="A3469" i="7"/>
  <c r="H3469" i="7" s="1"/>
  <c r="I3469" i="7" s="1"/>
  <c r="A3470" i="7"/>
  <c r="H3470" i="7" s="1"/>
  <c r="I3470" i="7" s="1"/>
  <c r="A3471" i="7"/>
  <c r="H3471" i="7" s="1"/>
  <c r="I3471" i="7" s="1"/>
  <c r="A3472" i="7"/>
  <c r="H3472" i="7" s="1"/>
  <c r="I3472" i="7" s="1"/>
  <c r="A3473" i="7"/>
  <c r="H3473" i="7" s="1"/>
  <c r="I3473" i="7" s="1"/>
  <c r="A3474" i="7"/>
  <c r="H3474" i="7" s="1"/>
  <c r="I3474" i="7" s="1"/>
  <c r="A3475" i="7"/>
  <c r="H3475" i="7" s="1"/>
  <c r="I3475" i="7" s="1"/>
  <c r="A3476" i="7"/>
  <c r="H3476" i="7" s="1"/>
  <c r="I3476" i="7" s="1"/>
  <c r="A3477" i="7"/>
  <c r="H3477" i="7" s="1"/>
  <c r="I3477" i="7" s="1"/>
  <c r="A3478" i="7"/>
  <c r="H3478" i="7" s="1"/>
  <c r="I3478" i="7" s="1"/>
  <c r="A3479" i="7"/>
  <c r="H3479" i="7" s="1"/>
  <c r="I3479" i="7" s="1"/>
  <c r="A3480" i="7"/>
  <c r="H3480" i="7" s="1"/>
  <c r="I3480" i="7" s="1"/>
  <c r="A3481" i="7"/>
  <c r="H3481" i="7" s="1"/>
  <c r="I3481" i="7" s="1"/>
  <c r="A3482" i="7"/>
  <c r="H3482" i="7" s="1"/>
  <c r="I3482" i="7" s="1"/>
  <c r="A3483" i="7"/>
  <c r="H3483" i="7" s="1"/>
  <c r="I3483" i="7" s="1"/>
  <c r="A3484" i="7"/>
  <c r="H3484" i="7" s="1"/>
  <c r="I3484" i="7" s="1"/>
  <c r="A3485" i="7"/>
  <c r="H3485" i="7" s="1"/>
  <c r="I3485" i="7" s="1"/>
  <c r="A3486" i="7"/>
  <c r="H3486" i="7" s="1"/>
  <c r="I3486" i="7" s="1"/>
  <c r="A3487" i="7"/>
  <c r="H3487" i="7" s="1"/>
  <c r="I3487" i="7" s="1"/>
  <c r="A3488" i="7"/>
  <c r="H3488" i="7" s="1"/>
  <c r="I3488" i="7" s="1"/>
  <c r="A3489" i="7"/>
  <c r="H3489" i="7" s="1"/>
  <c r="I3489" i="7" s="1"/>
  <c r="A3490" i="7"/>
  <c r="H3490" i="7" s="1"/>
  <c r="I3490" i="7" s="1"/>
  <c r="A3491" i="7"/>
  <c r="H3491" i="7" s="1"/>
  <c r="I3491" i="7" s="1"/>
  <c r="A3492" i="7"/>
  <c r="H3492" i="7" s="1"/>
  <c r="I3492" i="7" s="1"/>
  <c r="A3493" i="7"/>
  <c r="H3493" i="7" s="1"/>
  <c r="I3493" i="7" s="1"/>
  <c r="A3494" i="7"/>
  <c r="H3494" i="7" s="1"/>
  <c r="I3494" i="7" s="1"/>
  <c r="A3495" i="7"/>
  <c r="H3495" i="7" s="1"/>
  <c r="I3495" i="7" s="1"/>
  <c r="A3496" i="7"/>
  <c r="H3496" i="7" s="1"/>
  <c r="I3496" i="7" s="1"/>
  <c r="A3497" i="7"/>
  <c r="H3497" i="7" s="1"/>
  <c r="I3497" i="7" s="1"/>
  <c r="A3498" i="7"/>
  <c r="H3498" i="7" s="1"/>
  <c r="I3498" i="7" s="1"/>
  <c r="A3499" i="7"/>
  <c r="H3499" i="7" s="1"/>
  <c r="I3499" i="7" s="1"/>
  <c r="A3500" i="7"/>
  <c r="H3500" i="7" s="1"/>
  <c r="I3500" i="7" s="1"/>
  <c r="A3501" i="7"/>
  <c r="H3501" i="7" s="1"/>
  <c r="I3501" i="7" s="1"/>
  <c r="A3502" i="7"/>
  <c r="H3502" i="7" s="1"/>
  <c r="I3502" i="7" s="1"/>
  <c r="A3503" i="7"/>
  <c r="H3503" i="7" s="1"/>
  <c r="I3503" i="7" s="1"/>
  <c r="A3504" i="7"/>
  <c r="H3504" i="7" s="1"/>
  <c r="I3504" i="7" s="1"/>
  <c r="A3505" i="7"/>
  <c r="H3505" i="7" s="1"/>
  <c r="I3505" i="7" s="1"/>
  <c r="A3506" i="7"/>
  <c r="H3506" i="7" s="1"/>
  <c r="I3506" i="7" s="1"/>
  <c r="A3507" i="7"/>
  <c r="H3507" i="7" s="1"/>
  <c r="I3507" i="7" s="1"/>
  <c r="A3508" i="7"/>
  <c r="H3508" i="7" s="1"/>
  <c r="I3508" i="7" s="1"/>
  <c r="A3509" i="7"/>
  <c r="H3509" i="7" s="1"/>
  <c r="I3509" i="7" s="1"/>
  <c r="A3510" i="7"/>
  <c r="H3510" i="7" s="1"/>
  <c r="I3510" i="7" s="1"/>
  <c r="A3511" i="7"/>
  <c r="H3511" i="7" s="1"/>
  <c r="I3511" i="7" s="1"/>
  <c r="A3512" i="7"/>
  <c r="H3512" i="7" s="1"/>
  <c r="I3512" i="7" s="1"/>
  <c r="A3513" i="7"/>
  <c r="H3513" i="7" s="1"/>
  <c r="I3513" i="7" s="1"/>
  <c r="A3514" i="7"/>
  <c r="H3514" i="7" s="1"/>
  <c r="I3514" i="7" s="1"/>
  <c r="A3515" i="7"/>
  <c r="H3515" i="7" s="1"/>
  <c r="I3515" i="7" s="1"/>
  <c r="A3516" i="7"/>
  <c r="H3516" i="7" s="1"/>
  <c r="I3516" i="7" s="1"/>
  <c r="A3517" i="7"/>
  <c r="H3517" i="7" s="1"/>
  <c r="I3517" i="7" s="1"/>
  <c r="A3518" i="7"/>
  <c r="H3518" i="7" s="1"/>
  <c r="I3518" i="7" s="1"/>
  <c r="A3519" i="7"/>
  <c r="H3519" i="7" s="1"/>
  <c r="I3519" i="7" s="1"/>
  <c r="A3520" i="7"/>
  <c r="H3520" i="7" s="1"/>
  <c r="I3520" i="7" s="1"/>
  <c r="A3521" i="7"/>
  <c r="H3521" i="7" s="1"/>
  <c r="I3521" i="7" s="1"/>
  <c r="A3522" i="7"/>
  <c r="H3522" i="7" s="1"/>
  <c r="I3522" i="7" s="1"/>
  <c r="A3523" i="7"/>
  <c r="H3523" i="7" s="1"/>
  <c r="I3523" i="7" s="1"/>
  <c r="A3524" i="7"/>
  <c r="H3524" i="7" s="1"/>
  <c r="I3524" i="7" s="1"/>
  <c r="A3525" i="7"/>
  <c r="H3525" i="7" s="1"/>
  <c r="I3525" i="7" s="1"/>
  <c r="A3526" i="7"/>
  <c r="H3526" i="7" s="1"/>
  <c r="I3526" i="7" s="1"/>
  <c r="A3527" i="7"/>
  <c r="H3527" i="7" s="1"/>
  <c r="I3527" i="7" s="1"/>
  <c r="A3528" i="7"/>
  <c r="H3528" i="7" s="1"/>
  <c r="I3528" i="7" s="1"/>
  <c r="A3529" i="7"/>
  <c r="H3529" i="7" s="1"/>
  <c r="I3529" i="7" s="1"/>
  <c r="A3530" i="7"/>
  <c r="H3530" i="7" s="1"/>
  <c r="I3530" i="7" s="1"/>
  <c r="A3531" i="7"/>
  <c r="H3531" i="7" s="1"/>
  <c r="I3531" i="7" s="1"/>
  <c r="A3532" i="7"/>
  <c r="H3532" i="7" s="1"/>
  <c r="I3532" i="7" s="1"/>
  <c r="A3533" i="7"/>
  <c r="H3533" i="7" s="1"/>
  <c r="I3533" i="7" s="1"/>
  <c r="A3534" i="7"/>
  <c r="H3534" i="7" s="1"/>
  <c r="I3534" i="7" s="1"/>
  <c r="A3535" i="7"/>
  <c r="H3535" i="7" s="1"/>
  <c r="I3535" i="7" s="1"/>
  <c r="A3536" i="7"/>
  <c r="H3536" i="7" s="1"/>
  <c r="I3536" i="7" s="1"/>
  <c r="A3537" i="7"/>
  <c r="H3537" i="7" s="1"/>
  <c r="I3537" i="7" s="1"/>
  <c r="A3538" i="7"/>
  <c r="H3538" i="7" s="1"/>
  <c r="I3538" i="7" s="1"/>
  <c r="A3539" i="7"/>
  <c r="H3539" i="7" s="1"/>
  <c r="I3539" i="7" s="1"/>
  <c r="A3540" i="7"/>
  <c r="H3540" i="7" s="1"/>
  <c r="I3540" i="7" s="1"/>
  <c r="A3541" i="7"/>
  <c r="H3541" i="7" s="1"/>
  <c r="I3541" i="7" s="1"/>
  <c r="A3542" i="7"/>
  <c r="H3542" i="7" s="1"/>
  <c r="I3542" i="7" s="1"/>
  <c r="A3543" i="7"/>
  <c r="H3543" i="7" s="1"/>
  <c r="I3543" i="7" s="1"/>
  <c r="A3544" i="7"/>
  <c r="H3544" i="7" s="1"/>
  <c r="I3544" i="7" s="1"/>
  <c r="A3545" i="7"/>
  <c r="H3545" i="7" s="1"/>
  <c r="I3545" i="7" s="1"/>
  <c r="A3546" i="7"/>
  <c r="H3546" i="7" s="1"/>
  <c r="I3546" i="7" s="1"/>
  <c r="A3547" i="7"/>
  <c r="H3547" i="7" s="1"/>
  <c r="I3547" i="7" s="1"/>
  <c r="A3548" i="7"/>
  <c r="H3548" i="7" s="1"/>
  <c r="I3548" i="7" s="1"/>
  <c r="A3549" i="7"/>
  <c r="H3549" i="7" s="1"/>
  <c r="I3549" i="7" s="1"/>
  <c r="A3550" i="7"/>
  <c r="H3550" i="7" s="1"/>
  <c r="I3550" i="7" s="1"/>
  <c r="A3551" i="7"/>
  <c r="H3551" i="7" s="1"/>
  <c r="I3551" i="7" s="1"/>
  <c r="A3552" i="7"/>
  <c r="H3552" i="7" s="1"/>
  <c r="I3552" i="7" s="1"/>
  <c r="A3553" i="7"/>
  <c r="H3553" i="7" s="1"/>
  <c r="I3553" i="7" s="1"/>
  <c r="A3554" i="7"/>
  <c r="H3554" i="7" s="1"/>
  <c r="I3554" i="7" s="1"/>
  <c r="A3555" i="7"/>
  <c r="H3555" i="7" s="1"/>
  <c r="I3555" i="7" s="1"/>
  <c r="A3556" i="7"/>
  <c r="H3556" i="7" s="1"/>
  <c r="I3556" i="7" s="1"/>
  <c r="A3557" i="7"/>
  <c r="H3557" i="7" s="1"/>
  <c r="I3557" i="7" s="1"/>
  <c r="A3558" i="7"/>
  <c r="H3558" i="7" s="1"/>
  <c r="I3558" i="7" s="1"/>
  <c r="A3559" i="7"/>
  <c r="H3559" i="7" s="1"/>
  <c r="I3559" i="7" s="1"/>
  <c r="A3560" i="7"/>
  <c r="H3560" i="7" s="1"/>
  <c r="I3560" i="7" s="1"/>
  <c r="A3561" i="7"/>
  <c r="H3561" i="7" s="1"/>
  <c r="I3561" i="7" s="1"/>
  <c r="A3562" i="7"/>
  <c r="H3562" i="7" s="1"/>
  <c r="I3562" i="7" s="1"/>
  <c r="A3563" i="7"/>
  <c r="H3563" i="7" s="1"/>
  <c r="I3563" i="7" s="1"/>
  <c r="A3564" i="7"/>
  <c r="H3564" i="7" s="1"/>
  <c r="I3564" i="7" s="1"/>
  <c r="A3565" i="7"/>
  <c r="H3565" i="7" s="1"/>
  <c r="I3565" i="7" s="1"/>
  <c r="A3566" i="7"/>
  <c r="H3566" i="7" s="1"/>
  <c r="I3566" i="7" s="1"/>
  <c r="A3567" i="7"/>
  <c r="H3567" i="7" s="1"/>
  <c r="I3567" i="7" s="1"/>
  <c r="A3568" i="7"/>
  <c r="H3568" i="7" s="1"/>
  <c r="I3568" i="7" s="1"/>
  <c r="A3569" i="7"/>
  <c r="H3569" i="7" s="1"/>
  <c r="I3569" i="7" s="1"/>
  <c r="A3570" i="7"/>
  <c r="H3570" i="7" s="1"/>
  <c r="I3570" i="7" s="1"/>
  <c r="A3571" i="7"/>
  <c r="H3571" i="7" s="1"/>
  <c r="I3571" i="7" s="1"/>
  <c r="A3572" i="7"/>
  <c r="H3572" i="7" s="1"/>
  <c r="I3572" i="7" s="1"/>
  <c r="A3573" i="7"/>
  <c r="H3573" i="7" s="1"/>
  <c r="I3573" i="7" s="1"/>
  <c r="A3574" i="7"/>
  <c r="H3574" i="7" s="1"/>
  <c r="I3574" i="7" s="1"/>
  <c r="A3575" i="7"/>
  <c r="H3575" i="7" s="1"/>
  <c r="I3575" i="7" s="1"/>
  <c r="A3576" i="7"/>
  <c r="H3576" i="7" s="1"/>
  <c r="I3576" i="7" s="1"/>
  <c r="A3577" i="7"/>
  <c r="H3577" i="7" s="1"/>
  <c r="I3577" i="7" s="1"/>
  <c r="A3578" i="7"/>
  <c r="H3578" i="7" s="1"/>
  <c r="I3578" i="7" s="1"/>
  <c r="A3579" i="7"/>
  <c r="H3579" i="7" s="1"/>
  <c r="I3579" i="7" s="1"/>
  <c r="A3580" i="7"/>
  <c r="H3580" i="7" s="1"/>
  <c r="I3580" i="7" s="1"/>
  <c r="A3581" i="7"/>
  <c r="H3581" i="7" s="1"/>
  <c r="I3581" i="7" s="1"/>
  <c r="A3582" i="7"/>
  <c r="H3582" i="7" s="1"/>
  <c r="I3582" i="7" s="1"/>
  <c r="A3583" i="7"/>
  <c r="H3583" i="7" s="1"/>
  <c r="I3583" i="7" s="1"/>
  <c r="A3584" i="7"/>
  <c r="H3584" i="7" s="1"/>
  <c r="I3584" i="7" s="1"/>
  <c r="A3585" i="7"/>
  <c r="H3585" i="7" s="1"/>
  <c r="I3585" i="7" s="1"/>
  <c r="A3586" i="7"/>
  <c r="H3586" i="7" s="1"/>
  <c r="I3586" i="7" s="1"/>
  <c r="A3587" i="7"/>
  <c r="H3587" i="7" s="1"/>
  <c r="I3587" i="7" s="1"/>
  <c r="A3588" i="7"/>
  <c r="H3588" i="7" s="1"/>
  <c r="I3588" i="7" s="1"/>
  <c r="A3589" i="7"/>
  <c r="H3589" i="7" s="1"/>
  <c r="I3589" i="7" s="1"/>
  <c r="A3590" i="7"/>
  <c r="H3590" i="7" s="1"/>
  <c r="I3590" i="7" s="1"/>
  <c r="A3591" i="7"/>
  <c r="H3591" i="7" s="1"/>
  <c r="I3591" i="7" s="1"/>
  <c r="A3592" i="7"/>
  <c r="H3592" i="7" s="1"/>
  <c r="I3592" i="7" s="1"/>
  <c r="A3593" i="7"/>
  <c r="H3593" i="7" s="1"/>
  <c r="I3593" i="7" s="1"/>
  <c r="A3594" i="7"/>
  <c r="H3594" i="7" s="1"/>
  <c r="I3594" i="7" s="1"/>
  <c r="A3595" i="7"/>
  <c r="H3595" i="7" s="1"/>
  <c r="I3595" i="7" s="1"/>
  <c r="A3596" i="7"/>
  <c r="H3596" i="7" s="1"/>
  <c r="I3596" i="7" s="1"/>
  <c r="A3597" i="7"/>
  <c r="H3597" i="7" s="1"/>
  <c r="I3597" i="7" s="1"/>
  <c r="A3598" i="7"/>
  <c r="H3598" i="7" s="1"/>
  <c r="I3598" i="7" s="1"/>
  <c r="A3599" i="7"/>
  <c r="H3599" i="7" s="1"/>
  <c r="I3599" i="7" s="1"/>
  <c r="A3600" i="7"/>
  <c r="H3600" i="7" s="1"/>
  <c r="I3600" i="7" s="1"/>
  <c r="A3601" i="7"/>
  <c r="H3601" i="7" s="1"/>
  <c r="I3601" i="7" s="1"/>
  <c r="A3602" i="7"/>
  <c r="H3602" i="7" s="1"/>
  <c r="I3602" i="7" s="1"/>
  <c r="A3603" i="7"/>
  <c r="H3603" i="7" s="1"/>
  <c r="I3603" i="7" s="1"/>
  <c r="A3604" i="7"/>
  <c r="H3604" i="7" s="1"/>
  <c r="I3604" i="7" s="1"/>
  <c r="A3605" i="7"/>
  <c r="H3605" i="7" s="1"/>
  <c r="I3605" i="7" s="1"/>
  <c r="A3606" i="7"/>
  <c r="H3606" i="7" s="1"/>
  <c r="I3606" i="7" s="1"/>
  <c r="A3607" i="7"/>
  <c r="H3607" i="7" s="1"/>
  <c r="I3607" i="7" s="1"/>
  <c r="A3608" i="7"/>
  <c r="H3608" i="7" s="1"/>
  <c r="I3608" i="7" s="1"/>
  <c r="A3609" i="7"/>
  <c r="H3609" i="7" s="1"/>
  <c r="I3609" i="7" s="1"/>
  <c r="A3610" i="7"/>
  <c r="H3610" i="7" s="1"/>
  <c r="I3610" i="7" s="1"/>
  <c r="A3611" i="7"/>
  <c r="H3611" i="7" s="1"/>
  <c r="I3611" i="7" s="1"/>
  <c r="A3612" i="7"/>
  <c r="H3612" i="7" s="1"/>
  <c r="I3612" i="7" s="1"/>
  <c r="A3613" i="7"/>
  <c r="H3613" i="7" s="1"/>
  <c r="I3613" i="7" s="1"/>
  <c r="A3614" i="7"/>
  <c r="H3614" i="7" s="1"/>
  <c r="I3614" i="7" s="1"/>
  <c r="A3615" i="7"/>
  <c r="H3615" i="7" s="1"/>
  <c r="I3615" i="7" s="1"/>
  <c r="A3616" i="7"/>
  <c r="H3616" i="7" s="1"/>
  <c r="I3616" i="7" s="1"/>
  <c r="A3617" i="7"/>
  <c r="H3617" i="7" s="1"/>
  <c r="I3617" i="7" s="1"/>
  <c r="A3618" i="7"/>
  <c r="H3618" i="7" s="1"/>
  <c r="I3618" i="7" s="1"/>
  <c r="A3619" i="7"/>
  <c r="H3619" i="7" s="1"/>
  <c r="I3619" i="7" s="1"/>
  <c r="A3620" i="7"/>
  <c r="H3620" i="7" s="1"/>
  <c r="I3620" i="7" s="1"/>
  <c r="A3621" i="7"/>
  <c r="H3621" i="7" s="1"/>
  <c r="I3621" i="7" s="1"/>
  <c r="A3622" i="7"/>
  <c r="H3622" i="7" s="1"/>
  <c r="I3622" i="7" s="1"/>
  <c r="A3623" i="7"/>
  <c r="H3623" i="7" s="1"/>
  <c r="I3623" i="7" s="1"/>
  <c r="A3624" i="7"/>
  <c r="H3624" i="7" s="1"/>
  <c r="I3624" i="7" s="1"/>
  <c r="A3625" i="7"/>
  <c r="H3625" i="7" s="1"/>
  <c r="I3625" i="7" s="1"/>
  <c r="A3626" i="7"/>
  <c r="H3626" i="7" s="1"/>
  <c r="I3626" i="7" s="1"/>
  <c r="A3627" i="7"/>
  <c r="H3627" i="7" s="1"/>
  <c r="I3627" i="7" s="1"/>
  <c r="A3628" i="7"/>
  <c r="H3628" i="7" s="1"/>
  <c r="I3628" i="7" s="1"/>
  <c r="A3629" i="7"/>
  <c r="H3629" i="7" s="1"/>
  <c r="I3629" i="7" s="1"/>
  <c r="A3630" i="7"/>
  <c r="H3630" i="7" s="1"/>
  <c r="I3630" i="7" s="1"/>
  <c r="A3631" i="7"/>
  <c r="H3631" i="7" s="1"/>
  <c r="I3631" i="7" s="1"/>
  <c r="A3632" i="7"/>
  <c r="H3632" i="7" s="1"/>
  <c r="I3632" i="7" s="1"/>
  <c r="A3633" i="7"/>
  <c r="H3633" i="7" s="1"/>
  <c r="I3633" i="7" s="1"/>
  <c r="A3634" i="7"/>
  <c r="H3634" i="7" s="1"/>
  <c r="I3634" i="7" s="1"/>
  <c r="A3635" i="7"/>
  <c r="H3635" i="7" s="1"/>
  <c r="I3635" i="7" s="1"/>
  <c r="A3636" i="7"/>
  <c r="H3636" i="7" s="1"/>
  <c r="I3636" i="7" s="1"/>
  <c r="A3637" i="7"/>
  <c r="H3637" i="7" s="1"/>
  <c r="I3637" i="7" s="1"/>
  <c r="A3638" i="7"/>
  <c r="H3638" i="7" s="1"/>
  <c r="I3638" i="7" s="1"/>
  <c r="A3639" i="7"/>
  <c r="H3639" i="7" s="1"/>
  <c r="I3639" i="7" s="1"/>
  <c r="A3640" i="7"/>
  <c r="H3640" i="7" s="1"/>
  <c r="I3640" i="7" s="1"/>
  <c r="A3641" i="7"/>
  <c r="H3641" i="7" s="1"/>
  <c r="I3641" i="7" s="1"/>
  <c r="A3642" i="7"/>
  <c r="H3642" i="7" s="1"/>
  <c r="I3642" i="7" s="1"/>
  <c r="A3643" i="7"/>
  <c r="H3643" i="7" s="1"/>
  <c r="I3643" i="7" s="1"/>
  <c r="A3644" i="7"/>
  <c r="H3644" i="7" s="1"/>
  <c r="I3644" i="7" s="1"/>
  <c r="A3645" i="7"/>
  <c r="H3645" i="7" s="1"/>
  <c r="I3645" i="7" s="1"/>
  <c r="A3646" i="7"/>
  <c r="H3646" i="7" s="1"/>
  <c r="I3646" i="7" s="1"/>
  <c r="A3647" i="7"/>
  <c r="H3647" i="7" s="1"/>
  <c r="I3647" i="7" s="1"/>
  <c r="A3648" i="7"/>
  <c r="H3648" i="7" s="1"/>
  <c r="I3648" i="7" s="1"/>
  <c r="A3649" i="7"/>
  <c r="H3649" i="7" s="1"/>
  <c r="I3649" i="7" s="1"/>
  <c r="A3650" i="7"/>
  <c r="H3650" i="7" s="1"/>
  <c r="I3650" i="7" s="1"/>
  <c r="A3651" i="7"/>
  <c r="H3651" i="7" s="1"/>
  <c r="I3651" i="7" s="1"/>
  <c r="A10" i="7"/>
  <c r="H10" i="7" s="1"/>
  <c r="I10" i="7" s="1"/>
  <c r="A11" i="7"/>
  <c r="H11" i="7" s="1"/>
  <c r="I11" i="7" s="1"/>
  <c r="A12" i="7"/>
  <c r="H12" i="7" s="1"/>
  <c r="I12" i="7" s="1"/>
  <c r="A13" i="7"/>
  <c r="H13" i="7" s="1"/>
  <c r="I13" i="7" s="1"/>
  <c r="A14" i="7"/>
  <c r="H14" i="7" s="1"/>
  <c r="I14" i="7" s="1"/>
  <c r="A15" i="7"/>
  <c r="H15" i="7" s="1"/>
  <c r="I15" i="7" s="1"/>
  <c r="A3" i="7"/>
  <c r="H3" i="7" s="1"/>
  <c r="I3" i="7" s="1"/>
  <c r="A4" i="7"/>
  <c r="H4" i="7" s="1"/>
  <c r="I4" i="7" s="1"/>
  <c r="A5" i="7"/>
  <c r="H5" i="7" s="1"/>
  <c r="I5" i="7" s="1"/>
  <c r="A6" i="7"/>
  <c r="H6" i="7" s="1"/>
  <c r="I6" i="7" s="1"/>
  <c r="A7" i="7"/>
  <c r="H7" i="7" s="1"/>
  <c r="I7" i="7" s="1"/>
  <c r="A8" i="7"/>
  <c r="H8" i="7" s="1"/>
  <c r="I8" i="7" s="1"/>
  <c r="A9" i="7"/>
  <c r="H9" i="7" s="1"/>
  <c r="I9" i="7" s="1"/>
  <c r="A2" i="7"/>
  <c r="H2" i="7" s="1"/>
  <c r="I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<sst xmlns="http://schemas.openxmlformats.org/spreadsheetml/2006/main" count="156" uniqueCount="111">
  <si>
    <t>Hotel_ID</t>
  </si>
  <si>
    <t>Hotel_Name</t>
  </si>
  <si>
    <t>Brand</t>
  </si>
  <si>
    <t>Chain_Scale</t>
  </si>
  <si>
    <t>Distance_to_Stadium_mi</t>
  </si>
  <si>
    <t>Room_Count</t>
  </si>
  <si>
    <t>Segment_Mix</t>
  </si>
  <si>
    <t>Stadium_Day_Sensitivity</t>
  </si>
  <si>
    <t>H001</t>
  </si>
  <si>
    <t>Loews Arlington Hotel &amp; Convention Center</t>
  </si>
  <si>
    <t>Loews</t>
  </si>
  <si>
    <t>Luxury</t>
  </si>
  <si>
    <t>Leisure / Groups / Premium</t>
  </si>
  <si>
    <t>High</t>
  </si>
  <si>
    <t>H002</t>
  </si>
  <si>
    <t>Courtyard by Marriott Arlington Entertainment District</t>
  </si>
  <si>
    <t>Marriott</t>
  </si>
  <si>
    <t>Upscale</t>
  </si>
  <si>
    <t>Business Transient / Leisure</t>
  </si>
  <si>
    <t>Medium</t>
  </si>
  <si>
    <t>H003</t>
  </si>
  <si>
    <t>Holiday Inn Arlington NE – Rangers Ballpark</t>
  </si>
  <si>
    <t>IGT</t>
  </si>
  <si>
    <t>Upper Midscale</t>
  </si>
  <si>
    <t>Leisure / Business Transient</t>
  </si>
  <si>
    <t>H004</t>
  </si>
  <si>
    <t>Comfort Suites Arlington – Entertainment District</t>
  </si>
  <si>
    <t>Choice</t>
  </si>
  <si>
    <t>Leisure / Families</t>
  </si>
  <si>
    <t>H005</t>
  </si>
  <si>
    <t>Motel 6 Arlington – Entertainment District</t>
  </si>
  <si>
    <t>Motel 6</t>
  </si>
  <si>
    <t>Economy</t>
  </si>
  <si>
    <t>Price-Sensitive Leisure</t>
  </si>
  <si>
    <t>H006</t>
  </si>
  <si>
    <t>Sheraton Arlington Hotel</t>
  </si>
  <si>
    <t>Groups / Business Transient</t>
  </si>
  <si>
    <t>H007</t>
  </si>
  <si>
    <t>Hilton Garden Inn Dallas/Arlington</t>
  </si>
  <si>
    <t>Hilton</t>
  </si>
  <si>
    <t>H008</t>
  </si>
  <si>
    <t>Hampton Inn &amp; Suites Dallas-Arlington North-Entertainment District</t>
  </si>
  <si>
    <t>H009</t>
  </si>
  <si>
    <t>Residence Inn by Marriott Arlington</t>
  </si>
  <si>
    <t>Upper Upscale</t>
  </si>
  <si>
    <t>Extended Stay / Business Transient</t>
  </si>
  <si>
    <t>Low</t>
  </si>
  <si>
    <t>H010</t>
  </si>
  <si>
    <t>Homewood Suites by Hilton Dallas-Arlington</t>
  </si>
  <si>
    <t>Extended Stay / Leisure</t>
  </si>
  <si>
    <t>Event_ID</t>
  </si>
  <si>
    <t>Event_Name</t>
  </si>
  <si>
    <t>Event_Type</t>
  </si>
  <si>
    <t>Event_Date</t>
  </si>
  <si>
    <t>Expected_Attendance</t>
  </si>
  <si>
    <t>Demand_Impact_Score</t>
  </si>
  <si>
    <t>E001</t>
  </si>
  <si>
    <t>Monster Jam</t>
  </si>
  <si>
    <t>Family Event</t>
  </si>
  <si>
    <t>E002</t>
  </si>
  <si>
    <t>Monster Energy AMA Supercross Championship</t>
  </si>
  <si>
    <t>Sports</t>
  </si>
  <si>
    <t>E003</t>
  </si>
  <si>
    <t>Java House Grand Prix of Arlington (Day 1)</t>
  </si>
  <si>
    <t>Motorsports</t>
  </si>
  <si>
    <t>E004</t>
  </si>
  <si>
    <t>Java House Grand Prix of Arlington (Day 2)</t>
  </si>
  <si>
    <t>E005</t>
  </si>
  <si>
    <t>Java House Grand Prix of Arlington (Day 3)</t>
  </si>
  <si>
    <t>E006</t>
  </si>
  <si>
    <t>Lone Star Smokeout – Day 1 (Riley Green, Koe Wetzel &amp; Shaboozey)</t>
  </si>
  <si>
    <t>Festival</t>
  </si>
  <si>
    <t>E007</t>
  </si>
  <si>
    <t>Lone Star Smokeout – Day 2 (Koe Wetzel &amp; Casey Donahew)</t>
  </si>
  <si>
    <t>E008</t>
  </si>
  <si>
    <t>Lone Star Smokeout – Day 3</t>
  </si>
  <si>
    <t>E009</t>
  </si>
  <si>
    <t>FIFA World Cup: Netherlands vs Japan</t>
  </si>
  <si>
    <t>FIFA World Cup</t>
  </si>
  <si>
    <t>E010</t>
  </si>
  <si>
    <t>FIFA World Cup: England vs Croatia</t>
  </si>
  <si>
    <t>E011</t>
  </si>
  <si>
    <t>FIFA World Cup: Argentina vs Austria</t>
  </si>
  <si>
    <t>E012</t>
  </si>
  <si>
    <t>FIFA World Cup: Japan vs TBD</t>
  </si>
  <si>
    <t>E013</t>
  </si>
  <si>
    <t>FIFA World Cup: Jordan vs Argentina</t>
  </si>
  <si>
    <t>E014</t>
  </si>
  <si>
    <t>FIFA World Cup: Round of 32 Match</t>
  </si>
  <si>
    <t>E015</t>
  </si>
  <si>
    <t>E016</t>
  </si>
  <si>
    <t>FIFA World Cup: Round of 16 Match</t>
  </si>
  <si>
    <t>E017</t>
  </si>
  <si>
    <t>FIFA World Cup: Semifinal Match</t>
  </si>
  <si>
    <t>E018</t>
  </si>
  <si>
    <t>BTS World Tour ‘ARIRANG’ – Night 1</t>
  </si>
  <si>
    <t>Concert</t>
  </si>
  <si>
    <t>E019</t>
  </si>
  <si>
    <t>BTS World Tour ‘ARIRANG’ – Night 2</t>
  </si>
  <si>
    <t>Date</t>
  </si>
  <si>
    <t>Rooms_Available</t>
  </si>
  <si>
    <t>Rooms_Sold</t>
  </si>
  <si>
    <t>Occupancy</t>
  </si>
  <si>
    <t>ADR</t>
  </si>
  <si>
    <t>RevPAR</t>
  </si>
  <si>
    <t>Event_Flag</t>
  </si>
  <si>
    <t>Compression_Level</t>
  </si>
  <si>
    <t>Forecast_Occ</t>
  </si>
  <si>
    <t>Forecast_ADR</t>
  </si>
  <si>
    <t>Base_ADR</t>
  </si>
  <si>
    <t>Uplift_Factor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</si>
</sst>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D74B-938C-4AF8-BA30-B7EB78622EF7}">
  <dimension ref="A1:J11"/>
  <sheetViews>
    <sheetView topLeftCell="F1" workbookViewId="0">
      <selection activeCell="J11" sqref="J11"/>
    </sheetView>
  </sheetViews>
  <sheetFormatPr defaultRowHeight="15" x14ac:dyDescent="0.25"/>
  <cols>
    <col min="1" max="1" width="8.28515625" bestFit="1" customWidth="1"/>
    <col min="2" max="2" width="48.5703125" bestFit="1" customWidth="1"/>
    <col min="3" max="3" width="8" bestFit="1" customWidth="1"/>
    <col min="4" max="4" width="14.85546875" bestFit="1" customWidth="1"/>
    <col min="5" max="5" width="23" bestFit="1" customWidth="1"/>
    <col min="6" max="6" width="12.140625" bestFit="1" customWidth="1"/>
    <col min="7" max="7" width="26.140625" bestFit="1" customWidth="1"/>
    <col min="8" max="8" width="22.42578125" bestFit="1" customWidth="1"/>
    <col min="9" max="9" width="9.7109375" bestFit="1" customWidth="1"/>
    <col min="10" max="10" width="12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109</v>
      </c>
      <c r="J1" t="s">
        <v>110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>
        <v>0.5</v>
      </c>
      <c r="F2">
        <v>888</v>
      </c>
      <c r="G2" t="s">
        <v>12</v>
      </c>
      <c r="H2" t="s">
        <v>13</v>
      </c>
      <c r="I2">
        <v>260</v>
      </c>
      <c r="J2">
        <v>18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>
        <v>0.7</v>
      </c>
      <c r="F3">
        <v>147</v>
      </c>
      <c r="G3" t="s">
        <v>18</v>
      </c>
      <c r="H3" t="s">
        <v>19</v>
      </c>
      <c r="I3">
        <v>175</v>
      </c>
      <c r="J3">
        <v>14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>
        <v>1</v>
      </c>
      <c r="F4">
        <v>121</v>
      </c>
      <c r="G4" t="s">
        <v>24</v>
      </c>
      <c r="H4" t="s">
        <v>19</v>
      </c>
      <c r="I4">
        <v>145</v>
      </c>
      <c r="J4">
        <v>12</v>
      </c>
    </row>
    <row r="5" spans="1:10" x14ac:dyDescent="0.25">
      <c r="A5" t="s">
        <v>25</v>
      </c>
      <c r="B5" t="s">
        <v>26</v>
      </c>
      <c r="C5" t="s">
        <v>27</v>
      </c>
      <c r="D5" t="s">
        <v>23</v>
      </c>
      <c r="E5">
        <v>1.2</v>
      </c>
      <c r="F5">
        <v>108</v>
      </c>
      <c r="G5" t="s">
        <v>28</v>
      </c>
      <c r="H5" t="s">
        <v>19</v>
      </c>
      <c r="I5">
        <v>135</v>
      </c>
      <c r="J5">
        <v>12</v>
      </c>
    </row>
    <row r="6" spans="1:10" x14ac:dyDescent="0.25">
      <c r="A6" t="s">
        <v>29</v>
      </c>
      <c r="B6" t="s">
        <v>30</v>
      </c>
      <c r="C6" t="s">
        <v>31</v>
      </c>
      <c r="D6" t="s">
        <v>32</v>
      </c>
      <c r="E6">
        <v>1.3</v>
      </c>
      <c r="F6">
        <v>66</v>
      </c>
      <c r="G6" t="s">
        <v>33</v>
      </c>
      <c r="H6" t="s">
        <v>13</v>
      </c>
      <c r="I6">
        <v>82</v>
      </c>
      <c r="J6">
        <v>8</v>
      </c>
    </row>
    <row r="7" spans="1:10" x14ac:dyDescent="0.25">
      <c r="A7" t="s">
        <v>34</v>
      </c>
      <c r="B7" t="s">
        <v>35</v>
      </c>
      <c r="C7" t="s">
        <v>16</v>
      </c>
      <c r="D7" t="s">
        <v>17</v>
      </c>
      <c r="E7">
        <v>0.6</v>
      </c>
      <c r="F7">
        <v>311</v>
      </c>
      <c r="G7" t="s">
        <v>36</v>
      </c>
      <c r="H7" t="s">
        <v>13</v>
      </c>
      <c r="I7">
        <v>190</v>
      </c>
      <c r="J7">
        <v>15</v>
      </c>
    </row>
    <row r="8" spans="1:10" x14ac:dyDescent="0.25">
      <c r="A8" t="s">
        <v>37</v>
      </c>
      <c r="B8" t="s">
        <v>38</v>
      </c>
      <c r="C8" t="s">
        <v>39</v>
      </c>
      <c r="D8" t="s">
        <v>17</v>
      </c>
      <c r="E8">
        <v>1.4</v>
      </c>
      <c r="F8">
        <v>132</v>
      </c>
      <c r="G8" t="s">
        <v>18</v>
      </c>
      <c r="H8" t="s">
        <v>19</v>
      </c>
      <c r="I8">
        <v>165</v>
      </c>
      <c r="J8">
        <v>13</v>
      </c>
    </row>
    <row r="9" spans="1:10" x14ac:dyDescent="0.25">
      <c r="A9" t="s">
        <v>40</v>
      </c>
      <c r="B9" t="s">
        <v>41</v>
      </c>
      <c r="C9" t="s">
        <v>39</v>
      </c>
      <c r="D9" t="s">
        <v>23</v>
      </c>
      <c r="E9">
        <v>1.5</v>
      </c>
      <c r="F9">
        <v>103</v>
      </c>
      <c r="G9" t="s">
        <v>28</v>
      </c>
      <c r="H9" t="s">
        <v>19</v>
      </c>
      <c r="I9">
        <v>140</v>
      </c>
      <c r="J9">
        <v>12</v>
      </c>
    </row>
    <row r="10" spans="1:10" x14ac:dyDescent="0.25">
      <c r="A10" t="s">
        <v>42</v>
      </c>
      <c r="B10" t="s">
        <v>43</v>
      </c>
      <c r="C10" t="s">
        <v>16</v>
      </c>
      <c r="D10" t="s">
        <v>44</v>
      </c>
      <c r="E10">
        <v>1.6</v>
      </c>
      <c r="F10">
        <v>114</v>
      </c>
      <c r="G10" t="s">
        <v>45</v>
      </c>
      <c r="H10" t="s">
        <v>46</v>
      </c>
      <c r="I10">
        <v>185</v>
      </c>
      <c r="J10">
        <v>10</v>
      </c>
    </row>
    <row r="11" spans="1:10" x14ac:dyDescent="0.25">
      <c r="A11" t="s">
        <v>47</v>
      </c>
      <c r="B11" t="s">
        <v>48</v>
      </c>
      <c r="C11" t="s">
        <v>39</v>
      </c>
      <c r="D11" t="s">
        <v>23</v>
      </c>
      <c r="E11">
        <v>1.7</v>
      </c>
      <c r="F11">
        <v>89</v>
      </c>
      <c r="G11" t="s">
        <v>49</v>
      </c>
      <c r="H11" t="s">
        <v>46</v>
      </c>
      <c r="I11">
        <v>150</v>
      </c>
      <c r="J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9DC2-8919-4C61-88A0-F555389D9F51}">
  <dimension ref="A1:F20"/>
  <sheetViews>
    <sheetView workbookViewId="0">
      <selection activeCell="B7" sqref="B7"/>
    </sheetView>
  </sheetViews>
  <sheetFormatPr defaultRowHeight="15" x14ac:dyDescent="0.25"/>
  <cols>
    <col min="1" max="1" width="8.28515625" bestFit="1" customWidth="1"/>
    <col min="2" max="2" width="59.85546875" bestFit="1" customWidth="1"/>
    <col min="3" max="3" width="14.42578125" bestFit="1" customWidth="1"/>
    <col min="4" max="4" width="10.42578125" bestFit="1" customWidth="1"/>
    <col min="5" max="5" width="19.7109375" bestFit="1" customWidth="1"/>
    <col min="6" max="6" width="21.5703125" bestFit="1" customWidth="1"/>
  </cols>
  <sheetData>
    <row r="1" spans="1:6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 t="s">
        <v>56</v>
      </c>
      <c r="B2" t="s">
        <v>57</v>
      </c>
      <c r="C2" t="s">
        <v>58</v>
      </c>
      <c r="D2" s="1">
        <v>46067</v>
      </c>
      <c r="E2">
        <v>55000</v>
      </c>
      <c r="F2">
        <v>6</v>
      </c>
    </row>
    <row r="3" spans="1:6" x14ac:dyDescent="0.25">
      <c r="A3" t="s">
        <v>59</v>
      </c>
      <c r="B3" t="s">
        <v>60</v>
      </c>
      <c r="C3" t="s">
        <v>61</v>
      </c>
      <c r="D3" s="1">
        <v>46074</v>
      </c>
      <c r="E3">
        <v>60000</v>
      </c>
      <c r="F3">
        <v>7</v>
      </c>
    </row>
    <row r="4" spans="1:6" x14ac:dyDescent="0.25">
      <c r="A4" t="s">
        <v>62</v>
      </c>
      <c r="B4" t="s">
        <v>63</v>
      </c>
      <c r="C4" t="s">
        <v>64</v>
      </c>
      <c r="D4" s="1">
        <v>46094</v>
      </c>
      <c r="E4">
        <v>45000</v>
      </c>
      <c r="F4">
        <v>5</v>
      </c>
    </row>
    <row r="5" spans="1:6" x14ac:dyDescent="0.25">
      <c r="A5" t="s">
        <v>65</v>
      </c>
      <c r="B5" t="s">
        <v>66</v>
      </c>
      <c r="C5" t="s">
        <v>64</v>
      </c>
      <c r="D5" s="1">
        <v>46095</v>
      </c>
      <c r="E5">
        <v>45000</v>
      </c>
      <c r="F5">
        <v>5</v>
      </c>
    </row>
    <row r="6" spans="1:6" x14ac:dyDescent="0.25">
      <c r="A6" t="s">
        <v>67</v>
      </c>
      <c r="B6" t="s">
        <v>68</v>
      </c>
      <c r="C6" t="s">
        <v>64</v>
      </c>
      <c r="D6" s="1">
        <v>46096</v>
      </c>
      <c r="E6">
        <v>45000</v>
      </c>
      <c r="F6">
        <v>5</v>
      </c>
    </row>
    <row r="7" spans="1:6" x14ac:dyDescent="0.25">
      <c r="A7" t="s">
        <v>69</v>
      </c>
      <c r="B7" t="s">
        <v>70</v>
      </c>
      <c r="C7" t="s">
        <v>71</v>
      </c>
      <c r="D7" s="1">
        <v>46136</v>
      </c>
      <c r="E7">
        <v>30000</v>
      </c>
      <c r="F7">
        <v>4</v>
      </c>
    </row>
    <row r="8" spans="1:6" x14ac:dyDescent="0.25">
      <c r="A8" t="s">
        <v>72</v>
      </c>
      <c r="B8" t="s">
        <v>73</v>
      </c>
      <c r="C8" t="s">
        <v>71</v>
      </c>
      <c r="D8" s="1">
        <v>46137</v>
      </c>
      <c r="E8">
        <v>30000</v>
      </c>
      <c r="F8">
        <v>4</v>
      </c>
    </row>
    <row r="9" spans="1:6" x14ac:dyDescent="0.25">
      <c r="A9" t="s">
        <v>74</v>
      </c>
      <c r="B9" t="s">
        <v>75</v>
      </c>
      <c r="C9" t="s">
        <v>71</v>
      </c>
      <c r="D9" s="1">
        <v>46138</v>
      </c>
      <c r="E9">
        <v>30000</v>
      </c>
      <c r="F9">
        <v>4</v>
      </c>
    </row>
    <row r="10" spans="1:6" x14ac:dyDescent="0.25">
      <c r="A10" t="s">
        <v>76</v>
      </c>
      <c r="B10" t="s">
        <v>77</v>
      </c>
      <c r="C10" t="s">
        <v>78</v>
      </c>
      <c r="D10" s="1">
        <v>46187</v>
      </c>
      <c r="E10">
        <v>80000</v>
      </c>
      <c r="F10">
        <v>10</v>
      </c>
    </row>
    <row r="11" spans="1:6" x14ac:dyDescent="0.25">
      <c r="A11" t="s">
        <v>79</v>
      </c>
      <c r="B11" t="s">
        <v>80</v>
      </c>
      <c r="C11" t="s">
        <v>78</v>
      </c>
      <c r="D11" s="1">
        <v>46190</v>
      </c>
      <c r="E11">
        <v>80000</v>
      </c>
      <c r="F11">
        <v>10</v>
      </c>
    </row>
    <row r="12" spans="1:6" x14ac:dyDescent="0.25">
      <c r="A12" t="s">
        <v>81</v>
      </c>
      <c r="B12" t="s">
        <v>82</v>
      </c>
      <c r="C12" t="s">
        <v>78</v>
      </c>
      <c r="D12" s="1">
        <v>46195</v>
      </c>
      <c r="E12">
        <v>80000</v>
      </c>
      <c r="F12">
        <v>10</v>
      </c>
    </row>
    <row r="13" spans="1:6" x14ac:dyDescent="0.25">
      <c r="A13" t="s">
        <v>83</v>
      </c>
      <c r="B13" t="s">
        <v>84</v>
      </c>
      <c r="C13" t="s">
        <v>78</v>
      </c>
      <c r="D13" s="1">
        <v>46198</v>
      </c>
      <c r="E13">
        <v>80000</v>
      </c>
      <c r="F13">
        <v>9</v>
      </c>
    </row>
    <row r="14" spans="1:6" x14ac:dyDescent="0.25">
      <c r="A14" t="s">
        <v>85</v>
      </c>
      <c r="B14" t="s">
        <v>86</v>
      </c>
      <c r="C14" t="s">
        <v>78</v>
      </c>
      <c r="D14" s="1">
        <v>46200</v>
      </c>
      <c r="E14">
        <v>80000</v>
      </c>
      <c r="F14">
        <v>10</v>
      </c>
    </row>
    <row r="15" spans="1:6" x14ac:dyDescent="0.25">
      <c r="A15" t="s">
        <v>87</v>
      </c>
      <c r="B15" t="s">
        <v>88</v>
      </c>
      <c r="C15" t="s">
        <v>78</v>
      </c>
      <c r="D15" s="1">
        <v>46203</v>
      </c>
      <c r="E15">
        <v>80000</v>
      </c>
      <c r="F15">
        <v>10</v>
      </c>
    </row>
    <row r="16" spans="1:6" x14ac:dyDescent="0.25">
      <c r="A16" t="s">
        <v>89</v>
      </c>
      <c r="B16" t="s">
        <v>88</v>
      </c>
      <c r="C16" t="s">
        <v>78</v>
      </c>
      <c r="D16" s="1">
        <v>46206</v>
      </c>
      <c r="E16">
        <v>80000</v>
      </c>
      <c r="F16">
        <v>10</v>
      </c>
    </row>
    <row r="17" spans="1:6" x14ac:dyDescent="0.25">
      <c r="A17" t="s">
        <v>90</v>
      </c>
      <c r="B17" t="s">
        <v>91</v>
      </c>
      <c r="C17" t="s">
        <v>78</v>
      </c>
      <c r="D17" s="1">
        <v>46209</v>
      </c>
      <c r="E17">
        <v>80000</v>
      </c>
      <c r="F17">
        <v>10</v>
      </c>
    </row>
    <row r="18" spans="1:6" x14ac:dyDescent="0.25">
      <c r="A18" t="s">
        <v>92</v>
      </c>
      <c r="B18" t="s">
        <v>93</v>
      </c>
      <c r="C18" t="s">
        <v>78</v>
      </c>
      <c r="D18" s="1">
        <v>46217</v>
      </c>
      <c r="E18">
        <v>85000</v>
      </c>
      <c r="F18">
        <v>10</v>
      </c>
    </row>
    <row r="19" spans="1:6" x14ac:dyDescent="0.25">
      <c r="A19" t="s">
        <v>94</v>
      </c>
      <c r="B19" t="s">
        <v>95</v>
      </c>
      <c r="C19" t="s">
        <v>96</v>
      </c>
      <c r="D19" s="1">
        <v>46249</v>
      </c>
      <c r="E19">
        <v>70000</v>
      </c>
      <c r="F19">
        <v>9</v>
      </c>
    </row>
    <row r="20" spans="1:6" x14ac:dyDescent="0.25">
      <c r="A20" t="s">
        <v>97</v>
      </c>
      <c r="B20" t="s">
        <v>98</v>
      </c>
      <c r="C20" t="s">
        <v>96</v>
      </c>
      <c r="D20" s="1">
        <v>46250</v>
      </c>
      <c r="E20">
        <v>70000</v>
      </c>
      <c r="F2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06D2-E511-4A50-A768-BC1AEB80779F}">
  <dimension ref="A1:O3651"/>
  <sheetViews>
    <sheetView tabSelected="1" topLeftCell="A870" workbookViewId="0">
      <selection activeCell="G2" sqref="G2:G3651"/>
    </sheetView>
  </sheetViews>
  <sheetFormatPr defaultRowHeight="15" x14ac:dyDescent="0.25"/>
  <cols>
    <col min="1" max="1" width="10.42578125" style="1" bestFit="1" customWidth="1"/>
    <col min="2" max="2" width="8.28515625" bestFit="1" customWidth="1"/>
    <col min="3" max="3" width="25.28515625" bestFit="1" customWidth="1"/>
    <col min="4" max="4" width="11.85546875" bestFit="1" customWidth="1"/>
    <col min="5" max="5" width="10.85546875" bestFit="1" customWidth="1"/>
    <col min="6" max="6" width="4.5703125" bestFit="1" customWidth="1"/>
    <col min="7" max="7" width="7.42578125" bestFit="1" customWidth="1"/>
    <col min="8" max="8" width="8.28515625" bestFit="1" customWidth="1"/>
    <col min="9" max="9" width="10.140625" bestFit="1" customWidth="1"/>
    <col min="10" max="10" width="21.5703125" bestFit="1" customWidth="1"/>
    <col min="11" max="11" width="18.140625" bestFit="1" customWidth="1"/>
    <col min="12" max="12" width="12.85546875" bestFit="1" customWidth="1"/>
    <col min="13" max="13" width="13.140625" bestFit="1" customWidth="1"/>
  </cols>
  <sheetData>
    <row r="1" spans="1:15" x14ac:dyDescent="0.25">
      <c r="A1" s="1" t="s">
        <v>99</v>
      </c>
      <c r="B1" t="s">
        <v>0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50</v>
      </c>
      <c r="I1" t="s">
        <v>105</v>
      </c>
      <c r="J1" t="s">
        <v>55</v>
      </c>
      <c r="K1" t="s">
        <v>106</v>
      </c>
      <c r="L1" t="s">
        <v>107</v>
      </c>
      <c r="M1" t="s">
        <v>108</v>
      </c>
    </row>
    <row r="2" spans="1:15" x14ac:dyDescent="0.25">
      <c r="A2" s="1">
        <f>DATE(2026,1,1) + INT((ROW()-2)/10)</f>
        <v>46023</v>
      </c>
      <c r="B2" t="str" cm="1">
        <f t="array" ref="B2">INDEX(HotelList,MOD(ROW()-2,10)+1)</f>
        <v>H001</v>
      </c>
      <c r="C2">
        <f>_xlfn.XLOOKUP(B2,Dim_Hotel!$A$2:$A$11,Dim_Hotel!$F$2:$F$11)</f>
        <v>888</v>
      </c>
      <c r="D2">
        <f>ROUND(L2 * C2, 0)</f>
        <v>488</v>
      </c>
      <c r="E2">
        <f>D2/C2</f>
        <v>0.5495495495495496</v>
      </c>
      <c r="F2">
        <f>M2</f>
        <v>260</v>
      </c>
      <c r="G2">
        <f>E2*F2</f>
        <v>142.88288288288288</v>
      </c>
      <c r="H2" t="str">
        <f>_xlfn.XLOOKUP(A2,Fact_Events!$D$2:$D$20,Fact_Events!$A$2:$A$20, "")</f>
        <v/>
      </c>
      <c r="I2">
        <f>IF(H2="",0,1)</f>
        <v>0</v>
      </c>
      <c r="J2" t="str">
        <f>_xlfn.XLOOKUP(H2, Fact_Events!$A$2:$A$20, Fact_Events!$F$2:$F$20, "")</f>
        <v/>
      </c>
      <c r="K2" t="str">
        <f>IF(I2=0,"Low",
   IF(J2&gt;=9,"High","Medium"))</f>
        <v>Low</v>
      </c>
      <c r="L2">
        <f>MIN(1,
  0.55
  + (I2 * 0.25)
  + (IF(J2="",0,J2) / 100)
)</f>
        <v>0.55000000000000004</v>
      </c>
      <c r="M2">
        <f>_xlfn.XLOOKUP(B2, Dim_Hotel!$A$2:$A$11, Dim_Hotel!$I$2:$I$11)
 + (IF(J2="",0,J2)
    * _xlfn.XLOOKUP(B2, Dim_Hotel!$A$2:$A$11, Dim_Hotel!$J$2:$J$11))</f>
        <v>260</v>
      </c>
      <c r="O2" t="s">
        <v>8</v>
      </c>
    </row>
    <row r="3" spans="1:15" x14ac:dyDescent="0.25">
      <c r="A3" s="1">
        <f t="shared" ref="A3:A66" si="0">DATE(2026,1,1) + INT((ROW()-2)/10)</f>
        <v>46023</v>
      </c>
      <c r="B3" t="str" cm="1">
        <f t="array" ref="B3">INDEX(HotelList,MOD(ROW()-2,10)+1)</f>
        <v>H002</v>
      </c>
      <c r="C3">
        <f>_xlfn.XLOOKUP(B3,Dim_Hotel!$A$2:$A$11,Dim_Hotel!$F$2:$F$11)</f>
        <v>147</v>
      </c>
      <c r="D3">
        <f t="shared" ref="D3:D66" si="1">ROUND(L3 * C3, 0)</f>
        <v>81</v>
      </c>
      <c r="E3">
        <f t="shared" ref="E3:E66" si="2">D3/C3</f>
        <v>0.55102040816326525</v>
      </c>
      <c r="F3">
        <f t="shared" ref="F3:F66" si="3">M3</f>
        <v>175</v>
      </c>
      <c r="G3">
        <f t="shared" ref="G3:G66" si="4">E3*F3</f>
        <v>96.428571428571416</v>
      </c>
      <c r="H3" t="str">
        <f>_xlfn.XLOOKUP(A3,Fact_Events!$D$2:$D$20,Fact_Events!$A$2:$A$20, "")</f>
        <v/>
      </c>
      <c r="I3">
        <f t="shared" ref="I3:I66" si="5">IF(H3="",0,1)</f>
        <v>0</v>
      </c>
      <c r="J3" t="str">
        <f>_xlfn.XLOOKUP(H3, Fact_Events!$A$2:$A$20, Fact_Events!$F$2:$F$20, "")</f>
        <v/>
      </c>
      <c r="K3" t="str">
        <f t="shared" ref="K3:K66" si="6">IF(I3=0,"Low",
   IF(J3&gt;=9,"High","Medium"))</f>
        <v>Low</v>
      </c>
      <c r="L3">
        <f t="shared" ref="L3:L66" si="7">MIN(1,
  0.55
  + (I3 * 0.25)
  + (IF(J3="",0,J3) / 100)
)</f>
        <v>0.55000000000000004</v>
      </c>
      <c r="M3">
        <f>_xlfn.XLOOKUP(B3, Dim_Hotel!$A$2:$A$11, Dim_Hotel!$I$2:$I$11)
 + (IF(J3="",0,J3)
    * _xlfn.XLOOKUP(B3, Dim_Hotel!$A$2:$A$11, Dim_Hotel!$J$2:$J$11))</f>
        <v>175</v>
      </c>
      <c r="O3" t="s">
        <v>14</v>
      </c>
    </row>
    <row r="4" spans="1:15" x14ac:dyDescent="0.25">
      <c r="A4" s="1">
        <f t="shared" si="0"/>
        <v>46023</v>
      </c>
      <c r="B4" t="str" cm="1">
        <f t="array" ref="B4">INDEX(HotelList,MOD(ROW()-2,10)+1)</f>
        <v>H003</v>
      </c>
      <c r="C4">
        <f>_xlfn.XLOOKUP(B4,Dim_Hotel!$A$2:$A$11,Dim_Hotel!$F$2:$F$11)</f>
        <v>121</v>
      </c>
      <c r="D4">
        <f t="shared" si="1"/>
        <v>67</v>
      </c>
      <c r="E4">
        <f t="shared" si="2"/>
        <v>0.55371900826446285</v>
      </c>
      <c r="F4">
        <f t="shared" si="3"/>
        <v>145</v>
      </c>
      <c r="G4">
        <f t="shared" si="4"/>
        <v>80.289256198347118</v>
      </c>
      <c r="H4" t="str">
        <f>_xlfn.XLOOKUP(A4,Fact_Events!$D$2:$D$20,Fact_Events!$A$2:$A$20, "")</f>
        <v/>
      </c>
      <c r="I4">
        <f t="shared" si="5"/>
        <v>0</v>
      </c>
      <c r="J4" t="str">
        <f>_xlfn.XLOOKUP(H4, Fact_Events!$A$2:$A$20, Fact_Events!$F$2:$F$20, "")</f>
        <v/>
      </c>
      <c r="K4" t="str">
        <f t="shared" si="6"/>
        <v>Low</v>
      </c>
      <c r="L4">
        <f t="shared" si="7"/>
        <v>0.55000000000000004</v>
      </c>
      <c r="M4">
        <f>_xlfn.XLOOKUP(B4, Dim_Hotel!$A$2:$A$11, Dim_Hotel!$I$2:$I$11)
 + (IF(J4="",0,J4)
    * _xlfn.XLOOKUP(B4, Dim_Hotel!$A$2:$A$11, Dim_Hotel!$J$2:$J$11))</f>
        <v>145</v>
      </c>
      <c r="O4" t="s">
        <v>20</v>
      </c>
    </row>
    <row r="5" spans="1:15" x14ac:dyDescent="0.25">
      <c r="A5" s="1">
        <f t="shared" si="0"/>
        <v>46023</v>
      </c>
      <c r="B5" t="str" cm="1">
        <f t="array" ref="B5">INDEX(HotelList,MOD(ROW()-2,10)+1)</f>
        <v>H004</v>
      </c>
      <c r="C5">
        <f>_xlfn.XLOOKUP(B5,Dim_Hotel!$A$2:$A$11,Dim_Hotel!$F$2:$F$11)</f>
        <v>108</v>
      </c>
      <c r="D5">
        <f t="shared" si="1"/>
        <v>59</v>
      </c>
      <c r="E5">
        <f t="shared" si="2"/>
        <v>0.54629629629629628</v>
      </c>
      <c r="F5">
        <f t="shared" si="3"/>
        <v>135</v>
      </c>
      <c r="G5">
        <f t="shared" si="4"/>
        <v>73.75</v>
      </c>
      <c r="H5" t="str">
        <f>_xlfn.XLOOKUP(A5,Fact_Events!$D$2:$D$20,Fact_Events!$A$2:$A$20, "")</f>
        <v/>
      </c>
      <c r="I5">
        <f t="shared" si="5"/>
        <v>0</v>
      </c>
      <c r="J5" t="str">
        <f>_xlfn.XLOOKUP(H5, Fact_Events!$A$2:$A$20, Fact_Events!$F$2:$F$20, "")</f>
        <v/>
      </c>
      <c r="K5" t="str">
        <f t="shared" si="6"/>
        <v>Low</v>
      </c>
      <c r="L5">
        <f t="shared" si="7"/>
        <v>0.55000000000000004</v>
      </c>
      <c r="M5">
        <f>_xlfn.XLOOKUP(B5, Dim_Hotel!$A$2:$A$11, Dim_Hotel!$I$2:$I$11)
 + (IF(J5="",0,J5)
    * _xlfn.XLOOKUP(B5, Dim_Hotel!$A$2:$A$11, Dim_Hotel!$J$2:$J$11))</f>
        <v>135</v>
      </c>
      <c r="O5" t="s">
        <v>25</v>
      </c>
    </row>
    <row r="6" spans="1:15" x14ac:dyDescent="0.25">
      <c r="A6" s="1">
        <f t="shared" si="0"/>
        <v>46023</v>
      </c>
      <c r="B6" t="str" cm="1">
        <f t="array" ref="B6">INDEX(HotelList,MOD(ROW()-2,10)+1)</f>
        <v>H005</v>
      </c>
      <c r="C6">
        <f>_xlfn.XLOOKUP(B6,Dim_Hotel!$A$2:$A$11,Dim_Hotel!$F$2:$F$11)</f>
        <v>66</v>
      </c>
      <c r="D6">
        <f t="shared" si="1"/>
        <v>36</v>
      </c>
      <c r="E6">
        <f t="shared" si="2"/>
        <v>0.54545454545454541</v>
      </c>
      <c r="F6">
        <f t="shared" si="3"/>
        <v>82</v>
      </c>
      <c r="G6">
        <f t="shared" si="4"/>
        <v>44.727272727272727</v>
      </c>
      <c r="H6" t="str">
        <f>_xlfn.XLOOKUP(A6,Fact_Events!$D$2:$D$20,Fact_Events!$A$2:$A$20, "")</f>
        <v/>
      </c>
      <c r="I6">
        <f t="shared" si="5"/>
        <v>0</v>
      </c>
      <c r="J6" t="str">
        <f>_xlfn.XLOOKUP(H6, Fact_Events!$A$2:$A$20, Fact_Events!$F$2:$F$20, "")</f>
        <v/>
      </c>
      <c r="K6" t="str">
        <f t="shared" si="6"/>
        <v>Low</v>
      </c>
      <c r="L6">
        <f t="shared" si="7"/>
        <v>0.55000000000000004</v>
      </c>
      <c r="M6">
        <f>_xlfn.XLOOKUP(B6, Dim_Hotel!$A$2:$A$11, Dim_Hotel!$I$2:$I$11)
 + (IF(J6="",0,J6)
    * _xlfn.XLOOKUP(B6, Dim_Hotel!$A$2:$A$11, Dim_Hotel!$J$2:$J$11))</f>
        <v>82</v>
      </c>
      <c r="O6" t="s">
        <v>29</v>
      </c>
    </row>
    <row r="7" spans="1:15" x14ac:dyDescent="0.25">
      <c r="A7" s="1">
        <f t="shared" si="0"/>
        <v>46023</v>
      </c>
      <c r="B7" t="str" cm="1">
        <f t="array" ref="B7">INDEX(HotelList,MOD(ROW()-2,10)+1)</f>
        <v>H006</v>
      </c>
      <c r="C7">
        <f>_xlfn.XLOOKUP(B7,Dim_Hotel!$A$2:$A$11,Dim_Hotel!$F$2:$F$11)</f>
        <v>311</v>
      </c>
      <c r="D7">
        <f t="shared" si="1"/>
        <v>171</v>
      </c>
      <c r="E7">
        <f t="shared" si="2"/>
        <v>0.54983922829581988</v>
      </c>
      <c r="F7">
        <f t="shared" si="3"/>
        <v>190</v>
      </c>
      <c r="G7">
        <f t="shared" si="4"/>
        <v>104.46945337620578</v>
      </c>
      <c r="H7" t="str">
        <f>_xlfn.XLOOKUP(A7,Fact_Events!$D$2:$D$20,Fact_Events!$A$2:$A$20, "")</f>
        <v/>
      </c>
      <c r="I7">
        <f t="shared" si="5"/>
        <v>0</v>
      </c>
      <c r="J7" t="str">
        <f>_xlfn.XLOOKUP(H7, Fact_Events!$A$2:$A$20, Fact_Events!$F$2:$F$20, "")</f>
        <v/>
      </c>
      <c r="K7" t="str">
        <f t="shared" si="6"/>
        <v>Low</v>
      </c>
      <c r="L7">
        <f t="shared" si="7"/>
        <v>0.55000000000000004</v>
      </c>
      <c r="M7">
        <f>_xlfn.XLOOKUP(B7, Dim_Hotel!$A$2:$A$11, Dim_Hotel!$I$2:$I$11)
 + (IF(J7="",0,J7)
    * _xlfn.XLOOKUP(B7, Dim_Hotel!$A$2:$A$11, Dim_Hotel!$J$2:$J$11))</f>
        <v>190</v>
      </c>
      <c r="O7" t="s">
        <v>34</v>
      </c>
    </row>
    <row r="8" spans="1:15" x14ac:dyDescent="0.25">
      <c r="A8" s="1">
        <f t="shared" si="0"/>
        <v>46023</v>
      </c>
      <c r="B8" t="str" cm="1">
        <f t="array" ref="B8">INDEX(HotelList,MOD(ROW()-2,10)+1)</f>
        <v>H007</v>
      </c>
      <c r="C8">
        <f>_xlfn.XLOOKUP(B8,Dim_Hotel!$A$2:$A$11,Dim_Hotel!$F$2:$F$11)</f>
        <v>132</v>
      </c>
      <c r="D8">
        <f t="shared" si="1"/>
        <v>73</v>
      </c>
      <c r="E8">
        <f t="shared" si="2"/>
        <v>0.55303030303030298</v>
      </c>
      <c r="F8">
        <f t="shared" si="3"/>
        <v>165</v>
      </c>
      <c r="G8">
        <f t="shared" si="4"/>
        <v>91.249999999999986</v>
      </c>
      <c r="H8" t="str">
        <f>_xlfn.XLOOKUP(A8,Fact_Events!$D$2:$D$20,Fact_Events!$A$2:$A$20, "")</f>
        <v/>
      </c>
      <c r="I8">
        <f t="shared" si="5"/>
        <v>0</v>
      </c>
      <c r="J8" t="str">
        <f>_xlfn.XLOOKUP(H8, Fact_Events!$A$2:$A$20, Fact_Events!$F$2:$F$20, "")</f>
        <v/>
      </c>
      <c r="K8" t="str">
        <f t="shared" si="6"/>
        <v>Low</v>
      </c>
      <c r="L8">
        <f t="shared" si="7"/>
        <v>0.55000000000000004</v>
      </c>
      <c r="M8">
        <f>_xlfn.XLOOKUP(B8, Dim_Hotel!$A$2:$A$11, Dim_Hotel!$I$2:$I$11)
 + (IF(J8="",0,J8)
    * _xlfn.XLOOKUP(B8, Dim_Hotel!$A$2:$A$11, Dim_Hotel!$J$2:$J$11))</f>
        <v>165</v>
      </c>
      <c r="O8" t="s">
        <v>37</v>
      </c>
    </row>
    <row r="9" spans="1:15" x14ac:dyDescent="0.25">
      <c r="A9" s="1">
        <f t="shared" si="0"/>
        <v>46023</v>
      </c>
      <c r="B9" t="str" cm="1">
        <f t="array" ref="B9">INDEX(HotelList,MOD(ROW()-2,10)+1)</f>
        <v>H008</v>
      </c>
      <c r="C9">
        <f>_xlfn.XLOOKUP(B9,Dim_Hotel!$A$2:$A$11,Dim_Hotel!$F$2:$F$11)</f>
        <v>103</v>
      </c>
      <c r="D9">
        <f t="shared" si="1"/>
        <v>57</v>
      </c>
      <c r="E9">
        <f t="shared" si="2"/>
        <v>0.55339805825242716</v>
      </c>
      <c r="F9">
        <f t="shared" si="3"/>
        <v>140</v>
      </c>
      <c r="G9">
        <f t="shared" si="4"/>
        <v>77.475728155339809</v>
      </c>
      <c r="H9" t="str">
        <f>_xlfn.XLOOKUP(A9,Fact_Events!$D$2:$D$20,Fact_Events!$A$2:$A$20, "")</f>
        <v/>
      </c>
      <c r="I9">
        <f t="shared" si="5"/>
        <v>0</v>
      </c>
      <c r="J9" t="str">
        <f>_xlfn.XLOOKUP(H9, Fact_Events!$A$2:$A$20, Fact_Events!$F$2:$F$20, "")</f>
        <v/>
      </c>
      <c r="K9" t="str">
        <f t="shared" si="6"/>
        <v>Low</v>
      </c>
      <c r="L9">
        <f t="shared" si="7"/>
        <v>0.55000000000000004</v>
      </c>
      <c r="M9">
        <f>_xlfn.XLOOKUP(B9, Dim_Hotel!$A$2:$A$11, Dim_Hotel!$I$2:$I$11)
 + (IF(J9="",0,J9)
    * _xlfn.XLOOKUP(B9, Dim_Hotel!$A$2:$A$11, Dim_Hotel!$J$2:$J$11))</f>
        <v>140</v>
      </c>
      <c r="O9" t="s">
        <v>40</v>
      </c>
    </row>
    <row r="10" spans="1:15" x14ac:dyDescent="0.25">
      <c r="A10" s="1">
        <f>DATE(2026,1,1) + INT((ROW()-2)/10)</f>
        <v>46023</v>
      </c>
      <c r="B10" t="str" cm="1">
        <f t="array" ref="B10">INDEX(HotelList,MOD(ROW()-2,10)+1)</f>
        <v>H009</v>
      </c>
      <c r="C10">
        <f>_xlfn.XLOOKUP(B10,Dim_Hotel!$A$2:$A$11,Dim_Hotel!$F$2:$F$11)</f>
        <v>114</v>
      </c>
      <c r="D10">
        <f t="shared" si="1"/>
        <v>63</v>
      </c>
      <c r="E10">
        <f t="shared" si="2"/>
        <v>0.55263157894736847</v>
      </c>
      <c r="F10">
        <f t="shared" si="3"/>
        <v>185</v>
      </c>
      <c r="G10">
        <f t="shared" si="4"/>
        <v>102.23684210526316</v>
      </c>
      <c r="H10" t="str">
        <f>_xlfn.XLOOKUP(A10,Fact_Events!$D$2:$D$20,Fact_Events!$A$2:$A$20, "")</f>
        <v/>
      </c>
      <c r="I10">
        <f t="shared" si="5"/>
        <v>0</v>
      </c>
      <c r="J10" t="str">
        <f>_xlfn.XLOOKUP(H10, Fact_Events!$A$2:$A$20, Fact_Events!$F$2:$F$20, "")</f>
        <v/>
      </c>
      <c r="K10" t="str">
        <f t="shared" si="6"/>
        <v>Low</v>
      </c>
      <c r="L10">
        <f t="shared" si="7"/>
        <v>0.55000000000000004</v>
      </c>
      <c r="M10">
        <f>_xlfn.XLOOKUP(B10, Dim_Hotel!$A$2:$A$11, Dim_Hotel!$I$2:$I$11)
 + (IF(J10="",0,J10)
    * _xlfn.XLOOKUP(B10, Dim_Hotel!$A$2:$A$11, Dim_Hotel!$J$2:$J$11))</f>
        <v>185</v>
      </c>
      <c r="O10" t="s">
        <v>42</v>
      </c>
    </row>
    <row r="11" spans="1:15" x14ac:dyDescent="0.25">
      <c r="A11" s="1">
        <f t="shared" si="0"/>
        <v>46023</v>
      </c>
      <c r="B11" t="str" cm="1">
        <f t="array" ref="B11">INDEX(HotelList,MOD(ROW()-2,10)+1)</f>
        <v>H010</v>
      </c>
      <c r="C11">
        <f>_xlfn.XLOOKUP(B11,Dim_Hotel!$A$2:$A$11,Dim_Hotel!$F$2:$F$11)</f>
        <v>89</v>
      </c>
      <c r="D11">
        <f t="shared" si="1"/>
        <v>49</v>
      </c>
      <c r="E11">
        <f t="shared" si="2"/>
        <v>0.550561797752809</v>
      </c>
      <c r="F11">
        <f t="shared" si="3"/>
        <v>150</v>
      </c>
      <c r="G11">
        <f t="shared" si="4"/>
        <v>82.584269662921344</v>
      </c>
      <c r="H11" t="str">
        <f>_xlfn.XLOOKUP(A11,Fact_Events!$D$2:$D$20,Fact_Events!$A$2:$A$20, "")</f>
        <v/>
      </c>
      <c r="I11">
        <f t="shared" si="5"/>
        <v>0</v>
      </c>
      <c r="J11" t="str">
        <f>_xlfn.XLOOKUP(H11, Fact_Events!$A$2:$A$20, Fact_Events!$F$2:$F$20, "")</f>
        <v/>
      </c>
      <c r="K11" t="str">
        <f t="shared" si="6"/>
        <v>Low</v>
      </c>
      <c r="L11">
        <f t="shared" si="7"/>
        <v>0.55000000000000004</v>
      </c>
      <c r="M11">
        <f>_xlfn.XLOOKUP(B11, Dim_Hotel!$A$2:$A$11, Dim_Hotel!$I$2:$I$11)
 + (IF(J11="",0,J11)
    * _xlfn.XLOOKUP(B11, Dim_Hotel!$A$2:$A$11, Dim_Hotel!$J$2:$J$11))</f>
        <v>150</v>
      </c>
      <c r="O11" t="s">
        <v>47</v>
      </c>
    </row>
    <row r="12" spans="1:15" x14ac:dyDescent="0.25">
      <c r="A12" s="1">
        <f t="shared" si="0"/>
        <v>46024</v>
      </c>
      <c r="B12" t="str" cm="1">
        <f t="array" ref="B12">INDEX(HotelList,MOD(ROW()-2,10)+1)</f>
        <v>H001</v>
      </c>
      <c r="C12">
        <f>_xlfn.XLOOKUP(B12,Dim_Hotel!$A$2:$A$11,Dim_Hotel!$F$2:$F$11)</f>
        <v>888</v>
      </c>
      <c r="D12">
        <f t="shared" si="1"/>
        <v>488</v>
      </c>
      <c r="E12">
        <f t="shared" si="2"/>
        <v>0.5495495495495496</v>
      </c>
      <c r="F12">
        <f t="shared" si="3"/>
        <v>260</v>
      </c>
      <c r="G12">
        <f t="shared" si="4"/>
        <v>142.88288288288288</v>
      </c>
      <c r="H12" t="str">
        <f>_xlfn.XLOOKUP(A12,Fact_Events!$D$2:$D$20,Fact_Events!$A$2:$A$20, "")</f>
        <v/>
      </c>
      <c r="I12">
        <f t="shared" si="5"/>
        <v>0</v>
      </c>
      <c r="J12" t="str">
        <f>_xlfn.XLOOKUP(H12, Fact_Events!$A$2:$A$20, Fact_Events!$F$2:$F$20, "")</f>
        <v/>
      </c>
      <c r="K12" t="str">
        <f t="shared" si="6"/>
        <v>Low</v>
      </c>
      <c r="L12">
        <f t="shared" si="7"/>
        <v>0.55000000000000004</v>
      </c>
      <c r="M12">
        <f>_xlfn.XLOOKUP(B12, Dim_Hotel!$A$2:$A$11, Dim_Hotel!$I$2:$I$11)
 + (IF(J12="",0,J12)
    * _xlfn.XLOOKUP(B12, Dim_Hotel!$A$2:$A$11, Dim_Hotel!$J$2:$J$11))</f>
        <v>260</v>
      </c>
    </row>
    <row r="13" spans="1:15" x14ac:dyDescent="0.25">
      <c r="A13" s="1">
        <f t="shared" si="0"/>
        <v>46024</v>
      </c>
      <c r="B13" t="str" cm="1">
        <f t="array" ref="B13">INDEX(HotelList,MOD(ROW()-2,10)+1)</f>
        <v>H002</v>
      </c>
      <c r="C13">
        <f>_xlfn.XLOOKUP(B13,Dim_Hotel!$A$2:$A$11,Dim_Hotel!$F$2:$F$11)</f>
        <v>147</v>
      </c>
      <c r="D13">
        <f t="shared" si="1"/>
        <v>81</v>
      </c>
      <c r="E13">
        <f t="shared" si="2"/>
        <v>0.55102040816326525</v>
      </c>
      <c r="F13">
        <f t="shared" si="3"/>
        <v>175</v>
      </c>
      <c r="G13">
        <f t="shared" si="4"/>
        <v>96.428571428571416</v>
      </c>
      <c r="H13" t="str">
        <f>_xlfn.XLOOKUP(A13,Fact_Events!$D$2:$D$20,Fact_Events!$A$2:$A$20, "")</f>
        <v/>
      </c>
      <c r="I13">
        <f t="shared" si="5"/>
        <v>0</v>
      </c>
      <c r="J13" t="str">
        <f>_xlfn.XLOOKUP(H13, Fact_Events!$A$2:$A$20, Fact_Events!$F$2:$F$20, "")</f>
        <v/>
      </c>
      <c r="K13" t="str">
        <f t="shared" si="6"/>
        <v>Low</v>
      </c>
      <c r="L13">
        <f t="shared" si="7"/>
        <v>0.55000000000000004</v>
      </c>
      <c r="M13">
        <f>_xlfn.XLOOKUP(B13, Dim_Hotel!$A$2:$A$11, Dim_Hotel!$I$2:$I$11)
 + (IF(J13="",0,J13)
    * _xlfn.XLOOKUP(B13, Dim_Hotel!$A$2:$A$11, Dim_Hotel!$J$2:$J$11))</f>
        <v>175</v>
      </c>
    </row>
    <row r="14" spans="1:15" x14ac:dyDescent="0.25">
      <c r="A14" s="1">
        <f t="shared" si="0"/>
        <v>46024</v>
      </c>
      <c r="B14" t="str" cm="1">
        <f t="array" ref="B14">INDEX(HotelList,MOD(ROW()-2,10)+1)</f>
        <v>H003</v>
      </c>
      <c r="C14">
        <f>_xlfn.XLOOKUP(B14,Dim_Hotel!$A$2:$A$11,Dim_Hotel!$F$2:$F$11)</f>
        <v>121</v>
      </c>
      <c r="D14">
        <f t="shared" si="1"/>
        <v>67</v>
      </c>
      <c r="E14">
        <f t="shared" si="2"/>
        <v>0.55371900826446285</v>
      </c>
      <c r="F14">
        <f t="shared" si="3"/>
        <v>145</v>
      </c>
      <c r="G14">
        <f t="shared" si="4"/>
        <v>80.289256198347118</v>
      </c>
      <c r="H14" t="str">
        <f>_xlfn.XLOOKUP(A14,Fact_Events!$D$2:$D$20,Fact_Events!$A$2:$A$20, "")</f>
        <v/>
      </c>
      <c r="I14">
        <f t="shared" si="5"/>
        <v>0</v>
      </c>
      <c r="J14" t="str">
        <f>_xlfn.XLOOKUP(H14, Fact_Events!$A$2:$A$20, Fact_Events!$F$2:$F$20, "")</f>
        <v/>
      </c>
      <c r="K14" t="str">
        <f t="shared" si="6"/>
        <v>Low</v>
      </c>
      <c r="L14">
        <f t="shared" si="7"/>
        <v>0.55000000000000004</v>
      </c>
      <c r="M14">
        <f>_xlfn.XLOOKUP(B14, Dim_Hotel!$A$2:$A$11, Dim_Hotel!$I$2:$I$11)
 + (IF(J14="",0,J14)
    * _xlfn.XLOOKUP(B14, Dim_Hotel!$A$2:$A$11, Dim_Hotel!$J$2:$J$11))</f>
        <v>145</v>
      </c>
    </row>
    <row r="15" spans="1:15" x14ac:dyDescent="0.25">
      <c r="A15" s="1">
        <f t="shared" si="0"/>
        <v>46024</v>
      </c>
      <c r="B15" t="str" cm="1">
        <f t="array" ref="B15">INDEX(HotelList,MOD(ROW()-2,10)+1)</f>
        <v>H004</v>
      </c>
      <c r="C15">
        <f>_xlfn.XLOOKUP(B15,Dim_Hotel!$A$2:$A$11,Dim_Hotel!$F$2:$F$11)</f>
        <v>108</v>
      </c>
      <c r="D15">
        <f t="shared" si="1"/>
        <v>59</v>
      </c>
      <c r="E15">
        <f t="shared" si="2"/>
        <v>0.54629629629629628</v>
      </c>
      <c r="F15">
        <f t="shared" si="3"/>
        <v>135</v>
      </c>
      <c r="G15">
        <f t="shared" si="4"/>
        <v>73.75</v>
      </c>
      <c r="H15" t="str">
        <f>_xlfn.XLOOKUP(A15,Fact_Events!$D$2:$D$20,Fact_Events!$A$2:$A$20, "")</f>
        <v/>
      </c>
      <c r="I15">
        <f t="shared" si="5"/>
        <v>0</v>
      </c>
      <c r="J15" t="str">
        <f>_xlfn.XLOOKUP(H15, Fact_Events!$A$2:$A$20, Fact_Events!$F$2:$F$20, "")</f>
        <v/>
      </c>
      <c r="K15" t="str">
        <f t="shared" si="6"/>
        <v>Low</v>
      </c>
      <c r="L15">
        <f t="shared" si="7"/>
        <v>0.55000000000000004</v>
      </c>
      <c r="M15">
        <f>_xlfn.XLOOKUP(B15, Dim_Hotel!$A$2:$A$11, Dim_Hotel!$I$2:$I$11)
 + (IF(J15="",0,J15)
    * _xlfn.XLOOKUP(B15, Dim_Hotel!$A$2:$A$11, Dim_Hotel!$J$2:$J$11))</f>
        <v>135</v>
      </c>
    </row>
    <row r="16" spans="1:15" x14ac:dyDescent="0.25">
      <c r="A16" s="1">
        <f t="shared" si="0"/>
        <v>46024</v>
      </c>
      <c r="B16" t="str" cm="1">
        <f t="array" ref="B16">INDEX(HotelList,MOD(ROW()-2,10)+1)</f>
        <v>H005</v>
      </c>
      <c r="C16">
        <f>_xlfn.XLOOKUP(B16,Dim_Hotel!$A$2:$A$11,Dim_Hotel!$F$2:$F$11)</f>
        <v>66</v>
      </c>
      <c r="D16">
        <f t="shared" si="1"/>
        <v>36</v>
      </c>
      <c r="E16">
        <f t="shared" si="2"/>
        <v>0.54545454545454541</v>
      </c>
      <c r="F16">
        <f t="shared" si="3"/>
        <v>82</v>
      </c>
      <c r="G16">
        <f t="shared" si="4"/>
        <v>44.727272727272727</v>
      </c>
      <c r="H16" t="str">
        <f>_xlfn.XLOOKUP(A16,Fact_Events!$D$2:$D$20,Fact_Events!$A$2:$A$20, "")</f>
        <v/>
      </c>
      <c r="I16">
        <f t="shared" si="5"/>
        <v>0</v>
      </c>
      <c r="J16" t="str">
        <f>_xlfn.XLOOKUP(H16, Fact_Events!$A$2:$A$20, Fact_Events!$F$2:$F$20, "")</f>
        <v/>
      </c>
      <c r="K16" t="str">
        <f t="shared" si="6"/>
        <v>Low</v>
      </c>
      <c r="L16">
        <f t="shared" si="7"/>
        <v>0.55000000000000004</v>
      </c>
      <c r="M16">
        <f>_xlfn.XLOOKUP(B16, Dim_Hotel!$A$2:$A$11, Dim_Hotel!$I$2:$I$11)
 + (IF(J16="",0,J16)
    * _xlfn.XLOOKUP(B16, Dim_Hotel!$A$2:$A$11, Dim_Hotel!$J$2:$J$11))</f>
        <v>82</v>
      </c>
    </row>
    <row r="17" spans="1:13" x14ac:dyDescent="0.25">
      <c r="A17" s="1">
        <f t="shared" si="0"/>
        <v>46024</v>
      </c>
      <c r="B17" t="str" cm="1">
        <f t="array" ref="B17">INDEX(HotelList,MOD(ROW()-2,10)+1)</f>
        <v>H006</v>
      </c>
      <c r="C17">
        <f>_xlfn.XLOOKUP(B17,Dim_Hotel!$A$2:$A$11,Dim_Hotel!$F$2:$F$11)</f>
        <v>311</v>
      </c>
      <c r="D17">
        <f t="shared" si="1"/>
        <v>171</v>
      </c>
      <c r="E17">
        <f t="shared" si="2"/>
        <v>0.54983922829581988</v>
      </c>
      <c r="F17">
        <f t="shared" si="3"/>
        <v>190</v>
      </c>
      <c r="G17">
        <f t="shared" si="4"/>
        <v>104.46945337620578</v>
      </c>
      <c r="H17" t="str">
        <f>_xlfn.XLOOKUP(A17,Fact_Events!$D$2:$D$20,Fact_Events!$A$2:$A$20, "")</f>
        <v/>
      </c>
      <c r="I17">
        <f t="shared" si="5"/>
        <v>0</v>
      </c>
      <c r="J17" t="str">
        <f>_xlfn.XLOOKUP(H17, Fact_Events!$A$2:$A$20, Fact_Events!$F$2:$F$20, "")</f>
        <v/>
      </c>
      <c r="K17" t="str">
        <f t="shared" si="6"/>
        <v>Low</v>
      </c>
      <c r="L17">
        <f t="shared" si="7"/>
        <v>0.55000000000000004</v>
      </c>
      <c r="M17">
        <f>_xlfn.XLOOKUP(B17, Dim_Hotel!$A$2:$A$11, Dim_Hotel!$I$2:$I$11)
 + (IF(J17="",0,J17)
    * _xlfn.XLOOKUP(B17, Dim_Hotel!$A$2:$A$11, Dim_Hotel!$J$2:$J$11))</f>
        <v>190</v>
      </c>
    </row>
    <row r="18" spans="1:13" x14ac:dyDescent="0.25">
      <c r="A18" s="1">
        <f t="shared" si="0"/>
        <v>46024</v>
      </c>
      <c r="B18" t="str" cm="1">
        <f t="array" ref="B18">INDEX(HotelList,MOD(ROW()-2,10)+1)</f>
        <v>H007</v>
      </c>
      <c r="C18">
        <f>_xlfn.XLOOKUP(B18,Dim_Hotel!$A$2:$A$11,Dim_Hotel!$F$2:$F$11)</f>
        <v>132</v>
      </c>
      <c r="D18">
        <f t="shared" si="1"/>
        <v>73</v>
      </c>
      <c r="E18">
        <f t="shared" si="2"/>
        <v>0.55303030303030298</v>
      </c>
      <c r="F18">
        <f t="shared" si="3"/>
        <v>165</v>
      </c>
      <c r="G18">
        <f t="shared" si="4"/>
        <v>91.249999999999986</v>
      </c>
      <c r="H18" t="str">
        <f>_xlfn.XLOOKUP(A18,Fact_Events!$D$2:$D$20,Fact_Events!$A$2:$A$20, "")</f>
        <v/>
      </c>
      <c r="I18">
        <f t="shared" si="5"/>
        <v>0</v>
      </c>
      <c r="J18" t="str">
        <f>_xlfn.XLOOKUP(H18, Fact_Events!$A$2:$A$20, Fact_Events!$F$2:$F$20, "")</f>
        <v/>
      </c>
      <c r="K18" t="str">
        <f t="shared" si="6"/>
        <v>Low</v>
      </c>
      <c r="L18">
        <f t="shared" si="7"/>
        <v>0.55000000000000004</v>
      </c>
      <c r="M18">
        <f>_xlfn.XLOOKUP(B18, Dim_Hotel!$A$2:$A$11, Dim_Hotel!$I$2:$I$11)
 + (IF(J18="",0,J18)
    * _xlfn.XLOOKUP(B18, Dim_Hotel!$A$2:$A$11, Dim_Hotel!$J$2:$J$11))</f>
        <v>165</v>
      </c>
    </row>
    <row r="19" spans="1:13" x14ac:dyDescent="0.25">
      <c r="A19" s="1">
        <f t="shared" si="0"/>
        <v>46024</v>
      </c>
      <c r="B19" t="str" cm="1">
        <f t="array" ref="B19">INDEX(HotelList,MOD(ROW()-2,10)+1)</f>
        <v>H008</v>
      </c>
      <c r="C19">
        <f>_xlfn.XLOOKUP(B19,Dim_Hotel!$A$2:$A$11,Dim_Hotel!$F$2:$F$11)</f>
        <v>103</v>
      </c>
      <c r="D19">
        <f t="shared" si="1"/>
        <v>57</v>
      </c>
      <c r="E19">
        <f t="shared" si="2"/>
        <v>0.55339805825242716</v>
      </c>
      <c r="F19">
        <f t="shared" si="3"/>
        <v>140</v>
      </c>
      <c r="G19">
        <f t="shared" si="4"/>
        <v>77.475728155339809</v>
      </c>
      <c r="H19" t="str">
        <f>_xlfn.XLOOKUP(A19,Fact_Events!$D$2:$D$20,Fact_Events!$A$2:$A$20, "")</f>
        <v/>
      </c>
      <c r="I19">
        <f t="shared" si="5"/>
        <v>0</v>
      </c>
      <c r="J19" t="str">
        <f>_xlfn.XLOOKUP(H19, Fact_Events!$A$2:$A$20, Fact_Events!$F$2:$F$20, "")</f>
        <v/>
      </c>
      <c r="K19" t="str">
        <f t="shared" si="6"/>
        <v>Low</v>
      </c>
      <c r="L19">
        <f t="shared" si="7"/>
        <v>0.55000000000000004</v>
      </c>
      <c r="M19">
        <f>_xlfn.XLOOKUP(B19, Dim_Hotel!$A$2:$A$11, Dim_Hotel!$I$2:$I$11)
 + (IF(J19="",0,J19)
    * _xlfn.XLOOKUP(B19, Dim_Hotel!$A$2:$A$11, Dim_Hotel!$J$2:$J$11))</f>
        <v>140</v>
      </c>
    </row>
    <row r="20" spans="1:13" x14ac:dyDescent="0.25">
      <c r="A20" s="1">
        <f t="shared" si="0"/>
        <v>46024</v>
      </c>
      <c r="B20" t="str" cm="1">
        <f t="array" ref="B20">INDEX(HotelList,MOD(ROW()-2,10)+1)</f>
        <v>H009</v>
      </c>
      <c r="C20">
        <f>_xlfn.XLOOKUP(B20,Dim_Hotel!$A$2:$A$11,Dim_Hotel!$F$2:$F$11)</f>
        <v>114</v>
      </c>
      <c r="D20">
        <f t="shared" si="1"/>
        <v>63</v>
      </c>
      <c r="E20">
        <f t="shared" si="2"/>
        <v>0.55263157894736847</v>
      </c>
      <c r="F20">
        <f t="shared" si="3"/>
        <v>185</v>
      </c>
      <c r="G20">
        <f t="shared" si="4"/>
        <v>102.23684210526316</v>
      </c>
      <c r="H20" t="str">
        <f>_xlfn.XLOOKUP(A20,Fact_Events!$D$2:$D$20,Fact_Events!$A$2:$A$20, "")</f>
        <v/>
      </c>
      <c r="I20">
        <f t="shared" si="5"/>
        <v>0</v>
      </c>
      <c r="J20" t="str">
        <f>_xlfn.XLOOKUP(H20, Fact_Events!$A$2:$A$20, Fact_Events!$F$2:$F$20, "")</f>
        <v/>
      </c>
      <c r="K20" t="str">
        <f t="shared" si="6"/>
        <v>Low</v>
      </c>
      <c r="L20">
        <f t="shared" si="7"/>
        <v>0.55000000000000004</v>
      </c>
      <c r="M20">
        <f>_xlfn.XLOOKUP(B20, Dim_Hotel!$A$2:$A$11, Dim_Hotel!$I$2:$I$11)
 + (IF(J20="",0,J20)
    * _xlfn.XLOOKUP(B20, Dim_Hotel!$A$2:$A$11, Dim_Hotel!$J$2:$J$11))</f>
        <v>185</v>
      </c>
    </row>
    <row r="21" spans="1:13" x14ac:dyDescent="0.25">
      <c r="A21" s="1">
        <f t="shared" si="0"/>
        <v>46024</v>
      </c>
      <c r="B21" t="str" cm="1">
        <f t="array" ref="B21">INDEX(HotelList,MOD(ROW()-2,10)+1)</f>
        <v>H010</v>
      </c>
      <c r="C21">
        <f>_xlfn.XLOOKUP(B21,Dim_Hotel!$A$2:$A$11,Dim_Hotel!$F$2:$F$11)</f>
        <v>89</v>
      </c>
      <c r="D21">
        <f t="shared" si="1"/>
        <v>49</v>
      </c>
      <c r="E21">
        <f t="shared" si="2"/>
        <v>0.550561797752809</v>
      </c>
      <c r="F21">
        <f t="shared" si="3"/>
        <v>150</v>
      </c>
      <c r="G21">
        <f t="shared" si="4"/>
        <v>82.584269662921344</v>
      </c>
      <c r="H21" t="str">
        <f>_xlfn.XLOOKUP(A21,Fact_Events!$D$2:$D$20,Fact_Events!$A$2:$A$20, "")</f>
        <v/>
      </c>
      <c r="I21">
        <f t="shared" si="5"/>
        <v>0</v>
      </c>
      <c r="J21" t="str">
        <f>_xlfn.XLOOKUP(H21, Fact_Events!$A$2:$A$20, Fact_Events!$F$2:$F$20, "")</f>
        <v/>
      </c>
      <c r="K21" t="str">
        <f t="shared" si="6"/>
        <v>Low</v>
      </c>
      <c r="L21">
        <f t="shared" si="7"/>
        <v>0.55000000000000004</v>
      </c>
      <c r="M21">
        <f>_xlfn.XLOOKUP(B21, Dim_Hotel!$A$2:$A$11, Dim_Hotel!$I$2:$I$11)
 + (IF(J21="",0,J21)
    * _xlfn.XLOOKUP(B21, Dim_Hotel!$A$2:$A$11, Dim_Hotel!$J$2:$J$11))</f>
        <v>150</v>
      </c>
    </row>
    <row r="22" spans="1:13" x14ac:dyDescent="0.25">
      <c r="A22" s="1">
        <f t="shared" si="0"/>
        <v>46025</v>
      </c>
      <c r="B22" t="str" cm="1">
        <f t="array" ref="B22">INDEX(HotelList,MOD(ROW()-2,10)+1)</f>
        <v>H001</v>
      </c>
      <c r="C22">
        <f>_xlfn.XLOOKUP(B22,Dim_Hotel!$A$2:$A$11,Dim_Hotel!$F$2:$F$11)</f>
        <v>888</v>
      </c>
      <c r="D22">
        <f t="shared" si="1"/>
        <v>488</v>
      </c>
      <c r="E22">
        <f t="shared" si="2"/>
        <v>0.5495495495495496</v>
      </c>
      <c r="F22">
        <f t="shared" si="3"/>
        <v>260</v>
      </c>
      <c r="G22">
        <f t="shared" si="4"/>
        <v>142.88288288288288</v>
      </c>
      <c r="H22" t="str">
        <f>_xlfn.XLOOKUP(A22,Fact_Events!$D$2:$D$20,Fact_Events!$A$2:$A$20, "")</f>
        <v/>
      </c>
      <c r="I22">
        <f t="shared" si="5"/>
        <v>0</v>
      </c>
      <c r="J22" t="str">
        <f>_xlfn.XLOOKUP(H22, Fact_Events!$A$2:$A$20, Fact_Events!$F$2:$F$20, "")</f>
        <v/>
      </c>
      <c r="K22" t="str">
        <f t="shared" si="6"/>
        <v>Low</v>
      </c>
      <c r="L22">
        <f t="shared" si="7"/>
        <v>0.55000000000000004</v>
      </c>
      <c r="M22">
        <f>_xlfn.XLOOKUP(B22, Dim_Hotel!$A$2:$A$11, Dim_Hotel!$I$2:$I$11)
 + (IF(J22="",0,J22)
    * _xlfn.XLOOKUP(B22, Dim_Hotel!$A$2:$A$11, Dim_Hotel!$J$2:$J$11))</f>
        <v>260</v>
      </c>
    </row>
    <row r="23" spans="1:13" x14ac:dyDescent="0.25">
      <c r="A23" s="1">
        <f t="shared" si="0"/>
        <v>46025</v>
      </c>
      <c r="B23" t="str" cm="1">
        <f t="array" ref="B23">INDEX(HotelList,MOD(ROW()-2,10)+1)</f>
        <v>H002</v>
      </c>
      <c r="C23">
        <f>_xlfn.XLOOKUP(B23,Dim_Hotel!$A$2:$A$11,Dim_Hotel!$F$2:$F$11)</f>
        <v>147</v>
      </c>
      <c r="D23">
        <f t="shared" si="1"/>
        <v>81</v>
      </c>
      <c r="E23">
        <f t="shared" si="2"/>
        <v>0.55102040816326525</v>
      </c>
      <c r="F23">
        <f t="shared" si="3"/>
        <v>175</v>
      </c>
      <c r="G23">
        <f t="shared" si="4"/>
        <v>96.428571428571416</v>
      </c>
      <c r="H23" t="str">
        <f>_xlfn.XLOOKUP(A23,Fact_Events!$D$2:$D$20,Fact_Events!$A$2:$A$20, "")</f>
        <v/>
      </c>
      <c r="I23">
        <f t="shared" si="5"/>
        <v>0</v>
      </c>
      <c r="J23" t="str">
        <f>_xlfn.XLOOKUP(H23, Fact_Events!$A$2:$A$20, Fact_Events!$F$2:$F$20, "")</f>
        <v/>
      </c>
      <c r="K23" t="str">
        <f t="shared" si="6"/>
        <v>Low</v>
      </c>
      <c r="L23">
        <f t="shared" si="7"/>
        <v>0.55000000000000004</v>
      </c>
      <c r="M23">
        <f>_xlfn.XLOOKUP(B23, Dim_Hotel!$A$2:$A$11, Dim_Hotel!$I$2:$I$11)
 + (IF(J23="",0,J23)
    * _xlfn.XLOOKUP(B23, Dim_Hotel!$A$2:$A$11, Dim_Hotel!$J$2:$J$11))</f>
        <v>175</v>
      </c>
    </row>
    <row r="24" spans="1:13" x14ac:dyDescent="0.25">
      <c r="A24" s="1">
        <f t="shared" si="0"/>
        <v>46025</v>
      </c>
      <c r="B24" t="str" cm="1">
        <f t="array" ref="B24">INDEX(HotelList,MOD(ROW()-2,10)+1)</f>
        <v>H003</v>
      </c>
      <c r="C24">
        <f>_xlfn.XLOOKUP(B24,Dim_Hotel!$A$2:$A$11,Dim_Hotel!$F$2:$F$11)</f>
        <v>121</v>
      </c>
      <c r="D24">
        <f t="shared" si="1"/>
        <v>67</v>
      </c>
      <c r="E24">
        <f t="shared" si="2"/>
        <v>0.55371900826446285</v>
      </c>
      <c r="F24">
        <f t="shared" si="3"/>
        <v>145</v>
      </c>
      <c r="G24">
        <f t="shared" si="4"/>
        <v>80.289256198347118</v>
      </c>
      <c r="H24" t="str">
        <f>_xlfn.XLOOKUP(A24,Fact_Events!$D$2:$D$20,Fact_Events!$A$2:$A$20, "")</f>
        <v/>
      </c>
      <c r="I24">
        <f t="shared" si="5"/>
        <v>0</v>
      </c>
      <c r="J24" t="str">
        <f>_xlfn.XLOOKUP(H24, Fact_Events!$A$2:$A$20, Fact_Events!$F$2:$F$20, "")</f>
        <v/>
      </c>
      <c r="K24" t="str">
        <f t="shared" si="6"/>
        <v>Low</v>
      </c>
      <c r="L24">
        <f t="shared" si="7"/>
        <v>0.55000000000000004</v>
      </c>
      <c r="M24">
        <f>_xlfn.XLOOKUP(B24, Dim_Hotel!$A$2:$A$11, Dim_Hotel!$I$2:$I$11)
 + (IF(J24="",0,J24)
    * _xlfn.XLOOKUP(B24, Dim_Hotel!$A$2:$A$11, Dim_Hotel!$J$2:$J$11))</f>
        <v>145</v>
      </c>
    </row>
    <row r="25" spans="1:13" x14ac:dyDescent="0.25">
      <c r="A25" s="1">
        <f t="shared" si="0"/>
        <v>46025</v>
      </c>
      <c r="B25" t="str" cm="1">
        <f t="array" ref="B25">INDEX(HotelList,MOD(ROW()-2,10)+1)</f>
        <v>H004</v>
      </c>
      <c r="C25">
        <f>_xlfn.XLOOKUP(B25,Dim_Hotel!$A$2:$A$11,Dim_Hotel!$F$2:$F$11)</f>
        <v>108</v>
      </c>
      <c r="D25">
        <f t="shared" si="1"/>
        <v>59</v>
      </c>
      <c r="E25">
        <f t="shared" si="2"/>
        <v>0.54629629629629628</v>
      </c>
      <c r="F25">
        <f t="shared" si="3"/>
        <v>135</v>
      </c>
      <c r="G25">
        <f t="shared" si="4"/>
        <v>73.75</v>
      </c>
      <c r="H25" t="str">
        <f>_xlfn.XLOOKUP(A25,Fact_Events!$D$2:$D$20,Fact_Events!$A$2:$A$20, "")</f>
        <v/>
      </c>
      <c r="I25">
        <f t="shared" si="5"/>
        <v>0</v>
      </c>
      <c r="J25" t="str">
        <f>_xlfn.XLOOKUP(H25, Fact_Events!$A$2:$A$20, Fact_Events!$F$2:$F$20, "")</f>
        <v/>
      </c>
      <c r="K25" t="str">
        <f t="shared" si="6"/>
        <v>Low</v>
      </c>
      <c r="L25">
        <f t="shared" si="7"/>
        <v>0.55000000000000004</v>
      </c>
      <c r="M25">
        <f>_xlfn.XLOOKUP(B25, Dim_Hotel!$A$2:$A$11, Dim_Hotel!$I$2:$I$11)
 + (IF(J25="",0,J25)
    * _xlfn.XLOOKUP(B25, Dim_Hotel!$A$2:$A$11, Dim_Hotel!$J$2:$J$11))</f>
        <v>135</v>
      </c>
    </row>
    <row r="26" spans="1:13" x14ac:dyDescent="0.25">
      <c r="A26" s="1">
        <f t="shared" si="0"/>
        <v>46025</v>
      </c>
      <c r="B26" t="str" cm="1">
        <f t="array" ref="B26">INDEX(HotelList,MOD(ROW()-2,10)+1)</f>
        <v>H005</v>
      </c>
      <c r="C26">
        <f>_xlfn.XLOOKUP(B26,Dim_Hotel!$A$2:$A$11,Dim_Hotel!$F$2:$F$11)</f>
        <v>66</v>
      </c>
      <c r="D26">
        <f t="shared" si="1"/>
        <v>36</v>
      </c>
      <c r="E26">
        <f t="shared" si="2"/>
        <v>0.54545454545454541</v>
      </c>
      <c r="F26">
        <f t="shared" si="3"/>
        <v>82</v>
      </c>
      <c r="G26">
        <f t="shared" si="4"/>
        <v>44.727272727272727</v>
      </c>
      <c r="H26" t="str">
        <f>_xlfn.XLOOKUP(A26,Fact_Events!$D$2:$D$20,Fact_Events!$A$2:$A$20, "")</f>
        <v/>
      </c>
      <c r="I26">
        <f t="shared" si="5"/>
        <v>0</v>
      </c>
      <c r="J26" t="str">
        <f>_xlfn.XLOOKUP(H26, Fact_Events!$A$2:$A$20, Fact_Events!$F$2:$F$20, "")</f>
        <v/>
      </c>
      <c r="K26" t="str">
        <f t="shared" si="6"/>
        <v>Low</v>
      </c>
      <c r="L26">
        <f t="shared" si="7"/>
        <v>0.55000000000000004</v>
      </c>
      <c r="M26">
        <f>_xlfn.XLOOKUP(B26, Dim_Hotel!$A$2:$A$11, Dim_Hotel!$I$2:$I$11)
 + (IF(J26="",0,J26)
    * _xlfn.XLOOKUP(B26, Dim_Hotel!$A$2:$A$11, Dim_Hotel!$J$2:$J$11))</f>
        <v>82</v>
      </c>
    </row>
    <row r="27" spans="1:13" x14ac:dyDescent="0.25">
      <c r="A27" s="1">
        <f t="shared" si="0"/>
        <v>46025</v>
      </c>
      <c r="B27" t="str" cm="1">
        <f t="array" ref="B27">INDEX(HotelList,MOD(ROW()-2,10)+1)</f>
        <v>H006</v>
      </c>
      <c r="C27">
        <f>_xlfn.XLOOKUP(B27,Dim_Hotel!$A$2:$A$11,Dim_Hotel!$F$2:$F$11)</f>
        <v>311</v>
      </c>
      <c r="D27">
        <f t="shared" si="1"/>
        <v>171</v>
      </c>
      <c r="E27">
        <f t="shared" si="2"/>
        <v>0.54983922829581988</v>
      </c>
      <c r="F27">
        <f t="shared" si="3"/>
        <v>190</v>
      </c>
      <c r="G27">
        <f t="shared" si="4"/>
        <v>104.46945337620578</v>
      </c>
      <c r="H27" t="str">
        <f>_xlfn.XLOOKUP(A27,Fact_Events!$D$2:$D$20,Fact_Events!$A$2:$A$20, "")</f>
        <v/>
      </c>
      <c r="I27">
        <f t="shared" si="5"/>
        <v>0</v>
      </c>
      <c r="J27" t="str">
        <f>_xlfn.XLOOKUP(H27, Fact_Events!$A$2:$A$20, Fact_Events!$F$2:$F$20, "")</f>
        <v/>
      </c>
      <c r="K27" t="str">
        <f t="shared" si="6"/>
        <v>Low</v>
      </c>
      <c r="L27">
        <f t="shared" si="7"/>
        <v>0.55000000000000004</v>
      </c>
      <c r="M27">
        <f>_xlfn.XLOOKUP(B27, Dim_Hotel!$A$2:$A$11, Dim_Hotel!$I$2:$I$11)
 + (IF(J27="",0,J27)
    * _xlfn.XLOOKUP(B27, Dim_Hotel!$A$2:$A$11, Dim_Hotel!$J$2:$J$11))</f>
        <v>190</v>
      </c>
    </row>
    <row r="28" spans="1:13" x14ac:dyDescent="0.25">
      <c r="A28" s="1">
        <f t="shared" si="0"/>
        <v>46025</v>
      </c>
      <c r="B28" t="str" cm="1">
        <f t="array" ref="B28">INDEX(HotelList,MOD(ROW()-2,10)+1)</f>
        <v>H007</v>
      </c>
      <c r="C28">
        <f>_xlfn.XLOOKUP(B28,Dim_Hotel!$A$2:$A$11,Dim_Hotel!$F$2:$F$11)</f>
        <v>132</v>
      </c>
      <c r="D28">
        <f t="shared" si="1"/>
        <v>73</v>
      </c>
      <c r="E28">
        <f t="shared" si="2"/>
        <v>0.55303030303030298</v>
      </c>
      <c r="F28">
        <f t="shared" si="3"/>
        <v>165</v>
      </c>
      <c r="G28">
        <f t="shared" si="4"/>
        <v>91.249999999999986</v>
      </c>
      <c r="H28" t="str">
        <f>_xlfn.XLOOKUP(A28,Fact_Events!$D$2:$D$20,Fact_Events!$A$2:$A$20, "")</f>
        <v/>
      </c>
      <c r="I28">
        <f t="shared" si="5"/>
        <v>0</v>
      </c>
      <c r="J28" t="str">
        <f>_xlfn.XLOOKUP(H28, Fact_Events!$A$2:$A$20, Fact_Events!$F$2:$F$20, "")</f>
        <v/>
      </c>
      <c r="K28" t="str">
        <f t="shared" si="6"/>
        <v>Low</v>
      </c>
      <c r="L28">
        <f t="shared" si="7"/>
        <v>0.55000000000000004</v>
      </c>
      <c r="M28">
        <f>_xlfn.XLOOKUP(B28, Dim_Hotel!$A$2:$A$11, Dim_Hotel!$I$2:$I$11)
 + (IF(J28="",0,J28)
    * _xlfn.XLOOKUP(B28, Dim_Hotel!$A$2:$A$11, Dim_Hotel!$J$2:$J$11))</f>
        <v>165</v>
      </c>
    </row>
    <row r="29" spans="1:13" x14ac:dyDescent="0.25">
      <c r="A29" s="1">
        <f t="shared" si="0"/>
        <v>46025</v>
      </c>
      <c r="B29" t="str" cm="1">
        <f t="array" ref="B29">INDEX(HotelList,MOD(ROW()-2,10)+1)</f>
        <v>H008</v>
      </c>
      <c r="C29">
        <f>_xlfn.XLOOKUP(B29,Dim_Hotel!$A$2:$A$11,Dim_Hotel!$F$2:$F$11)</f>
        <v>103</v>
      </c>
      <c r="D29">
        <f t="shared" si="1"/>
        <v>57</v>
      </c>
      <c r="E29">
        <f t="shared" si="2"/>
        <v>0.55339805825242716</v>
      </c>
      <c r="F29">
        <f t="shared" si="3"/>
        <v>140</v>
      </c>
      <c r="G29">
        <f t="shared" si="4"/>
        <v>77.475728155339809</v>
      </c>
      <c r="H29" t="str">
        <f>_xlfn.XLOOKUP(A29,Fact_Events!$D$2:$D$20,Fact_Events!$A$2:$A$20, "")</f>
        <v/>
      </c>
      <c r="I29">
        <f t="shared" si="5"/>
        <v>0</v>
      </c>
      <c r="J29" t="str">
        <f>_xlfn.XLOOKUP(H29, Fact_Events!$A$2:$A$20, Fact_Events!$F$2:$F$20, "")</f>
        <v/>
      </c>
      <c r="K29" t="str">
        <f t="shared" si="6"/>
        <v>Low</v>
      </c>
      <c r="L29">
        <f t="shared" si="7"/>
        <v>0.55000000000000004</v>
      </c>
      <c r="M29">
        <f>_xlfn.XLOOKUP(B29, Dim_Hotel!$A$2:$A$11, Dim_Hotel!$I$2:$I$11)
 + (IF(J29="",0,J29)
    * _xlfn.XLOOKUP(B29, Dim_Hotel!$A$2:$A$11, Dim_Hotel!$J$2:$J$11))</f>
        <v>140</v>
      </c>
    </row>
    <row r="30" spans="1:13" x14ac:dyDescent="0.25">
      <c r="A30" s="1">
        <f t="shared" si="0"/>
        <v>46025</v>
      </c>
      <c r="B30" t="str" cm="1">
        <f t="array" ref="B30">INDEX(HotelList,MOD(ROW()-2,10)+1)</f>
        <v>H009</v>
      </c>
      <c r="C30">
        <f>_xlfn.XLOOKUP(B30,Dim_Hotel!$A$2:$A$11,Dim_Hotel!$F$2:$F$11)</f>
        <v>114</v>
      </c>
      <c r="D30">
        <f t="shared" si="1"/>
        <v>63</v>
      </c>
      <c r="E30">
        <f t="shared" si="2"/>
        <v>0.55263157894736847</v>
      </c>
      <c r="F30">
        <f t="shared" si="3"/>
        <v>185</v>
      </c>
      <c r="G30">
        <f t="shared" si="4"/>
        <v>102.23684210526316</v>
      </c>
      <c r="H30" t="str">
        <f>_xlfn.XLOOKUP(A30,Fact_Events!$D$2:$D$20,Fact_Events!$A$2:$A$20, "")</f>
        <v/>
      </c>
      <c r="I30">
        <f t="shared" si="5"/>
        <v>0</v>
      </c>
      <c r="J30" t="str">
        <f>_xlfn.XLOOKUP(H30, Fact_Events!$A$2:$A$20, Fact_Events!$F$2:$F$20, "")</f>
        <v/>
      </c>
      <c r="K30" t="str">
        <f t="shared" si="6"/>
        <v>Low</v>
      </c>
      <c r="L30">
        <f t="shared" si="7"/>
        <v>0.55000000000000004</v>
      </c>
      <c r="M30">
        <f>_xlfn.XLOOKUP(B30, Dim_Hotel!$A$2:$A$11, Dim_Hotel!$I$2:$I$11)
 + (IF(J30="",0,J30)
    * _xlfn.XLOOKUP(B30, Dim_Hotel!$A$2:$A$11, Dim_Hotel!$J$2:$J$11))</f>
        <v>185</v>
      </c>
    </row>
    <row r="31" spans="1:13" x14ac:dyDescent="0.25">
      <c r="A31" s="1">
        <f t="shared" si="0"/>
        <v>46025</v>
      </c>
      <c r="B31" t="str" cm="1">
        <f t="array" ref="B31">INDEX(HotelList,MOD(ROW()-2,10)+1)</f>
        <v>H010</v>
      </c>
      <c r="C31">
        <f>_xlfn.XLOOKUP(B31,Dim_Hotel!$A$2:$A$11,Dim_Hotel!$F$2:$F$11)</f>
        <v>89</v>
      </c>
      <c r="D31">
        <f t="shared" si="1"/>
        <v>49</v>
      </c>
      <c r="E31">
        <f t="shared" si="2"/>
        <v>0.550561797752809</v>
      </c>
      <c r="F31">
        <f t="shared" si="3"/>
        <v>150</v>
      </c>
      <c r="G31">
        <f t="shared" si="4"/>
        <v>82.584269662921344</v>
      </c>
      <c r="H31" t="str">
        <f>_xlfn.XLOOKUP(A31,Fact_Events!$D$2:$D$20,Fact_Events!$A$2:$A$20, "")</f>
        <v/>
      </c>
      <c r="I31">
        <f t="shared" si="5"/>
        <v>0</v>
      </c>
      <c r="J31" t="str">
        <f>_xlfn.XLOOKUP(H31, Fact_Events!$A$2:$A$20, Fact_Events!$F$2:$F$20, "")</f>
        <v/>
      </c>
      <c r="K31" t="str">
        <f t="shared" si="6"/>
        <v>Low</v>
      </c>
      <c r="L31">
        <f t="shared" si="7"/>
        <v>0.55000000000000004</v>
      </c>
      <c r="M31">
        <f>_xlfn.XLOOKUP(B31, Dim_Hotel!$A$2:$A$11, Dim_Hotel!$I$2:$I$11)
 + (IF(J31="",0,J31)
    * _xlfn.XLOOKUP(B31, Dim_Hotel!$A$2:$A$11, Dim_Hotel!$J$2:$J$11))</f>
        <v>150</v>
      </c>
    </row>
    <row r="32" spans="1:13" x14ac:dyDescent="0.25">
      <c r="A32" s="1">
        <f t="shared" si="0"/>
        <v>46026</v>
      </c>
      <c r="B32" t="str" cm="1">
        <f t="array" ref="B32">INDEX(HotelList,MOD(ROW()-2,10)+1)</f>
        <v>H001</v>
      </c>
      <c r="C32">
        <f>_xlfn.XLOOKUP(B32,Dim_Hotel!$A$2:$A$11,Dim_Hotel!$F$2:$F$11)</f>
        <v>888</v>
      </c>
      <c r="D32">
        <f t="shared" si="1"/>
        <v>488</v>
      </c>
      <c r="E32">
        <f t="shared" si="2"/>
        <v>0.5495495495495496</v>
      </c>
      <c r="F32">
        <f t="shared" si="3"/>
        <v>260</v>
      </c>
      <c r="G32">
        <f t="shared" si="4"/>
        <v>142.88288288288288</v>
      </c>
      <c r="H32" t="str">
        <f>_xlfn.XLOOKUP(A32,Fact_Events!$D$2:$D$20,Fact_Events!$A$2:$A$20, "")</f>
        <v/>
      </c>
      <c r="I32">
        <f t="shared" si="5"/>
        <v>0</v>
      </c>
      <c r="J32" t="str">
        <f>_xlfn.XLOOKUP(H32, Fact_Events!$A$2:$A$20, Fact_Events!$F$2:$F$20, "")</f>
        <v/>
      </c>
      <c r="K32" t="str">
        <f t="shared" si="6"/>
        <v>Low</v>
      </c>
      <c r="L32">
        <f t="shared" si="7"/>
        <v>0.55000000000000004</v>
      </c>
      <c r="M32">
        <f>_xlfn.XLOOKUP(B32, Dim_Hotel!$A$2:$A$11, Dim_Hotel!$I$2:$I$11)
 + (IF(J32="",0,J32)
    * _xlfn.XLOOKUP(B32, Dim_Hotel!$A$2:$A$11, Dim_Hotel!$J$2:$J$11))</f>
        <v>260</v>
      </c>
    </row>
    <row r="33" spans="1:13" x14ac:dyDescent="0.25">
      <c r="A33" s="1">
        <f t="shared" si="0"/>
        <v>46026</v>
      </c>
      <c r="B33" t="str" cm="1">
        <f t="array" ref="B33">INDEX(HotelList,MOD(ROW()-2,10)+1)</f>
        <v>H002</v>
      </c>
      <c r="C33">
        <f>_xlfn.XLOOKUP(B33,Dim_Hotel!$A$2:$A$11,Dim_Hotel!$F$2:$F$11)</f>
        <v>147</v>
      </c>
      <c r="D33">
        <f t="shared" si="1"/>
        <v>81</v>
      </c>
      <c r="E33">
        <f t="shared" si="2"/>
        <v>0.55102040816326525</v>
      </c>
      <c r="F33">
        <f t="shared" si="3"/>
        <v>175</v>
      </c>
      <c r="G33">
        <f t="shared" si="4"/>
        <v>96.428571428571416</v>
      </c>
      <c r="H33" t="str">
        <f>_xlfn.XLOOKUP(A33,Fact_Events!$D$2:$D$20,Fact_Events!$A$2:$A$20, "")</f>
        <v/>
      </c>
      <c r="I33">
        <f t="shared" si="5"/>
        <v>0</v>
      </c>
      <c r="J33" t="str">
        <f>_xlfn.XLOOKUP(H33, Fact_Events!$A$2:$A$20, Fact_Events!$F$2:$F$20, "")</f>
        <v/>
      </c>
      <c r="K33" t="str">
        <f t="shared" si="6"/>
        <v>Low</v>
      </c>
      <c r="L33">
        <f t="shared" si="7"/>
        <v>0.55000000000000004</v>
      </c>
      <c r="M33">
        <f>_xlfn.XLOOKUP(B33, Dim_Hotel!$A$2:$A$11, Dim_Hotel!$I$2:$I$11)
 + (IF(J33="",0,J33)
    * _xlfn.XLOOKUP(B33, Dim_Hotel!$A$2:$A$11, Dim_Hotel!$J$2:$J$11))</f>
        <v>175</v>
      </c>
    </row>
    <row r="34" spans="1:13" x14ac:dyDescent="0.25">
      <c r="A34" s="1">
        <f t="shared" si="0"/>
        <v>46026</v>
      </c>
      <c r="B34" t="str" cm="1">
        <f t="array" ref="B34">INDEX(HotelList,MOD(ROW()-2,10)+1)</f>
        <v>H003</v>
      </c>
      <c r="C34">
        <f>_xlfn.XLOOKUP(B34,Dim_Hotel!$A$2:$A$11,Dim_Hotel!$F$2:$F$11)</f>
        <v>121</v>
      </c>
      <c r="D34">
        <f t="shared" si="1"/>
        <v>67</v>
      </c>
      <c r="E34">
        <f t="shared" si="2"/>
        <v>0.55371900826446285</v>
      </c>
      <c r="F34">
        <f t="shared" si="3"/>
        <v>145</v>
      </c>
      <c r="G34">
        <f t="shared" si="4"/>
        <v>80.289256198347118</v>
      </c>
      <c r="H34" t="str">
        <f>_xlfn.XLOOKUP(A34,Fact_Events!$D$2:$D$20,Fact_Events!$A$2:$A$20, "")</f>
        <v/>
      </c>
      <c r="I34">
        <f t="shared" si="5"/>
        <v>0</v>
      </c>
      <c r="J34" t="str">
        <f>_xlfn.XLOOKUP(H34, Fact_Events!$A$2:$A$20, Fact_Events!$F$2:$F$20, "")</f>
        <v/>
      </c>
      <c r="K34" t="str">
        <f t="shared" si="6"/>
        <v>Low</v>
      </c>
      <c r="L34">
        <f t="shared" si="7"/>
        <v>0.55000000000000004</v>
      </c>
      <c r="M34">
        <f>_xlfn.XLOOKUP(B34, Dim_Hotel!$A$2:$A$11, Dim_Hotel!$I$2:$I$11)
 + (IF(J34="",0,J34)
    * _xlfn.XLOOKUP(B34, Dim_Hotel!$A$2:$A$11, Dim_Hotel!$J$2:$J$11))</f>
        <v>145</v>
      </c>
    </row>
    <row r="35" spans="1:13" x14ac:dyDescent="0.25">
      <c r="A35" s="1">
        <f t="shared" si="0"/>
        <v>46026</v>
      </c>
      <c r="B35" t="str" cm="1">
        <f t="array" ref="B35">INDEX(HotelList,MOD(ROW()-2,10)+1)</f>
        <v>H004</v>
      </c>
      <c r="C35">
        <f>_xlfn.XLOOKUP(B35,Dim_Hotel!$A$2:$A$11,Dim_Hotel!$F$2:$F$11)</f>
        <v>108</v>
      </c>
      <c r="D35">
        <f t="shared" si="1"/>
        <v>59</v>
      </c>
      <c r="E35">
        <f t="shared" si="2"/>
        <v>0.54629629629629628</v>
      </c>
      <c r="F35">
        <f t="shared" si="3"/>
        <v>135</v>
      </c>
      <c r="G35">
        <f t="shared" si="4"/>
        <v>73.75</v>
      </c>
      <c r="H35" t="str">
        <f>_xlfn.XLOOKUP(A35,Fact_Events!$D$2:$D$20,Fact_Events!$A$2:$A$20, "")</f>
        <v/>
      </c>
      <c r="I35">
        <f t="shared" si="5"/>
        <v>0</v>
      </c>
      <c r="J35" t="str">
        <f>_xlfn.XLOOKUP(H35, Fact_Events!$A$2:$A$20, Fact_Events!$F$2:$F$20, "")</f>
        <v/>
      </c>
      <c r="K35" t="str">
        <f t="shared" si="6"/>
        <v>Low</v>
      </c>
      <c r="L35">
        <f t="shared" si="7"/>
        <v>0.55000000000000004</v>
      </c>
      <c r="M35">
        <f>_xlfn.XLOOKUP(B35, Dim_Hotel!$A$2:$A$11, Dim_Hotel!$I$2:$I$11)
 + (IF(J35="",0,J35)
    * _xlfn.XLOOKUP(B35, Dim_Hotel!$A$2:$A$11, Dim_Hotel!$J$2:$J$11))</f>
        <v>135</v>
      </c>
    </row>
    <row r="36" spans="1:13" x14ac:dyDescent="0.25">
      <c r="A36" s="1">
        <f t="shared" si="0"/>
        <v>46026</v>
      </c>
      <c r="B36" t="str" cm="1">
        <f t="array" ref="B36">INDEX(HotelList,MOD(ROW()-2,10)+1)</f>
        <v>H005</v>
      </c>
      <c r="C36">
        <f>_xlfn.XLOOKUP(B36,Dim_Hotel!$A$2:$A$11,Dim_Hotel!$F$2:$F$11)</f>
        <v>66</v>
      </c>
      <c r="D36">
        <f t="shared" si="1"/>
        <v>36</v>
      </c>
      <c r="E36">
        <f t="shared" si="2"/>
        <v>0.54545454545454541</v>
      </c>
      <c r="F36">
        <f t="shared" si="3"/>
        <v>82</v>
      </c>
      <c r="G36">
        <f t="shared" si="4"/>
        <v>44.727272727272727</v>
      </c>
      <c r="H36" t="str">
        <f>_xlfn.XLOOKUP(A36,Fact_Events!$D$2:$D$20,Fact_Events!$A$2:$A$20, "")</f>
        <v/>
      </c>
      <c r="I36">
        <f t="shared" si="5"/>
        <v>0</v>
      </c>
      <c r="J36" t="str">
        <f>_xlfn.XLOOKUP(H36, Fact_Events!$A$2:$A$20, Fact_Events!$F$2:$F$20, "")</f>
        <v/>
      </c>
      <c r="K36" t="str">
        <f t="shared" si="6"/>
        <v>Low</v>
      </c>
      <c r="L36">
        <f t="shared" si="7"/>
        <v>0.55000000000000004</v>
      </c>
      <c r="M36">
        <f>_xlfn.XLOOKUP(B36, Dim_Hotel!$A$2:$A$11, Dim_Hotel!$I$2:$I$11)
 + (IF(J36="",0,J36)
    * _xlfn.XLOOKUP(B36, Dim_Hotel!$A$2:$A$11, Dim_Hotel!$J$2:$J$11))</f>
        <v>82</v>
      </c>
    </row>
    <row r="37" spans="1:13" x14ac:dyDescent="0.25">
      <c r="A37" s="1">
        <f t="shared" si="0"/>
        <v>46026</v>
      </c>
      <c r="B37" t="str" cm="1">
        <f t="array" ref="B37">INDEX(HotelList,MOD(ROW()-2,10)+1)</f>
        <v>H006</v>
      </c>
      <c r="C37">
        <f>_xlfn.XLOOKUP(B37,Dim_Hotel!$A$2:$A$11,Dim_Hotel!$F$2:$F$11)</f>
        <v>311</v>
      </c>
      <c r="D37">
        <f t="shared" si="1"/>
        <v>171</v>
      </c>
      <c r="E37">
        <f t="shared" si="2"/>
        <v>0.54983922829581988</v>
      </c>
      <c r="F37">
        <f t="shared" si="3"/>
        <v>190</v>
      </c>
      <c r="G37">
        <f t="shared" si="4"/>
        <v>104.46945337620578</v>
      </c>
      <c r="H37" t="str">
        <f>_xlfn.XLOOKUP(A37,Fact_Events!$D$2:$D$20,Fact_Events!$A$2:$A$20, "")</f>
        <v/>
      </c>
      <c r="I37">
        <f t="shared" si="5"/>
        <v>0</v>
      </c>
      <c r="J37" t="str">
        <f>_xlfn.XLOOKUP(H37, Fact_Events!$A$2:$A$20, Fact_Events!$F$2:$F$20, "")</f>
        <v/>
      </c>
      <c r="K37" t="str">
        <f t="shared" si="6"/>
        <v>Low</v>
      </c>
      <c r="L37">
        <f t="shared" si="7"/>
        <v>0.55000000000000004</v>
      </c>
      <c r="M37">
        <f>_xlfn.XLOOKUP(B37, Dim_Hotel!$A$2:$A$11, Dim_Hotel!$I$2:$I$11)
 + (IF(J37="",0,J37)
    * _xlfn.XLOOKUP(B37, Dim_Hotel!$A$2:$A$11, Dim_Hotel!$J$2:$J$11))</f>
        <v>190</v>
      </c>
    </row>
    <row r="38" spans="1:13" x14ac:dyDescent="0.25">
      <c r="A38" s="1">
        <f t="shared" si="0"/>
        <v>46026</v>
      </c>
      <c r="B38" t="str" cm="1">
        <f t="array" ref="B38">INDEX(HotelList,MOD(ROW()-2,10)+1)</f>
        <v>H007</v>
      </c>
      <c r="C38">
        <f>_xlfn.XLOOKUP(B38,Dim_Hotel!$A$2:$A$11,Dim_Hotel!$F$2:$F$11)</f>
        <v>132</v>
      </c>
      <c r="D38">
        <f t="shared" si="1"/>
        <v>73</v>
      </c>
      <c r="E38">
        <f t="shared" si="2"/>
        <v>0.55303030303030298</v>
      </c>
      <c r="F38">
        <f t="shared" si="3"/>
        <v>165</v>
      </c>
      <c r="G38">
        <f t="shared" si="4"/>
        <v>91.249999999999986</v>
      </c>
      <c r="H38" t="str">
        <f>_xlfn.XLOOKUP(A38,Fact_Events!$D$2:$D$20,Fact_Events!$A$2:$A$20, "")</f>
        <v/>
      </c>
      <c r="I38">
        <f t="shared" si="5"/>
        <v>0</v>
      </c>
      <c r="J38" t="str">
        <f>_xlfn.XLOOKUP(H38, Fact_Events!$A$2:$A$20, Fact_Events!$F$2:$F$20, "")</f>
        <v/>
      </c>
      <c r="K38" t="str">
        <f t="shared" si="6"/>
        <v>Low</v>
      </c>
      <c r="L38">
        <f t="shared" si="7"/>
        <v>0.55000000000000004</v>
      </c>
      <c r="M38">
        <f>_xlfn.XLOOKUP(B38, Dim_Hotel!$A$2:$A$11, Dim_Hotel!$I$2:$I$11)
 + (IF(J38="",0,J38)
    * _xlfn.XLOOKUP(B38, Dim_Hotel!$A$2:$A$11, Dim_Hotel!$J$2:$J$11))</f>
        <v>165</v>
      </c>
    </row>
    <row r="39" spans="1:13" x14ac:dyDescent="0.25">
      <c r="A39" s="1">
        <f t="shared" si="0"/>
        <v>46026</v>
      </c>
      <c r="B39" t="str" cm="1">
        <f t="array" ref="B39">INDEX(HotelList,MOD(ROW()-2,10)+1)</f>
        <v>H008</v>
      </c>
      <c r="C39">
        <f>_xlfn.XLOOKUP(B39,Dim_Hotel!$A$2:$A$11,Dim_Hotel!$F$2:$F$11)</f>
        <v>103</v>
      </c>
      <c r="D39">
        <f t="shared" si="1"/>
        <v>57</v>
      </c>
      <c r="E39">
        <f t="shared" si="2"/>
        <v>0.55339805825242716</v>
      </c>
      <c r="F39">
        <f t="shared" si="3"/>
        <v>140</v>
      </c>
      <c r="G39">
        <f t="shared" si="4"/>
        <v>77.475728155339809</v>
      </c>
      <c r="H39" t="str">
        <f>_xlfn.XLOOKUP(A39,Fact_Events!$D$2:$D$20,Fact_Events!$A$2:$A$20, "")</f>
        <v/>
      </c>
      <c r="I39">
        <f t="shared" si="5"/>
        <v>0</v>
      </c>
      <c r="J39" t="str">
        <f>_xlfn.XLOOKUP(H39, Fact_Events!$A$2:$A$20, Fact_Events!$F$2:$F$20, "")</f>
        <v/>
      </c>
      <c r="K39" t="str">
        <f t="shared" si="6"/>
        <v>Low</v>
      </c>
      <c r="L39">
        <f t="shared" si="7"/>
        <v>0.55000000000000004</v>
      </c>
      <c r="M39">
        <f>_xlfn.XLOOKUP(B39, Dim_Hotel!$A$2:$A$11, Dim_Hotel!$I$2:$I$11)
 + (IF(J39="",0,J39)
    * _xlfn.XLOOKUP(B39, Dim_Hotel!$A$2:$A$11, Dim_Hotel!$J$2:$J$11))</f>
        <v>140</v>
      </c>
    </row>
    <row r="40" spans="1:13" x14ac:dyDescent="0.25">
      <c r="A40" s="1">
        <f t="shared" si="0"/>
        <v>46026</v>
      </c>
      <c r="B40" t="str" cm="1">
        <f t="array" ref="B40">INDEX(HotelList,MOD(ROW()-2,10)+1)</f>
        <v>H009</v>
      </c>
      <c r="C40">
        <f>_xlfn.XLOOKUP(B40,Dim_Hotel!$A$2:$A$11,Dim_Hotel!$F$2:$F$11)</f>
        <v>114</v>
      </c>
      <c r="D40">
        <f t="shared" si="1"/>
        <v>63</v>
      </c>
      <c r="E40">
        <f t="shared" si="2"/>
        <v>0.55263157894736847</v>
      </c>
      <c r="F40">
        <f t="shared" si="3"/>
        <v>185</v>
      </c>
      <c r="G40">
        <f t="shared" si="4"/>
        <v>102.23684210526316</v>
      </c>
      <c r="H40" t="str">
        <f>_xlfn.XLOOKUP(A40,Fact_Events!$D$2:$D$20,Fact_Events!$A$2:$A$20, "")</f>
        <v/>
      </c>
      <c r="I40">
        <f t="shared" si="5"/>
        <v>0</v>
      </c>
      <c r="J40" t="str">
        <f>_xlfn.XLOOKUP(H40, Fact_Events!$A$2:$A$20, Fact_Events!$F$2:$F$20, "")</f>
        <v/>
      </c>
      <c r="K40" t="str">
        <f t="shared" si="6"/>
        <v>Low</v>
      </c>
      <c r="L40">
        <f t="shared" si="7"/>
        <v>0.55000000000000004</v>
      </c>
      <c r="M40">
        <f>_xlfn.XLOOKUP(B40, Dim_Hotel!$A$2:$A$11, Dim_Hotel!$I$2:$I$11)
 + (IF(J40="",0,J40)
    * _xlfn.XLOOKUP(B40, Dim_Hotel!$A$2:$A$11, Dim_Hotel!$J$2:$J$11))</f>
        <v>185</v>
      </c>
    </row>
    <row r="41" spans="1:13" x14ac:dyDescent="0.25">
      <c r="A41" s="1">
        <f t="shared" si="0"/>
        <v>46026</v>
      </c>
      <c r="B41" t="str" cm="1">
        <f t="array" ref="B41">INDEX(HotelList,MOD(ROW()-2,10)+1)</f>
        <v>H010</v>
      </c>
      <c r="C41">
        <f>_xlfn.XLOOKUP(B41,Dim_Hotel!$A$2:$A$11,Dim_Hotel!$F$2:$F$11)</f>
        <v>89</v>
      </c>
      <c r="D41">
        <f t="shared" si="1"/>
        <v>49</v>
      </c>
      <c r="E41">
        <f t="shared" si="2"/>
        <v>0.550561797752809</v>
      </c>
      <c r="F41">
        <f t="shared" si="3"/>
        <v>150</v>
      </c>
      <c r="G41">
        <f t="shared" si="4"/>
        <v>82.584269662921344</v>
      </c>
      <c r="H41" t="str">
        <f>_xlfn.XLOOKUP(A41,Fact_Events!$D$2:$D$20,Fact_Events!$A$2:$A$20, "")</f>
        <v/>
      </c>
      <c r="I41">
        <f t="shared" si="5"/>
        <v>0</v>
      </c>
      <c r="J41" t="str">
        <f>_xlfn.XLOOKUP(H41, Fact_Events!$A$2:$A$20, Fact_Events!$F$2:$F$20, "")</f>
        <v/>
      </c>
      <c r="K41" t="str">
        <f t="shared" si="6"/>
        <v>Low</v>
      </c>
      <c r="L41">
        <f t="shared" si="7"/>
        <v>0.55000000000000004</v>
      </c>
      <c r="M41">
        <f>_xlfn.XLOOKUP(B41, Dim_Hotel!$A$2:$A$11, Dim_Hotel!$I$2:$I$11)
 + (IF(J41="",0,J41)
    * _xlfn.XLOOKUP(B41, Dim_Hotel!$A$2:$A$11, Dim_Hotel!$J$2:$J$11))</f>
        <v>150</v>
      </c>
    </row>
    <row r="42" spans="1:13" x14ac:dyDescent="0.25">
      <c r="A42" s="1">
        <f t="shared" si="0"/>
        <v>46027</v>
      </c>
      <c r="B42" t="str" cm="1">
        <f t="array" ref="B42">INDEX(HotelList,MOD(ROW()-2,10)+1)</f>
        <v>H001</v>
      </c>
      <c r="C42">
        <f>_xlfn.XLOOKUP(B42,Dim_Hotel!$A$2:$A$11,Dim_Hotel!$F$2:$F$11)</f>
        <v>888</v>
      </c>
      <c r="D42">
        <f t="shared" si="1"/>
        <v>488</v>
      </c>
      <c r="E42">
        <f t="shared" si="2"/>
        <v>0.5495495495495496</v>
      </c>
      <c r="F42">
        <f t="shared" si="3"/>
        <v>260</v>
      </c>
      <c r="G42">
        <f t="shared" si="4"/>
        <v>142.88288288288288</v>
      </c>
      <c r="H42" t="str">
        <f>_xlfn.XLOOKUP(A42,Fact_Events!$D$2:$D$20,Fact_Events!$A$2:$A$20, "")</f>
        <v/>
      </c>
      <c r="I42">
        <f t="shared" si="5"/>
        <v>0</v>
      </c>
      <c r="J42" t="str">
        <f>_xlfn.XLOOKUP(H42, Fact_Events!$A$2:$A$20, Fact_Events!$F$2:$F$20, "")</f>
        <v/>
      </c>
      <c r="K42" t="str">
        <f t="shared" si="6"/>
        <v>Low</v>
      </c>
      <c r="L42">
        <f t="shared" si="7"/>
        <v>0.55000000000000004</v>
      </c>
      <c r="M42">
        <f>_xlfn.XLOOKUP(B42, Dim_Hotel!$A$2:$A$11, Dim_Hotel!$I$2:$I$11)
 + (IF(J42="",0,J42)
    * _xlfn.XLOOKUP(B42, Dim_Hotel!$A$2:$A$11, Dim_Hotel!$J$2:$J$11))</f>
        <v>260</v>
      </c>
    </row>
    <row r="43" spans="1:13" x14ac:dyDescent="0.25">
      <c r="A43" s="1">
        <f t="shared" si="0"/>
        <v>46027</v>
      </c>
      <c r="B43" t="str" cm="1">
        <f t="array" ref="B43">INDEX(HotelList,MOD(ROW()-2,10)+1)</f>
        <v>H002</v>
      </c>
      <c r="C43">
        <f>_xlfn.XLOOKUP(B43,Dim_Hotel!$A$2:$A$11,Dim_Hotel!$F$2:$F$11)</f>
        <v>147</v>
      </c>
      <c r="D43">
        <f t="shared" si="1"/>
        <v>81</v>
      </c>
      <c r="E43">
        <f t="shared" si="2"/>
        <v>0.55102040816326525</v>
      </c>
      <c r="F43">
        <f t="shared" si="3"/>
        <v>175</v>
      </c>
      <c r="G43">
        <f t="shared" si="4"/>
        <v>96.428571428571416</v>
      </c>
      <c r="H43" t="str">
        <f>_xlfn.XLOOKUP(A43,Fact_Events!$D$2:$D$20,Fact_Events!$A$2:$A$20, "")</f>
        <v/>
      </c>
      <c r="I43">
        <f t="shared" si="5"/>
        <v>0</v>
      </c>
      <c r="J43" t="str">
        <f>_xlfn.XLOOKUP(H43, Fact_Events!$A$2:$A$20, Fact_Events!$F$2:$F$20, "")</f>
        <v/>
      </c>
      <c r="K43" t="str">
        <f t="shared" si="6"/>
        <v>Low</v>
      </c>
      <c r="L43">
        <f t="shared" si="7"/>
        <v>0.55000000000000004</v>
      </c>
      <c r="M43">
        <f>_xlfn.XLOOKUP(B43, Dim_Hotel!$A$2:$A$11, Dim_Hotel!$I$2:$I$11)
 + (IF(J43="",0,J43)
    * _xlfn.XLOOKUP(B43, Dim_Hotel!$A$2:$A$11, Dim_Hotel!$J$2:$J$11))</f>
        <v>175</v>
      </c>
    </row>
    <row r="44" spans="1:13" x14ac:dyDescent="0.25">
      <c r="A44" s="1">
        <f t="shared" si="0"/>
        <v>46027</v>
      </c>
      <c r="B44" t="str" cm="1">
        <f t="array" ref="B44">INDEX(HotelList,MOD(ROW()-2,10)+1)</f>
        <v>H003</v>
      </c>
      <c r="C44">
        <f>_xlfn.XLOOKUP(B44,Dim_Hotel!$A$2:$A$11,Dim_Hotel!$F$2:$F$11)</f>
        <v>121</v>
      </c>
      <c r="D44">
        <f t="shared" si="1"/>
        <v>67</v>
      </c>
      <c r="E44">
        <f t="shared" si="2"/>
        <v>0.55371900826446285</v>
      </c>
      <c r="F44">
        <f t="shared" si="3"/>
        <v>145</v>
      </c>
      <c r="G44">
        <f t="shared" si="4"/>
        <v>80.289256198347118</v>
      </c>
      <c r="H44" t="str">
        <f>_xlfn.XLOOKUP(A44,Fact_Events!$D$2:$D$20,Fact_Events!$A$2:$A$20, "")</f>
        <v/>
      </c>
      <c r="I44">
        <f t="shared" si="5"/>
        <v>0</v>
      </c>
      <c r="J44" t="str">
        <f>_xlfn.XLOOKUP(H44, Fact_Events!$A$2:$A$20, Fact_Events!$F$2:$F$20, "")</f>
        <v/>
      </c>
      <c r="K44" t="str">
        <f t="shared" si="6"/>
        <v>Low</v>
      </c>
      <c r="L44">
        <f t="shared" si="7"/>
        <v>0.55000000000000004</v>
      </c>
      <c r="M44">
        <f>_xlfn.XLOOKUP(B44, Dim_Hotel!$A$2:$A$11, Dim_Hotel!$I$2:$I$11)
 + (IF(J44="",0,J44)
    * _xlfn.XLOOKUP(B44, Dim_Hotel!$A$2:$A$11, Dim_Hotel!$J$2:$J$11))</f>
        <v>145</v>
      </c>
    </row>
    <row r="45" spans="1:13" x14ac:dyDescent="0.25">
      <c r="A45" s="1">
        <f t="shared" si="0"/>
        <v>46027</v>
      </c>
      <c r="B45" t="str" cm="1">
        <f t="array" ref="B45">INDEX(HotelList,MOD(ROW()-2,10)+1)</f>
        <v>H004</v>
      </c>
      <c r="C45">
        <f>_xlfn.XLOOKUP(B45,Dim_Hotel!$A$2:$A$11,Dim_Hotel!$F$2:$F$11)</f>
        <v>108</v>
      </c>
      <c r="D45">
        <f t="shared" si="1"/>
        <v>59</v>
      </c>
      <c r="E45">
        <f t="shared" si="2"/>
        <v>0.54629629629629628</v>
      </c>
      <c r="F45">
        <f t="shared" si="3"/>
        <v>135</v>
      </c>
      <c r="G45">
        <f t="shared" si="4"/>
        <v>73.75</v>
      </c>
      <c r="H45" t="str">
        <f>_xlfn.XLOOKUP(A45,Fact_Events!$D$2:$D$20,Fact_Events!$A$2:$A$20, "")</f>
        <v/>
      </c>
      <c r="I45">
        <f t="shared" si="5"/>
        <v>0</v>
      </c>
      <c r="J45" t="str">
        <f>_xlfn.XLOOKUP(H45, Fact_Events!$A$2:$A$20, Fact_Events!$F$2:$F$20, "")</f>
        <v/>
      </c>
      <c r="K45" t="str">
        <f t="shared" si="6"/>
        <v>Low</v>
      </c>
      <c r="L45">
        <f t="shared" si="7"/>
        <v>0.55000000000000004</v>
      </c>
      <c r="M45">
        <f>_xlfn.XLOOKUP(B45, Dim_Hotel!$A$2:$A$11, Dim_Hotel!$I$2:$I$11)
 + (IF(J45="",0,J45)
    * _xlfn.XLOOKUP(B45, Dim_Hotel!$A$2:$A$11, Dim_Hotel!$J$2:$J$11))</f>
        <v>135</v>
      </c>
    </row>
    <row r="46" spans="1:13" x14ac:dyDescent="0.25">
      <c r="A46" s="1">
        <f t="shared" si="0"/>
        <v>46027</v>
      </c>
      <c r="B46" t="str" cm="1">
        <f t="array" ref="B46">INDEX(HotelList,MOD(ROW()-2,10)+1)</f>
        <v>H005</v>
      </c>
      <c r="C46">
        <f>_xlfn.XLOOKUP(B46,Dim_Hotel!$A$2:$A$11,Dim_Hotel!$F$2:$F$11)</f>
        <v>66</v>
      </c>
      <c r="D46">
        <f t="shared" si="1"/>
        <v>36</v>
      </c>
      <c r="E46">
        <f t="shared" si="2"/>
        <v>0.54545454545454541</v>
      </c>
      <c r="F46">
        <f t="shared" si="3"/>
        <v>82</v>
      </c>
      <c r="G46">
        <f t="shared" si="4"/>
        <v>44.727272727272727</v>
      </c>
      <c r="H46" t="str">
        <f>_xlfn.XLOOKUP(A46,Fact_Events!$D$2:$D$20,Fact_Events!$A$2:$A$20, "")</f>
        <v/>
      </c>
      <c r="I46">
        <f t="shared" si="5"/>
        <v>0</v>
      </c>
      <c r="J46" t="str">
        <f>_xlfn.XLOOKUP(H46, Fact_Events!$A$2:$A$20, Fact_Events!$F$2:$F$20, "")</f>
        <v/>
      </c>
      <c r="K46" t="str">
        <f t="shared" si="6"/>
        <v>Low</v>
      </c>
      <c r="L46">
        <f t="shared" si="7"/>
        <v>0.55000000000000004</v>
      </c>
      <c r="M46">
        <f>_xlfn.XLOOKUP(B46, Dim_Hotel!$A$2:$A$11, Dim_Hotel!$I$2:$I$11)
 + (IF(J46="",0,J46)
    * _xlfn.XLOOKUP(B46, Dim_Hotel!$A$2:$A$11, Dim_Hotel!$J$2:$J$11))</f>
        <v>82</v>
      </c>
    </row>
    <row r="47" spans="1:13" x14ac:dyDescent="0.25">
      <c r="A47" s="1">
        <f t="shared" si="0"/>
        <v>46027</v>
      </c>
      <c r="B47" t="str" cm="1">
        <f t="array" ref="B47">INDEX(HotelList,MOD(ROW()-2,10)+1)</f>
        <v>H006</v>
      </c>
      <c r="C47">
        <f>_xlfn.XLOOKUP(B47,Dim_Hotel!$A$2:$A$11,Dim_Hotel!$F$2:$F$11)</f>
        <v>311</v>
      </c>
      <c r="D47">
        <f t="shared" si="1"/>
        <v>171</v>
      </c>
      <c r="E47">
        <f t="shared" si="2"/>
        <v>0.54983922829581988</v>
      </c>
      <c r="F47">
        <f t="shared" si="3"/>
        <v>190</v>
      </c>
      <c r="G47">
        <f t="shared" si="4"/>
        <v>104.46945337620578</v>
      </c>
      <c r="H47" t="str">
        <f>_xlfn.XLOOKUP(A47,Fact_Events!$D$2:$D$20,Fact_Events!$A$2:$A$20, "")</f>
        <v/>
      </c>
      <c r="I47">
        <f t="shared" si="5"/>
        <v>0</v>
      </c>
      <c r="J47" t="str">
        <f>_xlfn.XLOOKUP(H47, Fact_Events!$A$2:$A$20, Fact_Events!$F$2:$F$20, "")</f>
        <v/>
      </c>
      <c r="K47" t="str">
        <f t="shared" si="6"/>
        <v>Low</v>
      </c>
      <c r="L47">
        <f t="shared" si="7"/>
        <v>0.55000000000000004</v>
      </c>
      <c r="M47">
        <f>_xlfn.XLOOKUP(B47, Dim_Hotel!$A$2:$A$11, Dim_Hotel!$I$2:$I$11)
 + (IF(J47="",0,J47)
    * _xlfn.XLOOKUP(B47, Dim_Hotel!$A$2:$A$11, Dim_Hotel!$J$2:$J$11))</f>
        <v>190</v>
      </c>
    </row>
    <row r="48" spans="1:13" x14ac:dyDescent="0.25">
      <c r="A48" s="1">
        <f t="shared" si="0"/>
        <v>46027</v>
      </c>
      <c r="B48" t="str" cm="1">
        <f t="array" ref="B48">INDEX(HotelList,MOD(ROW()-2,10)+1)</f>
        <v>H007</v>
      </c>
      <c r="C48">
        <f>_xlfn.XLOOKUP(B48,Dim_Hotel!$A$2:$A$11,Dim_Hotel!$F$2:$F$11)</f>
        <v>132</v>
      </c>
      <c r="D48">
        <f t="shared" si="1"/>
        <v>73</v>
      </c>
      <c r="E48">
        <f t="shared" si="2"/>
        <v>0.55303030303030298</v>
      </c>
      <c r="F48">
        <f t="shared" si="3"/>
        <v>165</v>
      </c>
      <c r="G48">
        <f t="shared" si="4"/>
        <v>91.249999999999986</v>
      </c>
      <c r="H48" t="str">
        <f>_xlfn.XLOOKUP(A48,Fact_Events!$D$2:$D$20,Fact_Events!$A$2:$A$20, "")</f>
        <v/>
      </c>
      <c r="I48">
        <f t="shared" si="5"/>
        <v>0</v>
      </c>
      <c r="J48" t="str">
        <f>_xlfn.XLOOKUP(H48, Fact_Events!$A$2:$A$20, Fact_Events!$F$2:$F$20, "")</f>
        <v/>
      </c>
      <c r="K48" t="str">
        <f t="shared" si="6"/>
        <v>Low</v>
      </c>
      <c r="L48">
        <f t="shared" si="7"/>
        <v>0.55000000000000004</v>
      </c>
      <c r="M48">
        <f>_xlfn.XLOOKUP(B48, Dim_Hotel!$A$2:$A$11, Dim_Hotel!$I$2:$I$11)
 + (IF(J48="",0,J48)
    * _xlfn.XLOOKUP(B48, Dim_Hotel!$A$2:$A$11, Dim_Hotel!$J$2:$J$11))</f>
        <v>165</v>
      </c>
    </row>
    <row r="49" spans="1:13" x14ac:dyDescent="0.25">
      <c r="A49" s="1">
        <f t="shared" si="0"/>
        <v>46027</v>
      </c>
      <c r="B49" t="str" cm="1">
        <f t="array" ref="B49">INDEX(HotelList,MOD(ROW()-2,10)+1)</f>
        <v>H008</v>
      </c>
      <c r="C49">
        <f>_xlfn.XLOOKUP(B49,Dim_Hotel!$A$2:$A$11,Dim_Hotel!$F$2:$F$11)</f>
        <v>103</v>
      </c>
      <c r="D49">
        <f t="shared" si="1"/>
        <v>57</v>
      </c>
      <c r="E49">
        <f t="shared" si="2"/>
        <v>0.55339805825242716</v>
      </c>
      <c r="F49">
        <f t="shared" si="3"/>
        <v>140</v>
      </c>
      <c r="G49">
        <f t="shared" si="4"/>
        <v>77.475728155339809</v>
      </c>
      <c r="H49" t="str">
        <f>_xlfn.XLOOKUP(A49,Fact_Events!$D$2:$D$20,Fact_Events!$A$2:$A$20, "")</f>
        <v/>
      </c>
      <c r="I49">
        <f t="shared" si="5"/>
        <v>0</v>
      </c>
      <c r="J49" t="str">
        <f>_xlfn.XLOOKUP(H49, Fact_Events!$A$2:$A$20, Fact_Events!$F$2:$F$20, "")</f>
        <v/>
      </c>
      <c r="K49" t="str">
        <f t="shared" si="6"/>
        <v>Low</v>
      </c>
      <c r="L49">
        <f t="shared" si="7"/>
        <v>0.55000000000000004</v>
      </c>
      <c r="M49">
        <f>_xlfn.XLOOKUP(B49, Dim_Hotel!$A$2:$A$11, Dim_Hotel!$I$2:$I$11)
 + (IF(J49="",0,J49)
    * _xlfn.XLOOKUP(B49, Dim_Hotel!$A$2:$A$11, Dim_Hotel!$J$2:$J$11))</f>
        <v>140</v>
      </c>
    </row>
    <row r="50" spans="1:13" x14ac:dyDescent="0.25">
      <c r="A50" s="1">
        <f t="shared" si="0"/>
        <v>46027</v>
      </c>
      <c r="B50" t="str" cm="1">
        <f t="array" ref="B50">INDEX(HotelList,MOD(ROW()-2,10)+1)</f>
        <v>H009</v>
      </c>
      <c r="C50">
        <f>_xlfn.XLOOKUP(B50,Dim_Hotel!$A$2:$A$11,Dim_Hotel!$F$2:$F$11)</f>
        <v>114</v>
      </c>
      <c r="D50">
        <f t="shared" si="1"/>
        <v>63</v>
      </c>
      <c r="E50">
        <f t="shared" si="2"/>
        <v>0.55263157894736847</v>
      </c>
      <c r="F50">
        <f t="shared" si="3"/>
        <v>185</v>
      </c>
      <c r="G50">
        <f t="shared" si="4"/>
        <v>102.23684210526316</v>
      </c>
      <c r="H50" t="str">
        <f>_xlfn.XLOOKUP(A50,Fact_Events!$D$2:$D$20,Fact_Events!$A$2:$A$20, "")</f>
        <v/>
      </c>
      <c r="I50">
        <f t="shared" si="5"/>
        <v>0</v>
      </c>
      <c r="J50" t="str">
        <f>_xlfn.XLOOKUP(H50, Fact_Events!$A$2:$A$20, Fact_Events!$F$2:$F$20, "")</f>
        <v/>
      </c>
      <c r="K50" t="str">
        <f t="shared" si="6"/>
        <v>Low</v>
      </c>
      <c r="L50">
        <f t="shared" si="7"/>
        <v>0.55000000000000004</v>
      </c>
      <c r="M50">
        <f>_xlfn.XLOOKUP(B50, Dim_Hotel!$A$2:$A$11, Dim_Hotel!$I$2:$I$11)
 + (IF(J50="",0,J50)
    * _xlfn.XLOOKUP(B50, Dim_Hotel!$A$2:$A$11, Dim_Hotel!$J$2:$J$11))</f>
        <v>185</v>
      </c>
    </row>
    <row r="51" spans="1:13" x14ac:dyDescent="0.25">
      <c r="A51" s="1">
        <f t="shared" si="0"/>
        <v>46027</v>
      </c>
      <c r="B51" t="str" cm="1">
        <f t="array" ref="B51">INDEX(HotelList,MOD(ROW()-2,10)+1)</f>
        <v>H010</v>
      </c>
      <c r="C51">
        <f>_xlfn.XLOOKUP(B51,Dim_Hotel!$A$2:$A$11,Dim_Hotel!$F$2:$F$11)</f>
        <v>89</v>
      </c>
      <c r="D51">
        <f t="shared" si="1"/>
        <v>49</v>
      </c>
      <c r="E51">
        <f t="shared" si="2"/>
        <v>0.550561797752809</v>
      </c>
      <c r="F51">
        <f t="shared" si="3"/>
        <v>150</v>
      </c>
      <c r="G51">
        <f t="shared" si="4"/>
        <v>82.584269662921344</v>
      </c>
      <c r="H51" t="str">
        <f>_xlfn.XLOOKUP(A51,Fact_Events!$D$2:$D$20,Fact_Events!$A$2:$A$20, "")</f>
        <v/>
      </c>
      <c r="I51">
        <f t="shared" si="5"/>
        <v>0</v>
      </c>
      <c r="J51" t="str">
        <f>_xlfn.XLOOKUP(H51, Fact_Events!$A$2:$A$20, Fact_Events!$F$2:$F$20, "")</f>
        <v/>
      </c>
      <c r="K51" t="str">
        <f t="shared" si="6"/>
        <v>Low</v>
      </c>
      <c r="L51">
        <f t="shared" si="7"/>
        <v>0.55000000000000004</v>
      </c>
      <c r="M51">
        <f>_xlfn.XLOOKUP(B51, Dim_Hotel!$A$2:$A$11, Dim_Hotel!$I$2:$I$11)
 + (IF(J51="",0,J51)
    * _xlfn.XLOOKUP(B51, Dim_Hotel!$A$2:$A$11, Dim_Hotel!$J$2:$J$11))</f>
        <v>150</v>
      </c>
    </row>
    <row r="52" spans="1:13" x14ac:dyDescent="0.25">
      <c r="A52" s="1">
        <f t="shared" si="0"/>
        <v>46028</v>
      </c>
      <c r="B52" t="str" cm="1">
        <f t="array" ref="B52">INDEX(HotelList,MOD(ROW()-2,10)+1)</f>
        <v>H001</v>
      </c>
      <c r="C52">
        <f>_xlfn.XLOOKUP(B52,Dim_Hotel!$A$2:$A$11,Dim_Hotel!$F$2:$F$11)</f>
        <v>888</v>
      </c>
      <c r="D52">
        <f t="shared" si="1"/>
        <v>488</v>
      </c>
      <c r="E52">
        <f t="shared" si="2"/>
        <v>0.5495495495495496</v>
      </c>
      <c r="F52">
        <f t="shared" si="3"/>
        <v>260</v>
      </c>
      <c r="G52">
        <f t="shared" si="4"/>
        <v>142.88288288288288</v>
      </c>
      <c r="H52" t="str">
        <f>_xlfn.XLOOKUP(A52,Fact_Events!$D$2:$D$20,Fact_Events!$A$2:$A$20, "")</f>
        <v/>
      </c>
      <c r="I52">
        <f t="shared" si="5"/>
        <v>0</v>
      </c>
      <c r="J52" t="str">
        <f>_xlfn.XLOOKUP(H52, Fact_Events!$A$2:$A$20, Fact_Events!$F$2:$F$20, "")</f>
        <v/>
      </c>
      <c r="K52" t="str">
        <f t="shared" si="6"/>
        <v>Low</v>
      </c>
      <c r="L52">
        <f t="shared" si="7"/>
        <v>0.55000000000000004</v>
      </c>
      <c r="M52">
        <f>_xlfn.XLOOKUP(B52, Dim_Hotel!$A$2:$A$11, Dim_Hotel!$I$2:$I$11)
 + (IF(J52="",0,J52)
    * _xlfn.XLOOKUP(B52, Dim_Hotel!$A$2:$A$11, Dim_Hotel!$J$2:$J$11))</f>
        <v>260</v>
      </c>
    </row>
    <row r="53" spans="1:13" x14ac:dyDescent="0.25">
      <c r="A53" s="1">
        <f t="shared" si="0"/>
        <v>46028</v>
      </c>
      <c r="B53" t="str" cm="1">
        <f t="array" ref="B53">INDEX(HotelList,MOD(ROW()-2,10)+1)</f>
        <v>H002</v>
      </c>
      <c r="C53">
        <f>_xlfn.XLOOKUP(B53,Dim_Hotel!$A$2:$A$11,Dim_Hotel!$F$2:$F$11)</f>
        <v>147</v>
      </c>
      <c r="D53">
        <f t="shared" si="1"/>
        <v>81</v>
      </c>
      <c r="E53">
        <f t="shared" si="2"/>
        <v>0.55102040816326525</v>
      </c>
      <c r="F53">
        <f t="shared" si="3"/>
        <v>175</v>
      </c>
      <c r="G53">
        <f t="shared" si="4"/>
        <v>96.428571428571416</v>
      </c>
      <c r="H53" t="str">
        <f>_xlfn.XLOOKUP(A53,Fact_Events!$D$2:$D$20,Fact_Events!$A$2:$A$20, "")</f>
        <v/>
      </c>
      <c r="I53">
        <f t="shared" si="5"/>
        <v>0</v>
      </c>
      <c r="J53" t="str">
        <f>_xlfn.XLOOKUP(H53, Fact_Events!$A$2:$A$20, Fact_Events!$F$2:$F$20, "")</f>
        <v/>
      </c>
      <c r="K53" t="str">
        <f t="shared" si="6"/>
        <v>Low</v>
      </c>
      <c r="L53">
        <f t="shared" si="7"/>
        <v>0.55000000000000004</v>
      </c>
      <c r="M53">
        <f>_xlfn.XLOOKUP(B53, Dim_Hotel!$A$2:$A$11, Dim_Hotel!$I$2:$I$11)
 + (IF(J53="",0,J53)
    * _xlfn.XLOOKUP(B53, Dim_Hotel!$A$2:$A$11, Dim_Hotel!$J$2:$J$11))</f>
        <v>175</v>
      </c>
    </row>
    <row r="54" spans="1:13" x14ac:dyDescent="0.25">
      <c r="A54" s="1">
        <f t="shared" si="0"/>
        <v>46028</v>
      </c>
      <c r="B54" t="str" cm="1">
        <f t="array" ref="B54">INDEX(HotelList,MOD(ROW()-2,10)+1)</f>
        <v>H003</v>
      </c>
      <c r="C54">
        <f>_xlfn.XLOOKUP(B54,Dim_Hotel!$A$2:$A$11,Dim_Hotel!$F$2:$F$11)</f>
        <v>121</v>
      </c>
      <c r="D54">
        <f t="shared" si="1"/>
        <v>67</v>
      </c>
      <c r="E54">
        <f t="shared" si="2"/>
        <v>0.55371900826446285</v>
      </c>
      <c r="F54">
        <f t="shared" si="3"/>
        <v>145</v>
      </c>
      <c r="G54">
        <f t="shared" si="4"/>
        <v>80.289256198347118</v>
      </c>
      <c r="H54" t="str">
        <f>_xlfn.XLOOKUP(A54,Fact_Events!$D$2:$D$20,Fact_Events!$A$2:$A$20, "")</f>
        <v/>
      </c>
      <c r="I54">
        <f t="shared" si="5"/>
        <v>0</v>
      </c>
      <c r="J54" t="str">
        <f>_xlfn.XLOOKUP(H54, Fact_Events!$A$2:$A$20, Fact_Events!$F$2:$F$20, "")</f>
        <v/>
      </c>
      <c r="K54" t="str">
        <f t="shared" si="6"/>
        <v>Low</v>
      </c>
      <c r="L54">
        <f t="shared" si="7"/>
        <v>0.55000000000000004</v>
      </c>
      <c r="M54">
        <f>_xlfn.XLOOKUP(B54, Dim_Hotel!$A$2:$A$11, Dim_Hotel!$I$2:$I$11)
 + (IF(J54="",0,J54)
    * _xlfn.XLOOKUP(B54, Dim_Hotel!$A$2:$A$11, Dim_Hotel!$J$2:$J$11))</f>
        <v>145</v>
      </c>
    </row>
    <row r="55" spans="1:13" x14ac:dyDescent="0.25">
      <c r="A55" s="1">
        <f t="shared" si="0"/>
        <v>46028</v>
      </c>
      <c r="B55" t="str" cm="1">
        <f t="array" ref="B55">INDEX(HotelList,MOD(ROW()-2,10)+1)</f>
        <v>H004</v>
      </c>
      <c r="C55">
        <f>_xlfn.XLOOKUP(B55,Dim_Hotel!$A$2:$A$11,Dim_Hotel!$F$2:$F$11)</f>
        <v>108</v>
      </c>
      <c r="D55">
        <f t="shared" si="1"/>
        <v>59</v>
      </c>
      <c r="E55">
        <f t="shared" si="2"/>
        <v>0.54629629629629628</v>
      </c>
      <c r="F55">
        <f t="shared" si="3"/>
        <v>135</v>
      </c>
      <c r="G55">
        <f t="shared" si="4"/>
        <v>73.75</v>
      </c>
      <c r="H55" t="str">
        <f>_xlfn.XLOOKUP(A55,Fact_Events!$D$2:$D$20,Fact_Events!$A$2:$A$20, "")</f>
        <v/>
      </c>
      <c r="I55">
        <f t="shared" si="5"/>
        <v>0</v>
      </c>
      <c r="J55" t="str">
        <f>_xlfn.XLOOKUP(H55, Fact_Events!$A$2:$A$20, Fact_Events!$F$2:$F$20, "")</f>
        <v/>
      </c>
      <c r="K55" t="str">
        <f t="shared" si="6"/>
        <v>Low</v>
      </c>
      <c r="L55">
        <f t="shared" si="7"/>
        <v>0.55000000000000004</v>
      </c>
      <c r="M55">
        <f>_xlfn.XLOOKUP(B55, Dim_Hotel!$A$2:$A$11, Dim_Hotel!$I$2:$I$11)
 + (IF(J55="",0,J55)
    * _xlfn.XLOOKUP(B55, Dim_Hotel!$A$2:$A$11, Dim_Hotel!$J$2:$J$11))</f>
        <v>135</v>
      </c>
    </row>
    <row r="56" spans="1:13" x14ac:dyDescent="0.25">
      <c r="A56" s="1">
        <f t="shared" si="0"/>
        <v>46028</v>
      </c>
      <c r="B56" t="str" cm="1">
        <f t="array" ref="B56">INDEX(HotelList,MOD(ROW()-2,10)+1)</f>
        <v>H005</v>
      </c>
      <c r="C56">
        <f>_xlfn.XLOOKUP(B56,Dim_Hotel!$A$2:$A$11,Dim_Hotel!$F$2:$F$11)</f>
        <v>66</v>
      </c>
      <c r="D56">
        <f t="shared" si="1"/>
        <v>36</v>
      </c>
      <c r="E56">
        <f t="shared" si="2"/>
        <v>0.54545454545454541</v>
      </c>
      <c r="F56">
        <f t="shared" si="3"/>
        <v>82</v>
      </c>
      <c r="G56">
        <f t="shared" si="4"/>
        <v>44.727272727272727</v>
      </c>
      <c r="H56" t="str">
        <f>_xlfn.XLOOKUP(A56,Fact_Events!$D$2:$D$20,Fact_Events!$A$2:$A$20, "")</f>
        <v/>
      </c>
      <c r="I56">
        <f t="shared" si="5"/>
        <v>0</v>
      </c>
      <c r="J56" t="str">
        <f>_xlfn.XLOOKUP(H56, Fact_Events!$A$2:$A$20, Fact_Events!$F$2:$F$20, "")</f>
        <v/>
      </c>
      <c r="K56" t="str">
        <f t="shared" si="6"/>
        <v>Low</v>
      </c>
      <c r="L56">
        <f t="shared" si="7"/>
        <v>0.55000000000000004</v>
      </c>
      <c r="M56">
        <f>_xlfn.XLOOKUP(B56, Dim_Hotel!$A$2:$A$11, Dim_Hotel!$I$2:$I$11)
 + (IF(J56="",0,J56)
    * _xlfn.XLOOKUP(B56, Dim_Hotel!$A$2:$A$11, Dim_Hotel!$J$2:$J$11))</f>
        <v>82</v>
      </c>
    </row>
    <row r="57" spans="1:13" x14ac:dyDescent="0.25">
      <c r="A57" s="1">
        <f t="shared" si="0"/>
        <v>46028</v>
      </c>
      <c r="B57" t="str" cm="1">
        <f t="array" ref="B57">INDEX(HotelList,MOD(ROW()-2,10)+1)</f>
        <v>H006</v>
      </c>
      <c r="C57">
        <f>_xlfn.XLOOKUP(B57,Dim_Hotel!$A$2:$A$11,Dim_Hotel!$F$2:$F$11)</f>
        <v>311</v>
      </c>
      <c r="D57">
        <f t="shared" si="1"/>
        <v>171</v>
      </c>
      <c r="E57">
        <f t="shared" si="2"/>
        <v>0.54983922829581988</v>
      </c>
      <c r="F57">
        <f t="shared" si="3"/>
        <v>190</v>
      </c>
      <c r="G57">
        <f t="shared" si="4"/>
        <v>104.46945337620578</v>
      </c>
      <c r="H57" t="str">
        <f>_xlfn.XLOOKUP(A57,Fact_Events!$D$2:$D$20,Fact_Events!$A$2:$A$20, "")</f>
        <v/>
      </c>
      <c r="I57">
        <f t="shared" si="5"/>
        <v>0</v>
      </c>
      <c r="J57" t="str">
        <f>_xlfn.XLOOKUP(H57, Fact_Events!$A$2:$A$20, Fact_Events!$F$2:$F$20, "")</f>
        <v/>
      </c>
      <c r="K57" t="str">
        <f t="shared" si="6"/>
        <v>Low</v>
      </c>
      <c r="L57">
        <f t="shared" si="7"/>
        <v>0.55000000000000004</v>
      </c>
      <c r="M57">
        <f>_xlfn.XLOOKUP(B57, Dim_Hotel!$A$2:$A$11, Dim_Hotel!$I$2:$I$11)
 + (IF(J57="",0,J57)
    * _xlfn.XLOOKUP(B57, Dim_Hotel!$A$2:$A$11, Dim_Hotel!$J$2:$J$11))</f>
        <v>190</v>
      </c>
    </row>
    <row r="58" spans="1:13" x14ac:dyDescent="0.25">
      <c r="A58" s="1">
        <f t="shared" si="0"/>
        <v>46028</v>
      </c>
      <c r="B58" t="str" cm="1">
        <f t="array" ref="B58">INDEX(HotelList,MOD(ROW()-2,10)+1)</f>
        <v>H007</v>
      </c>
      <c r="C58">
        <f>_xlfn.XLOOKUP(B58,Dim_Hotel!$A$2:$A$11,Dim_Hotel!$F$2:$F$11)</f>
        <v>132</v>
      </c>
      <c r="D58">
        <f t="shared" si="1"/>
        <v>73</v>
      </c>
      <c r="E58">
        <f t="shared" si="2"/>
        <v>0.55303030303030298</v>
      </c>
      <c r="F58">
        <f t="shared" si="3"/>
        <v>165</v>
      </c>
      <c r="G58">
        <f t="shared" si="4"/>
        <v>91.249999999999986</v>
      </c>
      <c r="H58" t="str">
        <f>_xlfn.XLOOKUP(A58,Fact_Events!$D$2:$D$20,Fact_Events!$A$2:$A$20, "")</f>
        <v/>
      </c>
      <c r="I58">
        <f t="shared" si="5"/>
        <v>0</v>
      </c>
      <c r="J58" t="str">
        <f>_xlfn.XLOOKUP(H58, Fact_Events!$A$2:$A$20, Fact_Events!$F$2:$F$20, "")</f>
        <v/>
      </c>
      <c r="K58" t="str">
        <f t="shared" si="6"/>
        <v>Low</v>
      </c>
      <c r="L58">
        <f t="shared" si="7"/>
        <v>0.55000000000000004</v>
      </c>
      <c r="M58">
        <f>_xlfn.XLOOKUP(B58, Dim_Hotel!$A$2:$A$11, Dim_Hotel!$I$2:$I$11)
 + (IF(J58="",0,J58)
    * _xlfn.XLOOKUP(B58, Dim_Hotel!$A$2:$A$11, Dim_Hotel!$J$2:$J$11))</f>
        <v>165</v>
      </c>
    </row>
    <row r="59" spans="1:13" x14ac:dyDescent="0.25">
      <c r="A59" s="1">
        <f t="shared" si="0"/>
        <v>46028</v>
      </c>
      <c r="B59" t="str" cm="1">
        <f t="array" ref="B59">INDEX(HotelList,MOD(ROW()-2,10)+1)</f>
        <v>H008</v>
      </c>
      <c r="C59">
        <f>_xlfn.XLOOKUP(B59,Dim_Hotel!$A$2:$A$11,Dim_Hotel!$F$2:$F$11)</f>
        <v>103</v>
      </c>
      <c r="D59">
        <f t="shared" si="1"/>
        <v>57</v>
      </c>
      <c r="E59">
        <f t="shared" si="2"/>
        <v>0.55339805825242716</v>
      </c>
      <c r="F59">
        <f t="shared" si="3"/>
        <v>140</v>
      </c>
      <c r="G59">
        <f t="shared" si="4"/>
        <v>77.475728155339809</v>
      </c>
      <c r="H59" t="str">
        <f>_xlfn.XLOOKUP(A59,Fact_Events!$D$2:$D$20,Fact_Events!$A$2:$A$20, "")</f>
        <v/>
      </c>
      <c r="I59">
        <f t="shared" si="5"/>
        <v>0</v>
      </c>
      <c r="J59" t="str">
        <f>_xlfn.XLOOKUP(H59, Fact_Events!$A$2:$A$20, Fact_Events!$F$2:$F$20, "")</f>
        <v/>
      </c>
      <c r="K59" t="str">
        <f t="shared" si="6"/>
        <v>Low</v>
      </c>
      <c r="L59">
        <f t="shared" si="7"/>
        <v>0.55000000000000004</v>
      </c>
      <c r="M59">
        <f>_xlfn.XLOOKUP(B59, Dim_Hotel!$A$2:$A$11, Dim_Hotel!$I$2:$I$11)
 + (IF(J59="",0,J59)
    * _xlfn.XLOOKUP(B59, Dim_Hotel!$A$2:$A$11, Dim_Hotel!$J$2:$J$11))</f>
        <v>140</v>
      </c>
    </row>
    <row r="60" spans="1:13" x14ac:dyDescent="0.25">
      <c r="A60" s="1">
        <f t="shared" si="0"/>
        <v>46028</v>
      </c>
      <c r="B60" t="str" cm="1">
        <f t="array" ref="B60">INDEX(HotelList,MOD(ROW()-2,10)+1)</f>
        <v>H009</v>
      </c>
      <c r="C60">
        <f>_xlfn.XLOOKUP(B60,Dim_Hotel!$A$2:$A$11,Dim_Hotel!$F$2:$F$11)</f>
        <v>114</v>
      </c>
      <c r="D60">
        <f t="shared" si="1"/>
        <v>63</v>
      </c>
      <c r="E60">
        <f t="shared" si="2"/>
        <v>0.55263157894736847</v>
      </c>
      <c r="F60">
        <f t="shared" si="3"/>
        <v>185</v>
      </c>
      <c r="G60">
        <f t="shared" si="4"/>
        <v>102.23684210526316</v>
      </c>
      <c r="H60" t="str">
        <f>_xlfn.XLOOKUP(A60,Fact_Events!$D$2:$D$20,Fact_Events!$A$2:$A$20, "")</f>
        <v/>
      </c>
      <c r="I60">
        <f t="shared" si="5"/>
        <v>0</v>
      </c>
      <c r="J60" t="str">
        <f>_xlfn.XLOOKUP(H60, Fact_Events!$A$2:$A$20, Fact_Events!$F$2:$F$20, "")</f>
        <v/>
      </c>
      <c r="K60" t="str">
        <f t="shared" si="6"/>
        <v>Low</v>
      </c>
      <c r="L60">
        <f t="shared" si="7"/>
        <v>0.55000000000000004</v>
      </c>
      <c r="M60">
        <f>_xlfn.XLOOKUP(B60, Dim_Hotel!$A$2:$A$11, Dim_Hotel!$I$2:$I$11)
 + (IF(J60="",0,J60)
    * _xlfn.XLOOKUP(B60, Dim_Hotel!$A$2:$A$11, Dim_Hotel!$J$2:$J$11))</f>
        <v>185</v>
      </c>
    </row>
    <row r="61" spans="1:13" x14ac:dyDescent="0.25">
      <c r="A61" s="1">
        <f t="shared" si="0"/>
        <v>46028</v>
      </c>
      <c r="B61" t="str" cm="1">
        <f t="array" ref="B61">INDEX(HotelList,MOD(ROW()-2,10)+1)</f>
        <v>H010</v>
      </c>
      <c r="C61">
        <f>_xlfn.XLOOKUP(B61,Dim_Hotel!$A$2:$A$11,Dim_Hotel!$F$2:$F$11)</f>
        <v>89</v>
      </c>
      <c r="D61">
        <f t="shared" si="1"/>
        <v>49</v>
      </c>
      <c r="E61">
        <f t="shared" si="2"/>
        <v>0.550561797752809</v>
      </c>
      <c r="F61">
        <f t="shared" si="3"/>
        <v>150</v>
      </c>
      <c r="G61">
        <f t="shared" si="4"/>
        <v>82.584269662921344</v>
      </c>
      <c r="H61" t="str">
        <f>_xlfn.XLOOKUP(A61,Fact_Events!$D$2:$D$20,Fact_Events!$A$2:$A$20, "")</f>
        <v/>
      </c>
      <c r="I61">
        <f t="shared" si="5"/>
        <v>0</v>
      </c>
      <c r="J61" t="str">
        <f>_xlfn.XLOOKUP(H61, Fact_Events!$A$2:$A$20, Fact_Events!$F$2:$F$20, "")</f>
        <v/>
      </c>
      <c r="K61" t="str">
        <f t="shared" si="6"/>
        <v>Low</v>
      </c>
      <c r="L61">
        <f t="shared" si="7"/>
        <v>0.55000000000000004</v>
      </c>
      <c r="M61">
        <f>_xlfn.XLOOKUP(B61, Dim_Hotel!$A$2:$A$11, Dim_Hotel!$I$2:$I$11)
 + (IF(J61="",0,J61)
    * _xlfn.XLOOKUP(B61, Dim_Hotel!$A$2:$A$11, Dim_Hotel!$J$2:$J$11))</f>
        <v>150</v>
      </c>
    </row>
    <row r="62" spans="1:13" x14ac:dyDescent="0.25">
      <c r="A62" s="1">
        <f t="shared" si="0"/>
        <v>46029</v>
      </c>
      <c r="B62" t="str" cm="1">
        <f t="array" ref="B62">INDEX(HotelList,MOD(ROW()-2,10)+1)</f>
        <v>H001</v>
      </c>
      <c r="C62">
        <f>_xlfn.XLOOKUP(B62,Dim_Hotel!$A$2:$A$11,Dim_Hotel!$F$2:$F$11)</f>
        <v>888</v>
      </c>
      <c r="D62">
        <f t="shared" si="1"/>
        <v>488</v>
      </c>
      <c r="E62">
        <f t="shared" si="2"/>
        <v>0.5495495495495496</v>
      </c>
      <c r="F62">
        <f t="shared" si="3"/>
        <v>260</v>
      </c>
      <c r="G62">
        <f t="shared" si="4"/>
        <v>142.88288288288288</v>
      </c>
      <c r="H62" t="str">
        <f>_xlfn.XLOOKUP(A62,Fact_Events!$D$2:$D$20,Fact_Events!$A$2:$A$20, "")</f>
        <v/>
      </c>
      <c r="I62">
        <f t="shared" si="5"/>
        <v>0</v>
      </c>
      <c r="J62" t="str">
        <f>_xlfn.XLOOKUP(H62, Fact_Events!$A$2:$A$20, Fact_Events!$F$2:$F$20, "")</f>
        <v/>
      </c>
      <c r="K62" t="str">
        <f t="shared" si="6"/>
        <v>Low</v>
      </c>
      <c r="L62">
        <f t="shared" si="7"/>
        <v>0.55000000000000004</v>
      </c>
      <c r="M62">
        <f>_xlfn.XLOOKUP(B62, Dim_Hotel!$A$2:$A$11, Dim_Hotel!$I$2:$I$11)
 + (IF(J62="",0,J62)
    * _xlfn.XLOOKUP(B62, Dim_Hotel!$A$2:$A$11, Dim_Hotel!$J$2:$J$11))</f>
        <v>260</v>
      </c>
    </row>
    <row r="63" spans="1:13" x14ac:dyDescent="0.25">
      <c r="A63" s="1">
        <f t="shared" si="0"/>
        <v>46029</v>
      </c>
      <c r="B63" t="str" cm="1">
        <f t="array" ref="B63">INDEX(HotelList,MOD(ROW()-2,10)+1)</f>
        <v>H002</v>
      </c>
      <c r="C63">
        <f>_xlfn.XLOOKUP(B63,Dim_Hotel!$A$2:$A$11,Dim_Hotel!$F$2:$F$11)</f>
        <v>147</v>
      </c>
      <c r="D63">
        <f t="shared" si="1"/>
        <v>81</v>
      </c>
      <c r="E63">
        <f t="shared" si="2"/>
        <v>0.55102040816326525</v>
      </c>
      <c r="F63">
        <f t="shared" si="3"/>
        <v>175</v>
      </c>
      <c r="G63">
        <f t="shared" si="4"/>
        <v>96.428571428571416</v>
      </c>
      <c r="H63" t="str">
        <f>_xlfn.XLOOKUP(A63,Fact_Events!$D$2:$D$20,Fact_Events!$A$2:$A$20, "")</f>
        <v/>
      </c>
      <c r="I63">
        <f t="shared" si="5"/>
        <v>0</v>
      </c>
      <c r="J63" t="str">
        <f>_xlfn.XLOOKUP(H63, Fact_Events!$A$2:$A$20, Fact_Events!$F$2:$F$20, "")</f>
        <v/>
      </c>
      <c r="K63" t="str">
        <f t="shared" si="6"/>
        <v>Low</v>
      </c>
      <c r="L63">
        <f t="shared" si="7"/>
        <v>0.55000000000000004</v>
      </c>
      <c r="M63">
        <f>_xlfn.XLOOKUP(B63, Dim_Hotel!$A$2:$A$11, Dim_Hotel!$I$2:$I$11)
 + (IF(J63="",0,J63)
    * _xlfn.XLOOKUP(B63, Dim_Hotel!$A$2:$A$11, Dim_Hotel!$J$2:$J$11))</f>
        <v>175</v>
      </c>
    </row>
    <row r="64" spans="1:13" x14ac:dyDescent="0.25">
      <c r="A64" s="1">
        <f t="shared" si="0"/>
        <v>46029</v>
      </c>
      <c r="B64" t="str" cm="1">
        <f t="array" ref="B64">INDEX(HotelList,MOD(ROW()-2,10)+1)</f>
        <v>H003</v>
      </c>
      <c r="C64">
        <f>_xlfn.XLOOKUP(B64,Dim_Hotel!$A$2:$A$11,Dim_Hotel!$F$2:$F$11)</f>
        <v>121</v>
      </c>
      <c r="D64">
        <f t="shared" si="1"/>
        <v>67</v>
      </c>
      <c r="E64">
        <f t="shared" si="2"/>
        <v>0.55371900826446285</v>
      </c>
      <c r="F64">
        <f t="shared" si="3"/>
        <v>145</v>
      </c>
      <c r="G64">
        <f t="shared" si="4"/>
        <v>80.289256198347118</v>
      </c>
      <c r="H64" t="str">
        <f>_xlfn.XLOOKUP(A64,Fact_Events!$D$2:$D$20,Fact_Events!$A$2:$A$20, "")</f>
        <v/>
      </c>
      <c r="I64">
        <f t="shared" si="5"/>
        <v>0</v>
      </c>
      <c r="J64" t="str">
        <f>_xlfn.XLOOKUP(H64, Fact_Events!$A$2:$A$20, Fact_Events!$F$2:$F$20, "")</f>
        <v/>
      </c>
      <c r="K64" t="str">
        <f t="shared" si="6"/>
        <v>Low</v>
      </c>
      <c r="L64">
        <f t="shared" si="7"/>
        <v>0.55000000000000004</v>
      </c>
      <c r="M64">
        <f>_xlfn.XLOOKUP(B64, Dim_Hotel!$A$2:$A$11, Dim_Hotel!$I$2:$I$11)
 + (IF(J64="",0,J64)
    * _xlfn.XLOOKUP(B64, Dim_Hotel!$A$2:$A$11, Dim_Hotel!$J$2:$J$11))</f>
        <v>145</v>
      </c>
    </row>
    <row r="65" spans="1:13" x14ac:dyDescent="0.25">
      <c r="A65" s="1">
        <f t="shared" si="0"/>
        <v>46029</v>
      </c>
      <c r="B65" t="str" cm="1">
        <f t="array" ref="B65">INDEX(HotelList,MOD(ROW()-2,10)+1)</f>
        <v>H004</v>
      </c>
      <c r="C65">
        <f>_xlfn.XLOOKUP(B65,Dim_Hotel!$A$2:$A$11,Dim_Hotel!$F$2:$F$11)</f>
        <v>108</v>
      </c>
      <c r="D65">
        <f t="shared" si="1"/>
        <v>59</v>
      </c>
      <c r="E65">
        <f t="shared" si="2"/>
        <v>0.54629629629629628</v>
      </c>
      <c r="F65">
        <f t="shared" si="3"/>
        <v>135</v>
      </c>
      <c r="G65">
        <f t="shared" si="4"/>
        <v>73.75</v>
      </c>
      <c r="H65" t="str">
        <f>_xlfn.XLOOKUP(A65,Fact_Events!$D$2:$D$20,Fact_Events!$A$2:$A$20, "")</f>
        <v/>
      </c>
      <c r="I65">
        <f t="shared" si="5"/>
        <v>0</v>
      </c>
      <c r="J65" t="str">
        <f>_xlfn.XLOOKUP(H65, Fact_Events!$A$2:$A$20, Fact_Events!$F$2:$F$20, "")</f>
        <v/>
      </c>
      <c r="K65" t="str">
        <f t="shared" si="6"/>
        <v>Low</v>
      </c>
      <c r="L65">
        <f t="shared" si="7"/>
        <v>0.55000000000000004</v>
      </c>
      <c r="M65">
        <f>_xlfn.XLOOKUP(B65, Dim_Hotel!$A$2:$A$11, Dim_Hotel!$I$2:$I$11)
 + (IF(J65="",0,J65)
    * _xlfn.XLOOKUP(B65, Dim_Hotel!$A$2:$A$11, Dim_Hotel!$J$2:$J$11))</f>
        <v>135</v>
      </c>
    </row>
    <row r="66" spans="1:13" x14ac:dyDescent="0.25">
      <c r="A66" s="1">
        <f t="shared" si="0"/>
        <v>46029</v>
      </c>
      <c r="B66" t="str" cm="1">
        <f t="array" ref="B66">INDEX(HotelList,MOD(ROW()-2,10)+1)</f>
        <v>H005</v>
      </c>
      <c r="C66">
        <f>_xlfn.XLOOKUP(B66,Dim_Hotel!$A$2:$A$11,Dim_Hotel!$F$2:$F$11)</f>
        <v>66</v>
      </c>
      <c r="D66">
        <f t="shared" si="1"/>
        <v>36</v>
      </c>
      <c r="E66">
        <f t="shared" si="2"/>
        <v>0.54545454545454541</v>
      </c>
      <c r="F66">
        <f t="shared" si="3"/>
        <v>82</v>
      </c>
      <c r="G66">
        <f t="shared" si="4"/>
        <v>44.727272727272727</v>
      </c>
      <c r="H66" t="str">
        <f>_xlfn.XLOOKUP(A66,Fact_Events!$D$2:$D$20,Fact_Events!$A$2:$A$20, "")</f>
        <v/>
      </c>
      <c r="I66">
        <f t="shared" si="5"/>
        <v>0</v>
      </c>
      <c r="J66" t="str">
        <f>_xlfn.XLOOKUP(H66, Fact_Events!$A$2:$A$20, Fact_Events!$F$2:$F$20, "")</f>
        <v/>
      </c>
      <c r="K66" t="str">
        <f t="shared" si="6"/>
        <v>Low</v>
      </c>
      <c r="L66">
        <f t="shared" si="7"/>
        <v>0.55000000000000004</v>
      </c>
      <c r="M66">
        <f>_xlfn.XLOOKUP(B66, Dim_Hotel!$A$2:$A$11, Dim_Hotel!$I$2:$I$11)
 + (IF(J66="",0,J66)
    * _xlfn.XLOOKUP(B66, Dim_Hotel!$A$2:$A$11, Dim_Hotel!$J$2:$J$11))</f>
        <v>82</v>
      </c>
    </row>
    <row r="67" spans="1:13" x14ac:dyDescent="0.25">
      <c r="A67" s="1">
        <f t="shared" ref="A67:A130" si="8">DATE(2026,1,1) + INT((ROW()-2)/10)</f>
        <v>46029</v>
      </c>
      <c r="B67" t="str" cm="1">
        <f t="array" ref="B67">INDEX(HotelList,MOD(ROW()-2,10)+1)</f>
        <v>H006</v>
      </c>
      <c r="C67">
        <f>_xlfn.XLOOKUP(B67,Dim_Hotel!$A$2:$A$11,Dim_Hotel!$F$2:$F$11)</f>
        <v>311</v>
      </c>
      <c r="D67">
        <f t="shared" ref="D67:D130" si="9">ROUND(L67 * C67, 0)</f>
        <v>171</v>
      </c>
      <c r="E67">
        <f t="shared" ref="E67:E130" si="10">D67/C67</f>
        <v>0.54983922829581988</v>
      </c>
      <c r="F67">
        <f t="shared" ref="F67:F130" si="11">M67</f>
        <v>190</v>
      </c>
      <c r="G67">
        <f t="shared" ref="G67:G130" si="12">E67*F67</f>
        <v>104.46945337620578</v>
      </c>
      <c r="H67" t="str">
        <f>_xlfn.XLOOKUP(A67,Fact_Events!$D$2:$D$20,Fact_Events!$A$2:$A$20, "")</f>
        <v/>
      </c>
      <c r="I67">
        <f t="shared" ref="I67:I130" si="13">IF(H67="",0,1)</f>
        <v>0</v>
      </c>
      <c r="J67" t="str">
        <f>_xlfn.XLOOKUP(H67, Fact_Events!$A$2:$A$20, Fact_Events!$F$2:$F$20, "")</f>
        <v/>
      </c>
      <c r="K67" t="str">
        <f t="shared" ref="K67:K130" si="14">IF(I67=0,"Low",
   IF(J67&gt;=9,"High","Medium"))</f>
        <v>Low</v>
      </c>
      <c r="L67">
        <f t="shared" ref="L67:L130" si="15">MIN(1,
  0.55
  + (I67 * 0.25)
  + (IF(J67="",0,J67) / 100)
)</f>
        <v>0.55000000000000004</v>
      </c>
      <c r="M67">
        <f>_xlfn.XLOOKUP(B67, Dim_Hotel!$A$2:$A$11, Dim_Hotel!$I$2:$I$11)
 + (IF(J67="",0,J67)
    * _xlfn.XLOOKUP(B67, Dim_Hotel!$A$2:$A$11, Dim_Hotel!$J$2:$J$11))</f>
        <v>190</v>
      </c>
    </row>
    <row r="68" spans="1:13" x14ac:dyDescent="0.25">
      <c r="A68" s="1">
        <f t="shared" si="8"/>
        <v>46029</v>
      </c>
      <c r="B68" t="str" cm="1">
        <f t="array" ref="B68">INDEX(HotelList,MOD(ROW()-2,10)+1)</f>
        <v>H007</v>
      </c>
      <c r="C68">
        <f>_xlfn.XLOOKUP(B68,Dim_Hotel!$A$2:$A$11,Dim_Hotel!$F$2:$F$11)</f>
        <v>132</v>
      </c>
      <c r="D68">
        <f t="shared" si="9"/>
        <v>73</v>
      </c>
      <c r="E68">
        <f t="shared" si="10"/>
        <v>0.55303030303030298</v>
      </c>
      <c r="F68">
        <f t="shared" si="11"/>
        <v>165</v>
      </c>
      <c r="G68">
        <f t="shared" si="12"/>
        <v>91.249999999999986</v>
      </c>
      <c r="H68" t="str">
        <f>_xlfn.XLOOKUP(A68,Fact_Events!$D$2:$D$20,Fact_Events!$A$2:$A$20, "")</f>
        <v/>
      </c>
      <c r="I68">
        <f t="shared" si="13"/>
        <v>0</v>
      </c>
      <c r="J68" t="str">
        <f>_xlfn.XLOOKUP(H68, Fact_Events!$A$2:$A$20, Fact_Events!$F$2:$F$20, "")</f>
        <v/>
      </c>
      <c r="K68" t="str">
        <f t="shared" si="14"/>
        <v>Low</v>
      </c>
      <c r="L68">
        <f t="shared" si="15"/>
        <v>0.55000000000000004</v>
      </c>
      <c r="M68">
        <f>_xlfn.XLOOKUP(B68, Dim_Hotel!$A$2:$A$11, Dim_Hotel!$I$2:$I$11)
 + (IF(J68="",0,J68)
    * _xlfn.XLOOKUP(B68, Dim_Hotel!$A$2:$A$11, Dim_Hotel!$J$2:$J$11))</f>
        <v>165</v>
      </c>
    </row>
    <row r="69" spans="1:13" x14ac:dyDescent="0.25">
      <c r="A69" s="1">
        <f t="shared" si="8"/>
        <v>46029</v>
      </c>
      <c r="B69" t="str" cm="1">
        <f t="array" ref="B69">INDEX(HotelList,MOD(ROW()-2,10)+1)</f>
        <v>H008</v>
      </c>
      <c r="C69">
        <f>_xlfn.XLOOKUP(B69,Dim_Hotel!$A$2:$A$11,Dim_Hotel!$F$2:$F$11)</f>
        <v>103</v>
      </c>
      <c r="D69">
        <f t="shared" si="9"/>
        <v>57</v>
      </c>
      <c r="E69">
        <f t="shared" si="10"/>
        <v>0.55339805825242716</v>
      </c>
      <c r="F69">
        <f t="shared" si="11"/>
        <v>140</v>
      </c>
      <c r="G69">
        <f t="shared" si="12"/>
        <v>77.475728155339809</v>
      </c>
      <c r="H69" t="str">
        <f>_xlfn.XLOOKUP(A69,Fact_Events!$D$2:$D$20,Fact_Events!$A$2:$A$20, "")</f>
        <v/>
      </c>
      <c r="I69">
        <f t="shared" si="13"/>
        <v>0</v>
      </c>
      <c r="J69" t="str">
        <f>_xlfn.XLOOKUP(H69, Fact_Events!$A$2:$A$20, Fact_Events!$F$2:$F$20, "")</f>
        <v/>
      </c>
      <c r="K69" t="str">
        <f t="shared" si="14"/>
        <v>Low</v>
      </c>
      <c r="L69">
        <f t="shared" si="15"/>
        <v>0.55000000000000004</v>
      </c>
      <c r="M69">
        <f>_xlfn.XLOOKUP(B69, Dim_Hotel!$A$2:$A$11, Dim_Hotel!$I$2:$I$11)
 + (IF(J69="",0,J69)
    * _xlfn.XLOOKUP(B69, Dim_Hotel!$A$2:$A$11, Dim_Hotel!$J$2:$J$11))</f>
        <v>140</v>
      </c>
    </row>
    <row r="70" spans="1:13" x14ac:dyDescent="0.25">
      <c r="A70" s="1">
        <f t="shared" si="8"/>
        <v>46029</v>
      </c>
      <c r="B70" t="str" cm="1">
        <f t="array" ref="B70">INDEX(HotelList,MOD(ROW()-2,10)+1)</f>
        <v>H009</v>
      </c>
      <c r="C70">
        <f>_xlfn.XLOOKUP(B70,Dim_Hotel!$A$2:$A$11,Dim_Hotel!$F$2:$F$11)</f>
        <v>114</v>
      </c>
      <c r="D70">
        <f t="shared" si="9"/>
        <v>63</v>
      </c>
      <c r="E70">
        <f t="shared" si="10"/>
        <v>0.55263157894736847</v>
      </c>
      <c r="F70">
        <f t="shared" si="11"/>
        <v>185</v>
      </c>
      <c r="G70">
        <f t="shared" si="12"/>
        <v>102.23684210526316</v>
      </c>
      <c r="H70" t="str">
        <f>_xlfn.XLOOKUP(A70,Fact_Events!$D$2:$D$20,Fact_Events!$A$2:$A$20, "")</f>
        <v/>
      </c>
      <c r="I70">
        <f t="shared" si="13"/>
        <v>0</v>
      </c>
      <c r="J70" t="str">
        <f>_xlfn.XLOOKUP(H70, Fact_Events!$A$2:$A$20, Fact_Events!$F$2:$F$20, "")</f>
        <v/>
      </c>
      <c r="K70" t="str">
        <f t="shared" si="14"/>
        <v>Low</v>
      </c>
      <c r="L70">
        <f t="shared" si="15"/>
        <v>0.55000000000000004</v>
      </c>
      <c r="M70">
        <f>_xlfn.XLOOKUP(B70, Dim_Hotel!$A$2:$A$11, Dim_Hotel!$I$2:$I$11)
 + (IF(J70="",0,J70)
    * _xlfn.XLOOKUP(B70, Dim_Hotel!$A$2:$A$11, Dim_Hotel!$J$2:$J$11))</f>
        <v>185</v>
      </c>
    </row>
    <row r="71" spans="1:13" x14ac:dyDescent="0.25">
      <c r="A71" s="1">
        <f t="shared" si="8"/>
        <v>46029</v>
      </c>
      <c r="B71" t="str" cm="1">
        <f t="array" ref="B71">INDEX(HotelList,MOD(ROW()-2,10)+1)</f>
        <v>H010</v>
      </c>
      <c r="C71">
        <f>_xlfn.XLOOKUP(B71,Dim_Hotel!$A$2:$A$11,Dim_Hotel!$F$2:$F$11)</f>
        <v>89</v>
      </c>
      <c r="D71">
        <f t="shared" si="9"/>
        <v>49</v>
      </c>
      <c r="E71">
        <f t="shared" si="10"/>
        <v>0.550561797752809</v>
      </c>
      <c r="F71">
        <f t="shared" si="11"/>
        <v>150</v>
      </c>
      <c r="G71">
        <f t="shared" si="12"/>
        <v>82.584269662921344</v>
      </c>
      <c r="H71" t="str">
        <f>_xlfn.XLOOKUP(A71,Fact_Events!$D$2:$D$20,Fact_Events!$A$2:$A$20, "")</f>
        <v/>
      </c>
      <c r="I71">
        <f t="shared" si="13"/>
        <v>0</v>
      </c>
      <c r="J71" t="str">
        <f>_xlfn.XLOOKUP(H71, Fact_Events!$A$2:$A$20, Fact_Events!$F$2:$F$20, "")</f>
        <v/>
      </c>
      <c r="K71" t="str">
        <f t="shared" si="14"/>
        <v>Low</v>
      </c>
      <c r="L71">
        <f t="shared" si="15"/>
        <v>0.55000000000000004</v>
      </c>
      <c r="M71">
        <f>_xlfn.XLOOKUP(B71, Dim_Hotel!$A$2:$A$11, Dim_Hotel!$I$2:$I$11)
 + (IF(J71="",0,J71)
    * _xlfn.XLOOKUP(B71, Dim_Hotel!$A$2:$A$11, Dim_Hotel!$J$2:$J$11))</f>
        <v>150</v>
      </c>
    </row>
    <row r="72" spans="1:13" x14ac:dyDescent="0.25">
      <c r="A72" s="1">
        <f t="shared" si="8"/>
        <v>46030</v>
      </c>
      <c r="B72" t="str" cm="1">
        <f t="array" ref="B72">INDEX(HotelList,MOD(ROW()-2,10)+1)</f>
        <v>H001</v>
      </c>
      <c r="C72">
        <f>_xlfn.XLOOKUP(B72,Dim_Hotel!$A$2:$A$11,Dim_Hotel!$F$2:$F$11)</f>
        <v>888</v>
      </c>
      <c r="D72">
        <f t="shared" si="9"/>
        <v>488</v>
      </c>
      <c r="E72">
        <f t="shared" si="10"/>
        <v>0.5495495495495496</v>
      </c>
      <c r="F72">
        <f t="shared" si="11"/>
        <v>260</v>
      </c>
      <c r="G72">
        <f t="shared" si="12"/>
        <v>142.88288288288288</v>
      </c>
      <c r="H72" t="str">
        <f>_xlfn.XLOOKUP(A72,Fact_Events!$D$2:$D$20,Fact_Events!$A$2:$A$20, "")</f>
        <v/>
      </c>
      <c r="I72">
        <f t="shared" si="13"/>
        <v>0</v>
      </c>
      <c r="J72" t="str">
        <f>_xlfn.XLOOKUP(H72, Fact_Events!$A$2:$A$20, Fact_Events!$F$2:$F$20, "")</f>
        <v/>
      </c>
      <c r="K72" t="str">
        <f t="shared" si="14"/>
        <v>Low</v>
      </c>
      <c r="L72">
        <f t="shared" si="15"/>
        <v>0.55000000000000004</v>
      </c>
      <c r="M72">
        <f>_xlfn.XLOOKUP(B72, Dim_Hotel!$A$2:$A$11, Dim_Hotel!$I$2:$I$11)
 + (IF(J72="",0,J72)
    * _xlfn.XLOOKUP(B72, Dim_Hotel!$A$2:$A$11, Dim_Hotel!$J$2:$J$11))</f>
        <v>260</v>
      </c>
    </row>
    <row r="73" spans="1:13" x14ac:dyDescent="0.25">
      <c r="A73" s="1">
        <f t="shared" si="8"/>
        <v>46030</v>
      </c>
      <c r="B73" t="str" cm="1">
        <f t="array" ref="B73">INDEX(HotelList,MOD(ROW()-2,10)+1)</f>
        <v>H002</v>
      </c>
      <c r="C73">
        <f>_xlfn.XLOOKUP(B73,Dim_Hotel!$A$2:$A$11,Dim_Hotel!$F$2:$F$11)</f>
        <v>147</v>
      </c>
      <c r="D73">
        <f t="shared" si="9"/>
        <v>81</v>
      </c>
      <c r="E73">
        <f t="shared" si="10"/>
        <v>0.55102040816326525</v>
      </c>
      <c r="F73">
        <f t="shared" si="11"/>
        <v>175</v>
      </c>
      <c r="G73">
        <f t="shared" si="12"/>
        <v>96.428571428571416</v>
      </c>
      <c r="H73" t="str">
        <f>_xlfn.XLOOKUP(A73,Fact_Events!$D$2:$D$20,Fact_Events!$A$2:$A$20, "")</f>
        <v/>
      </c>
      <c r="I73">
        <f t="shared" si="13"/>
        <v>0</v>
      </c>
      <c r="J73" t="str">
        <f>_xlfn.XLOOKUP(H73, Fact_Events!$A$2:$A$20, Fact_Events!$F$2:$F$20, "")</f>
        <v/>
      </c>
      <c r="K73" t="str">
        <f t="shared" si="14"/>
        <v>Low</v>
      </c>
      <c r="L73">
        <f t="shared" si="15"/>
        <v>0.55000000000000004</v>
      </c>
      <c r="M73">
        <f>_xlfn.XLOOKUP(B73, Dim_Hotel!$A$2:$A$11, Dim_Hotel!$I$2:$I$11)
 + (IF(J73="",0,J73)
    * _xlfn.XLOOKUP(B73, Dim_Hotel!$A$2:$A$11, Dim_Hotel!$J$2:$J$11))</f>
        <v>175</v>
      </c>
    </row>
    <row r="74" spans="1:13" x14ac:dyDescent="0.25">
      <c r="A74" s="1">
        <f t="shared" si="8"/>
        <v>46030</v>
      </c>
      <c r="B74" t="str" cm="1">
        <f t="array" ref="B74">INDEX(HotelList,MOD(ROW()-2,10)+1)</f>
        <v>H003</v>
      </c>
      <c r="C74">
        <f>_xlfn.XLOOKUP(B74,Dim_Hotel!$A$2:$A$11,Dim_Hotel!$F$2:$F$11)</f>
        <v>121</v>
      </c>
      <c r="D74">
        <f t="shared" si="9"/>
        <v>67</v>
      </c>
      <c r="E74">
        <f t="shared" si="10"/>
        <v>0.55371900826446285</v>
      </c>
      <c r="F74">
        <f t="shared" si="11"/>
        <v>145</v>
      </c>
      <c r="G74">
        <f t="shared" si="12"/>
        <v>80.289256198347118</v>
      </c>
      <c r="H74" t="str">
        <f>_xlfn.XLOOKUP(A74,Fact_Events!$D$2:$D$20,Fact_Events!$A$2:$A$20, "")</f>
        <v/>
      </c>
      <c r="I74">
        <f t="shared" si="13"/>
        <v>0</v>
      </c>
      <c r="J74" t="str">
        <f>_xlfn.XLOOKUP(H74, Fact_Events!$A$2:$A$20, Fact_Events!$F$2:$F$20, "")</f>
        <v/>
      </c>
      <c r="K74" t="str">
        <f t="shared" si="14"/>
        <v>Low</v>
      </c>
      <c r="L74">
        <f t="shared" si="15"/>
        <v>0.55000000000000004</v>
      </c>
      <c r="M74">
        <f>_xlfn.XLOOKUP(B74, Dim_Hotel!$A$2:$A$11, Dim_Hotel!$I$2:$I$11)
 + (IF(J74="",0,J74)
    * _xlfn.XLOOKUP(B74, Dim_Hotel!$A$2:$A$11, Dim_Hotel!$J$2:$J$11))</f>
        <v>145</v>
      </c>
    </row>
    <row r="75" spans="1:13" x14ac:dyDescent="0.25">
      <c r="A75" s="1">
        <f t="shared" si="8"/>
        <v>46030</v>
      </c>
      <c r="B75" t="str" cm="1">
        <f t="array" ref="B75">INDEX(HotelList,MOD(ROW()-2,10)+1)</f>
        <v>H004</v>
      </c>
      <c r="C75">
        <f>_xlfn.XLOOKUP(B75,Dim_Hotel!$A$2:$A$11,Dim_Hotel!$F$2:$F$11)</f>
        <v>108</v>
      </c>
      <c r="D75">
        <f t="shared" si="9"/>
        <v>59</v>
      </c>
      <c r="E75">
        <f t="shared" si="10"/>
        <v>0.54629629629629628</v>
      </c>
      <c r="F75">
        <f t="shared" si="11"/>
        <v>135</v>
      </c>
      <c r="G75">
        <f t="shared" si="12"/>
        <v>73.75</v>
      </c>
      <c r="H75" t="str">
        <f>_xlfn.XLOOKUP(A75,Fact_Events!$D$2:$D$20,Fact_Events!$A$2:$A$20, "")</f>
        <v/>
      </c>
      <c r="I75">
        <f t="shared" si="13"/>
        <v>0</v>
      </c>
      <c r="J75" t="str">
        <f>_xlfn.XLOOKUP(H75, Fact_Events!$A$2:$A$20, Fact_Events!$F$2:$F$20, "")</f>
        <v/>
      </c>
      <c r="K75" t="str">
        <f t="shared" si="14"/>
        <v>Low</v>
      </c>
      <c r="L75">
        <f t="shared" si="15"/>
        <v>0.55000000000000004</v>
      </c>
      <c r="M75">
        <f>_xlfn.XLOOKUP(B75, Dim_Hotel!$A$2:$A$11, Dim_Hotel!$I$2:$I$11)
 + (IF(J75="",0,J75)
    * _xlfn.XLOOKUP(B75, Dim_Hotel!$A$2:$A$11, Dim_Hotel!$J$2:$J$11))</f>
        <v>135</v>
      </c>
    </row>
    <row r="76" spans="1:13" x14ac:dyDescent="0.25">
      <c r="A76" s="1">
        <f t="shared" si="8"/>
        <v>46030</v>
      </c>
      <c r="B76" t="str" cm="1">
        <f t="array" ref="B76">INDEX(HotelList,MOD(ROW()-2,10)+1)</f>
        <v>H005</v>
      </c>
      <c r="C76">
        <f>_xlfn.XLOOKUP(B76,Dim_Hotel!$A$2:$A$11,Dim_Hotel!$F$2:$F$11)</f>
        <v>66</v>
      </c>
      <c r="D76">
        <f t="shared" si="9"/>
        <v>36</v>
      </c>
      <c r="E76">
        <f t="shared" si="10"/>
        <v>0.54545454545454541</v>
      </c>
      <c r="F76">
        <f t="shared" si="11"/>
        <v>82</v>
      </c>
      <c r="G76">
        <f t="shared" si="12"/>
        <v>44.727272727272727</v>
      </c>
      <c r="H76" t="str">
        <f>_xlfn.XLOOKUP(A76,Fact_Events!$D$2:$D$20,Fact_Events!$A$2:$A$20, "")</f>
        <v/>
      </c>
      <c r="I76">
        <f t="shared" si="13"/>
        <v>0</v>
      </c>
      <c r="J76" t="str">
        <f>_xlfn.XLOOKUP(H76, Fact_Events!$A$2:$A$20, Fact_Events!$F$2:$F$20, "")</f>
        <v/>
      </c>
      <c r="K76" t="str">
        <f t="shared" si="14"/>
        <v>Low</v>
      </c>
      <c r="L76">
        <f t="shared" si="15"/>
        <v>0.55000000000000004</v>
      </c>
      <c r="M76">
        <f>_xlfn.XLOOKUP(B76, Dim_Hotel!$A$2:$A$11, Dim_Hotel!$I$2:$I$11)
 + (IF(J76="",0,J76)
    * _xlfn.XLOOKUP(B76, Dim_Hotel!$A$2:$A$11, Dim_Hotel!$J$2:$J$11))</f>
        <v>82</v>
      </c>
    </row>
    <row r="77" spans="1:13" x14ac:dyDescent="0.25">
      <c r="A77" s="1">
        <f t="shared" si="8"/>
        <v>46030</v>
      </c>
      <c r="B77" t="str" cm="1">
        <f t="array" ref="B77">INDEX(HotelList,MOD(ROW()-2,10)+1)</f>
        <v>H006</v>
      </c>
      <c r="C77">
        <f>_xlfn.XLOOKUP(B77,Dim_Hotel!$A$2:$A$11,Dim_Hotel!$F$2:$F$11)</f>
        <v>311</v>
      </c>
      <c r="D77">
        <f t="shared" si="9"/>
        <v>171</v>
      </c>
      <c r="E77">
        <f t="shared" si="10"/>
        <v>0.54983922829581988</v>
      </c>
      <c r="F77">
        <f t="shared" si="11"/>
        <v>190</v>
      </c>
      <c r="G77">
        <f t="shared" si="12"/>
        <v>104.46945337620578</v>
      </c>
      <c r="H77" t="str">
        <f>_xlfn.XLOOKUP(A77,Fact_Events!$D$2:$D$20,Fact_Events!$A$2:$A$20, "")</f>
        <v/>
      </c>
      <c r="I77">
        <f t="shared" si="13"/>
        <v>0</v>
      </c>
      <c r="J77" t="str">
        <f>_xlfn.XLOOKUP(H77, Fact_Events!$A$2:$A$20, Fact_Events!$F$2:$F$20, "")</f>
        <v/>
      </c>
      <c r="K77" t="str">
        <f t="shared" si="14"/>
        <v>Low</v>
      </c>
      <c r="L77">
        <f t="shared" si="15"/>
        <v>0.55000000000000004</v>
      </c>
      <c r="M77">
        <f>_xlfn.XLOOKUP(B77, Dim_Hotel!$A$2:$A$11, Dim_Hotel!$I$2:$I$11)
 + (IF(J77="",0,J77)
    * _xlfn.XLOOKUP(B77, Dim_Hotel!$A$2:$A$11, Dim_Hotel!$J$2:$J$11))</f>
        <v>190</v>
      </c>
    </row>
    <row r="78" spans="1:13" x14ac:dyDescent="0.25">
      <c r="A78" s="1">
        <f t="shared" si="8"/>
        <v>46030</v>
      </c>
      <c r="B78" t="str" cm="1">
        <f t="array" ref="B78">INDEX(HotelList,MOD(ROW()-2,10)+1)</f>
        <v>H007</v>
      </c>
      <c r="C78">
        <f>_xlfn.XLOOKUP(B78,Dim_Hotel!$A$2:$A$11,Dim_Hotel!$F$2:$F$11)</f>
        <v>132</v>
      </c>
      <c r="D78">
        <f t="shared" si="9"/>
        <v>73</v>
      </c>
      <c r="E78">
        <f t="shared" si="10"/>
        <v>0.55303030303030298</v>
      </c>
      <c r="F78">
        <f t="shared" si="11"/>
        <v>165</v>
      </c>
      <c r="G78">
        <f t="shared" si="12"/>
        <v>91.249999999999986</v>
      </c>
      <c r="H78" t="str">
        <f>_xlfn.XLOOKUP(A78,Fact_Events!$D$2:$D$20,Fact_Events!$A$2:$A$20, "")</f>
        <v/>
      </c>
      <c r="I78">
        <f t="shared" si="13"/>
        <v>0</v>
      </c>
      <c r="J78" t="str">
        <f>_xlfn.XLOOKUP(H78, Fact_Events!$A$2:$A$20, Fact_Events!$F$2:$F$20, "")</f>
        <v/>
      </c>
      <c r="K78" t="str">
        <f t="shared" si="14"/>
        <v>Low</v>
      </c>
      <c r="L78">
        <f t="shared" si="15"/>
        <v>0.55000000000000004</v>
      </c>
      <c r="M78">
        <f>_xlfn.XLOOKUP(B78, Dim_Hotel!$A$2:$A$11, Dim_Hotel!$I$2:$I$11)
 + (IF(J78="",0,J78)
    * _xlfn.XLOOKUP(B78, Dim_Hotel!$A$2:$A$11, Dim_Hotel!$J$2:$J$11))</f>
        <v>165</v>
      </c>
    </row>
    <row r="79" spans="1:13" x14ac:dyDescent="0.25">
      <c r="A79" s="1">
        <f t="shared" si="8"/>
        <v>46030</v>
      </c>
      <c r="B79" t="str" cm="1">
        <f t="array" ref="B79">INDEX(HotelList,MOD(ROW()-2,10)+1)</f>
        <v>H008</v>
      </c>
      <c r="C79">
        <f>_xlfn.XLOOKUP(B79,Dim_Hotel!$A$2:$A$11,Dim_Hotel!$F$2:$F$11)</f>
        <v>103</v>
      </c>
      <c r="D79">
        <f t="shared" si="9"/>
        <v>57</v>
      </c>
      <c r="E79">
        <f t="shared" si="10"/>
        <v>0.55339805825242716</v>
      </c>
      <c r="F79">
        <f t="shared" si="11"/>
        <v>140</v>
      </c>
      <c r="G79">
        <f t="shared" si="12"/>
        <v>77.475728155339809</v>
      </c>
      <c r="H79" t="str">
        <f>_xlfn.XLOOKUP(A79,Fact_Events!$D$2:$D$20,Fact_Events!$A$2:$A$20, "")</f>
        <v/>
      </c>
      <c r="I79">
        <f t="shared" si="13"/>
        <v>0</v>
      </c>
      <c r="J79" t="str">
        <f>_xlfn.XLOOKUP(H79, Fact_Events!$A$2:$A$20, Fact_Events!$F$2:$F$20, "")</f>
        <v/>
      </c>
      <c r="K79" t="str">
        <f t="shared" si="14"/>
        <v>Low</v>
      </c>
      <c r="L79">
        <f t="shared" si="15"/>
        <v>0.55000000000000004</v>
      </c>
      <c r="M79">
        <f>_xlfn.XLOOKUP(B79, Dim_Hotel!$A$2:$A$11, Dim_Hotel!$I$2:$I$11)
 + (IF(J79="",0,J79)
    * _xlfn.XLOOKUP(B79, Dim_Hotel!$A$2:$A$11, Dim_Hotel!$J$2:$J$11))</f>
        <v>140</v>
      </c>
    </row>
    <row r="80" spans="1:13" x14ac:dyDescent="0.25">
      <c r="A80" s="1">
        <f t="shared" si="8"/>
        <v>46030</v>
      </c>
      <c r="B80" t="str" cm="1">
        <f t="array" ref="B80">INDEX(HotelList,MOD(ROW()-2,10)+1)</f>
        <v>H009</v>
      </c>
      <c r="C80">
        <f>_xlfn.XLOOKUP(B80,Dim_Hotel!$A$2:$A$11,Dim_Hotel!$F$2:$F$11)</f>
        <v>114</v>
      </c>
      <c r="D80">
        <f t="shared" si="9"/>
        <v>63</v>
      </c>
      <c r="E80">
        <f t="shared" si="10"/>
        <v>0.55263157894736847</v>
      </c>
      <c r="F80">
        <f t="shared" si="11"/>
        <v>185</v>
      </c>
      <c r="G80">
        <f t="shared" si="12"/>
        <v>102.23684210526316</v>
      </c>
      <c r="H80" t="str">
        <f>_xlfn.XLOOKUP(A80,Fact_Events!$D$2:$D$20,Fact_Events!$A$2:$A$20, "")</f>
        <v/>
      </c>
      <c r="I80">
        <f t="shared" si="13"/>
        <v>0</v>
      </c>
      <c r="J80" t="str">
        <f>_xlfn.XLOOKUP(H80, Fact_Events!$A$2:$A$20, Fact_Events!$F$2:$F$20, "")</f>
        <v/>
      </c>
      <c r="K80" t="str">
        <f t="shared" si="14"/>
        <v>Low</v>
      </c>
      <c r="L80">
        <f t="shared" si="15"/>
        <v>0.55000000000000004</v>
      </c>
      <c r="M80">
        <f>_xlfn.XLOOKUP(B80, Dim_Hotel!$A$2:$A$11, Dim_Hotel!$I$2:$I$11)
 + (IF(J80="",0,J80)
    * _xlfn.XLOOKUP(B80, Dim_Hotel!$A$2:$A$11, Dim_Hotel!$J$2:$J$11))</f>
        <v>185</v>
      </c>
    </row>
    <row r="81" spans="1:13" x14ac:dyDescent="0.25">
      <c r="A81" s="1">
        <f t="shared" si="8"/>
        <v>46030</v>
      </c>
      <c r="B81" t="str" cm="1">
        <f t="array" ref="B81">INDEX(HotelList,MOD(ROW()-2,10)+1)</f>
        <v>H010</v>
      </c>
      <c r="C81">
        <f>_xlfn.XLOOKUP(B81,Dim_Hotel!$A$2:$A$11,Dim_Hotel!$F$2:$F$11)</f>
        <v>89</v>
      </c>
      <c r="D81">
        <f t="shared" si="9"/>
        <v>49</v>
      </c>
      <c r="E81">
        <f t="shared" si="10"/>
        <v>0.550561797752809</v>
      </c>
      <c r="F81">
        <f t="shared" si="11"/>
        <v>150</v>
      </c>
      <c r="G81">
        <f t="shared" si="12"/>
        <v>82.584269662921344</v>
      </c>
      <c r="H81" t="str">
        <f>_xlfn.XLOOKUP(A81,Fact_Events!$D$2:$D$20,Fact_Events!$A$2:$A$20, "")</f>
        <v/>
      </c>
      <c r="I81">
        <f t="shared" si="13"/>
        <v>0</v>
      </c>
      <c r="J81" t="str">
        <f>_xlfn.XLOOKUP(H81, Fact_Events!$A$2:$A$20, Fact_Events!$F$2:$F$20, "")</f>
        <v/>
      </c>
      <c r="K81" t="str">
        <f t="shared" si="14"/>
        <v>Low</v>
      </c>
      <c r="L81">
        <f t="shared" si="15"/>
        <v>0.55000000000000004</v>
      </c>
      <c r="M81">
        <f>_xlfn.XLOOKUP(B81, Dim_Hotel!$A$2:$A$11, Dim_Hotel!$I$2:$I$11)
 + (IF(J81="",0,J81)
    * _xlfn.XLOOKUP(B81, Dim_Hotel!$A$2:$A$11, Dim_Hotel!$J$2:$J$11))</f>
        <v>150</v>
      </c>
    </row>
    <row r="82" spans="1:13" x14ac:dyDescent="0.25">
      <c r="A82" s="1">
        <f t="shared" si="8"/>
        <v>46031</v>
      </c>
      <c r="B82" t="str" cm="1">
        <f t="array" ref="B82">INDEX(HotelList,MOD(ROW()-2,10)+1)</f>
        <v>H001</v>
      </c>
      <c r="C82">
        <f>_xlfn.XLOOKUP(B82,Dim_Hotel!$A$2:$A$11,Dim_Hotel!$F$2:$F$11)</f>
        <v>888</v>
      </c>
      <c r="D82">
        <f t="shared" si="9"/>
        <v>488</v>
      </c>
      <c r="E82">
        <f t="shared" si="10"/>
        <v>0.5495495495495496</v>
      </c>
      <c r="F82">
        <f t="shared" si="11"/>
        <v>260</v>
      </c>
      <c r="G82">
        <f t="shared" si="12"/>
        <v>142.88288288288288</v>
      </c>
      <c r="H82" t="str">
        <f>_xlfn.XLOOKUP(A82,Fact_Events!$D$2:$D$20,Fact_Events!$A$2:$A$20, "")</f>
        <v/>
      </c>
      <c r="I82">
        <f t="shared" si="13"/>
        <v>0</v>
      </c>
      <c r="J82" t="str">
        <f>_xlfn.XLOOKUP(H82, Fact_Events!$A$2:$A$20, Fact_Events!$F$2:$F$20, "")</f>
        <v/>
      </c>
      <c r="K82" t="str">
        <f t="shared" si="14"/>
        <v>Low</v>
      </c>
      <c r="L82">
        <f t="shared" si="15"/>
        <v>0.55000000000000004</v>
      </c>
      <c r="M82">
        <f>_xlfn.XLOOKUP(B82, Dim_Hotel!$A$2:$A$11, Dim_Hotel!$I$2:$I$11)
 + (IF(J82="",0,J82)
    * _xlfn.XLOOKUP(B82, Dim_Hotel!$A$2:$A$11, Dim_Hotel!$J$2:$J$11))</f>
        <v>260</v>
      </c>
    </row>
    <row r="83" spans="1:13" x14ac:dyDescent="0.25">
      <c r="A83" s="1">
        <f t="shared" si="8"/>
        <v>46031</v>
      </c>
      <c r="B83" t="str" cm="1">
        <f t="array" ref="B83">INDEX(HotelList,MOD(ROW()-2,10)+1)</f>
        <v>H002</v>
      </c>
      <c r="C83">
        <f>_xlfn.XLOOKUP(B83,Dim_Hotel!$A$2:$A$11,Dim_Hotel!$F$2:$F$11)</f>
        <v>147</v>
      </c>
      <c r="D83">
        <f t="shared" si="9"/>
        <v>81</v>
      </c>
      <c r="E83">
        <f t="shared" si="10"/>
        <v>0.55102040816326525</v>
      </c>
      <c r="F83">
        <f t="shared" si="11"/>
        <v>175</v>
      </c>
      <c r="G83">
        <f t="shared" si="12"/>
        <v>96.428571428571416</v>
      </c>
      <c r="H83" t="str">
        <f>_xlfn.XLOOKUP(A83,Fact_Events!$D$2:$D$20,Fact_Events!$A$2:$A$20, "")</f>
        <v/>
      </c>
      <c r="I83">
        <f t="shared" si="13"/>
        <v>0</v>
      </c>
      <c r="J83" t="str">
        <f>_xlfn.XLOOKUP(H83, Fact_Events!$A$2:$A$20, Fact_Events!$F$2:$F$20, "")</f>
        <v/>
      </c>
      <c r="K83" t="str">
        <f t="shared" si="14"/>
        <v>Low</v>
      </c>
      <c r="L83">
        <f t="shared" si="15"/>
        <v>0.55000000000000004</v>
      </c>
      <c r="M83">
        <f>_xlfn.XLOOKUP(B83, Dim_Hotel!$A$2:$A$11, Dim_Hotel!$I$2:$I$11)
 + (IF(J83="",0,J83)
    * _xlfn.XLOOKUP(B83, Dim_Hotel!$A$2:$A$11, Dim_Hotel!$J$2:$J$11))</f>
        <v>175</v>
      </c>
    </row>
    <row r="84" spans="1:13" x14ac:dyDescent="0.25">
      <c r="A84" s="1">
        <f t="shared" si="8"/>
        <v>46031</v>
      </c>
      <c r="B84" t="str" cm="1">
        <f t="array" ref="B84">INDEX(HotelList,MOD(ROW()-2,10)+1)</f>
        <v>H003</v>
      </c>
      <c r="C84">
        <f>_xlfn.XLOOKUP(B84,Dim_Hotel!$A$2:$A$11,Dim_Hotel!$F$2:$F$11)</f>
        <v>121</v>
      </c>
      <c r="D84">
        <f t="shared" si="9"/>
        <v>67</v>
      </c>
      <c r="E84">
        <f t="shared" si="10"/>
        <v>0.55371900826446285</v>
      </c>
      <c r="F84">
        <f t="shared" si="11"/>
        <v>145</v>
      </c>
      <c r="G84">
        <f t="shared" si="12"/>
        <v>80.289256198347118</v>
      </c>
      <c r="H84" t="str">
        <f>_xlfn.XLOOKUP(A84,Fact_Events!$D$2:$D$20,Fact_Events!$A$2:$A$20, "")</f>
        <v/>
      </c>
      <c r="I84">
        <f t="shared" si="13"/>
        <v>0</v>
      </c>
      <c r="J84" t="str">
        <f>_xlfn.XLOOKUP(H84, Fact_Events!$A$2:$A$20, Fact_Events!$F$2:$F$20, "")</f>
        <v/>
      </c>
      <c r="K84" t="str">
        <f t="shared" si="14"/>
        <v>Low</v>
      </c>
      <c r="L84">
        <f t="shared" si="15"/>
        <v>0.55000000000000004</v>
      </c>
      <c r="M84">
        <f>_xlfn.XLOOKUP(B84, Dim_Hotel!$A$2:$A$11, Dim_Hotel!$I$2:$I$11)
 + (IF(J84="",0,J84)
    * _xlfn.XLOOKUP(B84, Dim_Hotel!$A$2:$A$11, Dim_Hotel!$J$2:$J$11))</f>
        <v>145</v>
      </c>
    </row>
    <row r="85" spans="1:13" x14ac:dyDescent="0.25">
      <c r="A85" s="1">
        <f t="shared" si="8"/>
        <v>46031</v>
      </c>
      <c r="B85" t="str" cm="1">
        <f t="array" ref="B85">INDEX(HotelList,MOD(ROW()-2,10)+1)</f>
        <v>H004</v>
      </c>
      <c r="C85">
        <f>_xlfn.XLOOKUP(B85,Dim_Hotel!$A$2:$A$11,Dim_Hotel!$F$2:$F$11)</f>
        <v>108</v>
      </c>
      <c r="D85">
        <f t="shared" si="9"/>
        <v>59</v>
      </c>
      <c r="E85">
        <f t="shared" si="10"/>
        <v>0.54629629629629628</v>
      </c>
      <c r="F85">
        <f t="shared" si="11"/>
        <v>135</v>
      </c>
      <c r="G85">
        <f t="shared" si="12"/>
        <v>73.75</v>
      </c>
      <c r="H85" t="str">
        <f>_xlfn.XLOOKUP(A85,Fact_Events!$D$2:$D$20,Fact_Events!$A$2:$A$20, "")</f>
        <v/>
      </c>
      <c r="I85">
        <f t="shared" si="13"/>
        <v>0</v>
      </c>
      <c r="J85" t="str">
        <f>_xlfn.XLOOKUP(H85, Fact_Events!$A$2:$A$20, Fact_Events!$F$2:$F$20, "")</f>
        <v/>
      </c>
      <c r="K85" t="str">
        <f t="shared" si="14"/>
        <v>Low</v>
      </c>
      <c r="L85">
        <f t="shared" si="15"/>
        <v>0.55000000000000004</v>
      </c>
      <c r="M85">
        <f>_xlfn.XLOOKUP(B85, Dim_Hotel!$A$2:$A$11, Dim_Hotel!$I$2:$I$11)
 + (IF(J85="",0,J85)
    * _xlfn.XLOOKUP(B85, Dim_Hotel!$A$2:$A$11, Dim_Hotel!$J$2:$J$11))</f>
        <v>135</v>
      </c>
    </row>
    <row r="86" spans="1:13" x14ac:dyDescent="0.25">
      <c r="A86" s="1">
        <f t="shared" si="8"/>
        <v>46031</v>
      </c>
      <c r="B86" t="str" cm="1">
        <f t="array" ref="B86">INDEX(HotelList,MOD(ROW()-2,10)+1)</f>
        <v>H005</v>
      </c>
      <c r="C86">
        <f>_xlfn.XLOOKUP(B86,Dim_Hotel!$A$2:$A$11,Dim_Hotel!$F$2:$F$11)</f>
        <v>66</v>
      </c>
      <c r="D86">
        <f t="shared" si="9"/>
        <v>36</v>
      </c>
      <c r="E86">
        <f t="shared" si="10"/>
        <v>0.54545454545454541</v>
      </c>
      <c r="F86">
        <f t="shared" si="11"/>
        <v>82</v>
      </c>
      <c r="G86">
        <f t="shared" si="12"/>
        <v>44.727272727272727</v>
      </c>
      <c r="H86" t="str">
        <f>_xlfn.XLOOKUP(A86,Fact_Events!$D$2:$D$20,Fact_Events!$A$2:$A$20, "")</f>
        <v/>
      </c>
      <c r="I86">
        <f t="shared" si="13"/>
        <v>0</v>
      </c>
      <c r="J86" t="str">
        <f>_xlfn.XLOOKUP(H86, Fact_Events!$A$2:$A$20, Fact_Events!$F$2:$F$20, "")</f>
        <v/>
      </c>
      <c r="K86" t="str">
        <f t="shared" si="14"/>
        <v>Low</v>
      </c>
      <c r="L86">
        <f t="shared" si="15"/>
        <v>0.55000000000000004</v>
      </c>
      <c r="M86">
        <f>_xlfn.XLOOKUP(B86, Dim_Hotel!$A$2:$A$11, Dim_Hotel!$I$2:$I$11)
 + (IF(J86="",0,J86)
    * _xlfn.XLOOKUP(B86, Dim_Hotel!$A$2:$A$11, Dim_Hotel!$J$2:$J$11))</f>
        <v>82</v>
      </c>
    </row>
    <row r="87" spans="1:13" x14ac:dyDescent="0.25">
      <c r="A87" s="1">
        <f t="shared" si="8"/>
        <v>46031</v>
      </c>
      <c r="B87" t="str" cm="1">
        <f t="array" ref="B87">INDEX(HotelList,MOD(ROW()-2,10)+1)</f>
        <v>H006</v>
      </c>
      <c r="C87">
        <f>_xlfn.XLOOKUP(B87,Dim_Hotel!$A$2:$A$11,Dim_Hotel!$F$2:$F$11)</f>
        <v>311</v>
      </c>
      <c r="D87">
        <f t="shared" si="9"/>
        <v>171</v>
      </c>
      <c r="E87">
        <f t="shared" si="10"/>
        <v>0.54983922829581988</v>
      </c>
      <c r="F87">
        <f t="shared" si="11"/>
        <v>190</v>
      </c>
      <c r="G87">
        <f t="shared" si="12"/>
        <v>104.46945337620578</v>
      </c>
      <c r="H87" t="str">
        <f>_xlfn.XLOOKUP(A87,Fact_Events!$D$2:$D$20,Fact_Events!$A$2:$A$20, "")</f>
        <v/>
      </c>
      <c r="I87">
        <f t="shared" si="13"/>
        <v>0</v>
      </c>
      <c r="J87" t="str">
        <f>_xlfn.XLOOKUP(H87, Fact_Events!$A$2:$A$20, Fact_Events!$F$2:$F$20, "")</f>
        <v/>
      </c>
      <c r="K87" t="str">
        <f t="shared" si="14"/>
        <v>Low</v>
      </c>
      <c r="L87">
        <f t="shared" si="15"/>
        <v>0.55000000000000004</v>
      </c>
      <c r="M87">
        <f>_xlfn.XLOOKUP(B87, Dim_Hotel!$A$2:$A$11, Dim_Hotel!$I$2:$I$11)
 + (IF(J87="",0,J87)
    * _xlfn.XLOOKUP(B87, Dim_Hotel!$A$2:$A$11, Dim_Hotel!$J$2:$J$11))</f>
        <v>190</v>
      </c>
    </row>
    <row r="88" spans="1:13" x14ac:dyDescent="0.25">
      <c r="A88" s="1">
        <f t="shared" si="8"/>
        <v>46031</v>
      </c>
      <c r="B88" t="str" cm="1">
        <f t="array" ref="B88">INDEX(HotelList,MOD(ROW()-2,10)+1)</f>
        <v>H007</v>
      </c>
      <c r="C88">
        <f>_xlfn.XLOOKUP(B88,Dim_Hotel!$A$2:$A$11,Dim_Hotel!$F$2:$F$11)</f>
        <v>132</v>
      </c>
      <c r="D88">
        <f t="shared" si="9"/>
        <v>73</v>
      </c>
      <c r="E88">
        <f t="shared" si="10"/>
        <v>0.55303030303030298</v>
      </c>
      <c r="F88">
        <f t="shared" si="11"/>
        <v>165</v>
      </c>
      <c r="G88">
        <f t="shared" si="12"/>
        <v>91.249999999999986</v>
      </c>
      <c r="H88" t="str">
        <f>_xlfn.XLOOKUP(A88,Fact_Events!$D$2:$D$20,Fact_Events!$A$2:$A$20, "")</f>
        <v/>
      </c>
      <c r="I88">
        <f t="shared" si="13"/>
        <v>0</v>
      </c>
      <c r="J88" t="str">
        <f>_xlfn.XLOOKUP(H88, Fact_Events!$A$2:$A$20, Fact_Events!$F$2:$F$20, "")</f>
        <v/>
      </c>
      <c r="K88" t="str">
        <f t="shared" si="14"/>
        <v>Low</v>
      </c>
      <c r="L88">
        <f t="shared" si="15"/>
        <v>0.55000000000000004</v>
      </c>
      <c r="M88">
        <f>_xlfn.XLOOKUP(B88, Dim_Hotel!$A$2:$A$11, Dim_Hotel!$I$2:$I$11)
 + (IF(J88="",0,J88)
    * _xlfn.XLOOKUP(B88, Dim_Hotel!$A$2:$A$11, Dim_Hotel!$J$2:$J$11))</f>
        <v>165</v>
      </c>
    </row>
    <row r="89" spans="1:13" x14ac:dyDescent="0.25">
      <c r="A89" s="1">
        <f t="shared" si="8"/>
        <v>46031</v>
      </c>
      <c r="B89" t="str" cm="1">
        <f t="array" ref="B89">INDEX(HotelList,MOD(ROW()-2,10)+1)</f>
        <v>H008</v>
      </c>
      <c r="C89">
        <f>_xlfn.XLOOKUP(B89,Dim_Hotel!$A$2:$A$11,Dim_Hotel!$F$2:$F$11)</f>
        <v>103</v>
      </c>
      <c r="D89">
        <f t="shared" si="9"/>
        <v>57</v>
      </c>
      <c r="E89">
        <f t="shared" si="10"/>
        <v>0.55339805825242716</v>
      </c>
      <c r="F89">
        <f t="shared" si="11"/>
        <v>140</v>
      </c>
      <c r="G89">
        <f t="shared" si="12"/>
        <v>77.475728155339809</v>
      </c>
      <c r="H89" t="str">
        <f>_xlfn.XLOOKUP(A89,Fact_Events!$D$2:$D$20,Fact_Events!$A$2:$A$20, "")</f>
        <v/>
      </c>
      <c r="I89">
        <f t="shared" si="13"/>
        <v>0</v>
      </c>
      <c r="J89" t="str">
        <f>_xlfn.XLOOKUP(H89, Fact_Events!$A$2:$A$20, Fact_Events!$F$2:$F$20, "")</f>
        <v/>
      </c>
      <c r="K89" t="str">
        <f t="shared" si="14"/>
        <v>Low</v>
      </c>
      <c r="L89">
        <f t="shared" si="15"/>
        <v>0.55000000000000004</v>
      </c>
      <c r="M89">
        <f>_xlfn.XLOOKUP(B89, Dim_Hotel!$A$2:$A$11, Dim_Hotel!$I$2:$I$11)
 + (IF(J89="",0,J89)
    * _xlfn.XLOOKUP(B89, Dim_Hotel!$A$2:$A$11, Dim_Hotel!$J$2:$J$11))</f>
        <v>140</v>
      </c>
    </row>
    <row r="90" spans="1:13" x14ac:dyDescent="0.25">
      <c r="A90" s="1">
        <f t="shared" si="8"/>
        <v>46031</v>
      </c>
      <c r="B90" t="str" cm="1">
        <f t="array" ref="B90">INDEX(HotelList,MOD(ROW()-2,10)+1)</f>
        <v>H009</v>
      </c>
      <c r="C90">
        <f>_xlfn.XLOOKUP(B90,Dim_Hotel!$A$2:$A$11,Dim_Hotel!$F$2:$F$11)</f>
        <v>114</v>
      </c>
      <c r="D90">
        <f t="shared" si="9"/>
        <v>63</v>
      </c>
      <c r="E90">
        <f t="shared" si="10"/>
        <v>0.55263157894736847</v>
      </c>
      <c r="F90">
        <f t="shared" si="11"/>
        <v>185</v>
      </c>
      <c r="G90">
        <f t="shared" si="12"/>
        <v>102.23684210526316</v>
      </c>
      <c r="H90" t="str">
        <f>_xlfn.XLOOKUP(A90,Fact_Events!$D$2:$D$20,Fact_Events!$A$2:$A$20, "")</f>
        <v/>
      </c>
      <c r="I90">
        <f t="shared" si="13"/>
        <v>0</v>
      </c>
      <c r="J90" t="str">
        <f>_xlfn.XLOOKUP(H90, Fact_Events!$A$2:$A$20, Fact_Events!$F$2:$F$20, "")</f>
        <v/>
      </c>
      <c r="K90" t="str">
        <f t="shared" si="14"/>
        <v>Low</v>
      </c>
      <c r="L90">
        <f t="shared" si="15"/>
        <v>0.55000000000000004</v>
      </c>
      <c r="M90">
        <f>_xlfn.XLOOKUP(B90, Dim_Hotel!$A$2:$A$11, Dim_Hotel!$I$2:$I$11)
 + (IF(J90="",0,J90)
    * _xlfn.XLOOKUP(B90, Dim_Hotel!$A$2:$A$11, Dim_Hotel!$J$2:$J$11))</f>
        <v>185</v>
      </c>
    </row>
    <row r="91" spans="1:13" x14ac:dyDescent="0.25">
      <c r="A91" s="1">
        <f t="shared" si="8"/>
        <v>46031</v>
      </c>
      <c r="B91" t="str" cm="1">
        <f t="array" ref="B91">INDEX(HotelList,MOD(ROW()-2,10)+1)</f>
        <v>H010</v>
      </c>
      <c r="C91">
        <f>_xlfn.XLOOKUP(B91,Dim_Hotel!$A$2:$A$11,Dim_Hotel!$F$2:$F$11)</f>
        <v>89</v>
      </c>
      <c r="D91">
        <f t="shared" si="9"/>
        <v>49</v>
      </c>
      <c r="E91">
        <f t="shared" si="10"/>
        <v>0.550561797752809</v>
      </c>
      <c r="F91">
        <f t="shared" si="11"/>
        <v>150</v>
      </c>
      <c r="G91">
        <f t="shared" si="12"/>
        <v>82.584269662921344</v>
      </c>
      <c r="H91" t="str">
        <f>_xlfn.XLOOKUP(A91,Fact_Events!$D$2:$D$20,Fact_Events!$A$2:$A$20, "")</f>
        <v/>
      </c>
      <c r="I91">
        <f t="shared" si="13"/>
        <v>0</v>
      </c>
      <c r="J91" t="str">
        <f>_xlfn.XLOOKUP(H91, Fact_Events!$A$2:$A$20, Fact_Events!$F$2:$F$20, "")</f>
        <v/>
      </c>
      <c r="K91" t="str">
        <f t="shared" si="14"/>
        <v>Low</v>
      </c>
      <c r="L91">
        <f t="shared" si="15"/>
        <v>0.55000000000000004</v>
      </c>
      <c r="M91">
        <f>_xlfn.XLOOKUP(B91, Dim_Hotel!$A$2:$A$11, Dim_Hotel!$I$2:$I$11)
 + (IF(J91="",0,J91)
    * _xlfn.XLOOKUP(B91, Dim_Hotel!$A$2:$A$11, Dim_Hotel!$J$2:$J$11))</f>
        <v>150</v>
      </c>
    </row>
    <row r="92" spans="1:13" x14ac:dyDescent="0.25">
      <c r="A92" s="1">
        <f t="shared" si="8"/>
        <v>46032</v>
      </c>
      <c r="B92" t="str" cm="1">
        <f t="array" ref="B92">INDEX(HotelList,MOD(ROW()-2,10)+1)</f>
        <v>H001</v>
      </c>
      <c r="C92">
        <f>_xlfn.XLOOKUP(B92,Dim_Hotel!$A$2:$A$11,Dim_Hotel!$F$2:$F$11)</f>
        <v>888</v>
      </c>
      <c r="D92">
        <f t="shared" si="9"/>
        <v>488</v>
      </c>
      <c r="E92">
        <f t="shared" si="10"/>
        <v>0.5495495495495496</v>
      </c>
      <c r="F92">
        <f t="shared" si="11"/>
        <v>260</v>
      </c>
      <c r="G92">
        <f t="shared" si="12"/>
        <v>142.88288288288288</v>
      </c>
      <c r="H92" t="str">
        <f>_xlfn.XLOOKUP(A92,Fact_Events!$D$2:$D$20,Fact_Events!$A$2:$A$20, "")</f>
        <v/>
      </c>
      <c r="I92">
        <f t="shared" si="13"/>
        <v>0</v>
      </c>
      <c r="J92" t="str">
        <f>_xlfn.XLOOKUP(H92, Fact_Events!$A$2:$A$20, Fact_Events!$F$2:$F$20, "")</f>
        <v/>
      </c>
      <c r="K92" t="str">
        <f t="shared" si="14"/>
        <v>Low</v>
      </c>
      <c r="L92">
        <f t="shared" si="15"/>
        <v>0.55000000000000004</v>
      </c>
      <c r="M92">
        <f>_xlfn.XLOOKUP(B92, Dim_Hotel!$A$2:$A$11, Dim_Hotel!$I$2:$I$11)
 + (IF(J92="",0,J92)
    * _xlfn.XLOOKUP(B92, Dim_Hotel!$A$2:$A$11, Dim_Hotel!$J$2:$J$11))</f>
        <v>260</v>
      </c>
    </row>
    <row r="93" spans="1:13" x14ac:dyDescent="0.25">
      <c r="A93" s="1">
        <f t="shared" si="8"/>
        <v>46032</v>
      </c>
      <c r="B93" t="str" cm="1">
        <f t="array" ref="B93">INDEX(HotelList,MOD(ROW()-2,10)+1)</f>
        <v>H002</v>
      </c>
      <c r="C93">
        <f>_xlfn.XLOOKUP(B93,Dim_Hotel!$A$2:$A$11,Dim_Hotel!$F$2:$F$11)</f>
        <v>147</v>
      </c>
      <c r="D93">
        <f t="shared" si="9"/>
        <v>81</v>
      </c>
      <c r="E93">
        <f t="shared" si="10"/>
        <v>0.55102040816326525</v>
      </c>
      <c r="F93">
        <f t="shared" si="11"/>
        <v>175</v>
      </c>
      <c r="G93">
        <f t="shared" si="12"/>
        <v>96.428571428571416</v>
      </c>
      <c r="H93" t="str">
        <f>_xlfn.XLOOKUP(A93,Fact_Events!$D$2:$D$20,Fact_Events!$A$2:$A$20, "")</f>
        <v/>
      </c>
      <c r="I93">
        <f t="shared" si="13"/>
        <v>0</v>
      </c>
      <c r="J93" t="str">
        <f>_xlfn.XLOOKUP(H93, Fact_Events!$A$2:$A$20, Fact_Events!$F$2:$F$20, "")</f>
        <v/>
      </c>
      <c r="K93" t="str">
        <f t="shared" si="14"/>
        <v>Low</v>
      </c>
      <c r="L93">
        <f t="shared" si="15"/>
        <v>0.55000000000000004</v>
      </c>
      <c r="M93">
        <f>_xlfn.XLOOKUP(B93, Dim_Hotel!$A$2:$A$11, Dim_Hotel!$I$2:$I$11)
 + (IF(J93="",0,J93)
    * _xlfn.XLOOKUP(B93, Dim_Hotel!$A$2:$A$11, Dim_Hotel!$J$2:$J$11))</f>
        <v>175</v>
      </c>
    </row>
    <row r="94" spans="1:13" x14ac:dyDescent="0.25">
      <c r="A94" s="1">
        <f t="shared" si="8"/>
        <v>46032</v>
      </c>
      <c r="B94" t="str" cm="1">
        <f t="array" ref="B94">INDEX(HotelList,MOD(ROW()-2,10)+1)</f>
        <v>H003</v>
      </c>
      <c r="C94">
        <f>_xlfn.XLOOKUP(B94,Dim_Hotel!$A$2:$A$11,Dim_Hotel!$F$2:$F$11)</f>
        <v>121</v>
      </c>
      <c r="D94">
        <f t="shared" si="9"/>
        <v>67</v>
      </c>
      <c r="E94">
        <f t="shared" si="10"/>
        <v>0.55371900826446285</v>
      </c>
      <c r="F94">
        <f t="shared" si="11"/>
        <v>145</v>
      </c>
      <c r="G94">
        <f t="shared" si="12"/>
        <v>80.289256198347118</v>
      </c>
      <c r="H94" t="str">
        <f>_xlfn.XLOOKUP(A94,Fact_Events!$D$2:$D$20,Fact_Events!$A$2:$A$20, "")</f>
        <v/>
      </c>
      <c r="I94">
        <f t="shared" si="13"/>
        <v>0</v>
      </c>
      <c r="J94" t="str">
        <f>_xlfn.XLOOKUP(H94, Fact_Events!$A$2:$A$20, Fact_Events!$F$2:$F$20, "")</f>
        <v/>
      </c>
      <c r="K94" t="str">
        <f t="shared" si="14"/>
        <v>Low</v>
      </c>
      <c r="L94">
        <f t="shared" si="15"/>
        <v>0.55000000000000004</v>
      </c>
      <c r="M94">
        <f>_xlfn.XLOOKUP(B94, Dim_Hotel!$A$2:$A$11, Dim_Hotel!$I$2:$I$11)
 + (IF(J94="",0,J94)
    * _xlfn.XLOOKUP(B94, Dim_Hotel!$A$2:$A$11, Dim_Hotel!$J$2:$J$11))</f>
        <v>145</v>
      </c>
    </row>
    <row r="95" spans="1:13" x14ac:dyDescent="0.25">
      <c r="A95" s="1">
        <f t="shared" si="8"/>
        <v>46032</v>
      </c>
      <c r="B95" t="str" cm="1">
        <f t="array" ref="B95">INDEX(HotelList,MOD(ROW()-2,10)+1)</f>
        <v>H004</v>
      </c>
      <c r="C95">
        <f>_xlfn.XLOOKUP(B95,Dim_Hotel!$A$2:$A$11,Dim_Hotel!$F$2:$F$11)</f>
        <v>108</v>
      </c>
      <c r="D95">
        <f t="shared" si="9"/>
        <v>59</v>
      </c>
      <c r="E95">
        <f t="shared" si="10"/>
        <v>0.54629629629629628</v>
      </c>
      <c r="F95">
        <f t="shared" si="11"/>
        <v>135</v>
      </c>
      <c r="G95">
        <f t="shared" si="12"/>
        <v>73.75</v>
      </c>
      <c r="H95" t="str">
        <f>_xlfn.XLOOKUP(A95,Fact_Events!$D$2:$D$20,Fact_Events!$A$2:$A$20, "")</f>
        <v/>
      </c>
      <c r="I95">
        <f t="shared" si="13"/>
        <v>0</v>
      </c>
      <c r="J95" t="str">
        <f>_xlfn.XLOOKUP(H95, Fact_Events!$A$2:$A$20, Fact_Events!$F$2:$F$20, "")</f>
        <v/>
      </c>
      <c r="K95" t="str">
        <f t="shared" si="14"/>
        <v>Low</v>
      </c>
      <c r="L95">
        <f t="shared" si="15"/>
        <v>0.55000000000000004</v>
      </c>
      <c r="M95">
        <f>_xlfn.XLOOKUP(B95, Dim_Hotel!$A$2:$A$11, Dim_Hotel!$I$2:$I$11)
 + (IF(J95="",0,J95)
    * _xlfn.XLOOKUP(B95, Dim_Hotel!$A$2:$A$11, Dim_Hotel!$J$2:$J$11))</f>
        <v>135</v>
      </c>
    </row>
    <row r="96" spans="1:13" x14ac:dyDescent="0.25">
      <c r="A96" s="1">
        <f t="shared" si="8"/>
        <v>46032</v>
      </c>
      <c r="B96" t="str" cm="1">
        <f t="array" ref="B96">INDEX(HotelList,MOD(ROW()-2,10)+1)</f>
        <v>H005</v>
      </c>
      <c r="C96">
        <f>_xlfn.XLOOKUP(B96,Dim_Hotel!$A$2:$A$11,Dim_Hotel!$F$2:$F$11)</f>
        <v>66</v>
      </c>
      <c r="D96">
        <f t="shared" si="9"/>
        <v>36</v>
      </c>
      <c r="E96">
        <f t="shared" si="10"/>
        <v>0.54545454545454541</v>
      </c>
      <c r="F96">
        <f t="shared" si="11"/>
        <v>82</v>
      </c>
      <c r="G96">
        <f t="shared" si="12"/>
        <v>44.727272727272727</v>
      </c>
      <c r="H96" t="str">
        <f>_xlfn.XLOOKUP(A96,Fact_Events!$D$2:$D$20,Fact_Events!$A$2:$A$20, "")</f>
        <v/>
      </c>
      <c r="I96">
        <f t="shared" si="13"/>
        <v>0</v>
      </c>
      <c r="J96" t="str">
        <f>_xlfn.XLOOKUP(H96, Fact_Events!$A$2:$A$20, Fact_Events!$F$2:$F$20, "")</f>
        <v/>
      </c>
      <c r="K96" t="str">
        <f t="shared" si="14"/>
        <v>Low</v>
      </c>
      <c r="L96">
        <f t="shared" si="15"/>
        <v>0.55000000000000004</v>
      </c>
      <c r="M96">
        <f>_xlfn.XLOOKUP(B96, Dim_Hotel!$A$2:$A$11, Dim_Hotel!$I$2:$I$11)
 + (IF(J96="",0,J96)
    * _xlfn.XLOOKUP(B96, Dim_Hotel!$A$2:$A$11, Dim_Hotel!$J$2:$J$11))</f>
        <v>82</v>
      </c>
    </row>
    <row r="97" spans="1:13" x14ac:dyDescent="0.25">
      <c r="A97" s="1">
        <f t="shared" si="8"/>
        <v>46032</v>
      </c>
      <c r="B97" t="str" cm="1">
        <f t="array" ref="B97">INDEX(HotelList,MOD(ROW()-2,10)+1)</f>
        <v>H006</v>
      </c>
      <c r="C97">
        <f>_xlfn.XLOOKUP(B97,Dim_Hotel!$A$2:$A$11,Dim_Hotel!$F$2:$F$11)</f>
        <v>311</v>
      </c>
      <c r="D97">
        <f t="shared" si="9"/>
        <v>171</v>
      </c>
      <c r="E97">
        <f t="shared" si="10"/>
        <v>0.54983922829581988</v>
      </c>
      <c r="F97">
        <f t="shared" si="11"/>
        <v>190</v>
      </c>
      <c r="G97">
        <f t="shared" si="12"/>
        <v>104.46945337620578</v>
      </c>
      <c r="H97" t="str">
        <f>_xlfn.XLOOKUP(A97,Fact_Events!$D$2:$D$20,Fact_Events!$A$2:$A$20, "")</f>
        <v/>
      </c>
      <c r="I97">
        <f t="shared" si="13"/>
        <v>0</v>
      </c>
      <c r="J97" t="str">
        <f>_xlfn.XLOOKUP(H97, Fact_Events!$A$2:$A$20, Fact_Events!$F$2:$F$20, "")</f>
        <v/>
      </c>
      <c r="K97" t="str">
        <f t="shared" si="14"/>
        <v>Low</v>
      </c>
      <c r="L97">
        <f t="shared" si="15"/>
        <v>0.55000000000000004</v>
      </c>
      <c r="M97">
        <f>_xlfn.XLOOKUP(B97, Dim_Hotel!$A$2:$A$11, Dim_Hotel!$I$2:$I$11)
 + (IF(J97="",0,J97)
    * _xlfn.XLOOKUP(B97, Dim_Hotel!$A$2:$A$11, Dim_Hotel!$J$2:$J$11))</f>
        <v>190</v>
      </c>
    </row>
    <row r="98" spans="1:13" x14ac:dyDescent="0.25">
      <c r="A98" s="1">
        <f t="shared" si="8"/>
        <v>46032</v>
      </c>
      <c r="B98" t="str" cm="1">
        <f t="array" ref="B98">INDEX(HotelList,MOD(ROW()-2,10)+1)</f>
        <v>H007</v>
      </c>
      <c r="C98">
        <f>_xlfn.XLOOKUP(B98,Dim_Hotel!$A$2:$A$11,Dim_Hotel!$F$2:$F$11)</f>
        <v>132</v>
      </c>
      <c r="D98">
        <f t="shared" si="9"/>
        <v>73</v>
      </c>
      <c r="E98">
        <f t="shared" si="10"/>
        <v>0.55303030303030298</v>
      </c>
      <c r="F98">
        <f t="shared" si="11"/>
        <v>165</v>
      </c>
      <c r="G98">
        <f t="shared" si="12"/>
        <v>91.249999999999986</v>
      </c>
      <c r="H98" t="str">
        <f>_xlfn.XLOOKUP(A98,Fact_Events!$D$2:$D$20,Fact_Events!$A$2:$A$20, "")</f>
        <v/>
      </c>
      <c r="I98">
        <f t="shared" si="13"/>
        <v>0</v>
      </c>
      <c r="J98" t="str">
        <f>_xlfn.XLOOKUP(H98, Fact_Events!$A$2:$A$20, Fact_Events!$F$2:$F$20, "")</f>
        <v/>
      </c>
      <c r="K98" t="str">
        <f t="shared" si="14"/>
        <v>Low</v>
      </c>
      <c r="L98">
        <f t="shared" si="15"/>
        <v>0.55000000000000004</v>
      </c>
      <c r="M98">
        <f>_xlfn.XLOOKUP(B98, Dim_Hotel!$A$2:$A$11, Dim_Hotel!$I$2:$I$11)
 + (IF(J98="",0,J98)
    * _xlfn.XLOOKUP(B98, Dim_Hotel!$A$2:$A$11, Dim_Hotel!$J$2:$J$11))</f>
        <v>165</v>
      </c>
    </row>
    <row r="99" spans="1:13" x14ac:dyDescent="0.25">
      <c r="A99" s="1">
        <f t="shared" si="8"/>
        <v>46032</v>
      </c>
      <c r="B99" t="str" cm="1">
        <f t="array" ref="B99">INDEX(HotelList,MOD(ROW()-2,10)+1)</f>
        <v>H008</v>
      </c>
      <c r="C99">
        <f>_xlfn.XLOOKUP(B99,Dim_Hotel!$A$2:$A$11,Dim_Hotel!$F$2:$F$11)</f>
        <v>103</v>
      </c>
      <c r="D99">
        <f t="shared" si="9"/>
        <v>57</v>
      </c>
      <c r="E99">
        <f t="shared" si="10"/>
        <v>0.55339805825242716</v>
      </c>
      <c r="F99">
        <f t="shared" si="11"/>
        <v>140</v>
      </c>
      <c r="G99">
        <f t="shared" si="12"/>
        <v>77.475728155339809</v>
      </c>
      <c r="H99" t="str">
        <f>_xlfn.XLOOKUP(A99,Fact_Events!$D$2:$D$20,Fact_Events!$A$2:$A$20, "")</f>
        <v/>
      </c>
      <c r="I99">
        <f t="shared" si="13"/>
        <v>0</v>
      </c>
      <c r="J99" t="str">
        <f>_xlfn.XLOOKUP(H99, Fact_Events!$A$2:$A$20, Fact_Events!$F$2:$F$20, "")</f>
        <v/>
      </c>
      <c r="K99" t="str">
        <f t="shared" si="14"/>
        <v>Low</v>
      </c>
      <c r="L99">
        <f t="shared" si="15"/>
        <v>0.55000000000000004</v>
      </c>
      <c r="M99">
        <f>_xlfn.XLOOKUP(B99, Dim_Hotel!$A$2:$A$11, Dim_Hotel!$I$2:$I$11)
 + (IF(J99="",0,J99)
    * _xlfn.XLOOKUP(B99, Dim_Hotel!$A$2:$A$11, Dim_Hotel!$J$2:$J$11))</f>
        <v>140</v>
      </c>
    </row>
    <row r="100" spans="1:13" x14ac:dyDescent="0.25">
      <c r="A100" s="1">
        <f t="shared" si="8"/>
        <v>46032</v>
      </c>
      <c r="B100" t="str" cm="1">
        <f t="array" ref="B100">INDEX(HotelList,MOD(ROW()-2,10)+1)</f>
        <v>H009</v>
      </c>
      <c r="C100">
        <f>_xlfn.XLOOKUP(B100,Dim_Hotel!$A$2:$A$11,Dim_Hotel!$F$2:$F$11)</f>
        <v>114</v>
      </c>
      <c r="D100">
        <f t="shared" si="9"/>
        <v>63</v>
      </c>
      <c r="E100">
        <f t="shared" si="10"/>
        <v>0.55263157894736847</v>
      </c>
      <c r="F100">
        <f t="shared" si="11"/>
        <v>185</v>
      </c>
      <c r="G100">
        <f t="shared" si="12"/>
        <v>102.23684210526316</v>
      </c>
      <c r="H100" t="str">
        <f>_xlfn.XLOOKUP(A100,Fact_Events!$D$2:$D$20,Fact_Events!$A$2:$A$20, "")</f>
        <v/>
      </c>
      <c r="I100">
        <f t="shared" si="13"/>
        <v>0</v>
      </c>
      <c r="J100" t="str">
        <f>_xlfn.XLOOKUP(H100, Fact_Events!$A$2:$A$20, Fact_Events!$F$2:$F$20, "")</f>
        <v/>
      </c>
      <c r="K100" t="str">
        <f t="shared" si="14"/>
        <v>Low</v>
      </c>
      <c r="L100">
        <f t="shared" si="15"/>
        <v>0.55000000000000004</v>
      </c>
      <c r="M100">
        <f>_xlfn.XLOOKUP(B100, Dim_Hotel!$A$2:$A$11, Dim_Hotel!$I$2:$I$11)
 + (IF(J100="",0,J100)
    * _xlfn.XLOOKUP(B100, Dim_Hotel!$A$2:$A$11, Dim_Hotel!$J$2:$J$11))</f>
        <v>185</v>
      </c>
    </row>
    <row r="101" spans="1:13" x14ac:dyDescent="0.25">
      <c r="A101" s="1">
        <f t="shared" si="8"/>
        <v>46032</v>
      </c>
      <c r="B101" t="str" cm="1">
        <f t="array" ref="B101">INDEX(HotelList,MOD(ROW()-2,10)+1)</f>
        <v>H010</v>
      </c>
      <c r="C101">
        <f>_xlfn.XLOOKUP(B101,Dim_Hotel!$A$2:$A$11,Dim_Hotel!$F$2:$F$11)</f>
        <v>89</v>
      </c>
      <c r="D101">
        <f t="shared" si="9"/>
        <v>49</v>
      </c>
      <c r="E101">
        <f t="shared" si="10"/>
        <v>0.550561797752809</v>
      </c>
      <c r="F101">
        <f t="shared" si="11"/>
        <v>150</v>
      </c>
      <c r="G101">
        <f t="shared" si="12"/>
        <v>82.584269662921344</v>
      </c>
      <c r="H101" t="str">
        <f>_xlfn.XLOOKUP(A101,Fact_Events!$D$2:$D$20,Fact_Events!$A$2:$A$20, "")</f>
        <v/>
      </c>
      <c r="I101">
        <f t="shared" si="13"/>
        <v>0</v>
      </c>
      <c r="J101" t="str">
        <f>_xlfn.XLOOKUP(H101, Fact_Events!$A$2:$A$20, Fact_Events!$F$2:$F$20, "")</f>
        <v/>
      </c>
      <c r="K101" t="str">
        <f t="shared" si="14"/>
        <v>Low</v>
      </c>
      <c r="L101">
        <f t="shared" si="15"/>
        <v>0.55000000000000004</v>
      </c>
      <c r="M101">
        <f>_xlfn.XLOOKUP(B101, Dim_Hotel!$A$2:$A$11, Dim_Hotel!$I$2:$I$11)
 + (IF(J101="",0,J101)
    * _xlfn.XLOOKUP(B101, Dim_Hotel!$A$2:$A$11, Dim_Hotel!$J$2:$J$11))</f>
        <v>150</v>
      </c>
    </row>
    <row r="102" spans="1:13" x14ac:dyDescent="0.25">
      <c r="A102" s="1">
        <f t="shared" si="8"/>
        <v>46033</v>
      </c>
      <c r="B102" t="str" cm="1">
        <f t="array" ref="B102">INDEX(HotelList,MOD(ROW()-2,10)+1)</f>
        <v>H001</v>
      </c>
      <c r="C102">
        <f>_xlfn.XLOOKUP(B102,Dim_Hotel!$A$2:$A$11,Dim_Hotel!$F$2:$F$11)</f>
        <v>888</v>
      </c>
      <c r="D102">
        <f t="shared" si="9"/>
        <v>488</v>
      </c>
      <c r="E102">
        <f t="shared" si="10"/>
        <v>0.5495495495495496</v>
      </c>
      <c r="F102">
        <f t="shared" si="11"/>
        <v>260</v>
      </c>
      <c r="G102">
        <f t="shared" si="12"/>
        <v>142.88288288288288</v>
      </c>
      <c r="H102" t="str">
        <f>_xlfn.XLOOKUP(A102,Fact_Events!$D$2:$D$20,Fact_Events!$A$2:$A$20, "")</f>
        <v/>
      </c>
      <c r="I102">
        <f t="shared" si="13"/>
        <v>0</v>
      </c>
      <c r="J102" t="str">
        <f>_xlfn.XLOOKUP(H102, Fact_Events!$A$2:$A$20, Fact_Events!$F$2:$F$20, "")</f>
        <v/>
      </c>
      <c r="K102" t="str">
        <f t="shared" si="14"/>
        <v>Low</v>
      </c>
      <c r="L102">
        <f t="shared" si="15"/>
        <v>0.55000000000000004</v>
      </c>
      <c r="M102">
        <f>_xlfn.XLOOKUP(B102, Dim_Hotel!$A$2:$A$11, Dim_Hotel!$I$2:$I$11)
 + (IF(J102="",0,J102)
    * _xlfn.XLOOKUP(B102, Dim_Hotel!$A$2:$A$11, Dim_Hotel!$J$2:$J$11))</f>
        <v>260</v>
      </c>
    </row>
    <row r="103" spans="1:13" x14ac:dyDescent="0.25">
      <c r="A103" s="1">
        <f t="shared" si="8"/>
        <v>46033</v>
      </c>
      <c r="B103" t="str" cm="1">
        <f t="array" ref="B103">INDEX(HotelList,MOD(ROW()-2,10)+1)</f>
        <v>H002</v>
      </c>
      <c r="C103">
        <f>_xlfn.XLOOKUP(B103,Dim_Hotel!$A$2:$A$11,Dim_Hotel!$F$2:$F$11)</f>
        <v>147</v>
      </c>
      <c r="D103">
        <f t="shared" si="9"/>
        <v>81</v>
      </c>
      <c r="E103">
        <f t="shared" si="10"/>
        <v>0.55102040816326525</v>
      </c>
      <c r="F103">
        <f t="shared" si="11"/>
        <v>175</v>
      </c>
      <c r="G103">
        <f t="shared" si="12"/>
        <v>96.428571428571416</v>
      </c>
      <c r="H103" t="str">
        <f>_xlfn.XLOOKUP(A103,Fact_Events!$D$2:$D$20,Fact_Events!$A$2:$A$20, "")</f>
        <v/>
      </c>
      <c r="I103">
        <f t="shared" si="13"/>
        <v>0</v>
      </c>
      <c r="J103" t="str">
        <f>_xlfn.XLOOKUP(H103, Fact_Events!$A$2:$A$20, Fact_Events!$F$2:$F$20, "")</f>
        <v/>
      </c>
      <c r="K103" t="str">
        <f t="shared" si="14"/>
        <v>Low</v>
      </c>
      <c r="L103">
        <f t="shared" si="15"/>
        <v>0.55000000000000004</v>
      </c>
      <c r="M103">
        <f>_xlfn.XLOOKUP(B103, Dim_Hotel!$A$2:$A$11, Dim_Hotel!$I$2:$I$11)
 + (IF(J103="",0,J103)
    * _xlfn.XLOOKUP(B103, Dim_Hotel!$A$2:$A$11, Dim_Hotel!$J$2:$J$11))</f>
        <v>175</v>
      </c>
    </row>
    <row r="104" spans="1:13" x14ac:dyDescent="0.25">
      <c r="A104" s="1">
        <f t="shared" si="8"/>
        <v>46033</v>
      </c>
      <c r="B104" t="str" cm="1">
        <f t="array" ref="B104">INDEX(HotelList,MOD(ROW()-2,10)+1)</f>
        <v>H003</v>
      </c>
      <c r="C104">
        <f>_xlfn.XLOOKUP(B104,Dim_Hotel!$A$2:$A$11,Dim_Hotel!$F$2:$F$11)</f>
        <v>121</v>
      </c>
      <c r="D104">
        <f t="shared" si="9"/>
        <v>67</v>
      </c>
      <c r="E104">
        <f t="shared" si="10"/>
        <v>0.55371900826446285</v>
      </c>
      <c r="F104">
        <f t="shared" si="11"/>
        <v>145</v>
      </c>
      <c r="G104">
        <f t="shared" si="12"/>
        <v>80.289256198347118</v>
      </c>
      <c r="H104" t="str">
        <f>_xlfn.XLOOKUP(A104,Fact_Events!$D$2:$D$20,Fact_Events!$A$2:$A$20, "")</f>
        <v/>
      </c>
      <c r="I104">
        <f t="shared" si="13"/>
        <v>0</v>
      </c>
      <c r="J104" t="str">
        <f>_xlfn.XLOOKUP(H104, Fact_Events!$A$2:$A$20, Fact_Events!$F$2:$F$20, "")</f>
        <v/>
      </c>
      <c r="K104" t="str">
        <f t="shared" si="14"/>
        <v>Low</v>
      </c>
      <c r="L104">
        <f t="shared" si="15"/>
        <v>0.55000000000000004</v>
      </c>
      <c r="M104">
        <f>_xlfn.XLOOKUP(B104, Dim_Hotel!$A$2:$A$11, Dim_Hotel!$I$2:$I$11)
 + (IF(J104="",0,J104)
    * _xlfn.XLOOKUP(B104, Dim_Hotel!$A$2:$A$11, Dim_Hotel!$J$2:$J$11))</f>
        <v>145</v>
      </c>
    </row>
    <row r="105" spans="1:13" x14ac:dyDescent="0.25">
      <c r="A105" s="1">
        <f t="shared" si="8"/>
        <v>46033</v>
      </c>
      <c r="B105" t="str" cm="1">
        <f t="array" ref="B105">INDEX(HotelList,MOD(ROW()-2,10)+1)</f>
        <v>H004</v>
      </c>
      <c r="C105">
        <f>_xlfn.XLOOKUP(B105,Dim_Hotel!$A$2:$A$11,Dim_Hotel!$F$2:$F$11)</f>
        <v>108</v>
      </c>
      <c r="D105">
        <f t="shared" si="9"/>
        <v>59</v>
      </c>
      <c r="E105">
        <f t="shared" si="10"/>
        <v>0.54629629629629628</v>
      </c>
      <c r="F105">
        <f t="shared" si="11"/>
        <v>135</v>
      </c>
      <c r="G105">
        <f t="shared" si="12"/>
        <v>73.75</v>
      </c>
      <c r="H105" t="str">
        <f>_xlfn.XLOOKUP(A105,Fact_Events!$D$2:$D$20,Fact_Events!$A$2:$A$20, "")</f>
        <v/>
      </c>
      <c r="I105">
        <f t="shared" si="13"/>
        <v>0</v>
      </c>
      <c r="J105" t="str">
        <f>_xlfn.XLOOKUP(H105, Fact_Events!$A$2:$A$20, Fact_Events!$F$2:$F$20, "")</f>
        <v/>
      </c>
      <c r="K105" t="str">
        <f t="shared" si="14"/>
        <v>Low</v>
      </c>
      <c r="L105">
        <f t="shared" si="15"/>
        <v>0.55000000000000004</v>
      </c>
      <c r="M105">
        <f>_xlfn.XLOOKUP(B105, Dim_Hotel!$A$2:$A$11, Dim_Hotel!$I$2:$I$11)
 + (IF(J105="",0,J105)
    * _xlfn.XLOOKUP(B105, Dim_Hotel!$A$2:$A$11, Dim_Hotel!$J$2:$J$11))</f>
        <v>135</v>
      </c>
    </row>
    <row r="106" spans="1:13" x14ac:dyDescent="0.25">
      <c r="A106" s="1">
        <f t="shared" si="8"/>
        <v>46033</v>
      </c>
      <c r="B106" t="str" cm="1">
        <f t="array" ref="B106">INDEX(HotelList,MOD(ROW()-2,10)+1)</f>
        <v>H005</v>
      </c>
      <c r="C106">
        <f>_xlfn.XLOOKUP(B106,Dim_Hotel!$A$2:$A$11,Dim_Hotel!$F$2:$F$11)</f>
        <v>66</v>
      </c>
      <c r="D106">
        <f t="shared" si="9"/>
        <v>36</v>
      </c>
      <c r="E106">
        <f t="shared" si="10"/>
        <v>0.54545454545454541</v>
      </c>
      <c r="F106">
        <f t="shared" si="11"/>
        <v>82</v>
      </c>
      <c r="G106">
        <f t="shared" si="12"/>
        <v>44.727272727272727</v>
      </c>
      <c r="H106" t="str">
        <f>_xlfn.XLOOKUP(A106,Fact_Events!$D$2:$D$20,Fact_Events!$A$2:$A$20, "")</f>
        <v/>
      </c>
      <c r="I106">
        <f t="shared" si="13"/>
        <v>0</v>
      </c>
      <c r="J106" t="str">
        <f>_xlfn.XLOOKUP(H106, Fact_Events!$A$2:$A$20, Fact_Events!$F$2:$F$20, "")</f>
        <v/>
      </c>
      <c r="K106" t="str">
        <f t="shared" si="14"/>
        <v>Low</v>
      </c>
      <c r="L106">
        <f t="shared" si="15"/>
        <v>0.55000000000000004</v>
      </c>
      <c r="M106">
        <f>_xlfn.XLOOKUP(B106, Dim_Hotel!$A$2:$A$11, Dim_Hotel!$I$2:$I$11)
 + (IF(J106="",0,J106)
    * _xlfn.XLOOKUP(B106, Dim_Hotel!$A$2:$A$11, Dim_Hotel!$J$2:$J$11))</f>
        <v>82</v>
      </c>
    </row>
    <row r="107" spans="1:13" x14ac:dyDescent="0.25">
      <c r="A107" s="1">
        <f t="shared" si="8"/>
        <v>46033</v>
      </c>
      <c r="B107" t="str" cm="1">
        <f t="array" ref="B107">INDEX(HotelList,MOD(ROW()-2,10)+1)</f>
        <v>H006</v>
      </c>
      <c r="C107">
        <f>_xlfn.XLOOKUP(B107,Dim_Hotel!$A$2:$A$11,Dim_Hotel!$F$2:$F$11)</f>
        <v>311</v>
      </c>
      <c r="D107">
        <f t="shared" si="9"/>
        <v>171</v>
      </c>
      <c r="E107">
        <f t="shared" si="10"/>
        <v>0.54983922829581988</v>
      </c>
      <c r="F107">
        <f t="shared" si="11"/>
        <v>190</v>
      </c>
      <c r="G107">
        <f t="shared" si="12"/>
        <v>104.46945337620578</v>
      </c>
      <c r="H107" t="str">
        <f>_xlfn.XLOOKUP(A107,Fact_Events!$D$2:$D$20,Fact_Events!$A$2:$A$20, "")</f>
        <v/>
      </c>
      <c r="I107">
        <f t="shared" si="13"/>
        <v>0</v>
      </c>
      <c r="J107" t="str">
        <f>_xlfn.XLOOKUP(H107, Fact_Events!$A$2:$A$20, Fact_Events!$F$2:$F$20, "")</f>
        <v/>
      </c>
      <c r="K107" t="str">
        <f t="shared" si="14"/>
        <v>Low</v>
      </c>
      <c r="L107">
        <f t="shared" si="15"/>
        <v>0.55000000000000004</v>
      </c>
      <c r="M107">
        <f>_xlfn.XLOOKUP(B107, Dim_Hotel!$A$2:$A$11, Dim_Hotel!$I$2:$I$11)
 + (IF(J107="",0,J107)
    * _xlfn.XLOOKUP(B107, Dim_Hotel!$A$2:$A$11, Dim_Hotel!$J$2:$J$11))</f>
        <v>190</v>
      </c>
    </row>
    <row r="108" spans="1:13" x14ac:dyDescent="0.25">
      <c r="A108" s="1">
        <f t="shared" si="8"/>
        <v>46033</v>
      </c>
      <c r="B108" t="str" cm="1">
        <f t="array" ref="B108">INDEX(HotelList,MOD(ROW()-2,10)+1)</f>
        <v>H007</v>
      </c>
      <c r="C108">
        <f>_xlfn.XLOOKUP(B108,Dim_Hotel!$A$2:$A$11,Dim_Hotel!$F$2:$F$11)</f>
        <v>132</v>
      </c>
      <c r="D108">
        <f t="shared" si="9"/>
        <v>73</v>
      </c>
      <c r="E108">
        <f t="shared" si="10"/>
        <v>0.55303030303030298</v>
      </c>
      <c r="F108">
        <f t="shared" si="11"/>
        <v>165</v>
      </c>
      <c r="G108">
        <f t="shared" si="12"/>
        <v>91.249999999999986</v>
      </c>
      <c r="H108" t="str">
        <f>_xlfn.XLOOKUP(A108,Fact_Events!$D$2:$D$20,Fact_Events!$A$2:$A$20, "")</f>
        <v/>
      </c>
      <c r="I108">
        <f t="shared" si="13"/>
        <v>0</v>
      </c>
      <c r="J108" t="str">
        <f>_xlfn.XLOOKUP(H108, Fact_Events!$A$2:$A$20, Fact_Events!$F$2:$F$20, "")</f>
        <v/>
      </c>
      <c r="K108" t="str">
        <f t="shared" si="14"/>
        <v>Low</v>
      </c>
      <c r="L108">
        <f t="shared" si="15"/>
        <v>0.55000000000000004</v>
      </c>
      <c r="M108">
        <f>_xlfn.XLOOKUP(B108, Dim_Hotel!$A$2:$A$11, Dim_Hotel!$I$2:$I$11)
 + (IF(J108="",0,J108)
    * _xlfn.XLOOKUP(B108, Dim_Hotel!$A$2:$A$11, Dim_Hotel!$J$2:$J$11))</f>
        <v>165</v>
      </c>
    </row>
    <row r="109" spans="1:13" x14ac:dyDescent="0.25">
      <c r="A109" s="1">
        <f t="shared" si="8"/>
        <v>46033</v>
      </c>
      <c r="B109" t="str" cm="1">
        <f t="array" ref="B109">INDEX(HotelList,MOD(ROW()-2,10)+1)</f>
        <v>H008</v>
      </c>
      <c r="C109">
        <f>_xlfn.XLOOKUP(B109,Dim_Hotel!$A$2:$A$11,Dim_Hotel!$F$2:$F$11)</f>
        <v>103</v>
      </c>
      <c r="D109">
        <f t="shared" si="9"/>
        <v>57</v>
      </c>
      <c r="E109">
        <f t="shared" si="10"/>
        <v>0.55339805825242716</v>
      </c>
      <c r="F109">
        <f t="shared" si="11"/>
        <v>140</v>
      </c>
      <c r="G109">
        <f t="shared" si="12"/>
        <v>77.475728155339809</v>
      </c>
      <c r="H109" t="str">
        <f>_xlfn.XLOOKUP(A109,Fact_Events!$D$2:$D$20,Fact_Events!$A$2:$A$20, "")</f>
        <v/>
      </c>
      <c r="I109">
        <f t="shared" si="13"/>
        <v>0</v>
      </c>
      <c r="J109" t="str">
        <f>_xlfn.XLOOKUP(H109, Fact_Events!$A$2:$A$20, Fact_Events!$F$2:$F$20, "")</f>
        <v/>
      </c>
      <c r="K109" t="str">
        <f t="shared" si="14"/>
        <v>Low</v>
      </c>
      <c r="L109">
        <f t="shared" si="15"/>
        <v>0.55000000000000004</v>
      </c>
      <c r="M109">
        <f>_xlfn.XLOOKUP(B109, Dim_Hotel!$A$2:$A$11, Dim_Hotel!$I$2:$I$11)
 + (IF(J109="",0,J109)
    * _xlfn.XLOOKUP(B109, Dim_Hotel!$A$2:$A$11, Dim_Hotel!$J$2:$J$11))</f>
        <v>140</v>
      </c>
    </row>
    <row r="110" spans="1:13" x14ac:dyDescent="0.25">
      <c r="A110" s="1">
        <f t="shared" si="8"/>
        <v>46033</v>
      </c>
      <c r="B110" t="str" cm="1">
        <f t="array" ref="B110">INDEX(HotelList,MOD(ROW()-2,10)+1)</f>
        <v>H009</v>
      </c>
      <c r="C110">
        <f>_xlfn.XLOOKUP(B110,Dim_Hotel!$A$2:$A$11,Dim_Hotel!$F$2:$F$11)</f>
        <v>114</v>
      </c>
      <c r="D110">
        <f t="shared" si="9"/>
        <v>63</v>
      </c>
      <c r="E110">
        <f t="shared" si="10"/>
        <v>0.55263157894736847</v>
      </c>
      <c r="F110">
        <f t="shared" si="11"/>
        <v>185</v>
      </c>
      <c r="G110">
        <f t="shared" si="12"/>
        <v>102.23684210526316</v>
      </c>
      <c r="H110" t="str">
        <f>_xlfn.XLOOKUP(A110,Fact_Events!$D$2:$D$20,Fact_Events!$A$2:$A$20, "")</f>
        <v/>
      </c>
      <c r="I110">
        <f t="shared" si="13"/>
        <v>0</v>
      </c>
      <c r="J110" t="str">
        <f>_xlfn.XLOOKUP(H110, Fact_Events!$A$2:$A$20, Fact_Events!$F$2:$F$20, "")</f>
        <v/>
      </c>
      <c r="K110" t="str">
        <f t="shared" si="14"/>
        <v>Low</v>
      </c>
      <c r="L110">
        <f t="shared" si="15"/>
        <v>0.55000000000000004</v>
      </c>
      <c r="M110">
        <f>_xlfn.XLOOKUP(B110, Dim_Hotel!$A$2:$A$11, Dim_Hotel!$I$2:$I$11)
 + (IF(J110="",0,J110)
    * _xlfn.XLOOKUP(B110, Dim_Hotel!$A$2:$A$11, Dim_Hotel!$J$2:$J$11))</f>
        <v>185</v>
      </c>
    </row>
    <row r="111" spans="1:13" x14ac:dyDescent="0.25">
      <c r="A111" s="1">
        <f t="shared" si="8"/>
        <v>46033</v>
      </c>
      <c r="B111" t="str" cm="1">
        <f t="array" ref="B111">INDEX(HotelList,MOD(ROW()-2,10)+1)</f>
        <v>H010</v>
      </c>
      <c r="C111">
        <f>_xlfn.XLOOKUP(B111,Dim_Hotel!$A$2:$A$11,Dim_Hotel!$F$2:$F$11)</f>
        <v>89</v>
      </c>
      <c r="D111">
        <f t="shared" si="9"/>
        <v>49</v>
      </c>
      <c r="E111">
        <f t="shared" si="10"/>
        <v>0.550561797752809</v>
      </c>
      <c r="F111">
        <f t="shared" si="11"/>
        <v>150</v>
      </c>
      <c r="G111">
        <f t="shared" si="12"/>
        <v>82.584269662921344</v>
      </c>
      <c r="H111" t="str">
        <f>_xlfn.XLOOKUP(A111,Fact_Events!$D$2:$D$20,Fact_Events!$A$2:$A$20, "")</f>
        <v/>
      </c>
      <c r="I111">
        <f t="shared" si="13"/>
        <v>0</v>
      </c>
      <c r="J111" t="str">
        <f>_xlfn.XLOOKUP(H111, Fact_Events!$A$2:$A$20, Fact_Events!$F$2:$F$20, "")</f>
        <v/>
      </c>
      <c r="K111" t="str">
        <f t="shared" si="14"/>
        <v>Low</v>
      </c>
      <c r="L111">
        <f t="shared" si="15"/>
        <v>0.55000000000000004</v>
      </c>
      <c r="M111">
        <f>_xlfn.XLOOKUP(B111, Dim_Hotel!$A$2:$A$11, Dim_Hotel!$I$2:$I$11)
 + (IF(J111="",0,J111)
    * _xlfn.XLOOKUP(B111, Dim_Hotel!$A$2:$A$11, Dim_Hotel!$J$2:$J$11))</f>
        <v>150</v>
      </c>
    </row>
    <row r="112" spans="1:13" x14ac:dyDescent="0.25">
      <c r="A112" s="1">
        <f t="shared" si="8"/>
        <v>46034</v>
      </c>
      <c r="B112" t="str" cm="1">
        <f t="array" ref="B112">INDEX(HotelList,MOD(ROW()-2,10)+1)</f>
        <v>H001</v>
      </c>
      <c r="C112">
        <f>_xlfn.XLOOKUP(B112,Dim_Hotel!$A$2:$A$11,Dim_Hotel!$F$2:$F$11)</f>
        <v>888</v>
      </c>
      <c r="D112">
        <f t="shared" si="9"/>
        <v>488</v>
      </c>
      <c r="E112">
        <f t="shared" si="10"/>
        <v>0.5495495495495496</v>
      </c>
      <c r="F112">
        <f t="shared" si="11"/>
        <v>260</v>
      </c>
      <c r="G112">
        <f t="shared" si="12"/>
        <v>142.88288288288288</v>
      </c>
      <c r="H112" t="str">
        <f>_xlfn.XLOOKUP(A112,Fact_Events!$D$2:$D$20,Fact_Events!$A$2:$A$20, "")</f>
        <v/>
      </c>
      <c r="I112">
        <f t="shared" si="13"/>
        <v>0</v>
      </c>
      <c r="J112" t="str">
        <f>_xlfn.XLOOKUP(H112, Fact_Events!$A$2:$A$20, Fact_Events!$F$2:$F$20, "")</f>
        <v/>
      </c>
      <c r="K112" t="str">
        <f t="shared" si="14"/>
        <v>Low</v>
      </c>
      <c r="L112">
        <f t="shared" si="15"/>
        <v>0.55000000000000004</v>
      </c>
      <c r="M112">
        <f>_xlfn.XLOOKUP(B112, Dim_Hotel!$A$2:$A$11, Dim_Hotel!$I$2:$I$11)
 + (IF(J112="",0,J112)
    * _xlfn.XLOOKUP(B112, Dim_Hotel!$A$2:$A$11, Dim_Hotel!$J$2:$J$11))</f>
        <v>260</v>
      </c>
    </row>
    <row r="113" spans="1:13" x14ac:dyDescent="0.25">
      <c r="A113" s="1">
        <f t="shared" si="8"/>
        <v>46034</v>
      </c>
      <c r="B113" t="str" cm="1">
        <f t="array" ref="B113">INDEX(HotelList,MOD(ROW()-2,10)+1)</f>
        <v>H002</v>
      </c>
      <c r="C113">
        <f>_xlfn.XLOOKUP(B113,Dim_Hotel!$A$2:$A$11,Dim_Hotel!$F$2:$F$11)</f>
        <v>147</v>
      </c>
      <c r="D113">
        <f t="shared" si="9"/>
        <v>81</v>
      </c>
      <c r="E113">
        <f t="shared" si="10"/>
        <v>0.55102040816326525</v>
      </c>
      <c r="F113">
        <f t="shared" si="11"/>
        <v>175</v>
      </c>
      <c r="G113">
        <f t="shared" si="12"/>
        <v>96.428571428571416</v>
      </c>
      <c r="H113" t="str">
        <f>_xlfn.XLOOKUP(A113,Fact_Events!$D$2:$D$20,Fact_Events!$A$2:$A$20, "")</f>
        <v/>
      </c>
      <c r="I113">
        <f t="shared" si="13"/>
        <v>0</v>
      </c>
      <c r="J113" t="str">
        <f>_xlfn.XLOOKUP(H113, Fact_Events!$A$2:$A$20, Fact_Events!$F$2:$F$20, "")</f>
        <v/>
      </c>
      <c r="K113" t="str">
        <f t="shared" si="14"/>
        <v>Low</v>
      </c>
      <c r="L113">
        <f t="shared" si="15"/>
        <v>0.55000000000000004</v>
      </c>
      <c r="M113">
        <f>_xlfn.XLOOKUP(B113, Dim_Hotel!$A$2:$A$11, Dim_Hotel!$I$2:$I$11)
 + (IF(J113="",0,J113)
    * _xlfn.XLOOKUP(B113, Dim_Hotel!$A$2:$A$11, Dim_Hotel!$J$2:$J$11))</f>
        <v>175</v>
      </c>
    </row>
    <row r="114" spans="1:13" x14ac:dyDescent="0.25">
      <c r="A114" s="1">
        <f t="shared" si="8"/>
        <v>46034</v>
      </c>
      <c r="B114" t="str" cm="1">
        <f t="array" ref="B114">INDEX(HotelList,MOD(ROW()-2,10)+1)</f>
        <v>H003</v>
      </c>
      <c r="C114">
        <f>_xlfn.XLOOKUP(B114,Dim_Hotel!$A$2:$A$11,Dim_Hotel!$F$2:$F$11)</f>
        <v>121</v>
      </c>
      <c r="D114">
        <f t="shared" si="9"/>
        <v>67</v>
      </c>
      <c r="E114">
        <f t="shared" si="10"/>
        <v>0.55371900826446285</v>
      </c>
      <c r="F114">
        <f t="shared" si="11"/>
        <v>145</v>
      </c>
      <c r="G114">
        <f t="shared" si="12"/>
        <v>80.289256198347118</v>
      </c>
      <c r="H114" t="str">
        <f>_xlfn.XLOOKUP(A114,Fact_Events!$D$2:$D$20,Fact_Events!$A$2:$A$20, "")</f>
        <v/>
      </c>
      <c r="I114">
        <f t="shared" si="13"/>
        <v>0</v>
      </c>
      <c r="J114" t="str">
        <f>_xlfn.XLOOKUP(H114, Fact_Events!$A$2:$A$20, Fact_Events!$F$2:$F$20, "")</f>
        <v/>
      </c>
      <c r="K114" t="str">
        <f t="shared" si="14"/>
        <v>Low</v>
      </c>
      <c r="L114">
        <f t="shared" si="15"/>
        <v>0.55000000000000004</v>
      </c>
      <c r="M114">
        <f>_xlfn.XLOOKUP(B114, Dim_Hotel!$A$2:$A$11, Dim_Hotel!$I$2:$I$11)
 + (IF(J114="",0,J114)
    * _xlfn.XLOOKUP(B114, Dim_Hotel!$A$2:$A$11, Dim_Hotel!$J$2:$J$11))</f>
        <v>145</v>
      </c>
    </row>
    <row r="115" spans="1:13" x14ac:dyDescent="0.25">
      <c r="A115" s="1">
        <f t="shared" si="8"/>
        <v>46034</v>
      </c>
      <c r="B115" t="str" cm="1">
        <f t="array" ref="B115">INDEX(HotelList,MOD(ROW()-2,10)+1)</f>
        <v>H004</v>
      </c>
      <c r="C115">
        <f>_xlfn.XLOOKUP(B115,Dim_Hotel!$A$2:$A$11,Dim_Hotel!$F$2:$F$11)</f>
        <v>108</v>
      </c>
      <c r="D115">
        <f t="shared" si="9"/>
        <v>59</v>
      </c>
      <c r="E115">
        <f t="shared" si="10"/>
        <v>0.54629629629629628</v>
      </c>
      <c r="F115">
        <f t="shared" si="11"/>
        <v>135</v>
      </c>
      <c r="G115">
        <f t="shared" si="12"/>
        <v>73.75</v>
      </c>
      <c r="H115" t="str">
        <f>_xlfn.XLOOKUP(A115,Fact_Events!$D$2:$D$20,Fact_Events!$A$2:$A$20, "")</f>
        <v/>
      </c>
      <c r="I115">
        <f t="shared" si="13"/>
        <v>0</v>
      </c>
      <c r="J115" t="str">
        <f>_xlfn.XLOOKUP(H115, Fact_Events!$A$2:$A$20, Fact_Events!$F$2:$F$20, "")</f>
        <v/>
      </c>
      <c r="K115" t="str">
        <f t="shared" si="14"/>
        <v>Low</v>
      </c>
      <c r="L115">
        <f t="shared" si="15"/>
        <v>0.55000000000000004</v>
      </c>
      <c r="M115">
        <f>_xlfn.XLOOKUP(B115, Dim_Hotel!$A$2:$A$11, Dim_Hotel!$I$2:$I$11)
 + (IF(J115="",0,J115)
    * _xlfn.XLOOKUP(B115, Dim_Hotel!$A$2:$A$11, Dim_Hotel!$J$2:$J$11))</f>
        <v>135</v>
      </c>
    </row>
    <row r="116" spans="1:13" x14ac:dyDescent="0.25">
      <c r="A116" s="1">
        <f t="shared" si="8"/>
        <v>46034</v>
      </c>
      <c r="B116" t="str" cm="1">
        <f t="array" ref="B116">INDEX(HotelList,MOD(ROW()-2,10)+1)</f>
        <v>H005</v>
      </c>
      <c r="C116">
        <f>_xlfn.XLOOKUP(B116,Dim_Hotel!$A$2:$A$11,Dim_Hotel!$F$2:$F$11)</f>
        <v>66</v>
      </c>
      <c r="D116">
        <f t="shared" si="9"/>
        <v>36</v>
      </c>
      <c r="E116">
        <f t="shared" si="10"/>
        <v>0.54545454545454541</v>
      </c>
      <c r="F116">
        <f t="shared" si="11"/>
        <v>82</v>
      </c>
      <c r="G116">
        <f t="shared" si="12"/>
        <v>44.727272727272727</v>
      </c>
      <c r="H116" t="str">
        <f>_xlfn.XLOOKUP(A116,Fact_Events!$D$2:$D$20,Fact_Events!$A$2:$A$20, "")</f>
        <v/>
      </c>
      <c r="I116">
        <f t="shared" si="13"/>
        <v>0</v>
      </c>
      <c r="J116" t="str">
        <f>_xlfn.XLOOKUP(H116, Fact_Events!$A$2:$A$20, Fact_Events!$F$2:$F$20, "")</f>
        <v/>
      </c>
      <c r="K116" t="str">
        <f t="shared" si="14"/>
        <v>Low</v>
      </c>
      <c r="L116">
        <f t="shared" si="15"/>
        <v>0.55000000000000004</v>
      </c>
      <c r="M116">
        <f>_xlfn.XLOOKUP(B116, Dim_Hotel!$A$2:$A$11, Dim_Hotel!$I$2:$I$11)
 + (IF(J116="",0,J116)
    * _xlfn.XLOOKUP(B116, Dim_Hotel!$A$2:$A$11, Dim_Hotel!$J$2:$J$11))</f>
        <v>82</v>
      </c>
    </row>
    <row r="117" spans="1:13" x14ac:dyDescent="0.25">
      <c r="A117" s="1">
        <f t="shared" si="8"/>
        <v>46034</v>
      </c>
      <c r="B117" t="str" cm="1">
        <f t="array" ref="B117">INDEX(HotelList,MOD(ROW()-2,10)+1)</f>
        <v>H006</v>
      </c>
      <c r="C117">
        <f>_xlfn.XLOOKUP(B117,Dim_Hotel!$A$2:$A$11,Dim_Hotel!$F$2:$F$11)</f>
        <v>311</v>
      </c>
      <c r="D117">
        <f t="shared" si="9"/>
        <v>171</v>
      </c>
      <c r="E117">
        <f t="shared" si="10"/>
        <v>0.54983922829581988</v>
      </c>
      <c r="F117">
        <f t="shared" si="11"/>
        <v>190</v>
      </c>
      <c r="G117">
        <f t="shared" si="12"/>
        <v>104.46945337620578</v>
      </c>
      <c r="H117" t="str">
        <f>_xlfn.XLOOKUP(A117,Fact_Events!$D$2:$D$20,Fact_Events!$A$2:$A$20, "")</f>
        <v/>
      </c>
      <c r="I117">
        <f t="shared" si="13"/>
        <v>0</v>
      </c>
      <c r="J117" t="str">
        <f>_xlfn.XLOOKUP(H117, Fact_Events!$A$2:$A$20, Fact_Events!$F$2:$F$20, "")</f>
        <v/>
      </c>
      <c r="K117" t="str">
        <f t="shared" si="14"/>
        <v>Low</v>
      </c>
      <c r="L117">
        <f t="shared" si="15"/>
        <v>0.55000000000000004</v>
      </c>
      <c r="M117">
        <f>_xlfn.XLOOKUP(B117, Dim_Hotel!$A$2:$A$11, Dim_Hotel!$I$2:$I$11)
 + (IF(J117="",0,J117)
    * _xlfn.XLOOKUP(B117, Dim_Hotel!$A$2:$A$11, Dim_Hotel!$J$2:$J$11))</f>
        <v>190</v>
      </c>
    </row>
    <row r="118" spans="1:13" x14ac:dyDescent="0.25">
      <c r="A118" s="1">
        <f t="shared" si="8"/>
        <v>46034</v>
      </c>
      <c r="B118" t="str" cm="1">
        <f t="array" ref="B118">INDEX(HotelList,MOD(ROW()-2,10)+1)</f>
        <v>H007</v>
      </c>
      <c r="C118">
        <f>_xlfn.XLOOKUP(B118,Dim_Hotel!$A$2:$A$11,Dim_Hotel!$F$2:$F$11)</f>
        <v>132</v>
      </c>
      <c r="D118">
        <f t="shared" si="9"/>
        <v>73</v>
      </c>
      <c r="E118">
        <f t="shared" si="10"/>
        <v>0.55303030303030298</v>
      </c>
      <c r="F118">
        <f t="shared" si="11"/>
        <v>165</v>
      </c>
      <c r="G118">
        <f t="shared" si="12"/>
        <v>91.249999999999986</v>
      </c>
      <c r="H118" t="str">
        <f>_xlfn.XLOOKUP(A118,Fact_Events!$D$2:$D$20,Fact_Events!$A$2:$A$20, "")</f>
        <v/>
      </c>
      <c r="I118">
        <f t="shared" si="13"/>
        <v>0</v>
      </c>
      <c r="J118" t="str">
        <f>_xlfn.XLOOKUP(H118, Fact_Events!$A$2:$A$20, Fact_Events!$F$2:$F$20, "")</f>
        <v/>
      </c>
      <c r="K118" t="str">
        <f t="shared" si="14"/>
        <v>Low</v>
      </c>
      <c r="L118">
        <f t="shared" si="15"/>
        <v>0.55000000000000004</v>
      </c>
      <c r="M118">
        <f>_xlfn.XLOOKUP(B118, Dim_Hotel!$A$2:$A$11, Dim_Hotel!$I$2:$I$11)
 + (IF(J118="",0,J118)
    * _xlfn.XLOOKUP(B118, Dim_Hotel!$A$2:$A$11, Dim_Hotel!$J$2:$J$11))</f>
        <v>165</v>
      </c>
    </row>
    <row r="119" spans="1:13" x14ac:dyDescent="0.25">
      <c r="A119" s="1">
        <f t="shared" si="8"/>
        <v>46034</v>
      </c>
      <c r="B119" t="str" cm="1">
        <f t="array" ref="B119">INDEX(HotelList,MOD(ROW()-2,10)+1)</f>
        <v>H008</v>
      </c>
      <c r="C119">
        <f>_xlfn.XLOOKUP(B119,Dim_Hotel!$A$2:$A$11,Dim_Hotel!$F$2:$F$11)</f>
        <v>103</v>
      </c>
      <c r="D119">
        <f t="shared" si="9"/>
        <v>57</v>
      </c>
      <c r="E119">
        <f t="shared" si="10"/>
        <v>0.55339805825242716</v>
      </c>
      <c r="F119">
        <f t="shared" si="11"/>
        <v>140</v>
      </c>
      <c r="G119">
        <f t="shared" si="12"/>
        <v>77.475728155339809</v>
      </c>
      <c r="H119" t="str">
        <f>_xlfn.XLOOKUP(A119,Fact_Events!$D$2:$D$20,Fact_Events!$A$2:$A$20, "")</f>
        <v/>
      </c>
      <c r="I119">
        <f t="shared" si="13"/>
        <v>0</v>
      </c>
      <c r="J119" t="str">
        <f>_xlfn.XLOOKUP(H119, Fact_Events!$A$2:$A$20, Fact_Events!$F$2:$F$20, "")</f>
        <v/>
      </c>
      <c r="K119" t="str">
        <f t="shared" si="14"/>
        <v>Low</v>
      </c>
      <c r="L119">
        <f t="shared" si="15"/>
        <v>0.55000000000000004</v>
      </c>
      <c r="M119">
        <f>_xlfn.XLOOKUP(B119, Dim_Hotel!$A$2:$A$11, Dim_Hotel!$I$2:$I$11)
 + (IF(J119="",0,J119)
    * _xlfn.XLOOKUP(B119, Dim_Hotel!$A$2:$A$11, Dim_Hotel!$J$2:$J$11))</f>
        <v>140</v>
      </c>
    </row>
    <row r="120" spans="1:13" x14ac:dyDescent="0.25">
      <c r="A120" s="1">
        <f t="shared" si="8"/>
        <v>46034</v>
      </c>
      <c r="B120" t="str" cm="1">
        <f t="array" ref="B120">INDEX(HotelList,MOD(ROW()-2,10)+1)</f>
        <v>H009</v>
      </c>
      <c r="C120">
        <f>_xlfn.XLOOKUP(B120,Dim_Hotel!$A$2:$A$11,Dim_Hotel!$F$2:$F$11)</f>
        <v>114</v>
      </c>
      <c r="D120">
        <f t="shared" si="9"/>
        <v>63</v>
      </c>
      <c r="E120">
        <f t="shared" si="10"/>
        <v>0.55263157894736847</v>
      </c>
      <c r="F120">
        <f t="shared" si="11"/>
        <v>185</v>
      </c>
      <c r="G120">
        <f t="shared" si="12"/>
        <v>102.23684210526316</v>
      </c>
      <c r="H120" t="str">
        <f>_xlfn.XLOOKUP(A120,Fact_Events!$D$2:$D$20,Fact_Events!$A$2:$A$20, "")</f>
        <v/>
      </c>
      <c r="I120">
        <f t="shared" si="13"/>
        <v>0</v>
      </c>
      <c r="J120" t="str">
        <f>_xlfn.XLOOKUP(H120, Fact_Events!$A$2:$A$20, Fact_Events!$F$2:$F$20, "")</f>
        <v/>
      </c>
      <c r="K120" t="str">
        <f t="shared" si="14"/>
        <v>Low</v>
      </c>
      <c r="L120">
        <f t="shared" si="15"/>
        <v>0.55000000000000004</v>
      </c>
      <c r="M120">
        <f>_xlfn.XLOOKUP(B120, Dim_Hotel!$A$2:$A$11, Dim_Hotel!$I$2:$I$11)
 + (IF(J120="",0,J120)
    * _xlfn.XLOOKUP(B120, Dim_Hotel!$A$2:$A$11, Dim_Hotel!$J$2:$J$11))</f>
        <v>185</v>
      </c>
    </row>
    <row r="121" spans="1:13" x14ac:dyDescent="0.25">
      <c r="A121" s="1">
        <f t="shared" si="8"/>
        <v>46034</v>
      </c>
      <c r="B121" t="str" cm="1">
        <f t="array" ref="B121">INDEX(HotelList,MOD(ROW()-2,10)+1)</f>
        <v>H010</v>
      </c>
      <c r="C121">
        <f>_xlfn.XLOOKUP(B121,Dim_Hotel!$A$2:$A$11,Dim_Hotel!$F$2:$F$11)</f>
        <v>89</v>
      </c>
      <c r="D121">
        <f t="shared" si="9"/>
        <v>49</v>
      </c>
      <c r="E121">
        <f t="shared" si="10"/>
        <v>0.550561797752809</v>
      </c>
      <c r="F121">
        <f t="shared" si="11"/>
        <v>150</v>
      </c>
      <c r="G121">
        <f t="shared" si="12"/>
        <v>82.584269662921344</v>
      </c>
      <c r="H121" t="str">
        <f>_xlfn.XLOOKUP(A121,Fact_Events!$D$2:$D$20,Fact_Events!$A$2:$A$20, "")</f>
        <v/>
      </c>
      <c r="I121">
        <f t="shared" si="13"/>
        <v>0</v>
      </c>
      <c r="J121" t="str">
        <f>_xlfn.XLOOKUP(H121, Fact_Events!$A$2:$A$20, Fact_Events!$F$2:$F$20, "")</f>
        <v/>
      </c>
      <c r="K121" t="str">
        <f t="shared" si="14"/>
        <v>Low</v>
      </c>
      <c r="L121">
        <f t="shared" si="15"/>
        <v>0.55000000000000004</v>
      </c>
      <c r="M121">
        <f>_xlfn.XLOOKUP(B121, Dim_Hotel!$A$2:$A$11, Dim_Hotel!$I$2:$I$11)
 + (IF(J121="",0,J121)
    * _xlfn.XLOOKUP(B121, Dim_Hotel!$A$2:$A$11, Dim_Hotel!$J$2:$J$11))</f>
        <v>150</v>
      </c>
    </row>
    <row r="122" spans="1:13" x14ac:dyDescent="0.25">
      <c r="A122" s="1">
        <f t="shared" si="8"/>
        <v>46035</v>
      </c>
      <c r="B122" t="str" cm="1">
        <f t="array" ref="B122">INDEX(HotelList,MOD(ROW()-2,10)+1)</f>
        <v>H001</v>
      </c>
      <c r="C122">
        <f>_xlfn.XLOOKUP(B122,Dim_Hotel!$A$2:$A$11,Dim_Hotel!$F$2:$F$11)</f>
        <v>888</v>
      </c>
      <c r="D122">
        <f t="shared" si="9"/>
        <v>488</v>
      </c>
      <c r="E122">
        <f t="shared" si="10"/>
        <v>0.5495495495495496</v>
      </c>
      <c r="F122">
        <f t="shared" si="11"/>
        <v>260</v>
      </c>
      <c r="G122">
        <f t="shared" si="12"/>
        <v>142.88288288288288</v>
      </c>
      <c r="H122" t="str">
        <f>_xlfn.XLOOKUP(A122,Fact_Events!$D$2:$D$20,Fact_Events!$A$2:$A$20, "")</f>
        <v/>
      </c>
      <c r="I122">
        <f t="shared" si="13"/>
        <v>0</v>
      </c>
      <c r="J122" t="str">
        <f>_xlfn.XLOOKUP(H122, Fact_Events!$A$2:$A$20, Fact_Events!$F$2:$F$20, "")</f>
        <v/>
      </c>
      <c r="K122" t="str">
        <f t="shared" si="14"/>
        <v>Low</v>
      </c>
      <c r="L122">
        <f t="shared" si="15"/>
        <v>0.55000000000000004</v>
      </c>
      <c r="M122">
        <f>_xlfn.XLOOKUP(B122, Dim_Hotel!$A$2:$A$11, Dim_Hotel!$I$2:$I$11)
 + (IF(J122="",0,J122)
    * _xlfn.XLOOKUP(B122, Dim_Hotel!$A$2:$A$11, Dim_Hotel!$J$2:$J$11))</f>
        <v>260</v>
      </c>
    </row>
    <row r="123" spans="1:13" x14ac:dyDescent="0.25">
      <c r="A123" s="1">
        <f t="shared" si="8"/>
        <v>46035</v>
      </c>
      <c r="B123" t="str" cm="1">
        <f t="array" ref="B123">INDEX(HotelList,MOD(ROW()-2,10)+1)</f>
        <v>H002</v>
      </c>
      <c r="C123">
        <f>_xlfn.XLOOKUP(B123,Dim_Hotel!$A$2:$A$11,Dim_Hotel!$F$2:$F$11)</f>
        <v>147</v>
      </c>
      <c r="D123">
        <f t="shared" si="9"/>
        <v>81</v>
      </c>
      <c r="E123">
        <f t="shared" si="10"/>
        <v>0.55102040816326525</v>
      </c>
      <c r="F123">
        <f t="shared" si="11"/>
        <v>175</v>
      </c>
      <c r="G123">
        <f t="shared" si="12"/>
        <v>96.428571428571416</v>
      </c>
      <c r="H123" t="str">
        <f>_xlfn.XLOOKUP(A123,Fact_Events!$D$2:$D$20,Fact_Events!$A$2:$A$20, "")</f>
        <v/>
      </c>
      <c r="I123">
        <f t="shared" si="13"/>
        <v>0</v>
      </c>
      <c r="J123" t="str">
        <f>_xlfn.XLOOKUP(H123, Fact_Events!$A$2:$A$20, Fact_Events!$F$2:$F$20, "")</f>
        <v/>
      </c>
      <c r="K123" t="str">
        <f t="shared" si="14"/>
        <v>Low</v>
      </c>
      <c r="L123">
        <f t="shared" si="15"/>
        <v>0.55000000000000004</v>
      </c>
      <c r="M123">
        <f>_xlfn.XLOOKUP(B123, Dim_Hotel!$A$2:$A$11, Dim_Hotel!$I$2:$I$11)
 + (IF(J123="",0,J123)
    * _xlfn.XLOOKUP(B123, Dim_Hotel!$A$2:$A$11, Dim_Hotel!$J$2:$J$11))</f>
        <v>175</v>
      </c>
    </row>
    <row r="124" spans="1:13" x14ac:dyDescent="0.25">
      <c r="A124" s="1">
        <f t="shared" si="8"/>
        <v>46035</v>
      </c>
      <c r="B124" t="str" cm="1">
        <f t="array" ref="B124">INDEX(HotelList,MOD(ROW()-2,10)+1)</f>
        <v>H003</v>
      </c>
      <c r="C124">
        <f>_xlfn.XLOOKUP(B124,Dim_Hotel!$A$2:$A$11,Dim_Hotel!$F$2:$F$11)</f>
        <v>121</v>
      </c>
      <c r="D124">
        <f t="shared" si="9"/>
        <v>67</v>
      </c>
      <c r="E124">
        <f t="shared" si="10"/>
        <v>0.55371900826446285</v>
      </c>
      <c r="F124">
        <f t="shared" si="11"/>
        <v>145</v>
      </c>
      <c r="G124">
        <f t="shared" si="12"/>
        <v>80.289256198347118</v>
      </c>
      <c r="H124" t="str">
        <f>_xlfn.XLOOKUP(A124,Fact_Events!$D$2:$D$20,Fact_Events!$A$2:$A$20, "")</f>
        <v/>
      </c>
      <c r="I124">
        <f t="shared" si="13"/>
        <v>0</v>
      </c>
      <c r="J124" t="str">
        <f>_xlfn.XLOOKUP(H124, Fact_Events!$A$2:$A$20, Fact_Events!$F$2:$F$20, "")</f>
        <v/>
      </c>
      <c r="K124" t="str">
        <f t="shared" si="14"/>
        <v>Low</v>
      </c>
      <c r="L124">
        <f t="shared" si="15"/>
        <v>0.55000000000000004</v>
      </c>
      <c r="M124">
        <f>_xlfn.XLOOKUP(B124, Dim_Hotel!$A$2:$A$11, Dim_Hotel!$I$2:$I$11)
 + (IF(J124="",0,J124)
    * _xlfn.XLOOKUP(B124, Dim_Hotel!$A$2:$A$11, Dim_Hotel!$J$2:$J$11))</f>
        <v>145</v>
      </c>
    </row>
    <row r="125" spans="1:13" x14ac:dyDescent="0.25">
      <c r="A125" s="1">
        <f t="shared" si="8"/>
        <v>46035</v>
      </c>
      <c r="B125" t="str" cm="1">
        <f t="array" ref="B125">INDEX(HotelList,MOD(ROW()-2,10)+1)</f>
        <v>H004</v>
      </c>
      <c r="C125">
        <f>_xlfn.XLOOKUP(B125,Dim_Hotel!$A$2:$A$11,Dim_Hotel!$F$2:$F$11)</f>
        <v>108</v>
      </c>
      <c r="D125">
        <f t="shared" si="9"/>
        <v>59</v>
      </c>
      <c r="E125">
        <f t="shared" si="10"/>
        <v>0.54629629629629628</v>
      </c>
      <c r="F125">
        <f t="shared" si="11"/>
        <v>135</v>
      </c>
      <c r="G125">
        <f t="shared" si="12"/>
        <v>73.75</v>
      </c>
      <c r="H125" t="str">
        <f>_xlfn.XLOOKUP(A125,Fact_Events!$D$2:$D$20,Fact_Events!$A$2:$A$20, "")</f>
        <v/>
      </c>
      <c r="I125">
        <f t="shared" si="13"/>
        <v>0</v>
      </c>
      <c r="J125" t="str">
        <f>_xlfn.XLOOKUP(H125, Fact_Events!$A$2:$A$20, Fact_Events!$F$2:$F$20, "")</f>
        <v/>
      </c>
      <c r="K125" t="str">
        <f t="shared" si="14"/>
        <v>Low</v>
      </c>
      <c r="L125">
        <f t="shared" si="15"/>
        <v>0.55000000000000004</v>
      </c>
      <c r="M125">
        <f>_xlfn.XLOOKUP(B125, Dim_Hotel!$A$2:$A$11, Dim_Hotel!$I$2:$I$11)
 + (IF(J125="",0,J125)
    * _xlfn.XLOOKUP(B125, Dim_Hotel!$A$2:$A$11, Dim_Hotel!$J$2:$J$11))</f>
        <v>135</v>
      </c>
    </row>
    <row r="126" spans="1:13" x14ac:dyDescent="0.25">
      <c r="A126" s="1">
        <f t="shared" si="8"/>
        <v>46035</v>
      </c>
      <c r="B126" t="str" cm="1">
        <f t="array" ref="B126">INDEX(HotelList,MOD(ROW()-2,10)+1)</f>
        <v>H005</v>
      </c>
      <c r="C126">
        <f>_xlfn.XLOOKUP(B126,Dim_Hotel!$A$2:$A$11,Dim_Hotel!$F$2:$F$11)</f>
        <v>66</v>
      </c>
      <c r="D126">
        <f t="shared" si="9"/>
        <v>36</v>
      </c>
      <c r="E126">
        <f t="shared" si="10"/>
        <v>0.54545454545454541</v>
      </c>
      <c r="F126">
        <f t="shared" si="11"/>
        <v>82</v>
      </c>
      <c r="G126">
        <f t="shared" si="12"/>
        <v>44.727272727272727</v>
      </c>
      <c r="H126" t="str">
        <f>_xlfn.XLOOKUP(A126,Fact_Events!$D$2:$D$20,Fact_Events!$A$2:$A$20, "")</f>
        <v/>
      </c>
      <c r="I126">
        <f t="shared" si="13"/>
        <v>0</v>
      </c>
      <c r="J126" t="str">
        <f>_xlfn.XLOOKUP(H126, Fact_Events!$A$2:$A$20, Fact_Events!$F$2:$F$20, "")</f>
        <v/>
      </c>
      <c r="K126" t="str">
        <f t="shared" si="14"/>
        <v>Low</v>
      </c>
      <c r="L126">
        <f t="shared" si="15"/>
        <v>0.55000000000000004</v>
      </c>
      <c r="M126">
        <f>_xlfn.XLOOKUP(B126, Dim_Hotel!$A$2:$A$11, Dim_Hotel!$I$2:$I$11)
 + (IF(J126="",0,J126)
    * _xlfn.XLOOKUP(B126, Dim_Hotel!$A$2:$A$11, Dim_Hotel!$J$2:$J$11))</f>
        <v>82</v>
      </c>
    </row>
    <row r="127" spans="1:13" x14ac:dyDescent="0.25">
      <c r="A127" s="1">
        <f t="shared" si="8"/>
        <v>46035</v>
      </c>
      <c r="B127" t="str" cm="1">
        <f t="array" ref="B127">INDEX(HotelList,MOD(ROW()-2,10)+1)</f>
        <v>H006</v>
      </c>
      <c r="C127">
        <f>_xlfn.XLOOKUP(B127,Dim_Hotel!$A$2:$A$11,Dim_Hotel!$F$2:$F$11)</f>
        <v>311</v>
      </c>
      <c r="D127">
        <f t="shared" si="9"/>
        <v>171</v>
      </c>
      <c r="E127">
        <f t="shared" si="10"/>
        <v>0.54983922829581988</v>
      </c>
      <c r="F127">
        <f t="shared" si="11"/>
        <v>190</v>
      </c>
      <c r="G127">
        <f t="shared" si="12"/>
        <v>104.46945337620578</v>
      </c>
      <c r="H127" t="str">
        <f>_xlfn.XLOOKUP(A127,Fact_Events!$D$2:$D$20,Fact_Events!$A$2:$A$20, "")</f>
        <v/>
      </c>
      <c r="I127">
        <f t="shared" si="13"/>
        <v>0</v>
      </c>
      <c r="J127" t="str">
        <f>_xlfn.XLOOKUP(H127, Fact_Events!$A$2:$A$20, Fact_Events!$F$2:$F$20, "")</f>
        <v/>
      </c>
      <c r="K127" t="str">
        <f t="shared" si="14"/>
        <v>Low</v>
      </c>
      <c r="L127">
        <f t="shared" si="15"/>
        <v>0.55000000000000004</v>
      </c>
      <c r="M127">
        <f>_xlfn.XLOOKUP(B127, Dim_Hotel!$A$2:$A$11, Dim_Hotel!$I$2:$I$11)
 + (IF(J127="",0,J127)
    * _xlfn.XLOOKUP(B127, Dim_Hotel!$A$2:$A$11, Dim_Hotel!$J$2:$J$11))</f>
        <v>190</v>
      </c>
    </row>
    <row r="128" spans="1:13" x14ac:dyDescent="0.25">
      <c r="A128" s="1">
        <f t="shared" si="8"/>
        <v>46035</v>
      </c>
      <c r="B128" t="str" cm="1">
        <f t="array" ref="B128">INDEX(HotelList,MOD(ROW()-2,10)+1)</f>
        <v>H007</v>
      </c>
      <c r="C128">
        <f>_xlfn.XLOOKUP(B128,Dim_Hotel!$A$2:$A$11,Dim_Hotel!$F$2:$F$11)</f>
        <v>132</v>
      </c>
      <c r="D128">
        <f t="shared" si="9"/>
        <v>73</v>
      </c>
      <c r="E128">
        <f t="shared" si="10"/>
        <v>0.55303030303030298</v>
      </c>
      <c r="F128">
        <f t="shared" si="11"/>
        <v>165</v>
      </c>
      <c r="G128">
        <f t="shared" si="12"/>
        <v>91.249999999999986</v>
      </c>
      <c r="H128" t="str">
        <f>_xlfn.XLOOKUP(A128,Fact_Events!$D$2:$D$20,Fact_Events!$A$2:$A$20, "")</f>
        <v/>
      </c>
      <c r="I128">
        <f t="shared" si="13"/>
        <v>0</v>
      </c>
      <c r="J128" t="str">
        <f>_xlfn.XLOOKUP(H128, Fact_Events!$A$2:$A$20, Fact_Events!$F$2:$F$20, "")</f>
        <v/>
      </c>
      <c r="K128" t="str">
        <f t="shared" si="14"/>
        <v>Low</v>
      </c>
      <c r="L128">
        <f t="shared" si="15"/>
        <v>0.55000000000000004</v>
      </c>
      <c r="M128">
        <f>_xlfn.XLOOKUP(B128, Dim_Hotel!$A$2:$A$11, Dim_Hotel!$I$2:$I$11)
 + (IF(J128="",0,J128)
    * _xlfn.XLOOKUP(B128, Dim_Hotel!$A$2:$A$11, Dim_Hotel!$J$2:$J$11))</f>
        <v>165</v>
      </c>
    </row>
    <row r="129" spans="1:13" x14ac:dyDescent="0.25">
      <c r="A129" s="1">
        <f t="shared" si="8"/>
        <v>46035</v>
      </c>
      <c r="B129" t="str" cm="1">
        <f t="array" ref="B129">INDEX(HotelList,MOD(ROW()-2,10)+1)</f>
        <v>H008</v>
      </c>
      <c r="C129">
        <f>_xlfn.XLOOKUP(B129,Dim_Hotel!$A$2:$A$11,Dim_Hotel!$F$2:$F$11)</f>
        <v>103</v>
      </c>
      <c r="D129">
        <f t="shared" si="9"/>
        <v>57</v>
      </c>
      <c r="E129">
        <f t="shared" si="10"/>
        <v>0.55339805825242716</v>
      </c>
      <c r="F129">
        <f t="shared" si="11"/>
        <v>140</v>
      </c>
      <c r="G129">
        <f t="shared" si="12"/>
        <v>77.475728155339809</v>
      </c>
      <c r="H129" t="str">
        <f>_xlfn.XLOOKUP(A129,Fact_Events!$D$2:$D$20,Fact_Events!$A$2:$A$20, "")</f>
        <v/>
      </c>
      <c r="I129">
        <f t="shared" si="13"/>
        <v>0</v>
      </c>
      <c r="J129" t="str">
        <f>_xlfn.XLOOKUP(H129, Fact_Events!$A$2:$A$20, Fact_Events!$F$2:$F$20, "")</f>
        <v/>
      </c>
      <c r="K129" t="str">
        <f t="shared" si="14"/>
        <v>Low</v>
      </c>
      <c r="L129">
        <f t="shared" si="15"/>
        <v>0.55000000000000004</v>
      </c>
      <c r="M129">
        <f>_xlfn.XLOOKUP(B129, Dim_Hotel!$A$2:$A$11, Dim_Hotel!$I$2:$I$11)
 + (IF(J129="",0,J129)
    * _xlfn.XLOOKUP(B129, Dim_Hotel!$A$2:$A$11, Dim_Hotel!$J$2:$J$11))</f>
        <v>140</v>
      </c>
    </row>
    <row r="130" spans="1:13" x14ac:dyDescent="0.25">
      <c r="A130" s="1">
        <f t="shared" si="8"/>
        <v>46035</v>
      </c>
      <c r="B130" t="str" cm="1">
        <f t="array" ref="B130">INDEX(HotelList,MOD(ROW()-2,10)+1)</f>
        <v>H009</v>
      </c>
      <c r="C130">
        <f>_xlfn.XLOOKUP(B130,Dim_Hotel!$A$2:$A$11,Dim_Hotel!$F$2:$F$11)</f>
        <v>114</v>
      </c>
      <c r="D130">
        <f t="shared" si="9"/>
        <v>63</v>
      </c>
      <c r="E130">
        <f t="shared" si="10"/>
        <v>0.55263157894736847</v>
      </c>
      <c r="F130">
        <f t="shared" si="11"/>
        <v>185</v>
      </c>
      <c r="G130">
        <f t="shared" si="12"/>
        <v>102.23684210526316</v>
      </c>
      <c r="H130" t="str">
        <f>_xlfn.XLOOKUP(A130,Fact_Events!$D$2:$D$20,Fact_Events!$A$2:$A$20, "")</f>
        <v/>
      </c>
      <c r="I130">
        <f t="shared" si="13"/>
        <v>0</v>
      </c>
      <c r="J130" t="str">
        <f>_xlfn.XLOOKUP(H130, Fact_Events!$A$2:$A$20, Fact_Events!$F$2:$F$20, "")</f>
        <v/>
      </c>
      <c r="K130" t="str">
        <f t="shared" si="14"/>
        <v>Low</v>
      </c>
      <c r="L130">
        <f t="shared" si="15"/>
        <v>0.55000000000000004</v>
      </c>
      <c r="M130">
        <f>_xlfn.XLOOKUP(B130, Dim_Hotel!$A$2:$A$11, Dim_Hotel!$I$2:$I$11)
 + (IF(J130="",0,J130)
    * _xlfn.XLOOKUP(B130, Dim_Hotel!$A$2:$A$11, Dim_Hotel!$J$2:$J$11))</f>
        <v>185</v>
      </c>
    </row>
    <row r="131" spans="1:13" x14ac:dyDescent="0.25">
      <c r="A131" s="1">
        <f t="shared" ref="A131:A194" si="16">DATE(2026,1,1) + INT((ROW()-2)/10)</f>
        <v>46035</v>
      </c>
      <c r="B131" t="str" cm="1">
        <f t="array" ref="B131">INDEX(HotelList,MOD(ROW()-2,10)+1)</f>
        <v>H010</v>
      </c>
      <c r="C131">
        <f>_xlfn.XLOOKUP(B131,Dim_Hotel!$A$2:$A$11,Dim_Hotel!$F$2:$F$11)</f>
        <v>89</v>
      </c>
      <c r="D131">
        <f t="shared" ref="D131:D194" si="17">ROUND(L131 * C131, 0)</f>
        <v>49</v>
      </c>
      <c r="E131">
        <f t="shared" ref="E131:E194" si="18">D131/C131</f>
        <v>0.550561797752809</v>
      </c>
      <c r="F131">
        <f t="shared" ref="F131:F194" si="19">M131</f>
        <v>150</v>
      </c>
      <c r="G131">
        <f t="shared" ref="G131:G194" si="20">E131*F131</f>
        <v>82.584269662921344</v>
      </c>
      <c r="H131" t="str">
        <f>_xlfn.XLOOKUP(A131,Fact_Events!$D$2:$D$20,Fact_Events!$A$2:$A$20, "")</f>
        <v/>
      </c>
      <c r="I131">
        <f t="shared" ref="I131:I194" si="21">IF(H131="",0,1)</f>
        <v>0</v>
      </c>
      <c r="J131" t="str">
        <f>_xlfn.XLOOKUP(H131, Fact_Events!$A$2:$A$20, Fact_Events!$F$2:$F$20, "")</f>
        <v/>
      </c>
      <c r="K131" t="str">
        <f t="shared" ref="K131:K194" si="22">IF(I131=0,"Low",
   IF(J131&gt;=9,"High","Medium"))</f>
        <v>Low</v>
      </c>
      <c r="L131">
        <f t="shared" ref="L131:L194" si="23">MIN(1,
  0.55
  + (I131 * 0.25)
  + (IF(J131="",0,J131) / 100)
)</f>
        <v>0.55000000000000004</v>
      </c>
      <c r="M131">
        <f>_xlfn.XLOOKUP(B131, Dim_Hotel!$A$2:$A$11, Dim_Hotel!$I$2:$I$11)
 + (IF(J131="",0,J131)
    * _xlfn.XLOOKUP(B131, Dim_Hotel!$A$2:$A$11, Dim_Hotel!$J$2:$J$11))</f>
        <v>150</v>
      </c>
    </row>
    <row r="132" spans="1:13" x14ac:dyDescent="0.25">
      <c r="A132" s="1">
        <f t="shared" si="16"/>
        <v>46036</v>
      </c>
      <c r="B132" t="str" cm="1">
        <f t="array" ref="B132">INDEX(HotelList,MOD(ROW()-2,10)+1)</f>
        <v>H001</v>
      </c>
      <c r="C132">
        <f>_xlfn.XLOOKUP(B132,Dim_Hotel!$A$2:$A$11,Dim_Hotel!$F$2:$F$11)</f>
        <v>888</v>
      </c>
      <c r="D132">
        <f t="shared" si="17"/>
        <v>488</v>
      </c>
      <c r="E132">
        <f t="shared" si="18"/>
        <v>0.5495495495495496</v>
      </c>
      <c r="F132">
        <f t="shared" si="19"/>
        <v>260</v>
      </c>
      <c r="G132">
        <f t="shared" si="20"/>
        <v>142.88288288288288</v>
      </c>
      <c r="H132" t="str">
        <f>_xlfn.XLOOKUP(A132,Fact_Events!$D$2:$D$20,Fact_Events!$A$2:$A$20, "")</f>
        <v/>
      </c>
      <c r="I132">
        <f t="shared" si="21"/>
        <v>0</v>
      </c>
      <c r="J132" t="str">
        <f>_xlfn.XLOOKUP(H132, Fact_Events!$A$2:$A$20, Fact_Events!$F$2:$F$20, "")</f>
        <v/>
      </c>
      <c r="K132" t="str">
        <f t="shared" si="22"/>
        <v>Low</v>
      </c>
      <c r="L132">
        <f t="shared" si="23"/>
        <v>0.55000000000000004</v>
      </c>
      <c r="M132">
        <f>_xlfn.XLOOKUP(B132, Dim_Hotel!$A$2:$A$11, Dim_Hotel!$I$2:$I$11)
 + (IF(J132="",0,J132)
    * _xlfn.XLOOKUP(B132, Dim_Hotel!$A$2:$A$11, Dim_Hotel!$J$2:$J$11))</f>
        <v>260</v>
      </c>
    </row>
    <row r="133" spans="1:13" x14ac:dyDescent="0.25">
      <c r="A133" s="1">
        <f t="shared" si="16"/>
        <v>46036</v>
      </c>
      <c r="B133" t="str" cm="1">
        <f t="array" ref="B133">INDEX(HotelList,MOD(ROW()-2,10)+1)</f>
        <v>H002</v>
      </c>
      <c r="C133">
        <f>_xlfn.XLOOKUP(B133,Dim_Hotel!$A$2:$A$11,Dim_Hotel!$F$2:$F$11)</f>
        <v>147</v>
      </c>
      <c r="D133">
        <f t="shared" si="17"/>
        <v>81</v>
      </c>
      <c r="E133">
        <f t="shared" si="18"/>
        <v>0.55102040816326525</v>
      </c>
      <c r="F133">
        <f t="shared" si="19"/>
        <v>175</v>
      </c>
      <c r="G133">
        <f t="shared" si="20"/>
        <v>96.428571428571416</v>
      </c>
      <c r="H133" t="str">
        <f>_xlfn.XLOOKUP(A133,Fact_Events!$D$2:$D$20,Fact_Events!$A$2:$A$20, "")</f>
        <v/>
      </c>
      <c r="I133">
        <f t="shared" si="21"/>
        <v>0</v>
      </c>
      <c r="J133" t="str">
        <f>_xlfn.XLOOKUP(H133, Fact_Events!$A$2:$A$20, Fact_Events!$F$2:$F$20, "")</f>
        <v/>
      </c>
      <c r="K133" t="str">
        <f t="shared" si="22"/>
        <v>Low</v>
      </c>
      <c r="L133">
        <f t="shared" si="23"/>
        <v>0.55000000000000004</v>
      </c>
      <c r="M133">
        <f>_xlfn.XLOOKUP(B133, Dim_Hotel!$A$2:$A$11, Dim_Hotel!$I$2:$I$11)
 + (IF(J133="",0,J133)
    * _xlfn.XLOOKUP(B133, Dim_Hotel!$A$2:$A$11, Dim_Hotel!$J$2:$J$11))</f>
        <v>175</v>
      </c>
    </row>
    <row r="134" spans="1:13" x14ac:dyDescent="0.25">
      <c r="A134" s="1">
        <f t="shared" si="16"/>
        <v>46036</v>
      </c>
      <c r="B134" t="str" cm="1">
        <f t="array" ref="B134">INDEX(HotelList,MOD(ROW()-2,10)+1)</f>
        <v>H003</v>
      </c>
      <c r="C134">
        <f>_xlfn.XLOOKUP(B134,Dim_Hotel!$A$2:$A$11,Dim_Hotel!$F$2:$F$11)</f>
        <v>121</v>
      </c>
      <c r="D134">
        <f t="shared" si="17"/>
        <v>67</v>
      </c>
      <c r="E134">
        <f t="shared" si="18"/>
        <v>0.55371900826446285</v>
      </c>
      <c r="F134">
        <f t="shared" si="19"/>
        <v>145</v>
      </c>
      <c r="G134">
        <f t="shared" si="20"/>
        <v>80.289256198347118</v>
      </c>
      <c r="H134" t="str">
        <f>_xlfn.XLOOKUP(A134,Fact_Events!$D$2:$D$20,Fact_Events!$A$2:$A$20, "")</f>
        <v/>
      </c>
      <c r="I134">
        <f t="shared" si="21"/>
        <v>0</v>
      </c>
      <c r="J134" t="str">
        <f>_xlfn.XLOOKUP(H134, Fact_Events!$A$2:$A$20, Fact_Events!$F$2:$F$20, "")</f>
        <v/>
      </c>
      <c r="K134" t="str">
        <f t="shared" si="22"/>
        <v>Low</v>
      </c>
      <c r="L134">
        <f t="shared" si="23"/>
        <v>0.55000000000000004</v>
      </c>
      <c r="M134">
        <f>_xlfn.XLOOKUP(B134, Dim_Hotel!$A$2:$A$11, Dim_Hotel!$I$2:$I$11)
 + (IF(J134="",0,J134)
    * _xlfn.XLOOKUP(B134, Dim_Hotel!$A$2:$A$11, Dim_Hotel!$J$2:$J$11))</f>
        <v>145</v>
      </c>
    </row>
    <row r="135" spans="1:13" x14ac:dyDescent="0.25">
      <c r="A135" s="1">
        <f t="shared" si="16"/>
        <v>46036</v>
      </c>
      <c r="B135" t="str" cm="1">
        <f t="array" ref="B135">INDEX(HotelList,MOD(ROW()-2,10)+1)</f>
        <v>H004</v>
      </c>
      <c r="C135">
        <f>_xlfn.XLOOKUP(B135,Dim_Hotel!$A$2:$A$11,Dim_Hotel!$F$2:$F$11)</f>
        <v>108</v>
      </c>
      <c r="D135">
        <f t="shared" si="17"/>
        <v>59</v>
      </c>
      <c r="E135">
        <f t="shared" si="18"/>
        <v>0.54629629629629628</v>
      </c>
      <c r="F135">
        <f t="shared" si="19"/>
        <v>135</v>
      </c>
      <c r="G135">
        <f t="shared" si="20"/>
        <v>73.75</v>
      </c>
      <c r="H135" t="str">
        <f>_xlfn.XLOOKUP(A135,Fact_Events!$D$2:$D$20,Fact_Events!$A$2:$A$20, "")</f>
        <v/>
      </c>
      <c r="I135">
        <f t="shared" si="21"/>
        <v>0</v>
      </c>
      <c r="J135" t="str">
        <f>_xlfn.XLOOKUP(H135, Fact_Events!$A$2:$A$20, Fact_Events!$F$2:$F$20, "")</f>
        <v/>
      </c>
      <c r="K135" t="str">
        <f t="shared" si="22"/>
        <v>Low</v>
      </c>
      <c r="L135">
        <f t="shared" si="23"/>
        <v>0.55000000000000004</v>
      </c>
      <c r="M135">
        <f>_xlfn.XLOOKUP(B135, Dim_Hotel!$A$2:$A$11, Dim_Hotel!$I$2:$I$11)
 + (IF(J135="",0,J135)
    * _xlfn.XLOOKUP(B135, Dim_Hotel!$A$2:$A$11, Dim_Hotel!$J$2:$J$11))</f>
        <v>135</v>
      </c>
    </row>
    <row r="136" spans="1:13" x14ac:dyDescent="0.25">
      <c r="A136" s="1">
        <f t="shared" si="16"/>
        <v>46036</v>
      </c>
      <c r="B136" t="str" cm="1">
        <f t="array" ref="B136">INDEX(HotelList,MOD(ROW()-2,10)+1)</f>
        <v>H005</v>
      </c>
      <c r="C136">
        <f>_xlfn.XLOOKUP(B136,Dim_Hotel!$A$2:$A$11,Dim_Hotel!$F$2:$F$11)</f>
        <v>66</v>
      </c>
      <c r="D136">
        <f t="shared" si="17"/>
        <v>36</v>
      </c>
      <c r="E136">
        <f t="shared" si="18"/>
        <v>0.54545454545454541</v>
      </c>
      <c r="F136">
        <f t="shared" si="19"/>
        <v>82</v>
      </c>
      <c r="G136">
        <f t="shared" si="20"/>
        <v>44.727272727272727</v>
      </c>
      <c r="H136" t="str">
        <f>_xlfn.XLOOKUP(A136,Fact_Events!$D$2:$D$20,Fact_Events!$A$2:$A$20, "")</f>
        <v/>
      </c>
      <c r="I136">
        <f t="shared" si="21"/>
        <v>0</v>
      </c>
      <c r="J136" t="str">
        <f>_xlfn.XLOOKUP(H136, Fact_Events!$A$2:$A$20, Fact_Events!$F$2:$F$20, "")</f>
        <v/>
      </c>
      <c r="K136" t="str">
        <f t="shared" si="22"/>
        <v>Low</v>
      </c>
      <c r="L136">
        <f t="shared" si="23"/>
        <v>0.55000000000000004</v>
      </c>
      <c r="M136">
        <f>_xlfn.XLOOKUP(B136, Dim_Hotel!$A$2:$A$11, Dim_Hotel!$I$2:$I$11)
 + (IF(J136="",0,J136)
    * _xlfn.XLOOKUP(B136, Dim_Hotel!$A$2:$A$11, Dim_Hotel!$J$2:$J$11))</f>
        <v>82</v>
      </c>
    </row>
    <row r="137" spans="1:13" x14ac:dyDescent="0.25">
      <c r="A137" s="1">
        <f t="shared" si="16"/>
        <v>46036</v>
      </c>
      <c r="B137" t="str" cm="1">
        <f t="array" ref="B137">INDEX(HotelList,MOD(ROW()-2,10)+1)</f>
        <v>H006</v>
      </c>
      <c r="C137">
        <f>_xlfn.XLOOKUP(B137,Dim_Hotel!$A$2:$A$11,Dim_Hotel!$F$2:$F$11)</f>
        <v>311</v>
      </c>
      <c r="D137">
        <f t="shared" si="17"/>
        <v>171</v>
      </c>
      <c r="E137">
        <f t="shared" si="18"/>
        <v>0.54983922829581988</v>
      </c>
      <c r="F137">
        <f t="shared" si="19"/>
        <v>190</v>
      </c>
      <c r="G137">
        <f t="shared" si="20"/>
        <v>104.46945337620578</v>
      </c>
      <c r="H137" t="str">
        <f>_xlfn.XLOOKUP(A137,Fact_Events!$D$2:$D$20,Fact_Events!$A$2:$A$20, "")</f>
        <v/>
      </c>
      <c r="I137">
        <f t="shared" si="21"/>
        <v>0</v>
      </c>
      <c r="J137" t="str">
        <f>_xlfn.XLOOKUP(H137, Fact_Events!$A$2:$A$20, Fact_Events!$F$2:$F$20, "")</f>
        <v/>
      </c>
      <c r="K137" t="str">
        <f t="shared" si="22"/>
        <v>Low</v>
      </c>
      <c r="L137">
        <f t="shared" si="23"/>
        <v>0.55000000000000004</v>
      </c>
      <c r="M137">
        <f>_xlfn.XLOOKUP(B137, Dim_Hotel!$A$2:$A$11, Dim_Hotel!$I$2:$I$11)
 + (IF(J137="",0,J137)
    * _xlfn.XLOOKUP(B137, Dim_Hotel!$A$2:$A$11, Dim_Hotel!$J$2:$J$11))</f>
        <v>190</v>
      </c>
    </row>
    <row r="138" spans="1:13" x14ac:dyDescent="0.25">
      <c r="A138" s="1">
        <f t="shared" si="16"/>
        <v>46036</v>
      </c>
      <c r="B138" t="str" cm="1">
        <f t="array" ref="B138">INDEX(HotelList,MOD(ROW()-2,10)+1)</f>
        <v>H007</v>
      </c>
      <c r="C138">
        <f>_xlfn.XLOOKUP(B138,Dim_Hotel!$A$2:$A$11,Dim_Hotel!$F$2:$F$11)</f>
        <v>132</v>
      </c>
      <c r="D138">
        <f t="shared" si="17"/>
        <v>73</v>
      </c>
      <c r="E138">
        <f t="shared" si="18"/>
        <v>0.55303030303030298</v>
      </c>
      <c r="F138">
        <f t="shared" si="19"/>
        <v>165</v>
      </c>
      <c r="G138">
        <f t="shared" si="20"/>
        <v>91.249999999999986</v>
      </c>
      <c r="H138" t="str">
        <f>_xlfn.XLOOKUP(A138,Fact_Events!$D$2:$D$20,Fact_Events!$A$2:$A$20, "")</f>
        <v/>
      </c>
      <c r="I138">
        <f t="shared" si="21"/>
        <v>0</v>
      </c>
      <c r="J138" t="str">
        <f>_xlfn.XLOOKUP(H138, Fact_Events!$A$2:$A$20, Fact_Events!$F$2:$F$20, "")</f>
        <v/>
      </c>
      <c r="K138" t="str">
        <f t="shared" si="22"/>
        <v>Low</v>
      </c>
      <c r="L138">
        <f t="shared" si="23"/>
        <v>0.55000000000000004</v>
      </c>
      <c r="M138">
        <f>_xlfn.XLOOKUP(B138, Dim_Hotel!$A$2:$A$11, Dim_Hotel!$I$2:$I$11)
 + (IF(J138="",0,J138)
    * _xlfn.XLOOKUP(B138, Dim_Hotel!$A$2:$A$11, Dim_Hotel!$J$2:$J$11))</f>
        <v>165</v>
      </c>
    </row>
    <row r="139" spans="1:13" x14ac:dyDescent="0.25">
      <c r="A139" s="1">
        <f t="shared" si="16"/>
        <v>46036</v>
      </c>
      <c r="B139" t="str" cm="1">
        <f t="array" ref="B139">INDEX(HotelList,MOD(ROW()-2,10)+1)</f>
        <v>H008</v>
      </c>
      <c r="C139">
        <f>_xlfn.XLOOKUP(B139,Dim_Hotel!$A$2:$A$11,Dim_Hotel!$F$2:$F$11)</f>
        <v>103</v>
      </c>
      <c r="D139">
        <f t="shared" si="17"/>
        <v>57</v>
      </c>
      <c r="E139">
        <f t="shared" si="18"/>
        <v>0.55339805825242716</v>
      </c>
      <c r="F139">
        <f t="shared" si="19"/>
        <v>140</v>
      </c>
      <c r="G139">
        <f t="shared" si="20"/>
        <v>77.475728155339809</v>
      </c>
      <c r="H139" t="str">
        <f>_xlfn.XLOOKUP(A139,Fact_Events!$D$2:$D$20,Fact_Events!$A$2:$A$20, "")</f>
        <v/>
      </c>
      <c r="I139">
        <f t="shared" si="21"/>
        <v>0</v>
      </c>
      <c r="J139" t="str">
        <f>_xlfn.XLOOKUP(H139, Fact_Events!$A$2:$A$20, Fact_Events!$F$2:$F$20, "")</f>
        <v/>
      </c>
      <c r="K139" t="str">
        <f t="shared" si="22"/>
        <v>Low</v>
      </c>
      <c r="L139">
        <f t="shared" si="23"/>
        <v>0.55000000000000004</v>
      </c>
      <c r="M139">
        <f>_xlfn.XLOOKUP(B139, Dim_Hotel!$A$2:$A$11, Dim_Hotel!$I$2:$I$11)
 + (IF(J139="",0,J139)
    * _xlfn.XLOOKUP(B139, Dim_Hotel!$A$2:$A$11, Dim_Hotel!$J$2:$J$11))</f>
        <v>140</v>
      </c>
    </row>
    <row r="140" spans="1:13" x14ac:dyDescent="0.25">
      <c r="A140" s="1">
        <f t="shared" si="16"/>
        <v>46036</v>
      </c>
      <c r="B140" t="str" cm="1">
        <f t="array" ref="B140">INDEX(HotelList,MOD(ROW()-2,10)+1)</f>
        <v>H009</v>
      </c>
      <c r="C140">
        <f>_xlfn.XLOOKUP(B140,Dim_Hotel!$A$2:$A$11,Dim_Hotel!$F$2:$F$11)</f>
        <v>114</v>
      </c>
      <c r="D140">
        <f t="shared" si="17"/>
        <v>63</v>
      </c>
      <c r="E140">
        <f t="shared" si="18"/>
        <v>0.55263157894736847</v>
      </c>
      <c r="F140">
        <f t="shared" si="19"/>
        <v>185</v>
      </c>
      <c r="G140">
        <f t="shared" si="20"/>
        <v>102.23684210526316</v>
      </c>
      <c r="H140" t="str">
        <f>_xlfn.XLOOKUP(A140,Fact_Events!$D$2:$D$20,Fact_Events!$A$2:$A$20, "")</f>
        <v/>
      </c>
      <c r="I140">
        <f t="shared" si="21"/>
        <v>0</v>
      </c>
      <c r="J140" t="str">
        <f>_xlfn.XLOOKUP(H140, Fact_Events!$A$2:$A$20, Fact_Events!$F$2:$F$20, "")</f>
        <v/>
      </c>
      <c r="K140" t="str">
        <f t="shared" si="22"/>
        <v>Low</v>
      </c>
      <c r="L140">
        <f t="shared" si="23"/>
        <v>0.55000000000000004</v>
      </c>
      <c r="M140">
        <f>_xlfn.XLOOKUP(B140, Dim_Hotel!$A$2:$A$11, Dim_Hotel!$I$2:$I$11)
 + (IF(J140="",0,J140)
    * _xlfn.XLOOKUP(B140, Dim_Hotel!$A$2:$A$11, Dim_Hotel!$J$2:$J$11))</f>
        <v>185</v>
      </c>
    </row>
    <row r="141" spans="1:13" x14ac:dyDescent="0.25">
      <c r="A141" s="1">
        <f t="shared" si="16"/>
        <v>46036</v>
      </c>
      <c r="B141" t="str" cm="1">
        <f t="array" ref="B141">INDEX(HotelList,MOD(ROW()-2,10)+1)</f>
        <v>H010</v>
      </c>
      <c r="C141">
        <f>_xlfn.XLOOKUP(B141,Dim_Hotel!$A$2:$A$11,Dim_Hotel!$F$2:$F$11)</f>
        <v>89</v>
      </c>
      <c r="D141">
        <f t="shared" si="17"/>
        <v>49</v>
      </c>
      <c r="E141">
        <f t="shared" si="18"/>
        <v>0.550561797752809</v>
      </c>
      <c r="F141">
        <f t="shared" si="19"/>
        <v>150</v>
      </c>
      <c r="G141">
        <f t="shared" si="20"/>
        <v>82.584269662921344</v>
      </c>
      <c r="H141" t="str">
        <f>_xlfn.XLOOKUP(A141,Fact_Events!$D$2:$D$20,Fact_Events!$A$2:$A$20, "")</f>
        <v/>
      </c>
      <c r="I141">
        <f t="shared" si="21"/>
        <v>0</v>
      </c>
      <c r="J141" t="str">
        <f>_xlfn.XLOOKUP(H141, Fact_Events!$A$2:$A$20, Fact_Events!$F$2:$F$20, "")</f>
        <v/>
      </c>
      <c r="K141" t="str">
        <f t="shared" si="22"/>
        <v>Low</v>
      </c>
      <c r="L141">
        <f t="shared" si="23"/>
        <v>0.55000000000000004</v>
      </c>
      <c r="M141">
        <f>_xlfn.XLOOKUP(B141, Dim_Hotel!$A$2:$A$11, Dim_Hotel!$I$2:$I$11)
 + (IF(J141="",0,J141)
    * _xlfn.XLOOKUP(B141, Dim_Hotel!$A$2:$A$11, Dim_Hotel!$J$2:$J$11))</f>
        <v>150</v>
      </c>
    </row>
    <row r="142" spans="1:13" x14ac:dyDescent="0.25">
      <c r="A142" s="1">
        <f t="shared" si="16"/>
        <v>46037</v>
      </c>
      <c r="B142" t="str" cm="1">
        <f t="array" ref="B142">INDEX(HotelList,MOD(ROW()-2,10)+1)</f>
        <v>H001</v>
      </c>
      <c r="C142">
        <f>_xlfn.XLOOKUP(B142,Dim_Hotel!$A$2:$A$11,Dim_Hotel!$F$2:$F$11)</f>
        <v>888</v>
      </c>
      <c r="D142">
        <f t="shared" si="17"/>
        <v>488</v>
      </c>
      <c r="E142">
        <f t="shared" si="18"/>
        <v>0.5495495495495496</v>
      </c>
      <c r="F142">
        <f t="shared" si="19"/>
        <v>260</v>
      </c>
      <c r="G142">
        <f t="shared" si="20"/>
        <v>142.88288288288288</v>
      </c>
      <c r="H142" t="str">
        <f>_xlfn.XLOOKUP(A142,Fact_Events!$D$2:$D$20,Fact_Events!$A$2:$A$20, "")</f>
        <v/>
      </c>
      <c r="I142">
        <f t="shared" si="21"/>
        <v>0</v>
      </c>
      <c r="J142" t="str">
        <f>_xlfn.XLOOKUP(H142, Fact_Events!$A$2:$A$20, Fact_Events!$F$2:$F$20, "")</f>
        <v/>
      </c>
      <c r="K142" t="str">
        <f t="shared" si="22"/>
        <v>Low</v>
      </c>
      <c r="L142">
        <f t="shared" si="23"/>
        <v>0.55000000000000004</v>
      </c>
      <c r="M142">
        <f>_xlfn.XLOOKUP(B142, Dim_Hotel!$A$2:$A$11, Dim_Hotel!$I$2:$I$11)
 + (IF(J142="",0,J142)
    * _xlfn.XLOOKUP(B142, Dim_Hotel!$A$2:$A$11, Dim_Hotel!$J$2:$J$11))</f>
        <v>260</v>
      </c>
    </row>
    <row r="143" spans="1:13" x14ac:dyDescent="0.25">
      <c r="A143" s="1">
        <f t="shared" si="16"/>
        <v>46037</v>
      </c>
      <c r="B143" t="str" cm="1">
        <f t="array" ref="B143">INDEX(HotelList,MOD(ROW()-2,10)+1)</f>
        <v>H002</v>
      </c>
      <c r="C143">
        <f>_xlfn.XLOOKUP(B143,Dim_Hotel!$A$2:$A$11,Dim_Hotel!$F$2:$F$11)</f>
        <v>147</v>
      </c>
      <c r="D143">
        <f t="shared" si="17"/>
        <v>81</v>
      </c>
      <c r="E143">
        <f t="shared" si="18"/>
        <v>0.55102040816326525</v>
      </c>
      <c r="F143">
        <f t="shared" si="19"/>
        <v>175</v>
      </c>
      <c r="G143">
        <f t="shared" si="20"/>
        <v>96.428571428571416</v>
      </c>
      <c r="H143" t="str">
        <f>_xlfn.XLOOKUP(A143,Fact_Events!$D$2:$D$20,Fact_Events!$A$2:$A$20, "")</f>
        <v/>
      </c>
      <c r="I143">
        <f t="shared" si="21"/>
        <v>0</v>
      </c>
      <c r="J143" t="str">
        <f>_xlfn.XLOOKUP(H143, Fact_Events!$A$2:$A$20, Fact_Events!$F$2:$F$20, "")</f>
        <v/>
      </c>
      <c r="K143" t="str">
        <f t="shared" si="22"/>
        <v>Low</v>
      </c>
      <c r="L143">
        <f t="shared" si="23"/>
        <v>0.55000000000000004</v>
      </c>
      <c r="M143">
        <f>_xlfn.XLOOKUP(B143, Dim_Hotel!$A$2:$A$11, Dim_Hotel!$I$2:$I$11)
 + (IF(J143="",0,J143)
    * _xlfn.XLOOKUP(B143, Dim_Hotel!$A$2:$A$11, Dim_Hotel!$J$2:$J$11))</f>
        <v>175</v>
      </c>
    </row>
    <row r="144" spans="1:13" x14ac:dyDescent="0.25">
      <c r="A144" s="1">
        <f t="shared" si="16"/>
        <v>46037</v>
      </c>
      <c r="B144" t="str" cm="1">
        <f t="array" ref="B144">INDEX(HotelList,MOD(ROW()-2,10)+1)</f>
        <v>H003</v>
      </c>
      <c r="C144">
        <f>_xlfn.XLOOKUP(B144,Dim_Hotel!$A$2:$A$11,Dim_Hotel!$F$2:$F$11)</f>
        <v>121</v>
      </c>
      <c r="D144">
        <f t="shared" si="17"/>
        <v>67</v>
      </c>
      <c r="E144">
        <f t="shared" si="18"/>
        <v>0.55371900826446285</v>
      </c>
      <c r="F144">
        <f t="shared" si="19"/>
        <v>145</v>
      </c>
      <c r="G144">
        <f t="shared" si="20"/>
        <v>80.289256198347118</v>
      </c>
      <c r="H144" t="str">
        <f>_xlfn.XLOOKUP(A144,Fact_Events!$D$2:$D$20,Fact_Events!$A$2:$A$20, "")</f>
        <v/>
      </c>
      <c r="I144">
        <f t="shared" si="21"/>
        <v>0</v>
      </c>
      <c r="J144" t="str">
        <f>_xlfn.XLOOKUP(H144, Fact_Events!$A$2:$A$20, Fact_Events!$F$2:$F$20, "")</f>
        <v/>
      </c>
      <c r="K144" t="str">
        <f t="shared" si="22"/>
        <v>Low</v>
      </c>
      <c r="L144">
        <f t="shared" si="23"/>
        <v>0.55000000000000004</v>
      </c>
      <c r="M144">
        <f>_xlfn.XLOOKUP(B144, Dim_Hotel!$A$2:$A$11, Dim_Hotel!$I$2:$I$11)
 + (IF(J144="",0,J144)
    * _xlfn.XLOOKUP(B144, Dim_Hotel!$A$2:$A$11, Dim_Hotel!$J$2:$J$11))</f>
        <v>145</v>
      </c>
    </row>
    <row r="145" spans="1:13" x14ac:dyDescent="0.25">
      <c r="A145" s="1">
        <f t="shared" si="16"/>
        <v>46037</v>
      </c>
      <c r="B145" t="str" cm="1">
        <f t="array" ref="B145">INDEX(HotelList,MOD(ROW()-2,10)+1)</f>
        <v>H004</v>
      </c>
      <c r="C145">
        <f>_xlfn.XLOOKUP(B145,Dim_Hotel!$A$2:$A$11,Dim_Hotel!$F$2:$F$11)</f>
        <v>108</v>
      </c>
      <c r="D145">
        <f t="shared" si="17"/>
        <v>59</v>
      </c>
      <c r="E145">
        <f t="shared" si="18"/>
        <v>0.54629629629629628</v>
      </c>
      <c r="F145">
        <f t="shared" si="19"/>
        <v>135</v>
      </c>
      <c r="G145">
        <f t="shared" si="20"/>
        <v>73.75</v>
      </c>
      <c r="H145" t="str">
        <f>_xlfn.XLOOKUP(A145,Fact_Events!$D$2:$D$20,Fact_Events!$A$2:$A$20, "")</f>
        <v/>
      </c>
      <c r="I145">
        <f t="shared" si="21"/>
        <v>0</v>
      </c>
      <c r="J145" t="str">
        <f>_xlfn.XLOOKUP(H145, Fact_Events!$A$2:$A$20, Fact_Events!$F$2:$F$20, "")</f>
        <v/>
      </c>
      <c r="K145" t="str">
        <f t="shared" si="22"/>
        <v>Low</v>
      </c>
      <c r="L145">
        <f t="shared" si="23"/>
        <v>0.55000000000000004</v>
      </c>
      <c r="M145">
        <f>_xlfn.XLOOKUP(B145, Dim_Hotel!$A$2:$A$11, Dim_Hotel!$I$2:$I$11)
 + (IF(J145="",0,J145)
    * _xlfn.XLOOKUP(B145, Dim_Hotel!$A$2:$A$11, Dim_Hotel!$J$2:$J$11))</f>
        <v>135</v>
      </c>
    </row>
    <row r="146" spans="1:13" x14ac:dyDescent="0.25">
      <c r="A146" s="1">
        <f t="shared" si="16"/>
        <v>46037</v>
      </c>
      <c r="B146" t="str" cm="1">
        <f t="array" ref="B146">INDEX(HotelList,MOD(ROW()-2,10)+1)</f>
        <v>H005</v>
      </c>
      <c r="C146">
        <f>_xlfn.XLOOKUP(B146,Dim_Hotel!$A$2:$A$11,Dim_Hotel!$F$2:$F$11)</f>
        <v>66</v>
      </c>
      <c r="D146">
        <f t="shared" si="17"/>
        <v>36</v>
      </c>
      <c r="E146">
        <f t="shared" si="18"/>
        <v>0.54545454545454541</v>
      </c>
      <c r="F146">
        <f t="shared" si="19"/>
        <v>82</v>
      </c>
      <c r="G146">
        <f t="shared" si="20"/>
        <v>44.727272727272727</v>
      </c>
      <c r="H146" t="str">
        <f>_xlfn.XLOOKUP(A146,Fact_Events!$D$2:$D$20,Fact_Events!$A$2:$A$20, "")</f>
        <v/>
      </c>
      <c r="I146">
        <f t="shared" si="21"/>
        <v>0</v>
      </c>
      <c r="J146" t="str">
        <f>_xlfn.XLOOKUP(H146, Fact_Events!$A$2:$A$20, Fact_Events!$F$2:$F$20, "")</f>
        <v/>
      </c>
      <c r="K146" t="str">
        <f t="shared" si="22"/>
        <v>Low</v>
      </c>
      <c r="L146">
        <f t="shared" si="23"/>
        <v>0.55000000000000004</v>
      </c>
      <c r="M146">
        <f>_xlfn.XLOOKUP(B146, Dim_Hotel!$A$2:$A$11, Dim_Hotel!$I$2:$I$11)
 + (IF(J146="",0,J146)
    * _xlfn.XLOOKUP(B146, Dim_Hotel!$A$2:$A$11, Dim_Hotel!$J$2:$J$11))</f>
        <v>82</v>
      </c>
    </row>
    <row r="147" spans="1:13" x14ac:dyDescent="0.25">
      <c r="A147" s="1">
        <f t="shared" si="16"/>
        <v>46037</v>
      </c>
      <c r="B147" t="str" cm="1">
        <f t="array" ref="B147">INDEX(HotelList,MOD(ROW()-2,10)+1)</f>
        <v>H006</v>
      </c>
      <c r="C147">
        <f>_xlfn.XLOOKUP(B147,Dim_Hotel!$A$2:$A$11,Dim_Hotel!$F$2:$F$11)</f>
        <v>311</v>
      </c>
      <c r="D147">
        <f t="shared" si="17"/>
        <v>171</v>
      </c>
      <c r="E147">
        <f t="shared" si="18"/>
        <v>0.54983922829581988</v>
      </c>
      <c r="F147">
        <f t="shared" si="19"/>
        <v>190</v>
      </c>
      <c r="G147">
        <f t="shared" si="20"/>
        <v>104.46945337620578</v>
      </c>
      <c r="H147" t="str">
        <f>_xlfn.XLOOKUP(A147,Fact_Events!$D$2:$D$20,Fact_Events!$A$2:$A$20, "")</f>
        <v/>
      </c>
      <c r="I147">
        <f t="shared" si="21"/>
        <v>0</v>
      </c>
      <c r="J147" t="str">
        <f>_xlfn.XLOOKUP(H147, Fact_Events!$A$2:$A$20, Fact_Events!$F$2:$F$20, "")</f>
        <v/>
      </c>
      <c r="K147" t="str">
        <f t="shared" si="22"/>
        <v>Low</v>
      </c>
      <c r="L147">
        <f t="shared" si="23"/>
        <v>0.55000000000000004</v>
      </c>
      <c r="M147">
        <f>_xlfn.XLOOKUP(B147, Dim_Hotel!$A$2:$A$11, Dim_Hotel!$I$2:$I$11)
 + (IF(J147="",0,J147)
    * _xlfn.XLOOKUP(B147, Dim_Hotel!$A$2:$A$11, Dim_Hotel!$J$2:$J$11))</f>
        <v>190</v>
      </c>
    </row>
    <row r="148" spans="1:13" x14ac:dyDescent="0.25">
      <c r="A148" s="1">
        <f t="shared" si="16"/>
        <v>46037</v>
      </c>
      <c r="B148" t="str" cm="1">
        <f t="array" ref="B148">INDEX(HotelList,MOD(ROW()-2,10)+1)</f>
        <v>H007</v>
      </c>
      <c r="C148">
        <f>_xlfn.XLOOKUP(B148,Dim_Hotel!$A$2:$A$11,Dim_Hotel!$F$2:$F$11)</f>
        <v>132</v>
      </c>
      <c r="D148">
        <f t="shared" si="17"/>
        <v>73</v>
      </c>
      <c r="E148">
        <f t="shared" si="18"/>
        <v>0.55303030303030298</v>
      </c>
      <c r="F148">
        <f t="shared" si="19"/>
        <v>165</v>
      </c>
      <c r="G148">
        <f t="shared" si="20"/>
        <v>91.249999999999986</v>
      </c>
      <c r="H148" t="str">
        <f>_xlfn.XLOOKUP(A148,Fact_Events!$D$2:$D$20,Fact_Events!$A$2:$A$20, "")</f>
        <v/>
      </c>
      <c r="I148">
        <f t="shared" si="21"/>
        <v>0</v>
      </c>
      <c r="J148" t="str">
        <f>_xlfn.XLOOKUP(H148, Fact_Events!$A$2:$A$20, Fact_Events!$F$2:$F$20, "")</f>
        <v/>
      </c>
      <c r="K148" t="str">
        <f t="shared" si="22"/>
        <v>Low</v>
      </c>
      <c r="L148">
        <f t="shared" si="23"/>
        <v>0.55000000000000004</v>
      </c>
      <c r="M148">
        <f>_xlfn.XLOOKUP(B148, Dim_Hotel!$A$2:$A$11, Dim_Hotel!$I$2:$I$11)
 + (IF(J148="",0,J148)
    * _xlfn.XLOOKUP(B148, Dim_Hotel!$A$2:$A$11, Dim_Hotel!$J$2:$J$11))</f>
        <v>165</v>
      </c>
    </row>
    <row r="149" spans="1:13" x14ac:dyDescent="0.25">
      <c r="A149" s="1">
        <f t="shared" si="16"/>
        <v>46037</v>
      </c>
      <c r="B149" t="str" cm="1">
        <f t="array" ref="B149">INDEX(HotelList,MOD(ROW()-2,10)+1)</f>
        <v>H008</v>
      </c>
      <c r="C149">
        <f>_xlfn.XLOOKUP(B149,Dim_Hotel!$A$2:$A$11,Dim_Hotel!$F$2:$F$11)</f>
        <v>103</v>
      </c>
      <c r="D149">
        <f t="shared" si="17"/>
        <v>57</v>
      </c>
      <c r="E149">
        <f t="shared" si="18"/>
        <v>0.55339805825242716</v>
      </c>
      <c r="F149">
        <f t="shared" si="19"/>
        <v>140</v>
      </c>
      <c r="G149">
        <f t="shared" si="20"/>
        <v>77.475728155339809</v>
      </c>
      <c r="H149" t="str">
        <f>_xlfn.XLOOKUP(A149,Fact_Events!$D$2:$D$20,Fact_Events!$A$2:$A$20, "")</f>
        <v/>
      </c>
      <c r="I149">
        <f t="shared" si="21"/>
        <v>0</v>
      </c>
      <c r="J149" t="str">
        <f>_xlfn.XLOOKUP(H149, Fact_Events!$A$2:$A$20, Fact_Events!$F$2:$F$20, "")</f>
        <v/>
      </c>
      <c r="K149" t="str">
        <f t="shared" si="22"/>
        <v>Low</v>
      </c>
      <c r="L149">
        <f t="shared" si="23"/>
        <v>0.55000000000000004</v>
      </c>
      <c r="M149">
        <f>_xlfn.XLOOKUP(B149, Dim_Hotel!$A$2:$A$11, Dim_Hotel!$I$2:$I$11)
 + (IF(J149="",0,J149)
    * _xlfn.XLOOKUP(B149, Dim_Hotel!$A$2:$A$11, Dim_Hotel!$J$2:$J$11))</f>
        <v>140</v>
      </c>
    </row>
    <row r="150" spans="1:13" x14ac:dyDescent="0.25">
      <c r="A150" s="1">
        <f t="shared" si="16"/>
        <v>46037</v>
      </c>
      <c r="B150" t="str" cm="1">
        <f t="array" ref="B150">INDEX(HotelList,MOD(ROW()-2,10)+1)</f>
        <v>H009</v>
      </c>
      <c r="C150">
        <f>_xlfn.XLOOKUP(B150,Dim_Hotel!$A$2:$A$11,Dim_Hotel!$F$2:$F$11)</f>
        <v>114</v>
      </c>
      <c r="D150">
        <f t="shared" si="17"/>
        <v>63</v>
      </c>
      <c r="E150">
        <f t="shared" si="18"/>
        <v>0.55263157894736847</v>
      </c>
      <c r="F150">
        <f t="shared" si="19"/>
        <v>185</v>
      </c>
      <c r="G150">
        <f t="shared" si="20"/>
        <v>102.23684210526316</v>
      </c>
      <c r="H150" t="str">
        <f>_xlfn.XLOOKUP(A150,Fact_Events!$D$2:$D$20,Fact_Events!$A$2:$A$20, "")</f>
        <v/>
      </c>
      <c r="I150">
        <f t="shared" si="21"/>
        <v>0</v>
      </c>
      <c r="J150" t="str">
        <f>_xlfn.XLOOKUP(H150, Fact_Events!$A$2:$A$20, Fact_Events!$F$2:$F$20, "")</f>
        <v/>
      </c>
      <c r="K150" t="str">
        <f t="shared" si="22"/>
        <v>Low</v>
      </c>
      <c r="L150">
        <f t="shared" si="23"/>
        <v>0.55000000000000004</v>
      </c>
      <c r="M150">
        <f>_xlfn.XLOOKUP(B150, Dim_Hotel!$A$2:$A$11, Dim_Hotel!$I$2:$I$11)
 + (IF(J150="",0,J150)
    * _xlfn.XLOOKUP(B150, Dim_Hotel!$A$2:$A$11, Dim_Hotel!$J$2:$J$11))</f>
        <v>185</v>
      </c>
    </row>
    <row r="151" spans="1:13" x14ac:dyDescent="0.25">
      <c r="A151" s="1">
        <f t="shared" si="16"/>
        <v>46037</v>
      </c>
      <c r="B151" t="str" cm="1">
        <f t="array" ref="B151">INDEX(HotelList,MOD(ROW()-2,10)+1)</f>
        <v>H010</v>
      </c>
      <c r="C151">
        <f>_xlfn.XLOOKUP(B151,Dim_Hotel!$A$2:$A$11,Dim_Hotel!$F$2:$F$11)</f>
        <v>89</v>
      </c>
      <c r="D151">
        <f t="shared" si="17"/>
        <v>49</v>
      </c>
      <c r="E151">
        <f t="shared" si="18"/>
        <v>0.550561797752809</v>
      </c>
      <c r="F151">
        <f t="shared" si="19"/>
        <v>150</v>
      </c>
      <c r="G151">
        <f t="shared" si="20"/>
        <v>82.584269662921344</v>
      </c>
      <c r="H151" t="str">
        <f>_xlfn.XLOOKUP(A151,Fact_Events!$D$2:$D$20,Fact_Events!$A$2:$A$20, "")</f>
        <v/>
      </c>
      <c r="I151">
        <f t="shared" si="21"/>
        <v>0</v>
      </c>
      <c r="J151" t="str">
        <f>_xlfn.XLOOKUP(H151, Fact_Events!$A$2:$A$20, Fact_Events!$F$2:$F$20, "")</f>
        <v/>
      </c>
      <c r="K151" t="str">
        <f t="shared" si="22"/>
        <v>Low</v>
      </c>
      <c r="L151">
        <f t="shared" si="23"/>
        <v>0.55000000000000004</v>
      </c>
      <c r="M151">
        <f>_xlfn.XLOOKUP(B151, Dim_Hotel!$A$2:$A$11, Dim_Hotel!$I$2:$I$11)
 + (IF(J151="",0,J151)
    * _xlfn.XLOOKUP(B151, Dim_Hotel!$A$2:$A$11, Dim_Hotel!$J$2:$J$11))</f>
        <v>150</v>
      </c>
    </row>
    <row r="152" spans="1:13" x14ac:dyDescent="0.25">
      <c r="A152" s="1">
        <f t="shared" si="16"/>
        <v>46038</v>
      </c>
      <c r="B152" t="str" cm="1">
        <f t="array" ref="B152">INDEX(HotelList,MOD(ROW()-2,10)+1)</f>
        <v>H001</v>
      </c>
      <c r="C152">
        <f>_xlfn.XLOOKUP(B152,Dim_Hotel!$A$2:$A$11,Dim_Hotel!$F$2:$F$11)</f>
        <v>888</v>
      </c>
      <c r="D152">
        <f t="shared" si="17"/>
        <v>488</v>
      </c>
      <c r="E152">
        <f t="shared" si="18"/>
        <v>0.5495495495495496</v>
      </c>
      <c r="F152">
        <f t="shared" si="19"/>
        <v>260</v>
      </c>
      <c r="G152">
        <f t="shared" si="20"/>
        <v>142.88288288288288</v>
      </c>
      <c r="H152" t="str">
        <f>_xlfn.XLOOKUP(A152,Fact_Events!$D$2:$D$20,Fact_Events!$A$2:$A$20, "")</f>
        <v/>
      </c>
      <c r="I152">
        <f t="shared" si="21"/>
        <v>0</v>
      </c>
      <c r="J152" t="str">
        <f>_xlfn.XLOOKUP(H152, Fact_Events!$A$2:$A$20, Fact_Events!$F$2:$F$20, "")</f>
        <v/>
      </c>
      <c r="K152" t="str">
        <f t="shared" si="22"/>
        <v>Low</v>
      </c>
      <c r="L152">
        <f t="shared" si="23"/>
        <v>0.55000000000000004</v>
      </c>
      <c r="M152">
        <f>_xlfn.XLOOKUP(B152, Dim_Hotel!$A$2:$A$11, Dim_Hotel!$I$2:$I$11)
 + (IF(J152="",0,J152)
    * _xlfn.XLOOKUP(B152, Dim_Hotel!$A$2:$A$11, Dim_Hotel!$J$2:$J$11))</f>
        <v>260</v>
      </c>
    </row>
    <row r="153" spans="1:13" x14ac:dyDescent="0.25">
      <c r="A153" s="1">
        <f t="shared" si="16"/>
        <v>46038</v>
      </c>
      <c r="B153" t="str" cm="1">
        <f t="array" ref="B153">INDEX(HotelList,MOD(ROW()-2,10)+1)</f>
        <v>H002</v>
      </c>
      <c r="C153">
        <f>_xlfn.XLOOKUP(B153,Dim_Hotel!$A$2:$A$11,Dim_Hotel!$F$2:$F$11)</f>
        <v>147</v>
      </c>
      <c r="D153">
        <f t="shared" si="17"/>
        <v>81</v>
      </c>
      <c r="E153">
        <f t="shared" si="18"/>
        <v>0.55102040816326525</v>
      </c>
      <c r="F153">
        <f t="shared" si="19"/>
        <v>175</v>
      </c>
      <c r="G153">
        <f t="shared" si="20"/>
        <v>96.428571428571416</v>
      </c>
      <c r="H153" t="str">
        <f>_xlfn.XLOOKUP(A153,Fact_Events!$D$2:$D$20,Fact_Events!$A$2:$A$20, "")</f>
        <v/>
      </c>
      <c r="I153">
        <f t="shared" si="21"/>
        <v>0</v>
      </c>
      <c r="J153" t="str">
        <f>_xlfn.XLOOKUP(H153, Fact_Events!$A$2:$A$20, Fact_Events!$F$2:$F$20, "")</f>
        <v/>
      </c>
      <c r="K153" t="str">
        <f t="shared" si="22"/>
        <v>Low</v>
      </c>
      <c r="L153">
        <f t="shared" si="23"/>
        <v>0.55000000000000004</v>
      </c>
      <c r="M153">
        <f>_xlfn.XLOOKUP(B153, Dim_Hotel!$A$2:$A$11, Dim_Hotel!$I$2:$I$11)
 + (IF(J153="",0,J153)
    * _xlfn.XLOOKUP(B153, Dim_Hotel!$A$2:$A$11, Dim_Hotel!$J$2:$J$11))</f>
        <v>175</v>
      </c>
    </row>
    <row r="154" spans="1:13" x14ac:dyDescent="0.25">
      <c r="A154" s="1">
        <f t="shared" si="16"/>
        <v>46038</v>
      </c>
      <c r="B154" t="str" cm="1">
        <f t="array" ref="B154">INDEX(HotelList,MOD(ROW()-2,10)+1)</f>
        <v>H003</v>
      </c>
      <c r="C154">
        <f>_xlfn.XLOOKUP(B154,Dim_Hotel!$A$2:$A$11,Dim_Hotel!$F$2:$F$11)</f>
        <v>121</v>
      </c>
      <c r="D154">
        <f t="shared" si="17"/>
        <v>67</v>
      </c>
      <c r="E154">
        <f t="shared" si="18"/>
        <v>0.55371900826446285</v>
      </c>
      <c r="F154">
        <f t="shared" si="19"/>
        <v>145</v>
      </c>
      <c r="G154">
        <f t="shared" si="20"/>
        <v>80.289256198347118</v>
      </c>
      <c r="H154" t="str">
        <f>_xlfn.XLOOKUP(A154,Fact_Events!$D$2:$D$20,Fact_Events!$A$2:$A$20, "")</f>
        <v/>
      </c>
      <c r="I154">
        <f t="shared" si="21"/>
        <v>0</v>
      </c>
      <c r="J154" t="str">
        <f>_xlfn.XLOOKUP(H154, Fact_Events!$A$2:$A$20, Fact_Events!$F$2:$F$20, "")</f>
        <v/>
      </c>
      <c r="K154" t="str">
        <f t="shared" si="22"/>
        <v>Low</v>
      </c>
      <c r="L154">
        <f t="shared" si="23"/>
        <v>0.55000000000000004</v>
      </c>
      <c r="M154">
        <f>_xlfn.XLOOKUP(B154, Dim_Hotel!$A$2:$A$11, Dim_Hotel!$I$2:$I$11)
 + (IF(J154="",0,J154)
    * _xlfn.XLOOKUP(B154, Dim_Hotel!$A$2:$A$11, Dim_Hotel!$J$2:$J$11))</f>
        <v>145</v>
      </c>
    </row>
    <row r="155" spans="1:13" x14ac:dyDescent="0.25">
      <c r="A155" s="1">
        <f t="shared" si="16"/>
        <v>46038</v>
      </c>
      <c r="B155" t="str" cm="1">
        <f t="array" ref="B155">INDEX(HotelList,MOD(ROW()-2,10)+1)</f>
        <v>H004</v>
      </c>
      <c r="C155">
        <f>_xlfn.XLOOKUP(B155,Dim_Hotel!$A$2:$A$11,Dim_Hotel!$F$2:$F$11)</f>
        <v>108</v>
      </c>
      <c r="D155">
        <f t="shared" si="17"/>
        <v>59</v>
      </c>
      <c r="E155">
        <f t="shared" si="18"/>
        <v>0.54629629629629628</v>
      </c>
      <c r="F155">
        <f t="shared" si="19"/>
        <v>135</v>
      </c>
      <c r="G155">
        <f t="shared" si="20"/>
        <v>73.75</v>
      </c>
      <c r="H155" t="str">
        <f>_xlfn.XLOOKUP(A155,Fact_Events!$D$2:$D$20,Fact_Events!$A$2:$A$20, "")</f>
        <v/>
      </c>
      <c r="I155">
        <f t="shared" si="21"/>
        <v>0</v>
      </c>
      <c r="J155" t="str">
        <f>_xlfn.XLOOKUP(H155, Fact_Events!$A$2:$A$20, Fact_Events!$F$2:$F$20, "")</f>
        <v/>
      </c>
      <c r="K155" t="str">
        <f t="shared" si="22"/>
        <v>Low</v>
      </c>
      <c r="L155">
        <f t="shared" si="23"/>
        <v>0.55000000000000004</v>
      </c>
      <c r="M155">
        <f>_xlfn.XLOOKUP(B155, Dim_Hotel!$A$2:$A$11, Dim_Hotel!$I$2:$I$11)
 + (IF(J155="",0,J155)
    * _xlfn.XLOOKUP(B155, Dim_Hotel!$A$2:$A$11, Dim_Hotel!$J$2:$J$11))</f>
        <v>135</v>
      </c>
    </row>
    <row r="156" spans="1:13" x14ac:dyDescent="0.25">
      <c r="A156" s="1">
        <f t="shared" si="16"/>
        <v>46038</v>
      </c>
      <c r="B156" t="str" cm="1">
        <f t="array" ref="B156">INDEX(HotelList,MOD(ROW()-2,10)+1)</f>
        <v>H005</v>
      </c>
      <c r="C156">
        <f>_xlfn.XLOOKUP(B156,Dim_Hotel!$A$2:$A$11,Dim_Hotel!$F$2:$F$11)</f>
        <v>66</v>
      </c>
      <c r="D156">
        <f t="shared" si="17"/>
        <v>36</v>
      </c>
      <c r="E156">
        <f t="shared" si="18"/>
        <v>0.54545454545454541</v>
      </c>
      <c r="F156">
        <f t="shared" si="19"/>
        <v>82</v>
      </c>
      <c r="G156">
        <f t="shared" si="20"/>
        <v>44.727272727272727</v>
      </c>
      <c r="H156" t="str">
        <f>_xlfn.XLOOKUP(A156,Fact_Events!$D$2:$D$20,Fact_Events!$A$2:$A$20, "")</f>
        <v/>
      </c>
      <c r="I156">
        <f t="shared" si="21"/>
        <v>0</v>
      </c>
      <c r="J156" t="str">
        <f>_xlfn.XLOOKUP(H156, Fact_Events!$A$2:$A$20, Fact_Events!$F$2:$F$20, "")</f>
        <v/>
      </c>
      <c r="K156" t="str">
        <f t="shared" si="22"/>
        <v>Low</v>
      </c>
      <c r="L156">
        <f t="shared" si="23"/>
        <v>0.55000000000000004</v>
      </c>
      <c r="M156">
        <f>_xlfn.XLOOKUP(B156, Dim_Hotel!$A$2:$A$11, Dim_Hotel!$I$2:$I$11)
 + (IF(J156="",0,J156)
    * _xlfn.XLOOKUP(B156, Dim_Hotel!$A$2:$A$11, Dim_Hotel!$J$2:$J$11))</f>
        <v>82</v>
      </c>
    </row>
    <row r="157" spans="1:13" x14ac:dyDescent="0.25">
      <c r="A157" s="1">
        <f t="shared" si="16"/>
        <v>46038</v>
      </c>
      <c r="B157" t="str" cm="1">
        <f t="array" ref="B157">INDEX(HotelList,MOD(ROW()-2,10)+1)</f>
        <v>H006</v>
      </c>
      <c r="C157">
        <f>_xlfn.XLOOKUP(B157,Dim_Hotel!$A$2:$A$11,Dim_Hotel!$F$2:$F$11)</f>
        <v>311</v>
      </c>
      <c r="D157">
        <f t="shared" si="17"/>
        <v>171</v>
      </c>
      <c r="E157">
        <f t="shared" si="18"/>
        <v>0.54983922829581988</v>
      </c>
      <c r="F157">
        <f t="shared" si="19"/>
        <v>190</v>
      </c>
      <c r="G157">
        <f t="shared" si="20"/>
        <v>104.46945337620578</v>
      </c>
      <c r="H157" t="str">
        <f>_xlfn.XLOOKUP(A157,Fact_Events!$D$2:$D$20,Fact_Events!$A$2:$A$20, "")</f>
        <v/>
      </c>
      <c r="I157">
        <f t="shared" si="21"/>
        <v>0</v>
      </c>
      <c r="J157" t="str">
        <f>_xlfn.XLOOKUP(H157, Fact_Events!$A$2:$A$20, Fact_Events!$F$2:$F$20, "")</f>
        <v/>
      </c>
      <c r="K157" t="str">
        <f t="shared" si="22"/>
        <v>Low</v>
      </c>
      <c r="L157">
        <f t="shared" si="23"/>
        <v>0.55000000000000004</v>
      </c>
      <c r="M157">
        <f>_xlfn.XLOOKUP(B157, Dim_Hotel!$A$2:$A$11, Dim_Hotel!$I$2:$I$11)
 + (IF(J157="",0,J157)
    * _xlfn.XLOOKUP(B157, Dim_Hotel!$A$2:$A$11, Dim_Hotel!$J$2:$J$11))</f>
        <v>190</v>
      </c>
    </row>
    <row r="158" spans="1:13" x14ac:dyDescent="0.25">
      <c r="A158" s="1">
        <f t="shared" si="16"/>
        <v>46038</v>
      </c>
      <c r="B158" t="str" cm="1">
        <f t="array" ref="B158">INDEX(HotelList,MOD(ROW()-2,10)+1)</f>
        <v>H007</v>
      </c>
      <c r="C158">
        <f>_xlfn.XLOOKUP(B158,Dim_Hotel!$A$2:$A$11,Dim_Hotel!$F$2:$F$11)</f>
        <v>132</v>
      </c>
      <c r="D158">
        <f t="shared" si="17"/>
        <v>73</v>
      </c>
      <c r="E158">
        <f t="shared" si="18"/>
        <v>0.55303030303030298</v>
      </c>
      <c r="F158">
        <f t="shared" si="19"/>
        <v>165</v>
      </c>
      <c r="G158">
        <f t="shared" si="20"/>
        <v>91.249999999999986</v>
      </c>
      <c r="H158" t="str">
        <f>_xlfn.XLOOKUP(A158,Fact_Events!$D$2:$D$20,Fact_Events!$A$2:$A$20, "")</f>
        <v/>
      </c>
      <c r="I158">
        <f t="shared" si="21"/>
        <v>0</v>
      </c>
      <c r="J158" t="str">
        <f>_xlfn.XLOOKUP(H158, Fact_Events!$A$2:$A$20, Fact_Events!$F$2:$F$20, "")</f>
        <v/>
      </c>
      <c r="K158" t="str">
        <f t="shared" si="22"/>
        <v>Low</v>
      </c>
      <c r="L158">
        <f t="shared" si="23"/>
        <v>0.55000000000000004</v>
      </c>
      <c r="M158">
        <f>_xlfn.XLOOKUP(B158, Dim_Hotel!$A$2:$A$11, Dim_Hotel!$I$2:$I$11)
 + (IF(J158="",0,J158)
    * _xlfn.XLOOKUP(B158, Dim_Hotel!$A$2:$A$11, Dim_Hotel!$J$2:$J$11))</f>
        <v>165</v>
      </c>
    </row>
    <row r="159" spans="1:13" x14ac:dyDescent="0.25">
      <c r="A159" s="1">
        <f t="shared" si="16"/>
        <v>46038</v>
      </c>
      <c r="B159" t="str" cm="1">
        <f t="array" ref="B159">INDEX(HotelList,MOD(ROW()-2,10)+1)</f>
        <v>H008</v>
      </c>
      <c r="C159">
        <f>_xlfn.XLOOKUP(B159,Dim_Hotel!$A$2:$A$11,Dim_Hotel!$F$2:$F$11)</f>
        <v>103</v>
      </c>
      <c r="D159">
        <f t="shared" si="17"/>
        <v>57</v>
      </c>
      <c r="E159">
        <f t="shared" si="18"/>
        <v>0.55339805825242716</v>
      </c>
      <c r="F159">
        <f t="shared" si="19"/>
        <v>140</v>
      </c>
      <c r="G159">
        <f t="shared" si="20"/>
        <v>77.475728155339809</v>
      </c>
      <c r="H159" t="str">
        <f>_xlfn.XLOOKUP(A159,Fact_Events!$D$2:$D$20,Fact_Events!$A$2:$A$20, "")</f>
        <v/>
      </c>
      <c r="I159">
        <f t="shared" si="21"/>
        <v>0</v>
      </c>
      <c r="J159" t="str">
        <f>_xlfn.XLOOKUP(H159, Fact_Events!$A$2:$A$20, Fact_Events!$F$2:$F$20, "")</f>
        <v/>
      </c>
      <c r="K159" t="str">
        <f t="shared" si="22"/>
        <v>Low</v>
      </c>
      <c r="L159">
        <f t="shared" si="23"/>
        <v>0.55000000000000004</v>
      </c>
      <c r="M159">
        <f>_xlfn.XLOOKUP(B159, Dim_Hotel!$A$2:$A$11, Dim_Hotel!$I$2:$I$11)
 + (IF(J159="",0,J159)
    * _xlfn.XLOOKUP(B159, Dim_Hotel!$A$2:$A$11, Dim_Hotel!$J$2:$J$11))</f>
        <v>140</v>
      </c>
    </row>
    <row r="160" spans="1:13" x14ac:dyDescent="0.25">
      <c r="A160" s="1">
        <f t="shared" si="16"/>
        <v>46038</v>
      </c>
      <c r="B160" t="str" cm="1">
        <f t="array" ref="B160">INDEX(HotelList,MOD(ROW()-2,10)+1)</f>
        <v>H009</v>
      </c>
      <c r="C160">
        <f>_xlfn.XLOOKUP(B160,Dim_Hotel!$A$2:$A$11,Dim_Hotel!$F$2:$F$11)</f>
        <v>114</v>
      </c>
      <c r="D160">
        <f t="shared" si="17"/>
        <v>63</v>
      </c>
      <c r="E160">
        <f t="shared" si="18"/>
        <v>0.55263157894736847</v>
      </c>
      <c r="F160">
        <f t="shared" si="19"/>
        <v>185</v>
      </c>
      <c r="G160">
        <f t="shared" si="20"/>
        <v>102.23684210526316</v>
      </c>
      <c r="H160" t="str">
        <f>_xlfn.XLOOKUP(A160,Fact_Events!$D$2:$D$20,Fact_Events!$A$2:$A$20, "")</f>
        <v/>
      </c>
      <c r="I160">
        <f t="shared" si="21"/>
        <v>0</v>
      </c>
      <c r="J160" t="str">
        <f>_xlfn.XLOOKUP(H160, Fact_Events!$A$2:$A$20, Fact_Events!$F$2:$F$20, "")</f>
        <v/>
      </c>
      <c r="K160" t="str">
        <f t="shared" si="22"/>
        <v>Low</v>
      </c>
      <c r="L160">
        <f t="shared" si="23"/>
        <v>0.55000000000000004</v>
      </c>
      <c r="M160">
        <f>_xlfn.XLOOKUP(B160, Dim_Hotel!$A$2:$A$11, Dim_Hotel!$I$2:$I$11)
 + (IF(J160="",0,J160)
    * _xlfn.XLOOKUP(B160, Dim_Hotel!$A$2:$A$11, Dim_Hotel!$J$2:$J$11))</f>
        <v>185</v>
      </c>
    </row>
    <row r="161" spans="1:13" x14ac:dyDescent="0.25">
      <c r="A161" s="1">
        <f t="shared" si="16"/>
        <v>46038</v>
      </c>
      <c r="B161" t="str" cm="1">
        <f t="array" ref="B161">INDEX(HotelList,MOD(ROW()-2,10)+1)</f>
        <v>H010</v>
      </c>
      <c r="C161">
        <f>_xlfn.XLOOKUP(B161,Dim_Hotel!$A$2:$A$11,Dim_Hotel!$F$2:$F$11)</f>
        <v>89</v>
      </c>
      <c r="D161">
        <f t="shared" si="17"/>
        <v>49</v>
      </c>
      <c r="E161">
        <f t="shared" si="18"/>
        <v>0.550561797752809</v>
      </c>
      <c r="F161">
        <f t="shared" si="19"/>
        <v>150</v>
      </c>
      <c r="G161">
        <f t="shared" si="20"/>
        <v>82.584269662921344</v>
      </c>
      <c r="H161" t="str">
        <f>_xlfn.XLOOKUP(A161,Fact_Events!$D$2:$D$20,Fact_Events!$A$2:$A$20, "")</f>
        <v/>
      </c>
      <c r="I161">
        <f t="shared" si="21"/>
        <v>0</v>
      </c>
      <c r="J161" t="str">
        <f>_xlfn.XLOOKUP(H161, Fact_Events!$A$2:$A$20, Fact_Events!$F$2:$F$20, "")</f>
        <v/>
      </c>
      <c r="K161" t="str">
        <f t="shared" si="22"/>
        <v>Low</v>
      </c>
      <c r="L161">
        <f t="shared" si="23"/>
        <v>0.55000000000000004</v>
      </c>
      <c r="M161">
        <f>_xlfn.XLOOKUP(B161, Dim_Hotel!$A$2:$A$11, Dim_Hotel!$I$2:$I$11)
 + (IF(J161="",0,J161)
    * _xlfn.XLOOKUP(B161, Dim_Hotel!$A$2:$A$11, Dim_Hotel!$J$2:$J$11))</f>
        <v>150</v>
      </c>
    </row>
    <row r="162" spans="1:13" x14ac:dyDescent="0.25">
      <c r="A162" s="1">
        <f t="shared" si="16"/>
        <v>46039</v>
      </c>
      <c r="B162" t="str" cm="1">
        <f t="array" ref="B162">INDEX(HotelList,MOD(ROW()-2,10)+1)</f>
        <v>H001</v>
      </c>
      <c r="C162">
        <f>_xlfn.XLOOKUP(B162,Dim_Hotel!$A$2:$A$11,Dim_Hotel!$F$2:$F$11)</f>
        <v>888</v>
      </c>
      <c r="D162">
        <f t="shared" si="17"/>
        <v>488</v>
      </c>
      <c r="E162">
        <f t="shared" si="18"/>
        <v>0.5495495495495496</v>
      </c>
      <c r="F162">
        <f t="shared" si="19"/>
        <v>260</v>
      </c>
      <c r="G162">
        <f t="shared" si="20"/>
        <v>142.88288288288288</v>
      </c>
      <c r="H162" t="str">
        <f>_xlfn.XLOOKUP(A162,Fact_Events!$D$2:$D$20,Fact_Events!$A$2:$A$20, "")</f>
        <v/>
      </c>
      <c r="I162">
        <f t="shared" si="21"/>
        <v>0</v>
      </c>
      <c r="J162" t="str">
        <f>_xlfn.XLOOKUP(H162, Fact_Events!$A$2:$A$20, Fact_Events!$F$2:$F$20, "")</f>
        <v/>
      </c>
      <c r="K162" t="str">
        <f t="shared" si="22"/>
        <v>Low</v>
      </c>
      <c r="L162">
        <f t="shared" si="23"/>
        <v>0.55000000000000004</v>
      </c>
      <c r="M162">
        <f>_xlfn.XLOOKUP(B162, Dim_Hotel!$A$2:$A$11, Dim_Hotel!$I$2:$I$11)
 + (IF(J162="",0,J162)
    * _xlfn.XLOOKUP(B162, Dim_Hotel!$A$2:$A$11, Dim_Hotel!$J$2:$J$11))</f>
        <v>260</v>
      </c>
    </row>
    <row r="163" spans="1:13" x14ac:dyDescent="0.25">
      <c r="A163" s="1">
        <f t="shared" si="16"/>
        <v>46039</v>
      </c>
      <c r="B163" t="str" cm="1">
        <f t="array" ref="B163">INDEX(HotelList,MOD(ROW()-2,10)+1)</f>
        <v>H002</v>
      </c>
      <c r="C163">
        <f>_xlfn.XLOOKUP(B163,Dim_Hotel!$A$2:$A$11,Dim_Hotel!$F$2:$F$11)</f>
        <v>147</v>
      </c>
      <c r="D163">
        <f t="shared" si="17"/>
        <v>81</v>
      </c>
      <c r="E163">
        <f t="shared" si="18"/>
        <v>0.55102040816326525</v>
      </c>
      <c r="F163">
        <f t="shared" si="19"/>
        <v>175</v>
      </c>
      <c r="G163">
        <f t="shared" si="20"/>
        <v>96.428571428571416</v>
      </c>
      <c r="H163" t="str">
        <f>_xlfn.XLOOKUP(A163,Fact_Events!$D$2:$D$20,Fact_Events!$A$2:$A$20, "")</f>
        <v/>
      </c>
      <c r="I163">
        <f t="shared" si="21"/>
        <v>0</v>
      </c>
      <c r="J163" t="str">
        <f>_xlfn.XLOOKUP(H163, Fact_Events!$A$2:$A$20, Fact_Events!$F$2:$F$20, "")</f>
        <v/>
      </c>
      <c r="K163" t="str">
        <f t="shared" si="22"/>
        <v>Low</v>
      </c>
      <c r="L163">
        <f t="shared" si="23"/>
        <v>0.55000000000000004</v>
      </c>
      <c r="M163">
        <f>_xlfn.XLOOKUP(B163, Dim_Hotel!$A$2:$A$11, Dim_Hotel!$I$2:$I$11)
 + (IF(J163="",0,J163)
    * _xlfn.XLOOKUP(B163, Dim_Hotel!$A$2:$A$11, Dim_Hotel!$J$2:$J$11))</f>
        <v>175</v>
      </c>
    </row>
    <row r="164" spans="1:13" x14ac:dyDescent="0.25">
      <c r="A164" s="1">
        <f t="shared" si="16"/>
        <v>46039</v>
      </c>
      <c r="B164" t="str" cm="1">
        <f t="array" ref="B164">INDEX(HotelList,MOD(ROW()-2,10)+1)</f>
        <v>H003</v>
      </c>
      <c r="C164">
        <f>_xlfn.XLOOKUP(B164,Dim_Hotel!$A$2:$A$11,Dim_Hotel!$F$2:$F$11)</f>
        <v>121</v>
      </c>
      <c r="D164">
        <f t="shared" si="17"/>
        <v>67</v>
      </c>
      <c r="E164">
        <f t="shared" si="18"/>
        <v>0.55371900826446285</v>
      </c>
      <c r="F164">
        <f t="shared" si="19"/>
        <v>145</v>
      </c>
      <c r="G164">
        <f t="shared" si="20"/>
        <v>80.289256198347118</v>
      </c>
      <c r="H164" t="str">
        <f>_xlfn.XLOOKUP(A164,Fact_Events!$D$2:$D$20,Fact_Events!$A$2:$A$20, "")</f>
        <v/>
      </c>
      <c r="I164">
        <f t="shared" si="21"/>
        <v>0</v>
      </c>
      <c r="J164" t="str">
        <f>_xlfn.XLOOKUP(H164, Fact_Events!$A$2:$A$20, Fact_Events!$F$2:$F$20, "")</f>
        <v/>
      </c>
      <c r="K164" t="str">
        <f t="shared" si="22"/>
        <v>Low</v>
      </c>
      <c r="L164">
        <f t="shared" si="23"/>
        <v>0.55000000000000004</v>
      </c>
      <c r="M164">
        <f>_xlfn.XLOOKUP(B164, Dim_Hotel!$A$2:$A$11, Dim_Hotel!$I$2:$I$11)
 + (IF(J164="",0,J164)
    * _xlfn.XLOOKUP(B164, Dim_Hotel!$A$2:$A$11, Dim_Hotel!$J$2:$J$11))</f>
        <v>145</v>
      </c>
    </row>
    <row r="165" spans="1:13" x14ac:dyDescent="0.25">
      <c r="A165" s="1">
        <f t="shared" si="16"/>
        <v>46039</v>
      </c>
      <c r="B165" t="str" cm="1">
        <f t="array" ref="B165">INDEX(HotelList,MOD(ROW()-2,10)+1)</f>
        <v>H004</v>
      </c>
      <c r="C165">
        <f>_xlfn.XLOOKUP(B165,Dim_Hotel!$A$2:$A$11,Dim_Hotel!$F$2:$F$11)</f>
        <v>108</v>
      </c>
      <c r="D165">
        <f t="shared" si="17"/>
        <v>59</v>
      </c>
      <c r="E165">
        <f t="shared" si="18"/>
        <v>0.54629629629629628</v>
      </c>
      <c r="F165">
        <f t="shared" si="19"/>
        <v>135</v>
      </c>
      <c r="G165">
        <f t="shared" si="20"/>
        <v>73.75</v>
      </c>
      <c r="H165" t="str">
        <f>_xlfn.XLOOKUP(A165,Fact_Events!$D$2:$D$20,Fact_Events!$A$2:$A$20, "")</f>
        <v/>
      </c>
      <c r="I165">
        <f t="shared" si="21"/>
        <v>0</v>
      </c>
      <c r="J165" t="str">
        <f>_xlfn.XLOOKUP(H165, Fact_Events!$A$2:$A$20, Fact_Events!$F$2:$F$20, "")</f>
        <v/>
      </c>
      <c r="K165" t="str">
        <f t="shared" si="22"/>
        <v>Low</v>
      </c>
      <c r="L165">
        <f t="shared" si="23"/>
        <v>0.55000000000000004</v>
      </c>
      <c r="M165">
        <f>_xlfn.XLOOKUP(B165, Dim_Hotel!$A$2:$A$11, Dim_Hotel!$I$2:$I$11)
 + (IF(J165="",0,J165)
    * _xlfn.XLOOKUP(B165, Dim_Hotel!$A$2:$A$11, Dim_Hotel!$J$2:$J$11))</f>
        <v>135</v>
      </c>
    </row>
    <row r="166" spans="1:13" x14ac:dyDescent="0.25">
      <c r="A166" s="1">
        <f t="shared" si="16"/>
        <v>46039</v>
      </c>
      <c r="B166" t="str" cm="1">
        <f t="array" ref="B166">INDEX(HotelList,MOD(ROW()-2,10)+1)</f>
        <v>H005</v>
      </c>
      <c r="C166">
        <f>_xlfn.XLOOKUP(B166,Dim_Hotel!$A$2:$A$11,Dim_Hotel!$F$2:$F$11)</f>
        <v>66</v>
      </c>
      <c r="D166">
        <f t="shared" si="17"/>
        <v>36</v>
      </c>
      <c r="E166">
        <f t="shared" si="18"/>
        <v>0.54545454545454541</v>
      </c>
      <c r="F166">
        <f t="shared" si="19"/>
        <v>82</v>
      </c>
      <c r="G166">
        <f t="shared" si="20"/>
        <v>44.727272727272727</v>
      </c>
      <c r="H166" t="str">
        <f>_xlfn.XLOOKUP(A166,Fact_Events!$D$2:$D$20,Fact_Events!$A$2:$A$20, "")</f>
        <v/>
      </c>
      <c r="I166">
        <f t="shared" si="21"/>
        <v>0</v>
      </c>
      <c r="J166" t="str">
        <f>_xlfn.XLOOKUP(H166, Fact_Events!$A$2:$A$20, Fact_Events!$F$2:$F$20, "")</f>
        <v/>
      </c>
      <c r="K166" t="str">
        <f t="shared" si="22"/>
        <v>Low</v>
      </c>
      <c r="L166">
        <f t="shared" si="23"/>
        <v>0.55000000000000004</v>
      </c>
      <c r="M166">
        <f>_xlfn.XLOOKUP(B166, Dim_Hotel!$A$2:$A$11, Dim_Hotel!$I$2:$I$11)
 + (IF(J166="",0,J166)
    * _xlfn.XLOOKUP(B166, Dim_Hotel!$A$2:$A$11, Dim_Hotel!$J$2:$J$11))</f>
        <v>82</v>
      </c>
    </row>
    <row r="167" spans="1:13" x14ac:dyDescent="0.25">
      <c r="A167" s="1">
        <f t="shared" si="16"/>
        <v>46039</v>
      </c>
      <c r="B167" t="str" cm="1">
        <f t="array" ref="B167">INDEX(HotelList,MOD(ROW()-2,10)+1)</f>
        <v>H006</v>
      </c>
      <c r="C167">
        <f>_xlfn.XLOOKUP(B167,Dim_Hotel!$A$2:$A$11,Dim_Hotel!$F$2:$F$11)</f>
        <v>311</v>
      </c>
      <c r="D167">
        <f t="shared" si="17"/>
        <v>171</v>
      </c>
      <c r="E167">
        <f t="shared" si="18"/>
        <v>0.54983922829581988</v>
      </c>
      <c r="F167">
        <f t="shared" si="19"/>
        <v>190</v>
      </c>
      <c r="G167">
        <f t="shared" si="20"/>
        <v>104.46945337620578</v>
      </c>
      <c r="H167" t="str">
        <f>_xlfn.XLOOKUP(A167,Fact_Events!$D$2:$D$20,Fact_Events!$A$2:$A$20, "")</f>
        <v/>
      </c>
      <c r="I167">
        <f t="shared" si="21"/>
        <v>0</v>
      </c>
      <c r="J167" t="str">
        <f>_xlfn.XLOOKUP(H167, Fact_Events!$A$2:$A$20, Fact_Events!$F$2:$F$20, "")</f>
        <v/>
      </c>
      <c r="K167" t="str">
        <f t="shared" si="22"/>
        <v>Low</v>
      </c>
      <c r="L167">
        <f t="shared" si="23"/>
        <v>0.55000000000000004</v>
      </c>
      <c r="M167">
        <f>_xlfn.XLOOKUP(B167, Dim_Hotel!$A$2:$A$11, Dim_Hotel!$I$2:$I$11)
 + (IF(J167="",0,J167)
    * _xlfn.XLOOKUP(B167, Dim_Hotel!$A$2:$A$11, Dim_Hotel!$J$2:$J$11))</f>
        <v>190</v>
      </c>
    </row>
    <row r="168" spans="1:13" x14ac:dyDescent="0.25">
      <c r="A168" s="1">
        <f t="shared" si="16"/>
        <v>46039</v>
      </c>
      <c r="B168" t="str" cm="1">
        <f t="array" ref="B168">INDEX(HotelList,MOD(ROW()-2,10)+1)</f>
        <v>H007</v>
      </c>
      <c r="C168">
        <f>_xlfn.XLOOKUP(B168,Dim_Hotel!$A$2:$A$11,Dim_Hotel!$F$2:$F$11)</f>
        <v>132</v>
      </c>
      <c r="D168">
        <f t="shared" si="17"/>
        <v>73</v>
      </c>
      <c r="E168">
        <f t="shared" si="18"/>
        <v>0.55303030303030298</v>
      </c>
      <c r="F168">
        <f t="shared" si="19"/>
        <v>165</v>
      </c>
      <c r="G168">
        <f t="shared" si="20"/>
        <v>91.249999999999986</v>
      </c>
      <c r="H168" t="str">
        <f>_xlfn.XLOOKUP(A168,Fact_Events!$D$2:$D$20,Fact_Events!$A$2:$A$20, "")</f>
        <v/>
      </c>
      <c r="I168">
        <f t="shared" si="21"/>
        <v>0</v>
      </c>
      <c r="J168" t="str">
        <f>_xlfn.XLOOKUP(H168, Fact_Events!$A$2:$A$20, Fact_Events!$F$2:$F$20, "")</f>
        <v/>
      </c>
      <c r="K168" t="str">
        <f t="shared" si="22"/>
        <v>Low</v>
      </c>
      <c r="L168">
        <f t="shared" si="23"/>
        <v>0.55000000000000004</v>
      </c>
      <c r="M168">
        <f>_xlfn.XLOOKUP(B168, Dim_Hotel!$A$2:$A$11, Dim_Hotel!$I$2:$I$11)
 + (IF(J168="",0,J168)
    * _xlfn.XLOOKUP(B168, Dim_Hotel!$A$2:$A$11, Dim_Hotel!$J$2:$J$11))</f>
        <v>165</v>
      </c>
    </row>
    <row r="169" spans="1:13" x14ac:dyDescent="0.25">
      <c r="A169" s="1">
        <f t="shared" si="16"/>
        <v>46039</v>
      </c>
      <c r="B169" t="str" cm="1">
        <f t="array" ref="B169">INDEX(HotelList,MOD(ROW()-2,10)+1)</f>
        <v>H008</v>
      </c>
      <c r="C169">
        <f>_xlfn.XLOOKUP(B169,Dim_Hotel!$A$2:$A$11,Dim_Hotel!$F$2:$F$11)</f>
        <v>103</v>
      </c>
      <c r="D169">
        <f t="shared" si="17"/>
        <v>57</v>
      </c>
      <c r="E169">
        <f t="shared" si="18"/>
        <v>0.55339805825242716</v>
      </c>
      <c r="F169">
        <f t="shared" si="19"/>
        <v>140</v>
      </c>
      <c r="G169">
        <f t="shared" si="20"/>
        <v>77.475728155339809</v>
      </c>
      <c r="H169" t="str">
        <f>_xlfn.XLOOKUP(A169,Fact_Events!$D$2:$D$20,Fact_Events!$A$2:$A$20, "")</f>
        <v/>
      </c>
      <c r="I169">
        <f t="shared" si="21"/>
        <v>0</v>
      </c>
      <c r="J169" t="str">
        <f>_xlfn.XLOOKUP(H169, Fact_Events!$A$2:$A$20, Fact_Events!$F$2:$F$20, "")</f>
        <v/>
      </c>
      <c r="K169" t="str">
        <f t="shared" si="22"/>
        <v>Low</v>
      </c>
      <c r="L169">
        <f t="shared" si="23"/>
        <v>0.55000000000000004</v>
      </c>
      <c r="M169">
        <f>_xlfn.XLOOKUP(B169, Dim_Hotel!$A$2:$A$11, Dim_Hotel!$I$2:$I$11)
 + (IF(J169="",0,J169)
    * _xlfn.XLOOKUP(B169, Dim_Hotel!$A$2:$A$11, Dim_Hotel!$J$2:$J$11))</f>
        <v>140</v>
      </c>
    </row>
    <row r="170" spans="1:13" x14ac:dyDescent="0.25">
      <c r="A170" s="1">
        <f t="shared" si="16"/>
        <v>46039</v>
      </c>
      <c r="B170" t="str" cm="1">
        <f t="array" ref="B170">INDEX(HotelList,MOD(ROW()-2,10)+1)</f>
        <v>H009</v>
      </c>
      <c r="C170">
        <f>_xlfn.XLOOKUP(B170,Dim_Hotel!$A$2:$A$11,Dim_Hotel!$F$2:$F$11)</f>
        <v>114</v>
      </c>
      <c r="D170">
        <f t="shared" si="17"/>
        <v>63</v>
      </c>
      <c r="E170">
        <f t="shared" si="18"/>
        <v>0.55263157894736847</v>
      </c>
      <c r="F170">
        <f t="shared" si="19"/>
        <v>185</v>
      </c>
      <c r="G170">
        <f t="shared" si="20"/>
        <v>102.23684210526316</v>
      </c>
      <c r="H170" t="str">
        <f>_xlfn.XLOOKUP(A170,Fact_Events!$D$2:$D$20,Fact_Events!$A$2:$A$20, "")</f>
        <v/>
      </c>
      <c r="I170">
        <f t="shared" si="21"/>
        <v>0</v>
      </c>
      <c r="J170" t="str">
        <f>_xlfn.XLOOKUP(H170, Fact_Events!$A$2:$A$20, Fact_Events!$F$2:$F$20, "")</f>
        <v/>
      </c>
      <c r="K170" t="str">
        <f t="shared" si="22"/>
        <v>Low</v>
      </c>
      <c r="L170">
        <f t="shared" si="23"/>
        <v>0.55000000000000004</v>
      </c>
      <c r="M170">
        <f>_xlfn.XLOOKUP(B170, Dim_Hotel!$A$2:$A$11, Dim_Hotel!$I$2:$I$11)
 + (IF(J170="",0,J170)
    * _xlfn.XLOOKUP(B170, Dim_Hotel!$A$2:$A$11, Dim_Hotel!$J$2:$J$11))</f>
        <v>185</v>
      </c>
    </row>
    <row r="171" spans="1:13" x14ac:dyDescent="0.25">
      <c r="A171" s="1">
        <f t="shared" si="16"/>
        <v>46039</v>
      </c>
      <c r="B171" t="str" cm="1">
        <f t="array" ref="B171">INDEX(HotelList,MOD(ROW()-2,10)+1)</f>
        <v>H010</v>
      </c>
      <c r="C171">
        <f>_xlfn.XLOOKUP(B171,Dim_Hotel!$A$2:$A$11,Dim_Hotel!$F$2:$F$11)</f>
        <v>89</v>
      </c>
      <c r="D171">
        <f t="shared" si="17"/>
        <v>49</v>
      </c>
      <c r="E171">
        <f t="shared" si="18"/>
        <v>0.550561797752809</v>
      </c>
      <c r="F171">
        <f t="shared" si="19"/>
        <v>150</v>
      </c>
      <c r="G171">
        <f t="shared" si="20"/>
        <v>82.584269662921344</v>
      </c>
      <c r="H171" t="str">
        <f>_xlfn.XLOOKUP(A171,Fact_Events!$D$2:$D$20,Fact_Events!$A$2:$A$20, "")</f>
        <v/>
      </c>
      <c r="I171">
        <f t="shared" si="21"/>
        <v>0</v>
      </c>
      <c r="J171" t="str">
        <f>_xlfn.XLOOKUP(H171, Fact_Events!$A$2:$A$20, Fact_Events!$F$2:$F$20, "")</f>
        <v/>
      </c>
      <c r="K171" t="str">
        <f t="shared" si="22"/>
        <v>Low</v>
      </c>
      <c r="L171">
        <f t="shared" si="23"/>
        <v>0.55000000000000004</v>
      </c>
      <c r="M171">
        <f>_xlfn.XLOOKUP(B171, Dim_Hotel!$A$2:$A$11, Dim_Hotel!$I$2:$I$11)
 + (IF(J171="",0,J171)
    * _xlfn.XLOOKUP(B171, Dim_Hotel!$A$2:$A$11, Dim_Hotel!$J$2:$J$11))</f>
        <v>150</v>
      </c>
    </row>
    <row r="172" spans="1:13" x14ac:dyDescent="0.25">
      <c r="A172" s="1">
        <f t="shared" si="16"/>
        <v>46040</v>
      </c>
      <c r="B172" t="str" cm="1">
        <f t="array" ref="B172">INDEX(HotelList,MOD(ROW()-2,10)+1)</f>
        <v>H001</v>
      </c>
      <c r="C172">
        <f>_xlfn.XLOOKUP(B172,Dim_Hotel!$A$2:$A$11,Dim_Hotel!$F$2:$F$11)</f>
        <v>888</v>
      </c>
      <c r="D172">
        <f t="shared" si="17"/>
        <v>488</v>
      </c>
      <c r="E172">
        <f t="shared" si="18"/>
        <v>0.5495495495495496</v>
      </c>
      <c r="F172">
        <f t="shared" si="19"/>
        <v>260</v>
      </c>
      <c r="G172">
        <f t="shared" si="20"/>
        <v>142.88288288288288</v>
      </c>
      <c r="H172" t="str">
        <f>_xlfn.XLOOKUP(A172,Fact_Events!$D$2:$D$20,Fact_Events!$A$2:$A$20, "")</f>
        <v/>
      </c>
      <c r="I172">
        <f t="shared" si="21"/>
        <v>0</v>
      </c>
      <c r="J172" t="str">
        <f>_xlfn.XLOOKUP(H172, Fact_Events!$A$2:$A$20, Fact_Events!$F$2:$F$20, "")</f>
        <v/>
      </c>
      <c r="K172" t="str">
        <f t="shared" si="22"/>
        <v>Low</v>
      </c>
      <c r="L172">
        <f t="shared" si="23"/>
        <v>0.55000000000000004</v>
      </c>
      <c r="M172">
        <f>_xlfn.XLOOKUP(B172, Dim_Hotel!$A$2:$A$11, Dim_Hotel!$I$2:$I$11)
 + (IF(J172="",0,J172)
    * _xlfn.XLOOKUP(B172, Dim_Hotel!$A$2:$A$11, Dim_Hotel!$J$2:$J$11))</f>
        <v>260</v>
      </c>
    </row>
    <row r="173" spans="1:13" x14ac:dyDescent="0.25">
      <c r="A173" s="1">
        <f t="shared" si="16"/>
        <v>46040</v>
      </c>
      <c r="B173" t="str" cm="1">
        <f t="array" ref="B173">INDEX(HotelList,MOD(ROW()-2,10)+1)</f>
        <v>H002</v>
      </c>
      <c r="C173">
        <f>_xlfn.XLOOKUP(B173,Dim_Hotel!$A$2:$A$11,Dim_Hotel!$F$2:$F$11)</f>
        <v>147</v>
      </c>
      <c r="D173">
        <f t="shared" si="17"/>
        <v>81</v>
      </c>
      <c r="E173">
        <f t="shared" si="18"/>
        <v>0.55102040816326525</v>
      </c>
      <c r="F173">
        <f t="shared" si="19"/>
        <v>175</v>
      </c>
      <c r="G173">
        <f t="shared" si="20"/>
        <v>96.428571428571416</v>
      </c>
      <c r="H173" t="str">
        <f>_xlfn.XLOOKUP(A173,Fact_Events!$D$2:$D$20,Fact_Events!$A$2:$A$20, "")</f>
        <v/>
      </c>
      <c r="I173">
        <f t="shared" si="21"/>
        <v>0</v>
      </c>
      <c r="J173" t="str">
        <f>_xlfn.XLOOKUP(H173, Fact_Events!$A$2:$A$20, Fact_Events!$F$2:$F$20, "")</f>
        <v/>
      </c>
      <c r="K173" t="str">
        <f t="shared" si="22"/>
        <v>Low</v>
      </c>
      <c r="L173">
        <f t="shared" si="23"/>
        <v>0.55000000000000004</v>
      </c>
      <c r="M173">
        <f>_xlfn.XLOOKUP(B173, Dim_Hotel!$A$2:$A$11, Dim_Hotel!$I$2:$I$11)
 + (IF(J173="",0,J173)
    * _xlfn.XLOOKUP(B173, Dim_Hotel!$A$2:$A$11, Dim_Hotel!$J$2:$J$11))</f>
        <v>175</v>
      </c>
    </row>
    <row r="174" spans="1:13" x14ac:dyDescent="0.25">
      <c r="A174" s="1">
        <f t="shared" si="16"/>
        <v>46040</v>
      </c>
      <c r="B174" t="str" cm="1">
        <f t="array" ref="B174">INDEX(HotelList,MOD(ROW()-2,10)+1)</f>
        <v>H003</v>
      </c>
      <c r="C174">
        <f>_xlfn.XLOOKUP(B174,Dim_Hotel!$A$2:$A$11,Dim_Hotel!$F$2:$F$11)</f>
        <v>121</v>
      </c>
      <c r="D174">
        <f t="shared" si="17"/>
        <v>67</v>
      </c>
      <c r="E174">
        <f t="shared" si="18"/>
        <v>0.55371900826446285</v>
      </c>
      <c r="F174">
        <f t="shared" si="19"/>
        <v>145</v>
      </c>
      <c r="G174">
        <f t="shared" si="20"/>
        <v>80.289256198347118</v>
      </c>
      <c r="H174" t="str">
        <f>_xlfn.XLOOKUP(A174,Fact_Events!$D$2:$D$20,Fact_Events!$A$2:$A$20, "")</f>
        <v/>
      </c>
      <c r="I174">
        <f t="shared" si="21"/>
        <v>0</v>
      </c>
      <c r="J174" t="str">
        <f>_xlfn.XLOOKUP(H174, Fact_Events!$A$2:$A$20, Fact_Events!$F$2:$F$20, "")</f>
        <v/>
      </c>
      <c r="K174" t="str">
        <f t="shared" si="22"/>
        <v>Low</v>
      </c>
      <c r="L174">
        <f t="shared" si="23"/>
        <v>0.55000000000000004</v>
      </c>
      <c r="M174">
        <f>_xlfn.XLOOKUP(B174, Dim_Hotel!$A$2:$A$11, Dim_Hotel!$I$2:$I$11)
 + (IF(J174="",0,J174)
    * _xlfn.XLOOKUP(B174, Dim_Hotel!$A$2:$A$11, Dim_Hotel!$J$2:$J$11))</f>
        <v>145</v>
      </c>
    </row>
    <row r="175" spans="1:13" x14ac:dyDescent="0.25">
      <c r="A175" s="1">
        <f t="shared" si="16"/>
        <v>46040</v>
      </c>
      <c r="B175" t="str" cm="1">
        <f t="array" ref="B175">INDEX(HotelList,MOD(ROW()-2,10)+1)</f>
        <v>H004</v>
      </c>
      <c r="C175">
        <f>_xlfn.XLOOKUP(B175,Dim_Hotel!$A$2:$A$11,Dim_Hotel!$F$2:$F$11)</f>
        <v>108</v>
      </c>
      <c r="D175">
        <f t="shared" si="17"/>
        <v>59</v>
      </c>
      <c r="E175">
        <f t="shared" si="18"/>
        <v>0.54629629629629628</v>
      </c>
      <c r="F175">
        <f t="shared" si="19"/>
        <v>135</v>
      </c>
      <c r="G175">
        <f t="shared" si="20"/>
        <v>73.75</v>
      </c>
      <c r="H175" t="str">
        <f>_xlfn.XLOOKUP(A175,Fact_Events!$D$2:$D$20,Fact_Events!$A$2:$A$20, "")</f>
        <v/>
      </c>
      <c r="I175">
        <f t="shared" si="21"/>
        <v>0</v>
      </c>
      <c r="J175" t="str">
        <f>_xlfn.XLOOKUP(H175, Fact_Events!$A$2:$A$20, Fact_Events!$F$2:$F$20, "")</f>
        <v/>
      </c>
      <c r="K175" t="str">
        <f t="shared" si="22"/>
        <v>Low</v>
      </c>
      <c r="L175">
        <f t="shared" si="23"/>
        <v>0.55000000000000004</v>
      </c>
      <c r="M175">
        <f>_xlfn.XLOOKUP(B175, Dim_Hotel!$A$2:$A$11, Dim_Hotel!$I$2:$I$11)
 + (IF(J175="",0,J175)
    * _xlfn.XLOOKUP(B175, Dim_Hotel!$A$2:$A$11, Dim_Hotel!$J$2:$J$11))</f>
        <v>135</v>
      </c>
    </row>
    <row r="176" spans="1:13" x14ac:dyDescent="0.25">
      <c r="A176" s="1">
        <f t="shared" si="16"/>
        <v>46040</v>
      </c>
      <c r="B176" t="str" cm="1">
        <f t="array" ref="B176">INDEX(HotelList,MOD(ROW()-2,10)+1)</f>
        <v>H005</v>
      </c>
      <c r="C176">
        <f>_xlfn.XLOOKUP(B176,Dim_Hotel!$A$2:$A$11,Dim_Hotel!$F$2:$F$11)</f>
        <v>66</v>
      </c>
      <c r="D176">
        <f t="shared" si="17"/>
        <v>36</v>
      </c>
      <c r="E176">
        <f t="shared" si="18"/>
        <v>0.54545454545454541</v>
      </c>
      <c r="F176">
        <f t="shared" si="19"/>
        <v>82</v>
      </c>
      <c r="G176">
        <f t="shared" si="20"/>
        <v>44.727272727272727</v>
      </c>
      <c r="H176" t="str">
        <f>_xlfn.XLOOKUP(A176,Fact_Events!$D$2:$D$20,Fact_Events!$A$2:$A$20, "")</f>
        <v/>
      </c>
      <c r="I176">
        <f t="shared" si="21"/>
        <v>0</v>
      </c>
      <c r="J176" t="str">
        <f>_xlfn.XLOOKUP(H176, Fact_Events!$A$2:$A$20, Fact_Events!$F$2:$F$20, "")</f>
        <v/>
      </c>
      <c r="K176" t="str">
        <f t="shared" si="22"/>
        <v>Low</v>
      </c>
      <c r="L176">
        <f t="shared" si="23"/>
        <v>0.55000000000000004</v>
      </c>
      <c r="M176">
        <f>_xlfn.XLOOKUP(B176, Dim_Hotel!$A$2:$A$11, Dim_Hotel!$I$2:$I$11)
 + (IF(J176="",0,J176)
    * _xlfn.XLOOKUP(B176, Dim_Hotel!$A$2:$A$11, Dim_Hotel!$J$2:$J$11))</f>
        <v>82</v>
      </c>
    </row>
    <row r="177" spans="1:13" x14ac:dyDescent="0.25">
      <c r="A177" s="1">
        <f t="shared" si="16"/>
        <v>46040</v>
      </c>
      <c r="B177" t="str" cm="1">
        <f t="array" ref="B177">INDEX(HotelList,MOD(ROW()-2,10)+1)</f>
        <v>H006</v>
      </c>
      <c r="C177">
        <f>_xlfn.XLOOKUP(B177,Dim_Hotel!$A$2:$A$11,Dim_Hotel!$F$2:$F$11)</f>
        <v>311</v>
      </c>
      <c r="D177">
        <f t="shared" si="17"/>
        <v>171</v>
      </c>
      <c r="E177">
        <f t="shared" si="18"/>
        <v>0.54983922829581988</v>
      </c>
      <c r="F177">
        <f t="shared" si="19"/>
        <v>190</v>
      </c>
      <c r="G177">
        <f t="shared" si="20"/>
        <v>104.46945337620578</v>
      </c>
      <c r="H177" t="str">
        <f>_xlfn.XLOOKUP(A177,Fact_Events!$D$2:$D$20,Fact_Events!$A$2:$A$20, "")</f>
        <v/>
      </c>
      <c r="I177">
        <f t="shared" si="21"/>
        <v>0</v>
      </c>
      <c r="J177" t="str">
        <f>_xlfn.XLOOKUP(H177, Fact_Events!$A$2:$A$20, Fact_Events!$F$2:$F$20, "")</f>
        <v/>
      </c>
      <c r="K177" t="str">
        <f t="shared" si="22"/>
        <v>Low</v>
      </c>
      <c r="L177">
        <f t="shared" si="23"/>
        <v>0.55000000000000004</v>
      </c>
      <c r="M177">
        <f>_xlfn.XLOOKUP(B177, Dim_Hotel!$A$2:$A$11, Dim_Hotel!$I$2:$I$11)
 + (IF(J177="",0,J177)
    * _xlfn.XLOOKUP(B177, Dim_Hotel!$A$2:$A$11, Dim_Hotel!$J$2:$J$11))</f>
        <v>190</v>
      </c>
    </row>
    <row r="178" spans="1:13" x14ac:dyDescent="0.25">
      <c r="A178" s="1">
        <f t="shared" si="16"/>
        <v>46040</v>
      </c>
      <c r="B178" t="str" cm="1">
        <f t="array" ref="B178">INDEX(HotelList,MOD(ROW()-2,10)+1)</f>
        <v>H007</v>
      </c>
      <c r="C178">
        <f>_xlfn.XLOOKUP(B178,Dim_Hotel!$A$2:$A$11,Dim_Hotel!$F$2:$F$11)</f>
        <v>132</v>
      </c>
      <c r="D178">
        <f t="shared" si="17"/>
        <v>73</v>
      </c>
      <c r="E178">
        <f t="shared" si="18"/>
        <v>0.55303030303030298</v>
      </c>
      <c r="F178">
        <f t="shared" si="19"/>
        <v>165</v>
      </c>
      <c r="G178">
        <f t="shared" si="20"/>
        <v>91.249999999999986</v>
      </c>
      <c r="H178" t="str">
        <f>_xlfn.XLOOKUP(A178,Fact_Events!$D$2:$D$20,Fact_Events!$A$2:$A$20, "")</f>
        <v/>
      </c>
      <c r="I178">
        <f t="shared" si="21"/>
        <v>0</v>
      </c>
      <c r="J178" t="str">
        <f>_xlfn.XLOOKUP(H178, Fact_Events!$A$2:$A$20, Fact_Events!$F$2:$F$20, "")</f>
        <v/>
      </c>
      <c r="K178" t="str">
        <f t="shared" si="22"/>
        <v>Low</v>
      </c>
      <c r="L178">
        <f t="shared" si="23"/>
        <v>0.55000000000000004</v>
      </c>
      <c r="M178">
        <f>_xlfn.XLOOKUP(B178, Dim_Hotel!$A$2:$A$11, Dim_Hotel!$I$2:$I$11)
 + (IF(J178="",0,J178)
    * _xlfn.XLOOKUP(B178, Dim_Hotel!$A$2:$A$11, Dim_Hotel!$J$2:$J$11))</f>
        <v>165</v>
      </c>
    </row>
    <row r="179" spans="1:13" x14ac:dyDescent="0.25">
      <c r="A179" s="1">
        <f t="shared" si="16"/>
        <v>46040</v>
      </c>
      <c r="B179" t="str" cm="1">
        <f t="array" ref="B179">INDEX(HotelList,MOD(ROW()-2,10)+1)</f>
        <v>H008</v>
      </c>
      <c r="C179">
        <f>_xlfn.XLOOKUP(B179,Dim_Hotel!$A$2:$A$11,Dim_Hotel!$F$2:$F$11)</f>
        <v>103</v>
      </c>
      <c r="D179">
        <f t="shared" si="17"/>
        <v>57</v>
      </c>
      <c r="E179">
        <f t="shared" si="18"/>
        <v>0.55339805825242716</v>
      </c>
      <c r="F179">
        <f t="shared" si="19"/>
        <v>140</v>
      </c>
      <c r="G179">
        <f t="shared" si="20"/>
        <v>77.475728155339809</v>
      </c>
      <c r="H179" t="str">
        <f>_xlfn.XLOOKUP(A179,Fact_Events!$D$2:$D$20,Fact_Events!$A$2:$A$20, "")</f>
        <v/>
      </c>
      <c r="I179">
        <f t="shared" si="21"/>
        <v>0</v>
      </c>
      <c r="J179" t="str">
        <f>_xlfn.XLOOKUP(H179, Fact_Events!$A$2:$A$20, Fact_Events!$F$2:$F$20, "")</f>
        <v/>
      </c>
      <c r="K179" t="str">
        <f t="shared" si="22"/>
        <v>Low</v>
      </c>
      <c r="L179">
        <f t="shared" si="23"/>
        <v>0.55000000000000004</v>
      </c>
      <c r="M179">
        <f>_xlfn.XLOOKUP(B179, Dim_Hotel!$A$2:$A$11, Dim_Hotel!$I$2:$I$11)
 + (IF(J179="",0,J179)
    * _xlfn.XLOOKUP(B179, Dim_Hotel!$A$2:$A$11, Dim_Hotel!$J$2:$J$11))</f>
        <v>140</v>
      </c>
    </row>
    <row r="180" spans="1:13" x14ac:dyDescent="0.25">
      <c r="A180" s="1">
        <f t="shared" si="16"/>
        <v>46040</v>
      </c>
      <c r="B180" t="str" cm="1">
        <f t="array" ref="B180">INDEX(HotelList,MOD(ROW()-2,10)+1)</f>
        <v>H009</v>
      </c>
      <c r="C180">
        <f>_xlfn.XLOOKUP(B180,Dim_Hotel!$A$2:$A$11,Dim_Hotel!$F$2:$F$11)</f>
        <v>114</v>
      </c>
      <c r="D180">
        <f t="shared" si="17"/>
        <v>63</v>
      </c>
      <c r="E180">
        <f t="shared" si="18"/>
        <v>0.55263157894736847</v>
      </c>
      <c r="F180">
        <f t="shared" si="19"/>
        <v>185</v>
      </c>
      <c r="G180">
        <f t="shared" si="20"/>
        <v>102.23684210526316</v>
      </c>
      <c r="H180" t="str">
        <f>_xlfn.XLOOKUP(A180,Fact_Events!$D$2:$D$20,Fact_Events!$A$2:$A$20, "")</f>
        <v/>
      </c>
      <c r="I180">
        <f t="shared" si="21"/>
        <v>0</v>
      </c>
      <c r="J180" t="str">
        <f>_xlfn.XLOOKUP(H180, Fact_Events!$A$2:$A$20, Fact_Events!$F$2:$F$20, "")</f>
        <v/>
      </c>
      <c r="K180" t="str">
        <f t="shared" si="22"/>
        <v>Low</v>
      </c>
      <c r="L180">
        <f t="shared" si="23"/>
        <v>0.55000000000000004</v>
      </c>
      <c r="M180">
        <f>_xlfn.XLOOKUP(B180, Dim_Hotel!$A$2:$A$11, Dim_Hotel!$I$2:$I$11)
 + (IF(J180="",0,J180)
    * _xlfn.XLOOKUP(B180, Dim_Hotel!$A$2:$A$11, Dim_Hotel!$J$2:$J$11))</f>
        <v>185</v>
      </c>
    </row>
    <row r="181" spans="1:13" x14ac:dyDescent="0.25">
      <c r="A181" s="1">
        <f t="shared" si="16"/>
        <v>46040</v>
      </c>
      <c r="B181" t="str" cm="1">
        <f t="array" ref="B181">INDEX(HotelList,MOD(ROW()-2,10)+1)</f>
        <v>H010</v>
      </c>
      <c r="C181">
        <f>_xlfn.XLOOKUP(B181,Dim_Hotel!$A$2:$A$11,Dim_Hotel!$F$2:$F$11)</f>
        <v>89</v>
      </c>
      <c r="D181">
        <f t="shared" si="17"/>
        <v>49</v>
      </c>
      <c r="E181">
        <f t="shared" si="18"/>
        <v>0.550561797752809</v>
      </c>
      <c r="F181">
        <f t="shared" si="19"/>
        <v>150</v>
      </c>
      <c r="G181">
        <f t="shared" si="20"/>
        <v>82.584269662921344</v>
      </c>
      <c r="H181" t="str">
        <f>_xlfn.XLOOKUP(A181,Fact_Events!$D$2:$D$20,Fact_Events!$A$2:$A$20, "")</f>
        <v/>
      </c>
      <c r="I181">
        <f t="shared" si="21"/>
        <v>0</v>
      </c>
      <c r="J181" t="str">
        <f>_xlfn.XLOOKUP(H181, Fact_Events!$A$2:$A$20, Fact_Events!$F$2:$F$20, "")</f>
        <v/>
      </c>
      <c r="K181" t="str">
        <f t="shared" si="22"/>
        <v>Low</v>
      </c>
      <c r="L181">
        <f t="shared" si="23"/>
        <v>0.55000000000000004</v>
      </c>
      <c r="M181">
        <f>_xlfn.XLOOKUP(B181, Dim_Hotel!$A$2:$A$11, Dim_Hotel!$I$2:$I$11)
 + (IF(J181="",0,J181)
    * _xlfn.XLOOKUP(B181, Dim_Hotel!$A$2:$A$11, Dim_Hotel!$J$2:$J$11))</f>
        <v>150</v>
      </c>
    </row>
    <row r="182" spans="1:13" x14ac:dyDescent="0.25">
      <c r="A182" s="1">
        <f t="shared" si="16"/>
        <v>46041</v>
      </c>
      <c r="B182" t="str" cm="1">
        <f t="array" ref="B182">INDEX(HotelList,MOD(ROW()-2,10)+1)</f>
        <v>H001</v>
      </c>
      <c r="C182">
        <f>_xlfn.XLOOKUP(B182,Dim_Hotel!$A$2:$A$11,Dim_Hotel!$F$2:$F$11)</f>
        <v>888</v>
      </c>
      <c r="D182">
        <f t="shared" si="17"/>
        <v>488</v>
      </c>
      <c r="E182">
        <f t="shared" si="18"/>
        <v>0.5495495495495496</v>
      </c>
      <c r="F182">
        <f t="shared" si="19"/>
        <v>260</v>
      </c>
      <c r="G182">
        <f t="shared" si="20"/>
        <v>142.88288288288288</v>
      </c>
      <c r="H182" t="str">
        <f>_xlfn.XLOOKUP(A182,Fact_Events!$D$2:$D$20,Fact_Events!$A$2:$A$20, "")</f>
        <v/>
      </c>
      <c r="I182">
        <f t="shared" si="21"/>
        <v>0</v>
      </c>
      <c r="J182" t="str">
        <f>_xlfn.XLOOKUP(H182, Fact_Events!$A$2:$A$20, Fact_Events!$F$2:$F$20, "")</f>
        <v/>
      </c>
      <c r="K182" t="str">
        <f t="shared" si="22"/>
        <v>Low</v>
      </c>
      <c r="L182">
        <f t="shared" si="23"/>
        <v>0.55000000000000004</v>
      </c>
      <c r="M182">
        <f>_xlfn.XLOOKUP(B182, Dim_Hotel!$A$2:$A$11, Dim_Hotel!$I$2:$I$11)
 + (IF(J182="",0,J182)
    * _xlfn.XLOOKUP(B182, Dim_Hotel!$A$2:$A$11, Dim_Hotel!$J$2:$J$11))</f>
        <v>260</v>
      </c>
    </row>
    <row r="183" spans="1:13" x14ac:dyDescent="0.25">
      <c r="A183" s="1">
        <f t="shared" si="16"/>
        <v>46041</v>
      </c>
      <c r="B183" t="str" cm="1">
        <f t="array" ref="B183">INDEX(HotelList,MOD(ROW()-2,10)+1)</f>
        <v>H002</v>
      </c>
      <c r="C183">
        <f>_xlfn.XLOOKUP(B183,Dim_Hotel!$A$2:$A$11,Dim_Hotel!$F$2:$F$11)</f>
        <v>147</v>
      </c>
      <c r="D183">
        <f t="shared" si="17"/>
        <v>81</v>
      </c>
      <c r="E183">
        <f t="shared" si="18"/>
        <v>0.55102040816326525</v>
      </c>
      <c r="F183">
        <f t="shared" si="19"/>
        <v>175</v>
      </c>
      <c r="G183">
        <f t="shared" si="20"/>
        <v>96.428571428571416</v>
      </c>
      <c r="H183" t="str">
        <f>_xlfn.XLOOKUP(A183,Fact_Events!$D$2:$D$20,Fact_Events!$A$2:$A$20, "")</f>
        <v/>
      </c>
      <c r="I183">
        <f t="shared" si="21"/>
        <v>0</v>
      </c>
      <c r="J183" t="str">
        <f>_xlfn.XLOOKUP(H183, Fact_Events!$A$2:$A$20, Fact_Events!$F$2:$F$20, "")</f>
        <v/>
      </c>
      <c r="K183" t="str">
        <f t="shared" si="22"/>
        <v>Low</v>
      </c>
      <c r="L183">
        <f t="shared" si="23"/>
        <v>0.55000000000000004</v>
      </c>
      <c r="M183">
        <f>_xlfn.XLOOKUP(B183, Dim_Hotel!$A$2:$A$11, Dim_Hotel!$I$2:$I$11)
 + (IF(J183="",0,J183)
    * _xlfn.XLOOKUP(B183, Dim_Hotel!$A$2:$A$11, Dim_Hotel!$J$2:$J$11))</f>
        <v>175</v>
      </c>
    </row>
    <row r="184" spans="1:13" x14ac:dyDescent="0.25">
      <c r="A184" s="1">
        <f t="shared" si="16"/>
        <v>46041</v>
      </c>
      <c r="B184" t="str" cm="1">
        <f t="array" ref="B184">INDEX(HotelList,MOD(ROW()-2,10)+1)</f>
        <v>H003</v>
      </c>
      <c r="C184">
        <f>_xlfn.XLOOKUP(B184,Dim_Hotel!$A$2:$A$11,Dim_Hotel!$F$2:$F$11)</f>
        <v>121</v>
      </c>
      <c r="D184">
        <f t="shared" si="17"/>
        <v>67</v>
      </c>
      <c r="E184">
        <f t="shared" si="18"/>
        <v>0.55371900826446285</v>
      </c>
      <c r="F184">
        <f t="shared" si="19"/>
        <v>145</v>
      </c>
      <c r="G184">
        <f t="shared" si="20"/>
        <v>80.289256198347118</v>
      </c>
      <c r="H184" t="str">
        <f>_xlfn.XLOOKUP(A184,Fact_Events!$D$2:$D$20,Fact_Events!$A$2:$A$20, "")</f>
        <v/>
      </c>
      <c r="I184">
        <f t="shared" si="21"/>
        <v>0</v>
      </c>
      <c r="J184" t="str">
        <f>_xlfn.XLOOKUP(H184, Fact_Events!$A$2:$A$20, Fact_Events!$F$2:$F$20, "")</f>
        <v/>
      </c>
      <c r="K184" t="str">
        <f t="shared" si="22"/>
        <v>Low</v>
      </c>
      <c r="L184">
        <f t="shared" si="23"/>
        <v>0.55000000000000004</v>
      </c>
      <c r="M184">
        <f>_xlfn.XLOOKUP(B184, Dim_Hotel!$A$2:$A$11, Dim_Hotel!$I$2:$I$11)
 + (IF(J184="",0,J184)
    * _xlfn.XLOOKUP(B184, Dim_Hotel!$A$2:$A$11, Dim_Hotel!$J$2:$J$11))</f>
        <v>145</v>
      </c>
    </row>
    <row r="185" spans="1:13" x14ac:dyDescent="0.25">
      <c r="A185" s="1">
        <f t="shared" si="16"/>
        <v>46041</v>
      </c>
      <c r="B185" t="str" cm="1">
        <f t="array" ref="B185">INDEX(HotelList,MOD(ROW()-2,10)+1)</f>
        <v>H004</v>
      </c>
      <c r="C185">
        <f>_xlfn.XLOOKUP(B185,Dim_Hotel!$A$2:$A$11,Dim_Hotel!$F$2:$F$11)</f>
        <v>108</v>
      </c>
      <c r="D185">
        <f t="shared" si="17"/>
        <v>59</v>
      </c>
      <c r="E185">
        <f t="shared" si="18"/>
        <v>0.54629629629629628</v>
      </c>
      <c r="F185">
        <f t="shared" si="19"/>
        <v>135</v>
      </c>
      <c r="G185">
        <f t="shared" si="20"/>
        <v>73.75</v>
      </c>
      <c r="H185" t="str">
        <f>_xlfn.XLOOKUP(A185,Fact_Events!$D$2:$D$20,Fact_Events!$A$2:$A$20, "")</f>
        <v/>
      </c>
      <c r="I185">
        <f t="shared" si="21"/>
        <v>0</v>
      </c>
      <c r="J185" t="str">
        <f>_xlfn.XLOOKUP(H185, Fact_Events!$A$2:$A$20, Fact_Events!$F$2:$F$20, "")</f>
        <v/>
      </c>
      <c r="K185" t="str">
        <f t="shared" si="22"/>
        <v>Low</v>
      </c>
      <c r="L185">
        <f t="shared" si="23"/>
        <v>0.55000000000000004</v>
      </c>
      <c r="M185">
        <f>_xlfn.XLOOKUP(B185, Dim_Hotel!$A$2:$A$11, Dim_Hotel!$I$2:$I$11)
 + (IF(J185="",0,J185)
    * _xlfn.XLOOKUP(B185, Dim_Hotel!$A$2:$A$11, Dim_Hotel!$J$2:$J$11))</f>
        <v>135</v>
      </c>
    </row>
    <row r="186" spans="1:13" x14ac:dyDescent="0.25">
      <c r="A186" s="1">
        <f t="shared" si="16"/>
        <v>46041</v>
      </c>
      <c r="B186" t="str" cm="1">
        <f t="array" ref="B186">INDEX(HotelList,MOD(ROW()-2,10)+1)</f>
        <v>H005</v>
      </c>
      <c r="C186">
        <f>_xlfn.XLOOKUP(B186,Dim_Hotel!$A$2:$A$11,Dim_Hotel!$F$2:$F$11)</f>
        <v>66</v>
      </c>
      <c r="D186">
        <f t="shared" si="17"/>
        <v>36</v>
      </c>
      <c r="E186">
        <f t="shared" si="18"/>
        <v>0.54545454545454541</v>
      </c>
      <c r="F186">
        <f t="shared" si="19"/>
        <v>82</v>
      </c>
      <c r="G186">
        <f t="shared" si="20"/>
        <v>44.727272727272727</v>
      </c>
      <c r="H186" t="str">
        <f>_xlfn.XLOOKUP(A186,Fact_Events!$D$2:$D$20,Fact_Events!$A$2:$A$20, "")</f>
        <v/>
      </c>
      <c r="I186">
        <f t="shared" si="21"/>
        <v>0</v>
      </c>
      <c r="J186" t="str">
        <f>_xlfn.XLOOKUP(H186, Fact_Events!$A$2:$A$20, Fact_Events!$F$2:$F$20, "")</f>
        <v/>
      </c>
      <c r="K186" t="str">
        <f t="shared" si="22"/>
        <v>Low</v>
      </c>
      <c r="L186">
        <f t="shared" si="23"/>
        <v>0.55000000000000004</v>
      </c>
      <c r="M186">
        <f>_xlfn.XLOOKUP(B186, Dim_Hotel!$A$2:$A$11, Dim_Hotel!$I$2:$I$11)
 + (IF(J186="",0,J186)
    * _xlfn.XLOOKUP(B186, Dim_Hotel!$A$2:$A$11, Dim_Hotel!$J$2:$J$11))</f>
        <v>82</v>
      </c>
    </row>
    <row r="187" spans="1:13" x14ac:dyDescent="0.25">
      <c r="A187" s="1">
        <f t="shared" si="16"/>
        <v>46041</v>
      </c>
      <c r="B187" t="str" cm="1">
        <f t="array" ref="B187">INDEX(HotelList,MOD(ROW()-2,10)+1)</f>
        <v>H006</v>
      </c>
      <c r="C187">
        <f>_xlfn.XLOOKUP(B187,Dim_Hotel!$A$2:$A$11,Dim_Hotel!$F$2:$F$11)</f>
        <v>311</v>
      </c>
      <c r="D187">
        <f t="shared" si="17"/>
        <v>171</v>
      </c>
      <c r="E187">
        <f t="shared" si="18"/>
        <v>0.54983922829581988</v>
      </c>
      <c r="F187">
        <f t="shared" si="19"/>
        <v>190</v>
      </c>
      <c r="G187">
        <f t="shared" si="20"/>
        <v>104.46945337620578</v>
      </c>
      <c r="H187" t="str">
        <f>_xlfn.XLOOKUP(A187,Fact_Events!$D$2:$D$20,Fact_Events!$A$2:$A$20, "")</f>
        <v/>
      </c>
      <c r="I187">
        <f t="shared" si="21"/>
        <v>0</v>
      </c>
      <c r="J187" t="str">
        <f>_xlfn.XLOOKUP(H187, Fact_Events!$A$2:$A$20, Fact_Events!$F$2:$F$20, "")</f>
        <v/>
      </c>
      <c r="K187" t="str">
        <f t="shared" si="22"/>
        <v>Low</v>
      </c>
      <c r="L187">
        <f t="shared" si="23"/>
        <v>0.55000000000000004</v>
      </c>
      <c r="M187">
        <f>_xlfn.XLOOKUP(B187, Dim_Hotel!$A$2:$A$11, Dim_Hotel!$I$2:$I$11)
 + (IF(J187="",0,J187)
    * _xlfn.XLOOKUP(B187, Dim_Hotel!$A$2:$A$11, Dim_Hotel!$J$2:$J$11))</f>
        <v>190</v>
      </c>
    </row>
    <row r="188" spans="1:13" x14ac:dyDescent="0.25">
      <c r="A188" s="1">
        <f t="shared" si="16"/>
        <v>46041</v>
      </c>
      <c r="B188" t="str" cm="1">
        <f t="array" ref="B188">INDEX(HotelList,MOD(ROW()-2,10)+1)</f>
        <v>H007</v>
      </c>
      <c r="C188">
        <f>_xlfn.XLOOKUP(B188,Dim_Hotel!$A$2:$A$11,Dim_Hotel!$F$2:$F$11)</f>
        <v>132</v>
      </c>
      <c r="D188">
        <f t="shared" si="17"/>
        <v>73</v>
      </c>
      <c r="E188">
        <f t="shared" si="18"/>
        <v>0.55303030303030298</v>
      </c>
      <c r="F188">
        <f t="shared" si="19"/>
        <v>165</v>
      </c>
      <c r="G188">
        <f t="shared" si="20"/>
        <v>91.249999999999986</v>
      </c>
      <c r="H188" t="str">
        <f>_xlfn.XLOOKUP(A188,Fact_Events!$D$2:$D$20,Fact_Events!$A$2:$A$20, "")</f>
        <v/>
      </c>
      <c r="I188">
        <f t="shared" si="21"/>
        <v>0</v>
      </c>
      <c r="J188" t="str">
        <f>_xlfn.XLOOKUP(H188, Fact_Events!$A$2:$A$20, Fact_Events!$F$2:$F$20, "")</f>
        <v/>
      </c>
      <c r="K188" t="str">
        <f t="shared" si="22"/>
        <v>Low</v>
      </c>
      <c r="L188">
        <f t="shared" si="23"/>
        <v>0.55000000000000004</v>
      </c>
      <c r="M188">
        <f>_xlfn.XLOOKUP(B188, Dim_Hotel!$A$2:$A$11, Dim_Hotel!$I$2:$I$11)
 + (IF(J188="",0,J188)
    * _xlfn.XLOOKUP(B188, Dim_Hotel!$A$2:$A$11, Dim_Hotel!$J$2:$J$11))</f>
        <v>165</v>
      </c>
    </row>
    <row r="189" spans="1:13" x14ac:dyDescent="0.25">
      <c r="A189" s="1">
        <f t="shared" si="16"/>
        <v>46041</v>
      </c>
      <c r="B189" t="str" cm="1">
        <f t="array" ref="B189">INDEX(HotelList,MOD(ROW()-2,10)+1)</f>
        <v>H008</v>
      </c>
      <c r="C189">
        <f>_xlfn.XLOOKUP(B189,Dim_Hotel!$A$2:$A$11,Dim_Hotel!$F$2:$F$11)</f>
        <v>103</v>
      </c>
      <c r="D189">
        <f t="shared" si="17"/>
        <v>57</v>
      </c>
      <c r="E189">
        <f t="shared" si="18"/>
        <v>0.55339805825242716</v>
      </c>
      <c r="F189">
        <f t="shared" si="19"/>
        <v>140</v>
      </c>
      <c r="G189">
        <f t="shared" si="20"/>
        <v>77.475728155339809</v>
      </c>
      <c r="H189" t="str">
        <f>_xlfn.XLOOKUP(A189,Fact_Events!$D$2:$D$20,Fact_Events!$A$2:$A$20, "")</f>
        <v/>
      </c>
      <c r="I189">
        <f t="shared" si="21"/>
        <v>0</v>
      </c>
      <c r="J189" t="str">
        <f>_xlfn.XLOOKUP(H189, Fact_Events!$A$2:$A$20, Fact_Events!$F$2:$F$20, "")</f>
        <v/>
      </c>
      <c r="K189" t="str">
        <f t="shared" si="22"/>
        <v>Low</v>
      </c>
      <c r="L189">
        <f t="shared" si="23"/>
        <v>0.55000000000000004</v>
      </c>
      <c r="M189">
        <f>_xlfn.XLOOKUP(B189, Dim_Hotel!$A$2:$A$11, Dim_Hotel!$I$2:$I$11)
 + (IF(J189="",0,J189)
    * _xlfn.XLOOKUP(B189, Dim_Hotel!$A$2:$A$11, Dim_Hotel!$J$2:$J$11))</f>
        <v>140</v>
      </c>
    </row>
    <row r="190" spans="1:13" x14ac:dyDescent="0.25">
      <c r="A190" s="1">
        <f t="shared" si="16"/>
        <v>46041</v>
      </c>
      <c r="B190" t="str" cm="1">
        <f t="array" ref="B190">INDEX(HotelList,MOD(ROW()-2,10)+1)</f>
        <v>H009</v>
      </c>
      <c r="C190">
        <f>_xlfn.XLOOKUP(B190,Dim_Hotel!$A$2:$A$11,Dim_Hotel!$F$2:$F$11)</f>
        <v>114</v>
      </c>
      <c r="D190">
        <f t="shared" si="17"/>
        <v>63</v>
      </c>
      <c r="E190">
        <f t="shared" si="18"/>
        <v>0.55263157894736847</v>
      </c>
      <c r="F190">
        <f t="shared" si="19"/>
        <v>185</v>
      </c>
      <c r="G190">
        <f t="shared" si="20"/>
        <v>102.23684210526316</v>
      </c>
      <c r="H190" t="str">
        <f>_xlfn.XLOOKUP(A190,Fact_Events!$D$2:$D$20,Fact_Events!$A$2:$A$20, "")</f>
        <v/>
      </c>
      <c r="I190">
        <f t="shared" si="21"/>
        <v>0</v>
      </c>
      <c r="J190" t="str">
        <f>_xlfn.XLOOKUP(H190, Fact_Events!$A$2:$A$20, Fact_Events!$F$2:$F$20, "")</f>
        <v/>
      </c>
      <c r="K190" t="str">
        <f t="shared" si="22"/>
        <v>Low</v>
      </c>
      <c r="L190">
        <f t="shared" si="23"/>
        <v>0.55000000000000004</v>
      </c>
      <c r="M190">
        <f>_xlfn.XLOOKUP(B190, Dim_Hotel!$A$2:$A$11, Dim_Hotel!$I$2:$I$11)
 + (IF(J190="",0,J190)
    * _xlfn.XLOOKUP(B190, Dim_Hotel!$A$2:$A$11, Dim_Hotel!$J$2:$J$11))</f>
        <v>185</v>
      </c>
    </row>
    <row r="191" spans="1:13" x14ac:dyDescent="0.25">
      <c r="A191" s="1">
        <f t="shared" si="16"/>
        <v>46041</v>
      </c>
      <c r="B191" t="str" cm="1">
        <f t="array" ref="B191">INDEX(HotelList,MOD(ROW()-2,10)+1)</f>
        <v>H010</v>
      </c>
      <c r="C191">
        <f>_xlfn.XLOOKUP(B191,Dim_Hotel!$A$2:$A$11,Dim_Hotel!$F$2:$F$11)</f>
        <v>89</v>
      </c>
      <c r="D191">
        <f t="shared" si="17"/>
        <v>49</v>
      </c>
      <c r="E191">
        <f t="shared" si="18"/>
        <v>0.550561797752809</v>
      </c>
      <c r="F191">
        <f t="shared" si="19"/>
        <v>150</v>
      </c>
      <c r="G191">
        <f t="shared" si="20"/>
        <v>82.584269662921344</v>
      </c>
      <c r="H191" t="str">
        <f>_xlfn.XLOOKUP(A191,Fact_Events!$D$2:$D$20,Fact_Events!$A$2:$A$20, "")</f>
        <v/>
      </c>
      <c r="I191">
        <f t="shared" si="21"/>
        <v>0</v>
      </c>
      <c r="J191" t="str">
        <f>_xlfn.XLOOKUP(H191, Fact_Events!$A$2:$A$20, Fact_Events!$F$2:$F$20, "")</f>
        <v/>
      </c>
      <c r="K191" t="str">
        <f t="shared" si="22"/>
        <v>Low</v>
      </c>
      <c r="L191">
        <f t="shared" si="23"/>
        <v>0.55000000000000004</v>
      </c>
      <c r="M191">
        <f>_xlfn.XLOOKUP(B191, Dim_Hotel!$A$2:$A$11, Dim_Hotel!$I$2:$I$11)
 + (IF(J191="",0,J191)
    * _xlfn.XLOOKUP(B191, Dim_Hotel!$A$2:$A$11, Dim_Hotel!$J$2:$J$11))</f>
        <v>150</v>
      </c>
    </row>
    <row r="192" spans="1:13" x14ac:dyDescent="0.25">
      <c r="A192" s="1">
        <f t="shared" si="16"/>
        <v>46042</v>
      </c>
      <c r="B192" t="str" cm="1">
        <f t="array" ref="B192">INDEX(HotelList,MOD(ROW()-2,10)+1)</f>
        <v>H001</v>
      </c>
      <c r="C192">
        <f>_xlfn.XLOOKUP(B192,Dim_Hotel!$A$2:$A$11,Dim_Hotel!$F$2:$F$11)</f>
        <v>888</v>
      </c>
      <c r="D192">
        <f t="shared" si="17"/>
        <v>488</v>
      </c>
      <c r="E192">
        <f t="shared" si="18"/>
        <v>0.5495495495495496</v>
      </c>
      <c r="F192">
        <f t="shared" si="19"/>
        <v>260</v>
      </c>
      <c r="G192">
        <f t="shared" si="20"/>
        <v>142.88288288288288</v>
      </c>
      <c r="H192" t="str">
        <f>_xlfn.XLOOKUP(A192,Fact_Events!$D$2:$D$20,Fact_Events!$A$2:$A$20, "")</f>
        <v/>
      </c>
      <c r="I192">
        <f t="shared" si="21"/>
        <v>0</v>
      </c>
      <c r="J192" t="str">
        <f>_xlfn.XLOOKUP(H192, Fact_Events!$A$2:$A$20, Fact_Events!$F$2:$F$20, "")</f>
        <v/>
      </c>
      <c r="K192" t="str">
        <f t="shared" si="22"/>
        <v>Low</v>
      </c>
      <c r="L192">
        <f t="shared" si="23"/>
        <v>0.55000000000000004</v>
      </c>
      <c r="M192">
        <f>_xlfn.XLOOKUP(B192, Dim_Hotel!$A$2:$A$11, Dim_Hotel!$I$2:$I$11)
 + (IF(J192="",0,J192)
    * _xlfn.XLOOKUP(B192, Dim_Hotel!$A$2:$A$11, Dim_Hotel!$J$2:$J$11))</f>
        <v>260</v>
      </c>
    </row>
    <row r="193" spans="1:13" x14ac:dyDescent="0.25">
      <c r="A193" s="1">
        <f t="shared" si="16"/>
        <v>46042</v>
      </c>
      <c r="B193" t="str" cm="1">
        <f t="array" ref="B193">INDEX(HotelList,MOD(ROW()-2,10)+1)</f>
        <v>H002</v>
      </c>
      <c r="C193">
        <f>_xlfn.XLOOKUP(B193,Dim_Hotel!$A$2:$A$11,Dim_Hotel!$F$2:$F$11)</f>
        <v>147</v>
      </c>
      <c r="D193">
        <f t="shared" si="17"/>
        <v>81</v>
      </c>
      <c r="E193">
        <f t="shared" si="18"/>
        <v>0.55102040816326525</v>
      </c>
      <c r="F193">
        <f t="shared" si="19"/>
        <v>175</v>
      </c>
      <c r="G193">
        <f t="shared" si="20"/>
        <v>96.428571428571416</v>
      </c>
      <c r="H193" t="str">
        <f>_xlfn.XLOOKUP(A193,Fact_Events!$D$2:$D$20,Fact_Events!$A$2:$A$20, "")</f>
        <v/>
      </c>
      <c r="I193">
        <f t="shared" si="21"/>
        <v>0</v>
      </c>
      <c r="J193" t="str">
        <f>_xlfn.XLOOKUP(H193, Fact_Events!$A$2:$A$20, Fact_Events!$F$2:$F$20, "")</f>
        <v/>
      </c>
      <c r="K193" t="str">
        <f t="shared" si="22"/>
        <v>Low</v>
      </c>
      <c r="L193">
        <f t="shared" si="23"/>
        <v>0.55000000000000004</v>
      </c>
      <c r="M193">
        <f>_xlfn.XLOOKUP(B193, Dim_Hotel!$A$2:$A$11, Dim_Hotel!$I$2:$I$11)
 + (IF(J193="",0,J193)
    * _xlfn.XLOOKUP(B193, Dim_Hotel!$A$2:$A$11, Dim_Hotel!$J$2:$J$11))</f>
        <v>175</v>
      </c>
    </row>
    <row r="194" spans="1:13" x14ac:dyDescent="0.25">
      <c r="A194" s="1">
        <f t="shared" si="16"/>
        <v>46042</v>
      </c>
      <c r="B194" t="str" cm="1">
        <f t="array" ref="B194">INDEX(HotelList,MOD(ROW()-2,10)+1)</f>
        <v>H003</v>
      </c>
      <c r="C194">
        <f>_xlfn.XLOOKUP(B194,Dim_Hotel!$A$2:$A$11,Dim_Hotel!$F$2:$F$11)</f>
        <v>121</v>
      </c>
      <c r="D194">
        <f t="shared" si="17"/>
        <v>67</v>
      </c>
      <c r="E194">
        <f t="shared" si="18"/>
        <v>0.55371900826446285</v>
      </c>
      <c r="F194">
        <f t="shared" si="19"/>
        <v>145</v>
      </c>
      <c r="G194">
        <f t="shared" si="20"/>
        <v>80.289256198347118</v>
      </c>
      <c r="H194" t="str">
        <f>_xlfn.XLOOKUP(A194,Fact_Events!$D$2:$D$20,Fact_Events!$A$2:$A$20, "")</f>
        <v/>
      </c>
      <c r="I194">
        <f t="shared" si="21"/>
        <v>0</v>
      </c>
      <c r="J194" t="str">
        <f>_xlfn.XLOOKUP(H194, Fact_Events!$A$2:$A$20, Fact_Events!$F$2:$F$20, "")</f>
        <v/>
      </c>
      <c r="K194" t="str">
        <f t="shared" si="22"/>
        <v>Low</v>
      </c>
      <c r="L194">
        <f t="shared" si="23"/>
        <v>0.55000000000000004</v>
      </c>
      <c r="M194">
        <f>_xlfn.XLOOKUP(B194, Dim_Hotel!$A$2:$A$11, Dim_Hotel!$I$2:$I$11)
 + (IF(J194="",0,J194)
    * _xlfn.XLOOKUP(B194, Dim_Hotel!$A$2:$A$11, Dim_Hotel!$J$2:$J$11))</f>
        <v>145</v>
      </c>
    </row>
    <row r="195" spans="1:13" x14ac:dyDescent="0.25">
      <c r="A195" s="1">
        <f t="shared" ref="A195:A258" si="24">DATE(2026,1,1) + INT((ROW()-2)/10)</f>
        <v>46042</v>
      </c>
      <c r="B195" t="str" cm="1">
        <f t="array" ref="B195">INDEX(HotelList,MOD(ROW()-2,10)+1)</f>
        <v>H004</v>
      </c>
      <c r="C195">
        <f>_xlfn.XLOOKUP(B195,Dim_Hotel!$A$2:$A$11,Dim_Hotel!$F$2:$F$11)</f>
        <v>108</v>
      </c>
      <c r="D195">
        <f t="shared" ref="D195:D258" si="25">ROUND(L195 * C195, 0)</f>
        <v>59</v>
      </c>
      <c r="E195">
        <f t="shared" ref="E195:E258" si="26">D195/C195</f>
        <v>0.54629629629629628</v>
      </c>
      <c r="F195">
        <f t="shared" ref="F195:F258" si="27">M195</f>
        <v>135</v>
      </c>
      <c r="G195">
        <f t="shared" ref="G195:G258" si="28">E195*F195</f>
        <v>73.75</v>
      </c>
      <c r="H195" t="str">
        <f>_xlfn.XLOOKUP(A195,Fact_Events!$D$2:$D$20,Fact_Events!$A$2:$A$20, "")</f>
        <v/>
      </c>
      <c r="I195">
        <f t="shared" ref="I195:I258" si="29">IF(H195="",0,1)</f>
        <v>0</v>
      </c>
      <c r="J195" t="str">
        <f>_xlfn.XLOOKUP(H195, Fact_Events!$A$2:$A$20, Fact_Events!$F$2:$F$20, "")</f>
        <v/>
      </c>
      <c r="K195" t="str">
        <f t="shared" ref="K195:K258" si="30">IF(I195=0,"Low",
   IF(J195&gt;=9,"High","Medium"))</f>
        <v>Low</v>
      </c>
      <c r="L195">
        <f t="shared" ref="L195:L258" si="31">MIN(1,
  0.55
  + (I195 * 0.25)
  + (IF(J195="",0,J195) / 100)
)</f>
        <v>0.55000000000000004</v>
      </c>
      <c r="M195">
        <f>_xlfn.XLOOKUP(B195, Dim_Hotel!$A$2:$A$11, Dim_Hotel!$I$2:$I$11)
 + (IF(J195="",0,J195)
    * _xlfn.XLOOKUP(B195, Dim_Hotel!$A$2:$A$11, Dim_Hotel!$J$2:$J$11))</f>
        <v>135</v>
      </c>
    </row>
    <row r="196" spans="1:13" x14ac:dyDescent="0.25">
      <c r="A196" s="1">
        <f t="shared" si="24"/>
        <v>46042</v>
      </c>
      <c r="B196" t="str" cm="1">
        <f t="array" ref="B196">INDEX(HotelList,MOD(ROW()-2,10)+1)</f>
        <v>H005</v>
      </c>
      <c r="C196">
        <f>_xlfn.XLOOKUP(B196,Dim_Hotel!$A$2:$A$11,Dim_Hotel!$F$2:$F$11)</f>
        <v>66</v>
      </c>
      <c r="D196">
        <f t="shared" si="25"/>
        <v>36</v>
      </c>
      <c r="E196">
        <f t="shared" si="26"/>
        <v>0.54545454545454541</v>
      </c>
      <c r="F196">
        <f t="shared" si="27"/>
        <v>82</v>
      </c>
      <c r="G196">
        <f t="shared" si="28"/>
        <v>44.727272727272727</v>
      </c>
      <c r="H196" t="str">
        <f>_xlfn.XLOOKUP(A196,Fact_Events!$D$2:$D$20,Fact_Events!$A$2:$A$20, "")</f>
        <v/>
      </c>
      <c r="I196">
        <f t="shared" si="29"/>
        <v>0</v>
      </c>
      <c r="J196" t="str">
        <f>_xlfn.XLOOKUP(H196, Fact_Events!$A$2:$A$20, Fact_Events!$F$2:$F$20, "")</f>
        <v/>
      </c>
      <c r="K196" t="str">
        <f t="shared" si="30"/>
        <v>Low</v>
      </c>
      <c r="L196">
        <f t="shared" si="31"/>
        <v>0.55000000000000004</v>
      </c>
      <c r="M196">
        <f>_xlfn.XLOOKUP(B196, Dim_Hotel!$A$2:$A$11, Dim_Hotel!$I$2:$I$11)
 + (IF(J196="",0,J196)
    * _xlfn.XLOOKUP(B196, Dim_Hotel!$A$2:$A$11, Dim_Hotel!$J$2:$J$11))</f>
        <v>82</v>
      </c>
    </row>
    <row r="197" spans="1:13" x14ac:dyDescent="0.25">
      <c r="A197" s="1">
        <f t="shared" si="24"/>
        <v>46042</v>
      </c>
      <c r="B197" t="str" cm="1">
        <f t="array" ref="B197">INDEX(HotelList,MOD(ROW()-2,10)+1)</f>
        <v>H006</v>
      </c>
      <c r="C197">
        <f>_xlfn.XLOOKUP(B197,Dim_Hotel!$A$2:$A$11,Dim_Hotel!$F$2:$F$11)</f>
        <v>311</v>
      </c>
      <c r="D197">
        <f t="shared" si="25"/>
        <v>171</v>
      </c>
      <c r="E197">
        <f t="shared" si="26"/>
        <v>0.54983922829581988</v>
      </c>
      <c r="F197">
        <f t="shared" si="27"/>
        <v>190</v>
      </c>
      <c r="G197">
        <f t="shared" si="28"/>
        <v>104.46945337620578</v>
      </c>
      <c r="H197" t="str">
        <f>_xlfn.XLOOKUP(A197,Fact_Events!$D$2:$D$20,Fact_Events!$A$2:$A$20, "")</f>
        <v/>
      </c>
      <c r="I197">
        <f t="shared" si="29"/>
        <v>0</v>
      </c>
      <c r="J197" t="str">
        <f>_xlfn.XLOOKUP(H197, Fact_Events!$A$2:$A$20, Fact_Events!$F$2:$F$20, "")</f>
        <v/>
      </c>
      <c r="K197" t="str">
        <f t="shared" si="30"/>
        <v>Low</v>
      </c>
      <c r="L197">
        <f t="shared" si="31"/>
        <v>0.55000000000000004</v>
      </c>
      <c r="M197">
        <f>_xlfn.XLOOKUP(B197, Dim_Hotel!$A$2:$A$11, Dim_Hotel!$I$2:$I$11)
 + (IF(J197="",0,J197)
    * _xlfn.XLOOKUP(B197, Dim_Hotel!$A$2:$A$11, Dim_Hotel!$J$2:$J$11))</f>
        <v>190</v>
      </c>
    </row>
    <row r="198" spans="1:13" x14ac:dyDescent="0.25">
      <c r="A198" s="1">
        <f t="shared" si="24"/>
        <v>46042</v>
      </c>
      <c r="B198" t="str" cm="1">
        <f t="array" ref="B198">INDEX(HotelList,MOD(ROW()-2,10)+1)</f>
        <v>H007</v>
      </c>
      <c r="C198">
        <f>_xlfn.XLOOKUP(B198,Dim_Hotel!$A$2:$A$11,Dim_Hotel!$F$2:$F$11)</f>
        <v>132</v>
      </c>
      <c r="D198">
        <f t="shared" si="25"/>
        <v>73</v>
      </c>
      <c r="E198">
        <f t="shared" si="26"/>
        <v>0.55303030303030298</v>
      </c>
      <c r="F198">
        <f t="shared" si="27"/>
        <v>165</v>
      </c>
      <c r="G198">
        <f t="shared" si="28"/>
        <v>91.249999999999986</v>
      </c>
      <c r="H198" t="str">
        <f>_xlfn.XLOOKUP(A198,Fact_Events!$D$2:$D$20,Fact_Events!$A$2:$A$20, "")</f>
        <v/>
      </c>
      <c r="I198">
        <f t="shared" si="29"/>
        <v>0</v>
      </c>
      <c r="J198" t="str">
        <f>_xlfn.XLOOKUP(H198, Fact_Events!$A$2:$A$20, Fact_Events!$F$2:$F$20, "")</f>
        <v/>
      </c>
      <c r="K198" t="str">
        <f t="shared" si="30"/>
        <v>Low</v>
      </c>
      <c r="L198">
        <f t="shared" si="31"/>
        <v>0.55000000000000004</v>
      </c>
      <c r="M198">
        <f>_xlfn.XLOOKUP(B198, Dim_Hotel!$A$2:$A$11, Dim_Hotel!$I$2:$I$11)
 + (IF(J198="",0,J198)
    * _xlfn.XLOOKUP(B198, Dim_Hotel!$A$2:$A$11, Dim_Hotel!$J$2:$J$11))</f>
        <v>165</v>
      </c>
    </row>
    <row r="199" spans="1:13" x14ac:dyDescent="0.25">
      <c r="A199" s="1">
        <f t="shared" si="24"/>
        <v>46042</v>
      </c>
      <c r="B199" t="str" cm="1">
        <f t="array" ref="B199">INDEX(HotelList,MOD(ROW()-2,10)+1)</f>
        <v>H008</v>
      </c>
      <c r="C199">
        <f>_xlfn.XLOOKUP(B199,Dim_Hotel!$A$2:$A$11,Dim_Hotel!$F$2:$F$11)</f>
        <v>103</v>
      </c>
      <c r="D199">
        <f t="shared" si="25"/>
        <v>57</v>
      </c>
      <c r="E199">
        <f t="shared" si="26"/>
        <v>0.55339805825242716</v>
      </c>
      <c r="F199">
        <f t="shared" si="27"/>
        <v>140</v>
      </c>
      <c r="G199">
        <f t="shared" si="28"/>
        <v>77.475728155339809</v>
      </c>
      <c r="H199" t="str">
        <f>_xlfn.XLOOKUP(A199,Fact_Events!$D$2:$D$20,Fact_Events!$A$2:$A$20, "")</f>
        <v/>
      </c>
      <c r="I199">
        <f t="shared" si="29"/>
        <v>0</v>
      </c>
      <c r="J199" t="str">
        <f>_xlfn.XLOOKUP(H199, Fact_Events!$A$2:$A$20, Fact_Events!$F$2:$F$20, "")</f>
        <v/>
      </c>
      <c r="K199" t="str">
        <f t="shared" si="30"/>
        <v>Low</v>
      </c>
      <c r="L199">
        <f t="shared" si="31"/>
        <v>0.55000000000000004</v>
      </c>
      <c r="M199">
        <f>_xlfn.XLOOKUP(B199, Dim_Hotel!$A$2:$A$11, Dim_Hotel!$I$2:$I$11)
 + (IF(J199="",0,J199)
    * _xlfn.XLOOKUP(B199, Dim_Hotel!$A$2:$A$11, Dim_Hotel!$J$2:$J$11))</f>
        <v>140</v>
      </c>
    </row>
    <row r="200" spans="1:13" x14ac:dyDescent="0.25">
      <c r="A200" s="1">
        <f t="shared" si="24"/>
        <v>46042</v>
      </c>
      <c r="B200" t="str" cm="1">
        <f t="array" ref="B200">INDEX(HotelList,MOD(ROW()-2,10)+1)</f>
        <v>H009</v>
      </c>
      <c r="C200">
        <f>_xlfn.XLOOKUP(B200,Dim_Hotel!$A$2:$A$11,Dim_Hotel!$F$2:$F$11)</f>
        <v>114</v>
      </c>
      <c r="D200">
        <f t="shared" si="25"/>
        <v>63</v>
      </c>
      <c r="E200">
        <f t="shared" si="26"/>
        <v>0.55263157894736847</v>
      </c>
      <c r="F200">
        <f t="shared" si="27"/>
        <v>185</v>
      </c>
      <c r="G200">
        <f t="shared" si="28"/>
        <v>102.23684210526316</v>
      </c>
      <c r="H200" t="str">
        <f>_xlfn.XLOOKUP(A200,Fact_Events!$D$2:$D$20,Fact_Events!$A$2:$A$20, "")</f>
        <v/>
      </c>
      <c r="I200">
        <f t="shared" si="29"/>
        <v>0</v>
      </c>
      <c r="J200" t="str">
        <f>_xlfn.XLOOKUP(H200, Fact_Events!$A$2:$A$20, Fact_Events!$F$2:$F$20, "")</f>
        <v/>
      </c>
      <c r="K200" t="str">
        <f t="shared" si="30"/>
        <v>Low</v>
      </c>
      <c r="L200">
        <f t="shared" si="31"/>
        <v>0.55000000000000004</v>
      </c>
      <c r="M200">
        <f>_xlfn.XLOOKUP(B200, Dim_Hotel!$A$2:$A$11, Dim_Hotel!$I$2:$I$11)
 + (IF(J200="",0,J200)
    * _xlfn.XLOOKUP(B200, Dim_Hotel!$A$2:$A$11, Dim_Hotel!$J$2:$J$11))</f>
        <v>185</v>
      </c>
    </row>
    <row r="201" spans="1:13" x14ac:dyDescent="0.25">
      <c r="A201" s="1">
        <f t="shared" si="24"/>
        <v>46042</v>
      </c>
      <c r="B201" t="str" cm="1">
        <f t="array" ref="B201">INDEX(HotelList,MOD(ROW()-2,10)+1)</f>
        <v>H010</v>
      </c>
      <c r="C201">
        <f>_xlfn.XLOOKUP(B201,Dim_Hotel!$A$2:$A$11,Dim_Hotel!$F$2:$F$11)</f>
        <v>89</v>
      </c>
      <c r="D201">
        <f t="shared" si="25"/>
        <v>49</v>
      </c>
      <c r="E201">
        <f t="shared" si="26"/>
        <v>0.550561797752809</v>
      </c>
      <c r="F201">
        <f t="shared" si="27"/>
        <v>150</v>
      </c>
      <c r="G201">
        <f t="shared" si="28"/>
        <v>82.584269662921344</v>
      </c>
      <c r="H201" t="str">
        <f>_xlfn.XLOOKUP(A201,Fact_Events!$D$2:$D$20,Fact_Events!$A$2:$A$20, "")</f>
        <v/>
      </c>
      <c r="I201">
        <f t="shared" si="29"/>
        <v>0</v>
      </c>
      <c r="J201" t="str">
        <f>_xlfn.XLOOKUP(H201, Fact_Events!$A$2:$A$20, Fact_Events!$F$2:$F$20, "")</f>
        <v/>
      </c>
      <c r="K201" t="str">
        <f t="shared" si="30"/>
        <v>Low</v>
      </c>
      <c r="L201">
        <f t="shared" si="31"/>
        <v>0.55000000000000004</v>
      </c>
      <c r="M201">
        <f>_xlfn.XLOOKUP(B201, Dim_Hotel!$A$2:$A$11, Dim_Hotel!$I$2:$I$11)
 + (IF(J201="",0,J201)
    * _xlfn.XLOOKUP(B201, Dim_Hotel!$A$2:$A$11, Dim_Hotel!$J$2:$J$11))</f>
        <v>150</v>
      </c>
    </row>
    <row r="202" spans="1:13" x14ac:dyDescent="0.25">
      <c r="A202" s="1">
        <f t="shared" si="24"/>
        <v>46043</v>
      </c>
      <c r="B202" t="str" cm="1">
        <f t="array" ref="B202">INDEX(HotelList,MOD(ROW()-2,10)+1)</f>
        <v>H001</v>
      </c>
      <c r="C202">
        <f>_xlfn.XLOOKUP(B202,Dim_Hotel!$A$2:$A$11,Dim_Hotel!$F$2:$F$11)</f>
        <v>888</v>
      </c>
      <c r="D202">
        <f t="shared" si="25"/>
        <v>488</v>
      </c>
      <c r="E202">
        <f t="shared" si="26"/>
        <v>0.5495495495495496</v>
      </c>
      <c r="F202">
        <f t="shared" si="27"/>
        <v>260</v>
      </c>
      <c r="G202">
        <f t="shared" si="28"/>
        <v>142.88288288288288</v>
      </c>
      <c r="H202" t="str">
        <f>_xlfn.XLOOKUP(A202,Fact_Events!$D$2:$D$20,Fact_Events!$A$2:$A$20, "")</f>
        <v/>
      </c>
      <c r="I202">
        <f t="shared" si="29"/>
        <v>0</v>
      </c>
      <c r="J202" t="str">
        <f>_xlfn.XLOOKUP(H202, Fact_Events!$A$2:$A$20, Fact_Events!$F$2:$F$20, "")</f>
        <v/>
      </c>
      <c r="K202" t="str">
        <f t="shared" si="30"/>
        <v>Low</v>
      </c>
      <c r="L202">
        <f t="shared" si="31"/>
        <v>0.55000000000000004</v>
      </c>
      <c r="M202">
        <f>_xlfn.XLOOKUP(B202, Dim_Hotel!$A$2:$A$11, Dim_Hotel!$I$2:$I$11)
 + (IF(J202="",0,J202)
    * _xlfn.XLOOKUP(B202, Dim_Hotel!$A$2:$A$11, Dim_Hotel!$J$2:$J$11))</f>
        <v>260</v>
      </c>
    </row>
    <row r="203" spans="1:13" x14ac:dyDescent="0.25">
      <c r="A203" s="1">
        <f t="shared" si="24"/>
        <v>46043</v>
      </c>
      <c r="B203" t="str" cm="1">
        <f t="array" ref="B203">INDEX(HotelList,MOD(ROW()-2,10)+1)</f>
        <v>H002</v>
      </c>
      <c r="C203">
        <f>_xlfn.XLOOKUP(B203,Dim_Hotel!$A$2:$A$11,Dim_Hotel!$F$2:$F$11)</f>
        <v>147</v>
      </c>
      <c r="D203">
        <f t="shared" si="25"/>
        <v>81</v>
      </c>
      <c r="E203">
        <f t="shared" si="26"/>
        <v>0.55102040816326525</v>
      </c>
      <c r="F203">
        <f t="shared" si="27"/>
        <v>175</v>
      </c>
      <c r="G203">
        <f t="shared" si="28"/>
        <v>96.428571428571416</v>
      </c>
      <c r="H203" t="str">
        <f>_xlfn.XLOOKUP(A203,Fact_Events!$D$2:$D$20,Fact_Events!$A$2:$A$20, "")</f>
        <v/>
      </c>
      <c r="I203">
        <f t="shared" si="29"/>
        <v>0</v>
      </c>
      <c r="J203" t="str">
        <f>_xlfn.XLOOKUP(H203, Fact_Events!$A$2:$A$20, Fact_Events!$F$2:$F$20, "")</f>
        <v/>
      </c>
      <c r="K203" t="str">
        <f t="shared" si="30"/>
        <v>Low</v>
      </c>
      <c r="L203">
        <f t="shared" si="31"/>
        <v>0.55000000000000004</v>
      </c>
      <c r="M203">
        <f>_xlfn.XLOOKUP(B203, Dim_Hotel!$A$2:$A$11, Dim_Hotel!$I$2:$I$11)
 + (IF(J203="",0,J203)
    * _xlfn.XLOOKUP(B203, Dim_Hotel!$A$2:$A$11, Dim_Hotel!$J$2:$J$11))</f>
        <v>175</v>
      </c>
    </row>
    <row r="204" spans="1:13" x14ac:dyDescent="0.25">
      <c r="A204" s="1">
        <f t="shared" si="24"/>
        <v>46043</v>
      </c>
      <c r="B204" t="str" cm="1">
        <f t="array" ref="B204">INDEX(HotelList,MOD(ROW()-2,10)+1)</f>
        <v>H003</v>
      </c>
      <c r="C204">
        <f>_xlfn.XLOOKUP(B204,Dim_Hotel!$A$2:$A$11,Dim_Hotel!$F$2:$F$11)</f>
        <v>121</v>
      </c>
      <c r="D204">
        <f t="shared" si="25"/>
        <v>67</v>
      </c>
      <c r="E204">
        <f t="shared" si="26"/>
        <v>0.55371900826446285</v>
      </c>
      <c r="F204">
        <f t="shared" si="27"/>
        <v>145</v>
      </c>
      <c r="G204">
        <f t="shared" si="28"/>
        <v>80.289256198347118</v>
      </c>
      <c r="H204" t="str">
        <f>_xlfn.XLOOKUP(A204,Fact_Events!$D$2:$D$20,Fact_Events!$A$2:$A$20, "")</f>
        <v/>
      </c>
      <c r="I204">
        <f t="shared" si="29"/>
        <v>0</v>
      </c>
      <c r="J204" t="str">
        <f>_xlfn.XLOOKUP(H204, Fact_Events!$A$2:$A$20, Fact_Events!$F$2:$F$20, "")</f>
        <v/>
      </c>
      <c r="K204" t="str">
        <f t="shared" si="30"/>
        <v>Low</v>
      </c>
      <c r="L204">
        <f t="shared" si="31"/>
        <v>0.55000000000000004</v>
      </c>
      <c r="M204">
        <f>_xlfn.XLOOKUP(B204, Dim_Hotel!$A$2:$A$11, Dim_Hotel!$I$2:$I$11)
 + (IF(J204="",0,J204)
    * _xlfn.XLOOKUP(B204, Dim_Hotel!$A$2:$A$11, Dim_Hotel!$J$2:$J$11))</f>
        <v>145</v>
      </c>
    </row>
    <row r="205" spans="1:13" x14ac:dyDescent="0.25">
      <c r="A205" s="1">
        <f t="shared" si="24"/>
        <v>46043</v>
      </c>
      <c r="B205" t="str" cm="1">
        <f t="array" ref="B205">INDEX(HotelList,MOD(ROW()-2,10)+1)</f>
        <v>H004</v>
      </c>
      <c r="C205">
        <f>_xlfn.XLOOKUP(B205,Dim_Hotel!$A$2:$A$11,Dim_Hotel!$F$2:$F$11)</f>
        <v>108</v>
      </c>
      <c r="D205">
        <f t="shared" si="25"/>
        <v>59</v>
      </c>
      <c r="E205">
        <f t="shared" si="26"/>
        <v>0.54629629629629628</v>
      </c>
      <c r="F205">
        <f t="shared" si="27"/>
        <v>135</v>
      </c>
      <c r="G205">
        <f t="shared" si="28"/>
        <v>73.75</v>
      </c>
      <c r="H205" t="str">
        <f>_xlfn.XLOOKUP(A205,Fact_Events!$D$2:$D$20,Fact_Events!$A$2:$A$20, "")</f>
        <v/>
      </c>
      <c r="I205">
        <f t="shared" si="29"/>
        <v>0</v>
      </c>
      <c r="J205" t="str">
        <f>_xlfn.XLOOKUP(H205, Fact_Events!$A$2:$A$20, Fact_Events!$F$2:$F$20, "")</f>
        <v/>
      </c>
      <c r="K205" t="str">
        <f t="shared" si="30"/>
        <v>Low</v>
      </c>
      <c r="L205">
        <f t="shared" si="31"/>
        <v>0.55000000000000004</v>
      </c>
      <c r="M205">
        <f>_xlfn.XLOOKUP(B205, Dim_Hotel!$A$2:$A$11, Dim_Hotel!$I$2:$I$11)
 + (IF(J205="",0,J205)
    * _xlfn.XLOOKUP(B205, Dim_Hotel!$A$2:$A$11, Dim_Hotel!$J$2:$J$11))</f>
        <v>135</v>
      </c>
    </row>
    <row r="206" spans="1:13" x14ac:dyDescent="0.25">
      <c r="A206" s="1">
        <f t="shared" si="24"/>
        <v>46043</v>
      </c>
      <c r="B206" t="str" cm="1">
        <f t="array" ref="B206">INDEX(HotelList,MOD(ROW()-2,10)+1)</f>
        <v>H005</v>
      </c>
      <c r="C206">
        <f>_xlfn.XLOOKUP(B206,Dim_Hotel!$A$2:$A$11,Dim_Hotel!$F$2:$F$11)</f>
        <v>66</v>
      </c>
      <c r="D206">
        <f t="shared" si="25"/>
        <v>36</v>
      </c>
      <c r="E206">
        <f t="shared" si="26"/>
        <v>0.54545454545454541</v>
      </c>
      <c r="F206">
        <f t="shared" si="27"/>
        <v>82</v>
      </c>
      <c r="G206">
        <f t="shared" si="28"/>
        <v>44.727272727272727</v>
      </c>
      <c r="H206" t="str">
        <f>_xlfn.XLOOKUP(A206,Fact_Events!$D$2:$D$20,Fact_Events!$A$2:$A$20, "")</f>
        <v/>
      </c>
      <c r="I206">
        <f t="shared" si="29"/>
        <v>0</v>
      </c>
      <c r="J206" t="str">
        <f>_xlfn.XLOOKUP(H206, Fact_Events!$A$2:$A$20, Fact_Events!$F$2:$F$20, "")</f>
        <v/>
      </c>
      <c r="K206" t="str">
        <f t="shared" si="30"/>
        <v>Low</v>
      </c>
      <c r="L206">
        <f t="shared" si="31"/>
        <v>0.55000000000000004</v>
      </c>
      <c r="M206">
        <f>_xlfn.XLOOKUP(B206, Dim_Hotel!$A$2:$A$11, Dim_Hotel!$I$2:$I$11)
 + (IF(J206="",0,J206)
    * _xlfn.XLOOKUP(B206, Dim_Hotel!$A$2:$A$11, Dim_Hotel!$J$2:$J$11))</f>
        <v>82</v>
      </c>
    </row>
    <row r="207" spans="1:13" x14ac:dyDescent="0.25">
      <c r="A207" s="1">
        <f t="shared" si="24"/>
        <v>46043</v>
      </c>
      <c r="B207" t="str" cm="1">
        <f t="array" ref="B207">INDEX(HotelList,MOD(ROW()-2,10)+1)</f>
        <v>H006</v>
      </c>
      <c r="C207">
        <f>_xlfn.XLOOKUP(B207,Dim_Hotel!$A$2:$A$11,Dim_Hotel!$F$2:$F$11)</f>
        <v>311</v>
      </c>
      <c r="D207">
        <f t="shared" si="25"/>
        <v>171</v>
      </c>
      <c r="E207">
        <f t="shared" si="26"/>
        <v>0.54983922829581988</v>
      </c>
      <c r="F207">
        <f t="shared" si="27"/>
        <v>190</v>
      </c>
      <c r="G207">
        <f t="shared" si="28"/>
        <v>104.46945337620578</v>
      </c>
      <c r="H207" t="str">
        <f>_xlfn.XLOOKUP(A207,Fact_Events!$D$2:$D$20,Fact_Events!$A$2:$A$20, "")</f>
        <v/>
      </c>
      <c r="I207">
        <f t="shared" si="29"/>
        <v>0</v>
      </c>
      <c r="J207" t="str">
        <f>_xlfn.XLOOKUP(H207, Fact_Events!$A$2:$A$20, Fact_Events!$F$2:$F$20, "")</f>
        <v/>
      </c>
      <c r="K207" t="str">
        <f t="shared" si="30"/>
        <v>Low</v>
      </c>
      <c r="L207">
        <f t="shared" si="31"/>
        <v>0.55000000000000004</v>
      </c>
      <c r="M207">
        <f>_xlfn.XLOOKUP(B207, Dim_Hotel!$A$2:$A$11, Dim_Hotel!$I$2:$I$11)
 + (IF(J207="",0,J207)
    * _xlfn.XLOOKUP(B207, Dim_Hotel!$A$2:$A$11, Dim_Hotel!$J$2:$J$11))</f>
        <v>190</v>
      </c>
    </row>
    <row r="208" spans="1:13" x14ac:dyDescent="0.25">
      <c r="A208" s="1">
        <f t="shared" si="24"/>
        <v>46043</v>
      </c>
      <c r="B208" t="str" cm="1">
        <f t="array" ref="B208">INDEX(HotelList,MOD(ROW()-2,10)+1)</f>
        <v>H007</v>
      </c>
      <c r="C208">
        <f>_xlfn.XLOOKUP(B208,Dim_Hotel!$A$2:$A$11,Dim_Hotel!$F$2:$F$11)</f>
        <v>132</v>
      </c>
      <c r="D208">
        <f t="shared" si="25"/>
        <v>73</v>
      </c>
      <c r="E208">
        <f t="shared" si="26"/>
        <v>0.55303030303030298</v>
      </c>
      <c r="F208">
        <f t="shared" si="27"/>
        <v>165</v>
      </c>
      <c r="G208">
        <f t="shared" si="28"/>
        <v>91.249999999999986</v>
      </c>
      <c r="H208" t="str">
        <f>_xlfn.XLOOKUP(A208,Fact_Events!$D$2:$D$20,Fact_Events!$A$2:$A$20, "")</f>
        <v/>
      </c>
      <c r="I208">
        <f t="shared" si="29"/>
        <v>0</v>
      </c>
      <c r="J208" t="str">
        <f>_xlfn.XLOOKUP(H208, Fact_Events!$A$2:$A$20, Fact_Events!$F$2:$F$20, "")</f>
        <v/>
      </c>
      <c r="K208" t="str">
        <f t="shared" si="30"/>
        <v>Low</v>
      </c>
      <c r="L208">
        <f t="shared" si="31"/>
        <v>0.55000000000000004</v>
      </c>
      <c r="M208">
        <f>_xlfn.XLOOKUP(B208, Dim_Hotel!$A$2:$A$11, Dim_Hotel!$I$2:$I$11)
 + (IF(J208="",0,J208)
    * _xlfn.XLOOKUP(B208, Dim_Hotel!$A$2:$A$11, Dim_Hotel!$J$2:$J$11))</f>
        <v>165</v>
      </c>
    </row>
    <row r="209" spans="1:13" x14ac:dyDescent="0.25">
      <c r="A209" s="1">
        <f t="shared" si="24"/>
        <v>46043</v>
      </c>
      <c r="B209" t="str" cm="1">
        <f t="array" ref="B209">INDEX(HotelList,MOD(ROW()-2,10)+1)</f>
        <v>H008</v>
      </c>
      <c r="C209">
        <f>_xlfn.XLOOKUP(B209,Dim_Hotel!$A$2:$A$11,Dim_Hotel!$F$2:$F$11)</f>
        <v>103</v>
      </c>
      <c r="D209">
        <f t="shared" si="25"/>
        <v>57</v>
      </c>
      <c r="E209">
        <f t="shared" si="26"/>
        <v>0.55339805825242716</v>
      </c>
      <c r="F209">
        <f t="shared" si="27"/>
        <v>140</v>
      </c>
      <c r="G209">
        <f t="shared" si="28"/>
        <v>77.475728155339809</v>
      </c>
      <c r="H209" t="str">
        <f>_xlfn.XLOOKUP(A209,Fact_Events!$D$2:$D$20,Fact_Events!$A$2:$A$20, "")</f>
        <v/>
      </c>
      <c r="I209">
        <f t="shared" si="29"/>
        <v>0</v>
      </c>
      <c r="J209" t="str">
        <f>_xlfn.XLOOKUP(H209, Fact_Events!$A$2:$A$20, Fact_Events!$F$2:$F$20, "")</f>
        <v/>
      </c>
      <c r="K209" t="str">
        <f t="shared" si="30"/>
        <v>Low</v>
      </c>
      <c r="L209">
        <f t="shared" si="31"/>
        <v>0.55000000000000004</v>
      </c>
      <c r="M209">
        <f>_xlfn.XLOOKUP(B209, Dim_Hotel!$A$2:$A$11, Dim_Hotel!$I$2:$I$11)
 + (IF(J209="",0,J209)
    * _xlfn.XLOOKUP(B209, Dim_Hotel!$A$2:$A$11, Dim_Hotel!$J$2:$J$11))</f>
        <v>140</v>
      </c>
    </row>
    <row r="210" spans="1:13" x14ac:dyDescent="0.25">
      <c r="A210" s="1">
        <f t="shared" si="24"/>
        <v>46043</v>
      </c>
      <c r="B210" t="str" cm="1">
        <f t="array" ref="B210">INDEX(HotelList,MOD(ROW()-2,10)+1)</f>
        <v>H009</v>
      </c>
      <c r="C210">
        <f>_xlfn.XLOOKUP(B210,Dim_Hotel!$A$2:$A$11,Dim_Hotel!$F$2:$F$11)</f>
        <v>114</v>
      </c>
      <c r="D210">
        <f t="shared" si="25"/>
        <v>63</v>
      </c>
      <c r="E210">
        <f t="shared" si="26"/>
        <v>0.55263157894736847</v>
      </c>
      <c r="F210">
        <f t="shared" si="27"/>
        <v>185</v>
      </c>
      <c r="G210">
        <f t="shared" si="28"/>
        <v>102.23684210526316</v>
      </c>
      <c r="H210" t="str">
        <f>_xlfn.XLOOKUP(A210,Fact_Events!$D$2:$D$20,Fact_Events!$A$2:$A$20, "")</f>
        <v/>
      </c>
      <c r="I210">
        <f t="shared" si="29"/>
        <v>0</v>
      </c>
      <c r="J210" t="str">
        <f>_xlfn.XLOOKUP(H210, Fact_Events!$A$2:$A$20, Fact_Events!$F$2:$F$20, "")</f>
        <v/>
      </c>
      <c r="K210" t="str">
        <f t="shared" si="30"/>
        <v>Low</v>
      </c>
      <c r="L210">
        <f t="shared" si="31"/>
        <v>0.55000000000000004</v>
      </c>
      <c r="M210">
        <f>_xlfn.XLOOKUP(B210, Dim_Hotel!$A$2:$A$11, Dim_Hotel!$I$2:$I$11)
 + (IF(J210="",0,J210)
    * _xlfn.XLOOKUP(B210, Dim_Hotel!$A$2:$A$11, Dim_Hotel!$J$2:$J$11))</f>
        <v>185</v>
      </c>
    </row>
    <row r="211" spans="1:13" x14ac:dyDescent="0.25">
      <c r="A211" s="1">
        <f t="shared" si="24"/>
        <v>46043</v>
      </c>
      <c r="B211" t="str" cm="1">
        <f t="array" ref="B211">INDEX(HotelList,MOD(ROW()-2,10)+1)</f>
        <v>H010</v>
      </c>
      <c r="C211">
        <f>_xlfn.XLOOKUP(B211,Dim_Hotel!$A$2:$A$11,Dim_Hotel!$F$2:$F$11)</f>
        <v>89</v>
      </c>
      <c r="D211">
        <f t="shared" si="25"/>
        <v>49</v>
      </c>
      <c r="E211">
        <f t="shared" si="26"/>
        <v>0.550561797752809</v>
      </c>
      <c r="F211">
        <f t="shared" si="27"/>
        <v>150</v>
      </c>
      <c r="G211">
        <f t="shared" si="28"/>
        <v>82.584269662921344</v>
      </c>
      <c r="H211" t="str">
        <f>_xlfn.XLOOKUP(A211,Fact_Events!$D$2:$D$20,Fact_Events!$A$2:$A$20, "")</f>
        <v/>
      </c>
      <c r="I211">
        <f t="shared" si="29"/>
        <v>0</v>
      </c>
      <c r="J211" t="str">
        <f>_xlfn.XLOOKUP(H211, Fact_Events!$A$2:$A$20, Fact_Events!$F$2:$F$20, "")</f>
        <v/>
      </c>
      <c r="K211" t="str">
        <f t="shared" si="30"/>
        <v>Low</v>
      </c>
      <c r="L211">
        <f t="shared" si="31"/>
        <v>0.55000000000000004</v>
      </c>
      <c r="M211">
        <f>_xlfn.XLOOKUP(B211, Dim_Hotel!$A$2:$A$11, Dim_Hotel!$I$2:$I$11)
 + (IF(J211="",0,J211)
    * _xlfn.XLOOKUP(B211, Dim_Hotel!$A$2:$A$11, Dim_Hotel!$J$2:$J$11))</f>
        <v>150</v>
      </c>
    </row>
    <row r="212" spans="1:13" x14ac:dyDescent="0.25">
      <c r="A212" s="1">
        <f t="shared" si="24"/>
        <v>46044</v>
      </c>
      <c r="B212" t="str" cm="1">
        <f t="array" ref="B212">INDEX(HotelList,MOD(ROW()-2,10)+1)</f>
        <v>H001</v>
      </c>
      <c r="C212">
        <f>_xlfn.XLOOKUP(B212,Dim_Hotel!$A$2:$A$11,Dim_Hotel!$F$2:$F$11)</f>
        <v>888</v>
      </c>
      <c r="D212">
        <f t="shared" si="25"/>
        <v>488</v>
      </c>
      <c r="E212">
        <f t="shared" si="26"/>
        <v>0.5495495495495496</v>
      </c>
      <c r="F212">
        <f t="shared" si="27"/>
        <v>260</v>
      </c>
      <c r="G212">
        <f t="shared" si="28"/>
        <v>142.88288288288288</v>
      </c>
      <c r="H212" t="str">
        <f>_xlfn.XLOOKUP(A212,Fact_Events!$D$2:$D$20,Fact_Events!$A$2:$A$20, "")</f>
        <v/>
      </c>
      <c r="I212">
        <f t="shared" si="29"/>
        <v>0</v>
      </c>
      <c r="J212" t="str">
        <f>_xlfn.XLOOKUP(H212, Fact_Events!$A$2:$A$20, Fact_Events!$F$2:$F$20, "")</f>
        <v/>
      </c>
      <c r="K212" t="str">
        <f t="shared" si="30"/>
        <v>Low</v>
      </c>
      <c r="L212">
        <f t="shared" si="31"/>
        <v>0.55000000000000004</v>
      </c>
      <c r="M212">
        <f>_xlfn.XLOOKUP(B212, Dim_Hotel!$A$2:$A$11, Dim_Hotel!$I$2:$I$11)
 + (IF(J212="",0,J212)
    * _xlfn.XLOOKUP(B212, Dim_Hotel!$A$2:$A$11, Dim_Hotel!$J$2:$J$11))</f>
        <v>260</v>
      </c>
    </row>
    <row r="213" spans="1:13" x14ac:dyDescent="0.25">
      <c r="A213" s="1">
        <f t="shared" si="24"/>
        <v>46044</v>
      </c>
      <c r="B213" t="str" cm="1">
        <f t="array" ref="B213">INDEX(HotelList,MOD(ROW()-2,10)+1)</f>
        <v>H002</v>
      </c>
      <c r="C213">
        <f>_xlfn.XLOOKUP(B213,Dim_Hotel!$A$2:$A$11,Dim_Hotel!$F$2:$F$11)</f>
        <v>147</v>
      </c>
      <c r="D213">
        <f t="shared" si="25"/>
        <v>81</v>
      </c>
      <c r="E213">
        <f t="shared" si="26"/>
        <v>0.55102040816326525</v>
      </c>
      <c r="F213">
        <f t="shared" si="27"/>
        <v>175</v>
      </c>
      <c r="G213">
        <f t="shared" si="28"/>
        <v>96.428571428571416</v>
      </c>
      <c r="H213" t="str">
        <f>_xlfn.XLOOKUP(A213,Fact_Events!$D$2:$D$20,Fact_Events!$A$2:$A$20, "")</f>
        <v/>
      </c>
      <c r="I213">
        <f t="shared" si="29"/>
        <v>0</v>
      </c>
      <c r="J213" t="str">
        <f>_xlfn.XLOOKUP(H213, Fact_Events!$A$2:$A$20, Fact_Events!$F$2:$F$20, "")</f>
        <v/>
      </c>
      <c r="K213" t="str">
        <f t="shared" si="30"/>
        <v>Low</v>
      </c>
      <c r="L213">
        <f t="shared" si="31"/>
        <v>0.55000000000000004</v>
      </c>
      <c r="M213">
        <f>_xlfn.XLOOKUP(B213, Dim_Hotel!$A$2:$A$11, Dim_Hotel!$I$2:$I$11)
 + (IF(J213="",0,J213)
    * _xlfn.XLOOKUP(B213, Dim_Hotel!$A$2:$A$11, Dim_Hotel!$J$2:$J$11))</f>
        <v>175</v>
      </c>
    </row>
    <row r="214" spans="1:13" x14ac:dyDescent="0.25">
      <c r="A214" s="1">
        <f t="shared" si="24"/>
        <v>46044</v>
      </c>
      <c r="B214" t="str" cm="1">
        <f t="array" ref="B214">INDEX(HotelList,MOD(ROW()-2,10)+1)</f>
        <v>H003</v>
      </c>
      <c r="C214">
        <f>_xlfn.XLOOKUP(B214,Dim_Hotel!$A$2:$A$11,Dim_Hotel!$F$2:$F$11)</f>
        <v>121</v>
      </c>
      <c r="D214">
        <f t="shared" si="25"/>
        <v>67</v>
      </c>
      <c r="E214">
        <f t="shared" si="26"/>
        <v>0.55371900826446285</v>
      </c>
      <c r="F214">
        <f t="shared" si="27"/>
        <v>145</v>
      </c>
      <c r="G214">
        <f t="shared" si="28"/>
        <v>80.289256198347118</v>
      </c>
      <c r="H214" t="str">
        <f>_xlfn.XLOOKUP(A214,Fact_Events!$D$2:$D$20,Fact_Events!$A$2:$A$20, "")</f>
        <v/>
      </c>
      <c r="I214">
        <f t="shared" si="29"/>
        <v>0</v>
      </c>
      <c r="J214" t="str">
        <f>_xlfn.XLOOKUP(H214, Fact_Events!$A$2:$A$20, Fact_Events!$F$2:$F$20, "")</f>
        <v/>
      </c>
      <c r="K214" t="str">
        <f t="shared" si="30"/>
        <v>Low</v>
      </c>
      <c r="L214">
        <f t="shared" si="31"/>
        <v>0.55000000000000004</v>
      </c>
      <c r="M214">
        <f>_xlfn.XLOOKUP(B214, Dim_Hotel!$A$2:$A$11, Dim_Hotel!$I$2:$I$11)
 + (IF(J214="",0,J214)
    * _xlfn.XLOOKUP(B214, Dim_Hotel!$A$2:$A$11, Dim_Hotel!$J$2:$J$11))</f>
        <v>145</v>
      </c>
    </row>
    <row r="215" spans="1:13" x14ac:dyDescent="0.25">
      <c r="A215" s="1">
        <f t="shared" si="24"/>
        <v>46044</v>
      </c>
      <c r="B215" t="str" cm="1">
        <f t="array" ref="B215">INDEX(HotelList,MOD(ROW()-2,10)+1)</f>
        <v>H004</v>
      </c>
      <c r="C215">
        <f>_xlfn.XLOOKUP(B215,Dim_Hotel!$A$2:$A$11,Dim_Hotel!$F$2:$F$11)</f>
        <v>108</v>
      </c>
      <c r="D215">
        <f t="shared" si="25"/>
        <v>59</v>
      </c>
      <c r="E215">
        <f t="shared" si="26"/>
        <v>0.54629629629629628</v>
      </c>
      <c r="F215">
        <f t="shared" si="27"/>
        <v>135</v>
      </c>
      <c r="G215">
        <f t="shared" si="28"/>
        <v>73.75</v>
      </c>
      <c r="H215" t="str">
        <f>_xlfn.XLOOKUP(A215,Fact_Events!$D$2:$D$20,Fact_Events!$A$2:$A$20, "")</f>
        <v/>
      </c>
      <c r="I215">
        <f t="shared" si="29"/>
        <v>0</v>
      </c>
      <c r="J215" t="str">
        <f>_xlfn.XLOOKUP(H215, Fact_Events!$A$2:$A$20, Fact_Events!$F$2:$F$20, "")</f>
        <v/>
      </c>
      <c r="K215" t="str">
        <f t="shared" si="30"/>
        <v>Low</v>
      </c>
      <c r="L215">
        <f t="shared" si="31"/>
        <v>0.55000000000000004</v>
      </c>
      <c r="M215">
        <f>_xlfn.XLOOKUP(B215, Dim_Hotel!$A$2:$A$11, Dim_Hotel!$I$2:$I$11)
 + (IF(J215="",0,J215)
    * _xlfn.XLOOKUP(B215, Dim_Hotel!$A$2:$A$11, Dim_Hotel!$J$2:$J$11))</f>
        <v>135</v>
      </c>
    </row>
    <row r="216" spans="1:13" x14ac:dyDescent="0.25">
      <c r="A216" s="1">
        <f t="shared" si="24"/>
        <v>46044</v>
      </c>
      <c r="B216" t="str" cm="1">
        <f t="array" ref="B216">INDEX(HotelList,MOD(ROW()-2,10)+1)</f>
        <v>H005</v>
      </c>
      <c r="C216">
        <f>_xlfn.XLOOKUP(B216,Dim_Hotel!$A$2:$A$11,Dim_Hotel!$F$2:$F$11)</f>
        <v>66</v>
      </c>
      <c r="D216">
        <f t="shared" si="25"/>
        <v>36</v>
      </c>
      <c r="E216">
        <f t="shared" si="26"/>
        <v>0.54545454545454541</v>
      </c>
      <c r="F216">
        <f t="shared" si="27"/>
        <v>82</v>
      </c>
      <c r="G216">
        <f t="shared" si="28"/>
        <v>44.727272727272727</v>
      </c>
      <c r="H216" t="str">
        <f>_xlfn.XLOOKUP(A216,Fact_Events!$D$2:$D$20,Fact_Events!$A$2:$A$20, "")</f>
        <v/>
      </c>
      <c r="I216">
        <f t="shared" si="29"/>
        <v>0</v>
      </c>
      <c r="J216" t="str">
        <f>_xlfn.XLOOKUP(H216, Fact_Events!$A$2:$A$20, Fact_Events!$F$2:$F$20, "")</f>
        <v/>
      </c>
      <c r="K216" t="str">
        <f t="shared" si="30"/>
        <v>Low</v>
      </c>
      <c r="L216">
        <f t="shared" si="31"/>
        <v>0.55000000000000004</v>
      </c>
      <c r="M216">
        <f>_xlfn.XLOOKUP(B216, Dim_Hotel!$A$2:$A$11, Dim_Hotel!$I$2:$I$11)
 + (IF(J216="",0,J216)
    * _xlfn.XLOOKUP(B216, Dim_Hotel!$A$2:$A$11, Dim_Hotel!$J$2:$J$11))</f>
        <v>82</v>
      </c>
    </row>
    <row r="217" spans="1:13" x14ac:dyDescent="0.25">
      <c r="A217" s="1">
        <f t="shared" si="24"/>
        <v>46044</v>
      </c>
      <c r="B217" t="str" cm="1">
        <f t="array" ref="B217">INDEX(HotelList,MOD(ROW()-2,10)+1)</f>
        <v>H006</v>
      </c>
      <c r="C217">
        <f>_xlfn.XLOOKUP(B217,Dim_Hotel!$A$2:$A$11,Dim_Hotel!$F$2:$F$11)</f>
        <v>311</v>
      </c>
      <c r="D217">
        <f t="shared" si="25"/>
        <v>171</v>
      </c>
      <c r="E217">
        <f t="shared" si="26"/>
        <v>0.54983922829581988</v>
      </c>
      <c r="F217">
        <f t="shared" si="27"/>
        <v>190</v>
      </c>
      <c r="G217">
        <f t="shared" si="28"/>
        <v>104.46945337620578</v>
      </c>
      <c r="H217" t="str">
        <f>_xlfn.XLOOKUP(A217,Fact_Events!$D$2:$D$20,Fact_Events!$A$2:$A$20, "")</f>
        <v/>
      </c>
      <c r="I217">
        <f t="shared" si="29"/>
        <v>0</v>
      </c>
      <c r="J217" t="str">
        <f>_xlfn.XLOOKUP(H217, Fact_Events!$A$2:$A$20, Fact_Events!$F$2:$F$20, "")</f>
        <v/>
      </c>
      <c r="K217" t="str">
        <f t="shared" si="30"/>
        <v>Low</v>
      </c>
      <c r="L217">
        <f t="shared" si="31"/>
        <v>0.55000000000000004</v>
      </c>
      <c r="M217">
        <f>_xlfn.XLOOKUP(B217, Dim_Hotel!$A$2:$A$11, Dim_Hotel!$I$2:$I$11)
 + (IF(J217="",0,J217)
    * _xlfn.XLOOKUP(B217, Dim_Hotel!$A$2:$A$11, Dim_Hotel!$J$2:$J$11))</f>
        <v>190</v>
      </c>
    </row>
    <row r="218" spans="1:13" x14ac:dyDescent="0.25">
      <c r="A218" s="1">
        <f t="shared" si="24"/>
        <v>46044</v>
      </c>
      <c r="B218" t="str" cm="1">
        <f t="array" ref="B218">INDEX(HotelList,MOD(ROW()-2,10)+1)</f>
        <v>H007</v>
      </c>
      <c r="C218">
        <f>_xlfn.XLOOKUP(B218,Dim_Hotel!$A$2:$A$11,Dim_Hotel!$F$2:$F$11)</f>
        <v>132</v>
      </c>
      <c r="D218">
        <f t="shared" si="25"/>
        <v>73</v>
      </c>
      <c r="E218">
        <f t="shared" si="26"/>
        <v>0.55303030303030298</v>
      </c>
      <c r="F218">
        <f t="shared" si="27"/>
        <v>165</v>
      </c>
      <c r="G218">
        <f t="shared" si="28"/>
        <v>91.249999999999986</v>
      </c>
      <c r="H218" t="str">
        <f>_xlfn.XLOOKUP(A218,Fact_Events!$D$2:$D$20,Fact_Events!$A$2:$A$20, "")</f>
        <v/>
      </c>
      <c r="I218">
        <f t="shared" si="29"/>
        <v>0</v>
      </c>
      <c r="J218" t="str">
        <f>_xlfn.XLOOKUP(H218, Fact_Events!$A$2:$A$20, Fact_Events!$F$2:$F$20, "")</f>
        <v/>
      </c>
      <c r="K218" t="str">
        <f t="shared" si="30"/>
        <v>Low</v>
      </c>
      <c r="L218">
        <f t="shared" si="31"/>
        <v>0.55000000000000004</v>
      </c>
      <c r="M218">
        <f>_xlfn.XLOOKUP(B218, Dim_Hotel!$A$2:$A$11, Dim_Hotel!$I$2:$I$11)
 + (IF(J218="",0,J218)
    * _xlfn.XLOOKUP(B218, Dim_Hotel!$A$2:$A$11, Dim_Hotel!$J$2:$J$11))</f>
        <v>165</v>
      </c>
    </row>
    <row r="219" spans="1:13" x14ac:dyDescent="0.25">
      <c r="A219" s="1">
        <f t="shared" si="24"/>
        <v>46044</v>
      </c>
      <c r="B219" t="str" cm="1">
        <f t="array" ref="B219">INDEX(HotelList,MOD(ROW()-2,10)+1)</f>
        <v>H008</v>
      </c>
      <c r="C219">
        <f>_xlfn.XLOOKUP(B219,Dim_Hotel!$A$2:$A$11,Dim_Hotel!$F$2:$F$11)</f>
        <v>103</v>
      </c>
      <c r="D219">
        <f t="shared" si="25"/>
        <v>57</v>
      </c>
      <c r="E219">
        <f t="shared" si="26"/>
        <v>0.55339805825242716</v>
      </c>
      <c r="F219">
        <f t="shared" si="27"/>
        <v>140</v>
      </c>
      <c r="G219">
        <f t="shared" si="28"/>
        <v>77.475728155339809</v>
      </c>
      <c r="H219" t="str">
        <f>_xlfn.XLOOKUP(A219,Fact_Events!$D$2:$D$20,Fact_Events!$A$2:$A$20, "")</f>
        <v/>
      </c>
      <c r="I219">
        <f t="shared" si="29"/>
        <v>0</v>
      </c>
      <c r="J219" t="str">
        <f>_xlfn.XLOOKUP(H219, Fact_Events!$A$2:$A$20, Fact_Events!$F$2:$F$20, "")</f>
        <v/>
      </c>
      <c r="K219" t="str">
        <f t="shared" si="30"/>
        <v>Low</v>
      </c>
      <c r="L219">
        <f t="shared" si="31"/>
        <v>0.55000000000000004</v>
      </c>
      <c r="M219">
        <f>_xlfn.XLOOKUP(B219, Dim_Hotel!$A$2:$A$11, Dim_Hotel!$I$2:$I$11)
 + (IF(J219="",0,J219)
    * _xlfn.XLOOKUP(B219, Dim_Hotel!$A$2:$A$11, Dim_Hotel!$J$2:$J$11))</f>
        <v>140</v>
      </c>
    </row>
    <row r="220" spans="1:13" x14ac:dyDescent="0.25">
      <c r="A220" s="1">
        <f t="shared" si="24"/>
        <v>46044</v>
      </c>
      <c r="B220" t="str" cm="1">
        <f t="array" ref="B220">INDEX(HotelList,MOD(ROW()-2,10)+1)</f>
        <v>H009</v>
      </c>
      <c r="C220">
        <f>_xlfn.XLOOKUP(B220,Dim_Hotel!$A$2:$A$11,Dim_Hotel!$F$2:$F$11)</f>
        <v>114</v>
      </c>
      <c r="D220">
        <f t="shared" si="25"/>
        <v>63</v>
      </c>
      <c r="E220">
        <f t="shared" si="26"/>
        <v>0.55263157894736847</v>
      </c>
      <c r="F220">
        <f t="shared" si="27"/>
        <v>185</v>
      </c>
      <c r="G220">
        <f t="shared" si="28"/>
        <v>102.23684210526316</v>
      </c>
      <c r="H220" t="str">
        <f>_xlfn.XLOOKUP(A220,Fact_Events!$D$2:$D$20,Fact_Events!$A$2:$A$20, "")</f>
        <v/>
      </c>
      <c r="I220">
        <f t="shared" si="29"/>
        <v>0</v>
      </c>
      <c r="J220" t="str">
        <f>_xlfn.XLOOKUP(H220, Fact_Events!$A$2:$A$20, Fact_Events!$F$2:$F$20, "")</f>
        <v/>
      </c>
      <c r="K220" t="str">
        <f t="shared" si="30"/>
        <v>Low</v>
      </c>
      <c r="L220">
        <f t="shared" si="31"/>
        <v>0.55000000000000004</v>
      </c>
      <c r="M220">
        <f>_xlfn.XLOOKUP(B220, Dim_Hotel!$A$2:$A$11, Dim_Hotel!$I$2:$I$11)
 + (IF(J220="",0,J220)
    * _xlfn.XLOOKUP(B220, Dim_Hotel!$A$2:$A$11, Dim_Hotel!$J$2:$J$11))</f>
        <v>185</v>
      </c>
    </row>
    <row r="221" spans="1:13" x14ac:dyDescent="0.25">
      <c r="A221" s="1">
        <f t="shared" si="24"/>
        <v>46044</v>
      </c>
      <c r="B221" t="str" cm="1">
        <f t="array" ref="B221">INDEX(HotelList,MOD(ROW()-2,10)+1)</f>
        <v>H010</v>
      </c>
      <c r="C221">
        <f>_xlfn.XLOOKUP(B221,Dim_Hotel!$A$2:$A$11,Dim_Hotel!$F$2:$F$11)</f>
        <v>89</v>
      </c>
      <c r="D221">
        <f t="shared" si="25"/>
        <v>49</v>
      </c>
      <c r="E221">
        <f t="shared" si="26"/>
        <v>0.550561797752809</v>
      </c>
      <c r="F221">
        <f t="shared" si="27"/>
        <v>150</v>
      </c>
      <c r="G221">
        <f t="shared" si="28"/>
        <v>82.584269662921344</v>
      </c>
      <c r="H221" t="str">
        <f>_xlfn.XLOOKUP(A221,Fact_Events!$D$2:$D$20,Fact_Events!$A$2:$A$20, "")</f>
        <v/>
      </c>
      <c r="I221">
        <f t="shared" si="29"/>
        <v>0</v>
      </c>
      <c r="J221" t="str">
        <f>_xlfn.XLOOKUP(H221, Fact_Events!$A$2:$A$20, Fact_Events!$F$2:$F$20, "")</f>
        <v/>
      </c>
      <c r="K221" t="str">
        <f t="shared" si="30"/>
        <v>Low</v>
      </c>
      <c r="L221">
        <f t="shared" si="31"/>
        <v>0.55000000000000004</v>
      </c>
      <c r="M221">
        <f>_xlfn.XLOOKUP(B221, Dim_Hotel!$A$2:$A$11, Dim_Hotel!$I$2:$I$11)
 + (IF(J221="",0,J221)
    * _xlfn.XLOOKUP(B221, Dim_Hotel!$A$2:$A$11, Dim_Hotel!$J$2:$J$11))</f>
        <v>150</v>
      </c>
    </row>
    <row r="222" spans="1:13" x14ac:dyDescent="0.25">
      <c r="A222" s="1">
        <f t="shared" si="24"/>
        <v>46045</v>
      </c>
      <c r="B222" t="str" cm="1">
        <f t="array" ref="B222">INDEX(HotelList,MOD(ROW()-2,10)+1)</f>
        <v>H001</v>
      </c>
      <c r="C222">
        <f>_xlfn.XLOOKUP(B222,Dim_Hotel!$A$2:$A$11,Dim_Hotel!$F$2:$F$11)</f>
        <v>888</v>
      </c>
      <c r="D222">
        <f t="shared" si="25"/>
        <v>488</v>
      </c>
      <c r="E222">
        <f t="shared" si="26"/>
        <v>0.5495495495495496</v>
      </c>
      <c r="F222">
        <f t="shared" si="27"/>
        <v>260</v>
      </c>
      <c r="G222">
        <f t="shared" si="28"/>
        <v>142.88288288288288</v>
      </c>
      <c r="H222" t="str">
        <f>_xlfn.XLOOKUP(A222,Fact_Events!$D$2:$D$20,Fact_Events!$A$2:$A$20, "")</f>
        <v/>
      </c>
      <c r="I222">
        <f t="shared" si="29"/>
        <v>0</v>
      </c>
      <c r="J222" t="str">
        <f>_xlfn.XLOOKUP(H222, Fact_Events!$A$2:$A$20, Fact_Events!$F$2:$F$20, "")</f>
        <v/>
      </c>
      <c r="K222" t="str">
        <f t="shared" si="30"/>
        <v>Low</v>
      </c>
      <c r="L222">
        <f t="shared" si="31"/>
        <v>0.55000000000000004</v>
      </c>
      <c r="M222">
        <f>_xlfn.XLOOKUP(B222, Dim_Hotel!$A$2:$A$11, Dim_Hotel!$I$2:$I$11)
 + (IF(J222="",0,J222)
    * _xlfn.XLOOKUP(B222, Dim_Hotel!$A$2:$A$11, Dim_Hotel!$J$2:$J$11))</f>
        <v>260</v>
      </c>
    </row>
    <row r="223" spans="1:13" x14ac:dyDescent="0.25">
      <c r="A223" s="1">
        <f t="shared" si="24"/>
        <v>46045</v>
      </c>
      <c r="B223" t="str" cm="1">
        <f t="array" ref="B223">INDEX(HotelList,MOD(ROW()-2,10)+1)</f>
        <v>H002</v>
      </c>
      <c r="C223">
        <f>_xlfn.XLOOKUP(B223,Dim_Hotel!$A$2:$A$11,Dim_Hotel!$F$2:$F$11)</f>
        <v>147</v>
      </c>
      <c r="D223">
        <f t="shared" si="25"/>
        <v>81</v>
      </c>
      <c r="E223">
        <f t="shared" si="26"/>
        <v>0.55102040816326525</v>
      </c>
      <c r="F223">
        <f t="shared" si="27"/>
        <v>175</v>
      </c>
      <c r="G223">
        <f t="shared" si="28"/>
        <v>96.428571428571416</v>
      </c>
      <c r="H223" t="str">
        <f>_xlfn.XLOOKUP(A223,Fact_Events!$D$2:$D$20,Fact_Events!$A$2:$A$20, "")</f>
        <v/>
      </c>
      <c r="I223">
        <f t="shared" si="29"/>
        <v>0</v>
      </c>
      <c r="J223" t="str">
        <f>_xlfn.XLOOKUP(H223, Fact_Events!$A$2:$A$20, Fact_Events!$F$2:$F$20, "")</f>
        <v/>
      </c>
      <c r="K223" t="str">
        <f t="shared" si="30"/>
        <v>Low</v>
      </c>
      <c r="L223">
        <f t="shared" si="31"/>
        <v>0.55000000000000004</v>
      </c>
      <c r="M223">
        <f>_xlfn.XLOOKUP(B223, Dim_Hotel!$A$2:$A$11, Dim_Hotel!$I$2:$I$11)
 + (IF(J223="",0,J223)
    * _xlfn.XLOOKUP(B223, Dim_Hotel!$A$2:$A$11, Dim_Hotel!$J$2:$J$11))</f>
        <v>175</v>
      </c>
    </row>
    <row r="224" spans="1:13" x14ac:dyDescent="0.25">
      <c r="A224" s="1">
        <f t="shared" si="24"/>
        <v>46045</v>
      </c>
      <c r="B224" t="str" cm="1">
        <f t="array" ref="B224">INDEX(HotelList,MOD(ROW()-2,10)+1)</f>
        <v>H003</v>
      </c>
      <c r="C224">
        <f>_xlfn.XLOOKUP(B224,Dim_Hotel!$A$2:$A$11,Dim_Hotel!$F$2:$F$11)</f>
        <v>121</v>
      </c>
      <c r="D224">
        <f t="shared" si="25"/>
        <v>67</v>
      </c>
      <c r="E224">
        <f t="shared" si="26"/>
        <v>0.55371900826446285</v>
      </c>
      <c r="F224">
        <f t="shared" si="27"/>
        <v>145</v>
      </c>
      <c r="G224">
        <f t="shared" si="28"/>
        <v>80.289256198347118</v>
      </c>
      <c r="H224" t="str">
        <f>_xlfn.XLOOKUP(A224,Fact_Events!$D$2:$D$20,Fact_Events!$A$2:$A$20, "")</f>
        <v/>
      </c>
      <c r="I224">
        <f t="shared" si="29"/>
        <v>0</v>
      </c>
      <c r="J224" t="str">
        <f>_xlfn.XLOOKUP(H224, Fact_Events!$A$2:$A$20, Fact_Events!$F$2:$F$20, "")</f>
        <v/>
      </c>
      <c r="K224" t="str">
        <f t="shared" si="30"/>
        <v>Low</v>
      </c>
      <c r="L224">
        <f t="shared" si="31"/>
        <v>0.55000000000000004</v>
      </c>
      <c r="M224">
        <f>_xlfn.XLOOKUP(B224, Dim_Hotel!$A$2:$A$11, Dim_Hotel!$I$2:$I$11)
 + (IF(J224="",0,J224)
    * _xlfn.XLOOKUP(B224, Dim_Hotel!$A$2:$A$11, Dim_Hotel!$J$2:$J$11))</f>
        <v>145</v>
      </c>
    </row>
    <row r="225" spans="1:13" x14ac:dyDescent="0.25">
      <c r="A225" s="1">
        <f t="shared" si="24"/>
        <v>46045</v>
      </c>
      <c r="B225" t="str" cm="1">
        <f t="array" ref="B225">INDEX(HotelList,MOD(ROW()-2,10)+1)</f>
        <v>H004</v>
      </c>
      <c r="C225">
        <f>_xlfn.XLOOKUP(B225,Dim_Hotel!$A$2:$A$11,Dim_Hotel!$F$2:$F$11)</f>
        <v>108</v>
      </c>
      <c r="D225">
        <f t="shared" si="25"/>
        <v>59</v>
      </c>
      <c r="E225">
        <f t="shared" si="26"/>
        <v>0.54629629629629628</v>
      </c>
      <c r="F225">
        <f t="shared" si="27"/>
        <v>135</v>
      </c>
      <c r="G225">
        <f t="shared" si="28"/>
        <v>73.75</v>
      </c>
      <c r="H225" t="str">
        <f>_xlfn.XLOOKUP(A225,Fact_Events!$D$2:$D$20,Fact_Events!$A$2:$A$20, "")</f>
        <v/>
      </c>
      <c r="I225">
        <f t="shared" si="29"/>
        <v>0</v>
      </c>
      <c r="J225" t="str">
        <f>_xlfn.XLOOKUP(H225, Fact_Events!$A$2:$A$20, Fact_Events!$F$2:$F$20, "")</f>
        <v/>
      </c>
      <c r="K225" t="str">
        <f t="shared" si="30"/>
        <v>Low</v>
      </c>
      <c r="L225">
        <f t="shared" si="31"/>
        <v>0.55000000000000004</v>
      </c>
      <c r="M225">
        <f>_xlfn.XLOOKUP(B225, Dim_Hotel!$A$2:$A$11, Dim_Hotel!$I$2:$I$11)
 + (IF(J225="",0,J225)
    * _xlfn.XLOOKUP(B225, Dim_Hotel!$A$2:$A$11, Dim_Hotel!$J$2:$J$11))</f>
        <v>135</v>
      </c>
    </row>
    <row r="226" spans="1:13" x14ac:dyDescent="0.25">
      <c r="A226" s="1">
        <f t="shared" si="24"/>
        <v>46045</v>
      </c>
      <c r="B226" t="str" cm="1">
        <f t="array" ref="B226">INDEX(HotelList,MOD(ROW()-2,10)+1)</f>
        <v>H005</v>
      </c>
      <c r="C226">
        <f>_xlfn.XLOOKUP(B226,Dim_Hotel!$A$2:$A$11,Dim_Hotel!$F$2:$F$11)</f>
        <v>66</v>
      </c>
      <c r="D226">
        <f t="shared" si="25"/>
        <v>36</v>
      </c>
      <c r="E226">
        <f t="shared" si="26"/>
        <v>0.54545454545454541</v>
      </c>
      <c r="F226">
        <f t="shared" si="27"/>
        <v>82</v>
      </c>
      <c r="G226">
        <f t="shared" si="28"/>
        <v>44.727272727272727</v>
      </c>
      <c r="H226" t="str">
        <f>_xlfn.XLOOKUP(A226,Fact_Events!$D$2:$D$20,Fact_Events!$A$2:$A$20, "")</f>
        <v/>
      </c>
      <c r="I226">
        <f t="shared" si="29"/>
        <v>0</v>
      </c>
      <c r="J226" t="str">
        <f>_xlfn.XLOOKUP(H226, Fact_Events!$A$2:$A$20, Fact_Events!$F$2:$F$20, "")</f>
        <v/>
      </c>
      <c r="K226" t="str">
        <f t="shared" si="30"/>
        <v>Low</v>
      </c>
      <c r="L226">
        <f t="shared" si="31"/>
        <v>0.55000000000000004</v>
      </c>
      <c r="M226">
        <f>_xlfn.XLOOKUP(B226, Dim_Hotel!$A$2:$A$11, Dim_Hotel!$I$2:$I$11)
 + (IF(J226="",0,J226)
    * _xlfn.XLOOKUP(B226, Dim_Hotel!$A$2:$A$11, Dim_Hotel!$J$2:$J$11))</f>
        <v>82</v>
      </c>
    </row>
    <row r="227" spans="1:13" x14ac:dyDescent="0.25">
      <c r="A227" s="1">
        <f t="shared" si="24"/>
        <v>46045</v>
      </c>
      <c r="B227" t="str" cm="1">
        <f t="array" ref="B227">INDEX(HotelList,MOD(ROW()-2,10)+1)</f>
        <v>H006</v>
      </c>
      <c r="C227">
        <f>_xlfn.XLOOKUP(B227,Dim_Hotel!$A$2:$A$11,Dim_Hotel!$F$2:$F$11)</f>
        <v>311</v>
      </c>
      <c r="D227">
        <f t="shared" si="25"/>
        <v>171</v>
      </c>
      <c r="E227">
        <f t="shared" si="26"/>
        <v>0.54983922829581988</v>
      </c>
      <c r="F227">
        <f t="shared" si="27"/>
        <v>190</v>
      </c>
      <c r="G227">
        <f t="shared" si="28"/>
        <v>104.46945337620578</v>
      </c>
      <c r="H227" t="str">
        <f>_xlfn.XLOOKUP(A227,Fact_Events!$D$2:$D$20,Fact_Events!$A$2:$A$20, "")</f>
        <v/>
      </c>
      <c r="I227">
        <f t="shared" si="29"/>
        <v>0</v>
      </c>
      <c r="J227" t="str">
        <f>_xlfn.XLOOKUP(H227, Fact_Events!$A$2:$A$20, Fact_Events!$F$2:$F$20, "")</f>
        <v/>
      </c>
      <c r="K227" t="str">
        <f t="shared" si="30"/>
        <v>Low</v>
      </c>
      <c r="L227">
        <f t="shared" si="31"/>
        <v>0.55000000000000004</v>
      </c>
      <c r="M227">
        <f>_xlfn.XLOOKUP(B227, Dim_Hotel!$A$2:$A$11, Dim_Hotel!$I$2:$I$11)
 + (IF(J227="",0,J227)
    * _xlfn.XLOOKUP(B227, Dim_Hotel!$A$2:$A$11, Dim_Hotel!$J$2:$J$11))</f>
        <v>190</v>
      </c>
    </row>
    <row r="228" spans="1:13" x14ac:dyDescent="0.25">
      <c r="A228" s="1">
        <f t="shared" si="24"/>
        <v>46045</v>
      </c>
      <c r="B228" t="str" cm="1">
        <f t="array" ref="B228">INDEX(HotelList,MOD(ROW()-2,10)+1)</f>
        <v>H007</v>
      </c>
      <c r="C228">
        <f>_xlfn.XLOOKUP(B228,Dim_Hotel!$A$2:$A$11,Dim_Hotel!$F$2:$F$11)</f>
        <v>132</v>
      </c>
      <c r="D228">
        <f t="shared" si="25"/>
        <v>73</v>
      </c>
      <c r="E228">
        <f t="shared" si="26"/>
        <v>0.55303030303030298</v>
      </c>
      <c r="F228">
        <f t="shared" si="27"/>
        <v>165</v>
      </c>
      <c r="G228">
        <f t="shared" si="28"/>
        <v>91.249999999999986</v>
      </c>
      <c r="H228" t="str">
        <f>_xlfn.XLOOKUP(A228,Fact_Events!$D$2:$D$20,Fact_Events!$A$2:$A$20, "")</f>
        <v/>
      </c>
      <c r="I228">
        <f t="shared" si="29"/>
        <v>0</v>
      </c>
      <c r="J228" t="str">
        <f>_xlfn.XLOOKUP(H228, Fact_Events!$A$2:$A$20, Fact_Events!$F$2:$F$20, "")</f>
        <v/>
      </c>
      <c r="K228" t="str">
        <f t="shared" si="30"/>
        <v>Low</v>
      </c>
      <c r="L228">
        <f t="shared" si="31"/>
        <v>0.55000000000000004</v>
      </c>
      <c r="M228">
        <f>_xlfn.XLOOKUP(B228, Dim_Hotel!$A$2:$A$11, Dim_Hotel!$I$2:$I$11)
 + (IF(J228="",0,J228)
    * _xlfn.XLOOKUP(B228, Dim_Hotel!$A$2:$A$11, Dim_Hotel!$J$2:$J$11))</f>
        <v>165</v>
      </c>
    </row>
    <row r="229" spans="1:13" x14ac:dyDescent="0.25">
      <c r="A229" s="1">
        <f t="shared" si="24"/>
        <v>46045</v>
      </c>
      <c r="B229" t="str" cm="1">
        <f t="array" ref="B229">INDEX(HotelList,MOD(ROW()-2,10)+1)</f>
        <v>H008</v>
      </c>
      <c r="C229">
        <f>_xlfn.XLOOKUP(B229,Dim_Hotel!$A$2:$A$11,Dim_Hotel!$F$2:$F$11)</f>
        <v>103</v>
      </c>
      <c r="D229">
        <f t="shared" si="25"/>
        <v>57</v>
      </c>
      <c r="E229">
        <f t="shared" si="26"/>
        <v>0.55339805825242716</v>
      </c>
      <c r="F229">
        <f t="shared" si="27"/>
        <v>140</v>
      </c>
      <c r="G229">
        <f t="shared" si="28"/>
        <v>77.475728155339809</v>
      </c>
      <c r="H229" t="str">
        <f>_xlfn.XLOOKUP(A229,Fact_Events!$D$2:$D$20,Fact_Events!$A$2:$A$20, "")</f>
        <v/>
      </c>
      <c r="I229">
        <f t="shared" si="29"/>
        <v>0</v>
      </c>
      <c r="J229" t="str">
        <f>_xlfn.XLOOKUP(H229, Fact_Events!$A$2:$A$20, Fact_Events!$F$2:$F$20, "")</f>
        <v/>
      </c>
      <c r="K229" t="str">
        <f t="shared" si="30"/>
        <v>Low</v>
      </c>
      <c r="L229">
        <f t="shared" si="31"/>
        <v>0.55000000000000004</v>
      </c>
      <c r="M229">
        <f>_xlfn.XLOOKUP(B229, Dim_Hotel!$A$2:$A$11, Dim_Hotel!$I$2:$I$11)
 + (IF(J229="",0,J229)
    * _xlfn.XLOOKUP(B229, Dim_Hotel!$A$2:$A$11, Dim_Hotel!$J$2:$J$11))</f>
        <v>140</v>
      </c>
    </row>
    <row r="230" spans="1:13" x14ac:dyDescent="0.25">
      <c r="A230" s="1">
        <f t="shared" si="24"/>
        <v>46045</v>
      </c>
      <c r="B230" t="str" cm="1">
        <f t="array" ref="B230">INDEX(HotelList,MOD(ROW()-2,10)+1)</f>
        <v>H009</v>
      </c>
      <c r="C230">
        <f>_xlfn.XLOOKUP(B230,Dim_Hotel!$A$2:$A$11,Dim_Hotel!$F$2:$F$11)</f>
        <v>114</v>
      </c>
      <c r="D230">
        <f t="shared" si="25"/>
        <v>63</v>
      </c>
      <c r="E230">
        <f t="shared" si="26"/>
        <v>0.55263157894736847</v>
      </c>
      <c r="F230">
        <f t="shared" si="27"/>
        <v>185</v>
      </c>
      <c r="G230">
        <f t="shared" si="28"/>
        <v>102.23684210526316</v>
      </c>
      <c r="H230" t="str">
        <f>_xlfn.XLOOKUP(A230,Fact_Events!$D$2:$D$20,Fact_Events!$A$2:$A$20, "")</f>
        <v/>
      </c>
      <c r="I230">
        <f t="shared" si="29"/>
        <v>0</v>
      </c>
      <c r="J230" t="str">
        <f>_xlfn.XLOOKUP(H230, Fact_Events!$A$2:$A$20, Fact_Events!$F$2:$F$20, "")</f>
        <v/>
      </c>
      <c r="K230" t="str">
        <f t="shared" si="30"/>
        <v>Low</v>
      </c>
      <c r="L230">
        <f t="shared" si="31"/>
        <v>0.55000000000000004</v>
      </c>
      <c r="M230">
        <f>_xlfn.XLOOKUP(B230, Dim_Hotel!$A$2:$A$11, Dim_Hotel!$I$2:$I$11)
 + (IF(J230="",0,J230)
    * _xlfn.XLOOKUP(B230, Dim_Hotel!$A$2:$A$11, Dim_Hotel!$J$2:$J$11))</f>
        <v>185</v>
      </c>
    </row>
    <row r="231" spans="1:13" x14ac:dyDescent="0.25">
      <c r="A231" s="1">
        <f t="shared" si="24"/>
        <v>46045</v>
      </c>
      <c r="B231" t="str" cm="1">
        <f t="array" ref="B231">INDEX(HotelList,MOD(ROW()-2,10)+1)</f>
        <v>H010</v>
      </c>
      <c r="C231">
        <f>_xlfn.XLOOKUP(B231,Dim_Hotel!$A$2:$A$11,Dim_Hotel!$F$2:$F$11)</f>
        <v>89</v>
      </c>
      <c r="D231">
        <f t="shared" si="25"/>
        <v>49</v>
      </c>
      <c r="E231">
        <f t="shared" si="26"/>
        <v>0.550561797752809</v>
      </c>
      <c r="F231">
        <f t="shared" si="27"/>
        <v>150</v>
      </c>
      <c r="G231">
        <f t="shared" si="28"/>
        <v>82.584269662921344</v>
      </c>
      <c r="H231" t="str">
        <f>_xlfn.XLOOKUP(A231,Fact_Events!$D$2:$D$20,Fact_Events!$A$2:$A$20, "")</f>
        <v/>
      </c>
      <c r="I231">
        <f t="shared" si="29"/>
        <v>0</v>
      </c>
      <c r="J231" t="str">
        <f>_xlfn.XLOOKUP(H231, Fact_Events!$A$2:$A$20, Fact_Events!$F$2:$F$20, "")</f>
        <v/>
      </c>
      <c r="K231" t="str">
        <f t="shared" si="30"/>
        <v>Low</v>
      </c>
      <c r="L231">
        <f t="shared" si="31"/>
        <v>0.55000000000000004</v>
      </c>
      <c r="M231">
        <f>_xlfn.XLOOKUP(B231, Dim_Hotel!$A$2:$A$11, Dim_Hotel!$I$2:$I$11)
 + (IF(J231="",0,J231)
    * _xlfn.XLOOKUP(B231, Dim_Hotel!$A$2:$A$11, Dim_Hotel!$J$2:$J$11))</f>
        <v>150</v>
      </c>
    </row>
    <row r="232" spans="1:13" x14ac:dyDescent="0.25">
      <c r="A232" s="1">
        <f t="shared" si="24"/>
        <v>46046</v>
      </c>
      <c r="B232" t="str" cm="1">
        <f t="array" ref="B232">INDEX(HotelList,MOD(ROW()-2,10)+1)</f>
        <v>H001</v>
      </c>
      <c r="C232">
        <f>_xlfn.XLOOKUP(B232,Dim_Hotel!$A$2:$A$11,Dim_Hotel!$F$2:$F$11)</f>
        <v>888</v>
      </c>
      <c r="D232">
        <f t="shared" si="25"/>
        <v>488</v>
      </c>
      <c r="E232">
        <f t="shared" si="26"/>
        <v>0.5495495495495496</v>
      </c>
      <c r="F232">
        <f t="shared" si="27"/>
        <v>260</v>
      </c>
      <c r="G232">
        <f t="shared" si="28"/>
        <v>142.88288288288288</v>
      </c>
      <c r="H232" t="str">
        <f>_xlfn.XLOOKUP(A232,Fact_Events!$D$2:$D$20,Fact_Events!$A$2:$A$20, "")</f>
        <v/>
      </c>
      <c r="I232">
        <f t="shared" si="29"/>
        <v>0</v>
      </c>
      <c r="J232" t="str">
        <f>_xlfn.XLOOKUP(H232, Fact_Events!$A$2:$A$20, Fact_Events!$F$2:$F$20, "")</f>
        <v/>
      </c>
      <c r="K232" t="str">
        <f t="shared" si="30"/>
        <v>Low</v>
      </c>
      <c r="L232">
        <f t="shared" si="31"/>
        <v>0.55000000000000004</v>
      </c>
      <c r="M232">
        <f>_xlfn.XLOOKUP(B232, Dim_Hotel!$A$2:$A$11, Dim_Hotel!$I$2:$I$11)
 + (IF(J232="",0,J232)
    * _xlfn.XLOOKUP(B232, Dim_Hotel!$A$2:$A$11, Dim_Hotel!$J$2:$J$11))</f>
        <v>260</v>
      </c>
    </row>
    <row r="233" spans="1:13" x14ac:dyDescent="0.25">
      <c r="A233" s="1">
        <f t="shared" si="24"/>
        <v>46046</v>
      </c>
      <c r="B233" t="str" cm="1">
        <f t="array" ref="B233">INDEX(HotelList,MOD(ROW()-2,10)+1)</f>
        <v>H002</v>
      </c>
      <c r="C233">
        <f>_xlfn.XLOOKUP(B233,Dim_Hotel!$A$2:$A$11,Dim_Hotel!$F$2:$F$11)</f>
        <v>147</v>
      </c>
      <c r="D233">
        <f t="shared" si="25"/>
        <v>81</v>
      </c>
      <c r="E233">
        <f t="shared" si="26"/>
        <v>0.55102040816326525</v>
      </c>
      <c r="F233">
        <f t="shared" si="27"/>
        <v>175</v>
      </c>
      <c r="G233">
        <f t="shared" si="28"/>
        <v>96.428571428571416</v>
      </c>
      <c r="H233" t="str">
        <f>_xlfn.XLOOKUP(A233,Fact_Events!$D$2:$D$20,Fact_Events!$A$2:$A$20, "")</f>
        <v/>
      </c>
      <c r="I233">
        <f t="shared" si="29"/>
        <v>0</v>
      </c>
      <c r="J233" t="str">
        <f>_xlfn.XLOOKUP(H233, Fact_Events!$A$2:$A$20, Fact_Events!$F$2:$F$20, "")</f>
        <v/>
      </c>
      <c r="K233" t="str">
        <f t="shared" si="30"/>
        <v>Low</v>
      </c>
      <c r="L233">
        <f t="shared" si="31"/>
        <v>0.55000000000000004</v>
      </c>
      <c r="M233">
        <f>_xlfn.XLOOKUP(B233, Dim_Hotel!$A$2:$A$11, Dim_Hotel!$I$2:$I$11)
 + (IF(J233="",0,J233)
    * _xlfn.XLOOKUP(B233, Dim_Hotel!$A$2:$A$11, Dim_Hotel!$J$2:$J$11))</f>
        <v>175</v>
      </c>
    </row>
    <row r="234" spans="1:13" x14ac:dyDescent="0.25">
      <c r="A234" s="1">
        <f t="shared" si="24"/>
        <v>46046</v>
      </c>
      <c r="B234" t="str" cm="1">
        <f t="array" ref="B234">INDEX(HotelList,MOD(ROW()-2,10)+1)</f>
        <v>H003</v>
      </c>
      <c r="C234">
        <f>_xlfn.XLOOKUP(B234,Dim_Hotel!$A$2:$A$11,Dim_Hotel!$F$2:$F$11)</f>
        <v>121</v>
      </c>
      <c r="D234">
        <f t="shared" si="25"/>
        <v>67</v>
      </c>
      <c r="E234">
        <f t="shared" si="26"/>
        <v>0.55371900826446285</v>
      </c>
      <c r="F234">
        <f t="shared" si="27"/>
        <v>145</v>
      </c>
      <c r="G234">
        <f t="shared" si="28"/>
        <v>80.289256198347118</v>
      </c>
      <c r="H234" t="str">
        <f>_xlfn.XLOOKUP(A234,Fact_Events!$D$2:$D$20,Fact_Events!$A$2:$A$20, "")</f>
        <v/>
      </c>
      <c r="I234">
        <f t="shared" si="29"/>
        <v>0</v>
      </c>
      <c r="J234" t="str">
        <f>_xlfn.XLOOKUP(H234, Fact_Events!$A$2:$A$20, Fact_Events!$F$2:$F$20, "")</f>
        <v/>
      </c>
      <c r="K234" t="str">
        <f t="shared" si="30"/>
        <v>Low</v>
      </c>
      <c r="L234">
        <f t="shared" si="31"/>
        <v>0.55000000000000004</v>
      </c>
      <c r="M234">
        <f>_xlfn.XLOOKUP(B234, Dim_Hotel!$A$2:$A$11, Dim_Hotel!$I$2:$I$11)
 + (IF(J234="",0,J234)
    * _xlfn.XLOOKUP(B234, Dim_Hotel!$A$2:$A$11, Dim_Hotel!$J$2:$J$11))</f>
        <v>145</v>
      </c>
    </row>
    <row r="235" spans="1:13" x14ac:dyDescent="0.25">
      <c r="A235" s="1">
        <f t="shared" si="24"/>
        <v>46046</v>
      </c>
      <c r="B235" t="str" cm="1">
        <f t="array" ref="B235">INDEX(HotelList,MOD(ROW()-2,10)+1)</f>
        <v>H004</v>
      </c>
      <c r="C235">
        <f>_xlfn.XLOOKUP(B235,Dim_Hotel!$A$2:$A$11,Dim_Hotel!$F$2:$F$11)</f>
        <v>108</v>
      </c>
      <c r="D235">
        <f t="shared" si="25"/>
        <v>59</v>
      </c>
      <c r="E235">
        <f t="shared" si="26"/>
        <v>0.54629629629629628</v>
      </c>
      <c r="F235">
        <f t="shared" si="27"/>
        <v>135</v>
      </c>
      <c r="G235">
        <f t="shared" si="28"/>
        <v>73.75</v>
      </c>
      <c r="H235" t="str">
        <f>_xlfn.XLOOKUP(A235,Fact_Events!$D$2:$D$20,Fact_Events!$A$2:$A$20, "")</f>
        <v/>
      </c>
      <c r="I235">
        <f t="shared" si="29"/>
        <v>0</v>
      </c>
      <c r="J235" t="str">
        <f>_xlfn.XLOOKUP(H235, Fact_Events!$A$2:$A$20, Fact_Events!$F$2:$F$20, "")</f>
        <v/>
      </c>
      <c r="K235" t="str">
        <f t="shared" si="30"/>
        <v>Low</v>
      </c>
      <c r="L235">
        <f t="shared" si="31"/>
        <v>0.55000000000000004</v>
      </c>
      <c r="M235">
        <f>_xlfn.XLOOKUP(B235, Dim_Hotel!$A$2:$A$11, Dim_Hotel!$I$2:$I$11)
 + (IF(J235="",0,J235)
    * _xlfn.XLOOKUP(B235, Dim_Hotel!$A$2:$A$11, Dim_Hotel!$J$2:$J$11))</f>
        <v>135</v>
      </c>
    </row>
    <row r="236" spans="1:13" x14ac:dyDescent="0.25">
      <c r="A236" s="1">
        <f t="shared" si="24"/>
        <v>46046</v>
      </c>
      <c r="B236" t="str" cm="1">
        <f t="array" ref="B236">INDEX(HotelList,MOD(ROW()-2,10)+1)</f>
        <v>H005</v>
      </c>
      <c r="C236">
        <f>_xlfn.XLOOKUP(B236,Dim_Hotel!$A$2:$A$11,Dim_Hotel!$F$2:$F$11)</f>
        <v>66</v>
      </c>
      <c r="D236">
        <f t="shared" si="25"/>
        <v>36</v>
      </c>
      <c r="E236">
        <f t="shared" si="26"/>
        <v>0.54545454545454541</v>
      </c>
      <c r="F236">
        <f t="shared" si="27"/>
        <v>82</v>
      </c>
      <c r="G236">
        <f t="shared" si="28"/>
        <v>44.727272727272727</v>
      </c>
      <c r="H236" t="str">
        <f>_xlfn.XLOOKUP(A236,Fact_Events!$D$2:$D$20,Fact_Events!$A$2:$A$20, "")</f>
        <v/>
      </c>
      <c r="I236">
        <f t="shared" si="29"/>
        <v>0</v>
      </c>
      <c r="J236" t="str">
        <f>_xlfn.XLOOKUP(H236, Fact_Events!$A$2:$A$20, Fact_Events!$F$2:$F$20, "")</f>
        <v/>
      </c>
      <c r="K236" t="str">
        <f t="shared" si="30"/>
        <v>Low</v>
      </c>
      <c r="L236">
        <f t="shared" si="31"/>
        <v>0.55000000000000004</v>
      </c>
      <c r="M236">
        <f>_xlfn.XLOOKUP(B236, Dim_Hotel!$A$2:$A$11, Dim_Hotel!$I$2:$I$11)
 + (IF(J236="",0,J236)
    * _xlfn.XLOOKUP(B236, Dim_Hotel!$A$2:$A$11, Dim_Hotel!$J$2:$J$11))</f>
        <v>82</v>
      </c>
    </row>
    <row r="237" spans="1:13" x14ac:dyDescent="0.25">
      <c r="A237" s="1">
        <f t="shared" si="24"/>
        <v>46046</v>
      </c>
      <c r="B237" t="str" cm="1">
        <f t="array" ref="B237">INDEX(HotelList,MOD(ROW()-2,10)+1)</f>
        <v>H006</v>
      </c>
      <c r="C237">
        <f>_xlfn.XLOOKUP(B237,Dim_Hotel!$A$2:$A$11,Dim_Hotel!$F$2:$F$11)</f>
        <v>311</v>
      </c>
      <c r="D237">
        <f t="shared" si="25"/>
        <v>171</v>
      </c>
      <c r="E237">
        <f t="shared" si="26"/>
        <v>0.54983922829581988</v>
      </c>
      <c r="F237">
        <f t="shared" si="27"/>
        <v>190</v>
      </c>
      <c r="G237">
        <f t="shared" si="28"/>
        <v>104.46945337620578</v>
      </c>
      <c r="H237" t="str">
        <f>_xlfn.XLOOKUP(A237,Fact_Events!$D$2:$D$20,Fact_Events!$A$2:$A$20, "")</f>
        <v/>
      </c>
      <c r="I237">
        <f t="shared" si="29"/>
        <v>0</v>
      </c>
      <c r="J237" t="str">
        <f>_xlfn.XLOOKUP(H237, Fact_Events!$A$2:$A$20, Fact_Events!$F$2:$F$20, "")</f>
        <v/>
      </c>
      <c r="K237" t="str">
        <f t="shared" si="30"/>
        <v>Low</v>
      </c>
      <c r="L237">
        <f t="shared" si="31"/>
        <v>0.55000000000000004</v>
      </c>
      <c r="M237">
        <f>_xlfn.XLOOKUP(B237, Dim_Hotel!$A$2:$A$11, Dim_Hotel!$I$2:$I$11)
 + (IF(J237="",0,J237)
    * _xlfn.XLOOKUP(B237, Dim_Hotel!$A$2:$A$11, Dim_Hotel!$J$2:$J$11))</f>
        <v>190</v>
      </c>
    </row>
    <row r="238" spans="1:13" x14ac:dyDescent="0.25">
      <c r="A238" s="1">
        <f t="shared" si="24"/>
        <v>46046</v>
      </c>
      <c r="B238" t="str" cm="1">
        <f t="array" ref="B238">INDEX(HotelList,MOD(ROW()-2,10)+1)</f>
        <v>H007</v>
      </c>
      <c r="C238">
        <f>_xlfn.XLOOKUP(B238,Dim_Hotel!$A$2:$A$11,Dim_Hotel!$F$2:$F$11)</f>
        <v>132</v>
      </c>
      <c r="D238">
        <f t="shared" si="25"/>
        <v>73</v>
      </c>
      <c r="E238">
        <f t="shared" si="26"/>
        <v>0.55303030303030298</v>
      </c>
      <c r="F238">
        <f t="shared" si="27"/>
        <v>165</v>
      </c>
      <c r="G238">
        <f t="shared" si="28"/>
        <v>91.249999999999986</v>
      </c>
      <c r="H238" t="str">
        <f>_xlfn.XLOOKUP(A238,Fact_Events!$D$2:$D$20,Fact_Events!$A$2:$A$20, "")</f>
        <v/>
      </c>
      <c r="I238">
        <f t="shared" si="29"/>
        <v>0</v>
      </c>
      <c r="J238" t="str">
        <f>_xlfn.XLOOKUP(H238, Fact_Events!$A$2:$A$20, Fact_Events!$F$2:$F$20, "")</f>
        <v/>
      </c>
      <c r="K238" t="str">
        <f t="shared" si="30"/>
        <v>Low</v>
      </c>
      <c r="L238">
        <f t="shared" si="31"/>
        <v>0.55000000000000004</v>
      </c>
      <c r="M238">
        <f>_xlfn.XLOOKUP(B238, Dim_Hotel!$A$2:$A$11, Dim_Hotel!$I$2:$I$11)
 + (IF(J238="",0,J238)
    * _xlfn.XLOOKUP(B238, Dim_Hotel!$A$2:$A$11, Dim_Hotel!$J$2:$J$11))</f>
        <v>165</v>
      </c>
    </row>
    <row r="239" spans="1:13" x14ac:dyDescent="0.25">
      <c r="A239" s="1">
        <f t="shared" si="24"/>
        <v>46046</v>
      </c>
      <c r="B239" t="str" cm="1">
        <f t="array" ref="B239">INDEX(HotelList,MOD(ROW()-2,10)+1)</f>
        <v>H008</v>
      </c>
      <c r="C239">
        <f>_xlfn.XLOOKUP(B239,Dim_Hotel!$A$2:$A$11,Dim_Hotel!$F$2:$F$11)</f>
        <v>103</v>
      </c>
      <c r="D239">
        <f t="shared" si="25"/>
        <v>57</v>
      </c>
      <c r="E239">
        <f t="shared" si="26"/>
        <v>0.55339805825242716</v>
      </c>
      <c r="F239">
        <f t="shared" si="27"/>
        <v>140</v>
      </c>
      <c r="G239">
        <f t="shared" si="28"/>
        <v>77.475728155339809</v>
      </c>
      <c r="H239" t="str">
        <f>_xlfn.XLOOKUP(A239,Fact_Events!$D$2:$D$20,Fact_Events!$A$2:$A$20, "")</f>
        <v/>
      </c>
      <c r="I239">
        <f t="shared" si="29"/>
        <v>0</v>
      </c>
      <c r="J239" t="str">
        <f>_xlfn.XLOOKUP(H239, Fact_Events!$A$2:$A$20, Fact_Events!$F$2:$F$20, "")</f>
        <v/>
      </c>
      <c r="K239" t="str">
        <f t="shared" si="30"/>
        <v>Low</v>
      </c>
      <c r="L239">
        <f t="shared" si="31"/>
        <v>0.55000000000000004</v>
      </c>
      <c r="M239">
        <f>_xlfn.XLOOKUP(B239, Dim_Hotel!$A$2:$A$11, Dim_Hotel!$I$2:$I$11)
 + (IF(J239="",0,J239)
    * _xlfn.XLOOKUP(B239, Dim_Hotel!$A$2:$A$11, Dim_Hotel!$J$2:$J$11))</f>
        <v>140</v>
      </c>
    </row>
    <row r="240" spans="1:13" x14ac:dyDescent="0.25">
      <c r="A240" s="1">
        <f t="shared" si="24"/>
        <v>46046</v>
      </c>
      <c r="B240" t="str" cm="1">
        <f t="array" ref="B240">INDEX(HotelList,MOD(ROW()-2,10)+1)</f>
        <v>H009</v>
      </c>
      <c r="C240">
        <f>_xlfn.XLOOKUP(B240,Dim_Hotel!$A$2:$A$11,Dim_Hotel!$F$2:$F$11)</f>
        <v>114</v>
      </c>
      <c r="D240">
        <f t="shared" si="25"/>
        <v>63</v>
      </c>
      <c r="E240">
        <f t="shared" si="26"/>
        <v>0.55263157894736847</v>
      </c>
      <c r="F240">
        <f t="shared" si="27"/>
        <v>185</v>
      </c>
      <c r="G240">
        <f t="shared" si="28"/>
        <v>102.23684210526316</v>
      </c>
      <c r="H240" t="str">
        <f>_xlfn.XLOOKUP(A240,Fact_Events!$D$2:$D$20,Fact_Events!$A$2:$A$20, "")</f>
        <v/>
      </c>
      <c r="I240">
        <f t="shared" si="29"/>
        <v>0</v>
      </c>
      <c r="J240" t="str">
        <f>_xlfn.XLOOKUP(H240, Fact_Events!$A$2:$A$20, Fact_Events!$F$2:$F$20, "")</f>
        <v/>
      </c>
      <c r="K240" t="str">
        <f t="shared" si="30"/>
        <v>Low</v>
      </c>
      <c r="L240">
        <f t="shared" si="31"/>
        <v>0.55000000000000004</v>
      </c>
      <c r="M240">
        <f>_xlfn.XLOOKUP(B240, Dim_Hotel!$A$2:$A$11, Dim_Hotel!$I$2:$I$11)
 + (IF(J240="",0,J240)
    * _xlfn.XLOOKUP(B240, Dim_Hotel!$A$2:$A$11, Dim_Hotel!$J$2:$J$11))</f>
        <v>185</v>
      </c>
    </row>
    <row r="241" spans="1:13" x14ac:dyDescent="0.25">
      <c r="A241" s="1">
        <f t="shared" si="24"/>
        <v>46046</v>
      </c>
      <c r="B241" t="str" cm="1">
        <f t="array" ref="B241">INDEX(HotelList,MOD(ROW()-2,10)+1)</f>
        <v>H010</v>
      </c>
      <c r="C241">
        <f>_xlfn.XLOOKUP(B241,Dim_Hotel!$A$2:$A$11,Dim_Hotel!$F$2:$F$11)</f>
        <v>89</v>
      </c>
      <c r="D241">
        <f t="shared" si="25"/>
        <v>49</v>
      </c>
      <c r="E241">
        <f t="shared" si="26"/>
        <v>0.550561797752809</v>
      </c>
      <c r="F241">
        <f t="shared" si="27"/>
        <v>150</v>
      </c>
      <c r="G241">
        <f t="shared" si="28"/>
        <v>82.584269662921344</v>
      </c>
      <c r="H241" t="str">
        <f>_xlfn.XLOOKUP(A241,Fact_Events!$D$2:$D$20,Fact_Events!$A$2:$A$20, "")</f>
        <v/>
      </c>
      <c r="I241">
        <f t="shared" si="29"/>
        <v>0</v>
      </c>
      <c r="J241" t="str">
        <f>_xlfn.XLOOKUP(H241, Fact_Events!$A$2:$A$20, Fact_Events!$F$2:$F$20, "")</f>
        <v/>
      </c>
      <c r="K241" t="str">
        <f t="shared" si="30"/>
        <v>Low</v>
      </c>
      <c r="L241">
        <f t="shared" si="31"/>
        <v>0.55000000000000004</v>
      </c>
      <c r="M241">
        <f>_xlfn.XLOOKUP(B241, Dim_Hotel!$A$2:$A$11, Dim_Hotel!$I$2:$I$11)
 + (IF(J241="",0,J241)
    * _xlfn.XLOOKUP(B241, Dim_Hotel!$A$2:$A$11, Dim_Hotel!$J$2:$J$11))</f>
        <v>150</v>
      </c>
    </row>
    <row r="242" spans="1:13" x14ac:dyDescent="0.25">
      <c r="A242" s="1">
        <f t="shared" si="24"/>
        <v>46047</v>
      </c>
      <c r="B242" t="str" cm="1">
        <f t="array" ref="B242">INDEX(HotelList,MOD(ROW()-2,10)+1)</f>
        <v>H001</v>
      </c>
      <c r="C242">
        <f>_xlfn.XLOOKUP(B242,Dim_Hotel!$A$2:$A$11,Dim_Hotel!$F$2:$F$11)</f>
        <v>888</v>
      </c>
      <c r="D242">
        <f t="shared" si="25"/>
        <v>488</v>
      </c>
      <c r="E242">
        <f t="shared" si="26"/>
        <v>0.5495495495495496</v>
      </c>
      <c r="F242">
        <f t="shared" si="27"/>
        <v>260</v>
      </c>
      <c r="G242">
        <f t="shared" si="28"/>
        <v>142.88288288288288</v>
      </c>
      <c r="H242" t="str">
        <f>_xlfn.XLOOKUP(A242,Fact_Events!$D$2:$D$20,Fact_Events!$A$2:$A$20, "")</f>
        <v/>
      </c>
      <c r="I242">
        <f t="shared" si="29"/>
        <v>0</v>
      </c>
      <c r="J242" t="str">
        <f>_xlfn.XLOOKUP(H242, Fact_Events!$A$2:$A$20, Fact_Events!$F$2:$F$20, "")</f>
        <v/>
      </c>
      <c r="K242" t="str">
        <f t="shared" si="30"/>
        <v>Low</v>
      </c>
      <c r="L242">
        <f t="shared" si="31"/>
        <v>0.55000000000000004</v>
      </c>
      <c r="M242">
        <f>_xlfn.XLOOKUP(B242, Dim_Hotel!$A$2:$A$11, Dim_Hotel!$I$2:$I$11)
 + (IF(J242="",0,J242)
    * _xlfn.XLOOKUP(B242, Dim_Hotel!$A$2:$A$11, Dim_Hotel!$J$2:$J$11))</f>
        <v>260</v>
      </c>
    </row>
    <row r="243" spans="1:13" x14ac:dyDescent="0.25">
      <c r="A243" s="1">
        <f t="shared" si="24"/>
        <v>46047</v>
      </c>
      <c r="B243" t="str" cm="1">
        <f t="array" ref="B243">INDEX(HotelList,MOD(ROW()-2,10)+1)</f>
        <v>H002</v>
      </c>
      <c r="C243">
        <f>_xlfn.XLOOKUP(B243,Dim_Hotel!$A$2:$A$11,Dim_Hotel!$F$2:$F$11)</f>
        <v>147</v>
      </c>
      <c r="D243">
        <f t="shared" si="25"/>
        <v>81</v>
      </c>
      <c r="E243">
        <f t="shared" si="26"/>
        <v>0.55102040816326525</v>
      </c>
      <c r="F243">
        <f t="shared" si="27"/>
        <v>175</v>
      </c>
      <c r="G243">
        <f t="shared" si="28"/>
        <v>96.428571428571416</v>
      </c>
      <c r="H243" t="str">
        <f>_xlfn.XLOOKUP(A243,Fact_Events!$D$2:$D$20,Fact_Events!$A$2:$A$20, "")</f>
        <v/>
      </c>
      <c r="I243">
        <f t="shared" si="29"/>
        <v>0</v>
      </c>
      <c r="J243" t="str">
        <f>_xlfn.XLOOKUP(H243, Fact_Events!$A$2:$A$20, Fact_Events!$F$2:$F$20, "")</f>
        <v/>
      </c>
      <c r="K243" t="str">
        <f t="shared" si="30"/>
        <v>Low</v>
      </c>
      <c r="L243">
        <f t="shared" si="31"/>
        <v>0.55000000000000004</v>
      </c>
      <c r="M243">
        <f>_xlfn.XLOOKUP(B243, Dim_Hotel!$A$2:$A$11, Dim_Hotel!$I$2:$I$11)
 + (IF(J243="",0,J243)
    * _xlfn.XLOOKUP(B243, Dim_Hotel!$A$2:$A$11, Dim_Hotel!$J$2:$J$11))</f>
        <v>175</v>
      </c>
    </row>
    <row r="244" spans="1:13" x14ac:dyDescent="0.25">
      <c r="A244" s="1">
        <f t="shared" si="24"/>
        <v>46047</v>
      </c>
      <c r="B244" t="str" cm="1">
        <f t="array" ref="B244">INDEX(HotelList,MOD(ROW()-2,10)+1)</f>
        <v>H003</v>
      </c>
      <c r="C244">
        <f>_xlfn.XLOOKUP(B244,Dim_Hotel!$A$2:$A$11,Dim_Hotel!$F$2:$F$11)</f>
        <v>121</v>
      </c>
      <c r="D244">
        <f t="shared" si="25"/>
        <v>67</v>
      </c>
      <c r="E244">
        <f t="shared" si="26"/>
        <v>0.55371900826446285</v>
      </c>
      <c r="F244">
        <f t="shared" si="27"/>
        <v>145</v>
      </c>
      <c r="G244">
        <f t="shared" si="28"/>
        <v>80.289256198347118</v>
      </c>
      <c r="H244" t="str">
        <f>_xlfn.XLOOKUP(A244,Fact_Events!$D$2:$D$20,Fact_Events!$A$2:$A$20, "")</f>
        <v/>
      </c>
      <c r="I244">
        <f t="shared" si="29"/>
        <v>0</v>
      </c>
      <c r="J244" t="str">
        <f>_xlfn.XLOOKUP(H244, Fact_Events!$A$2:$A$20, Fact_Events!$F$2:$F$20, "")</f>
        <v/>
      </c>
      <c r="K244" t="str">
        <f t="shared" si="30"/>
        <v>Low</v>
      </c>
      <c r="L244">
        <f t="shared" si="31"/>
        <v>0.55000000000000004</v>
      </c>
      <c r="M244">
        <f>_xlfn.XLOOKUP(B244, Dim_Hotel!$A$2:$A$11, Dim_Hotel!$I$2:$I$11)
 + (IF(J244="",0,J244)
    * _xlfn.XLOOKUP(B244, Dim_Hotel!$A$2:$A$11, Dim_Hotel!$J$2:$J$11))</f>
        <v>145</v>
      </c>
    </row>
    <row r="245" spans="1:13" x14ac:dyDescent="0.25">
      <c r="A245" s="1">
        <f t="shared" si="24"/>
        <v>46047</v>
      </c>
      <c r="B245" t="str" cm="1">
        <f t="array" ref="B245">INDEX(HotelList,MOD(ROW()-2,10)+1)</f>
        <v>H004</v>
      </c>
      <c r="C245">
        <f>_xlfn.XLOOKUP(B245,Dim_Hotel!$A$2:$A$11,Dim_Hotel!$F$2:$F$11)</f>
        <v>108</v>
      </c>
      <c r="D245">
        <f t="shared" si="25"/>
        <v>59</v>
      </c>
      <c r="E245">
        <f t="shared" si="26"/>
        <v>0.54629629629629628</v>
      </c>
      <c r="F245">
        <f t="shared" si="27"/>
        <v>135</v>
      </c>
      <c r="G245">
        <f t="shared" si="28"/>
        <v>73.75</v>
      </c>
      <c r="H245" t="str">
        <f>_xlfn.XLOOKUP(A245,Fact_Events!$D$2:$D$20,Fact_Events!$A$2:$A$20, "")</f>
        <v/>
      </c>
      <c r="I245">
        <f t="shared" si="29"/>
        <v>0</v>
      </c>
      <c r="J245" t="str">
        <f>_xlfn.XLOOKUP(H245, Fact_Events!$A$2:$A$20, Fact_Events!$F$2:$F$20, "")</f>
        <v/>
      </c>
      <c r="K245" t="str">
        <f t="shared" si="30"/>
        <v>Low</v>
      </c>
      <c r="L245">
        <f t="shared" si="31"/>
        <v>0.55000000000000004</v>
      </c>
      <c r="M245">
        <f>_xlfn.XLOOKUP(B245, Dim_Hotel!$A$2:$A$11, Dim_Hotel!$I$2:$I$11)
 + (IF(J245="",0,J245)
    * _xlfn.XLOOKUP(B245, Dim_Hotel!$A$2:$A$11, Dim_Hotel!$J$2:$J$11))</f>
        <v>135</v>
      </c>
    </row>
    <row r="246" spans="1:13" x14ac:dyDescent="0.25">
      <c r="A246" s="1">
        <f t="shared" si="24"/>
        <v>46047</v>
      </c>
      <c r="B246" t="str" cm="1">
        <f t="array" ref="B246">INDEX(HotelList,MOD(ROW()-2,10)+1)</f>
        <v>H005</v>
      </c>
      <c r="C246">
        <f>_xlfn.XLOOKUP(B246,Dim_Hotel!$A$2:$A$11,Dim_Hotel!$F$2:$F$11)</f>
        <v>66</v>
      </c>
      <c r="D246">
        <f t="shared" si="25"/>
        <v>36</v>
      </c>
      <c r="E246">
        <f t="shared" si="26"/>
        <v>0.54545454545454541</v>
      </c>
      <c r="F246">
        <f t="shared" si="27"/>
        <v>82</v>
      </c>
      <c r="G246">
        <f t="shared" si="28"/>
        <v>44.727272727272727</v>
      </c>
      <c r="H246" t="str">
        <f>_xlfn.XLOOKUP(A246,Fact_Events!$D$2:$D$20,Fact_Events!$A$2:$A$20, "")</f>
        <v/>
      </c>
      <c r="I246">
        <f t="shared" si="29"/>
        <v>0</v>
      </c>
      <c r="J246" t="str">
        <f>_xlfn.XLOOKUP(H246, Fact_Events!$A$2:$A$20, Fact_Events!$F$2:$F$20, "")</f>
        <v/>
      </c>
      <c r="K246" t="str">
        <f t="shared" si="30"/>
        <v>Low</v>
      </c>
      <c r="L246">
        <f t="shared" si="31"/>
        <v>0.55000000000000004</v>
      </c>
      <c r="M246">
        <f>_xlfn.XLOOKUP(B246, Dim_Hotel!$A$2:$A$11, Dim_Hotel!$I$2:$I$11)
 + (IF(J246="",0,J246)
    * _xlfn.XLOOKUP(B246, Dim_Hotel!$A$2:$A$11, Dim_Hotel!$J$2:$J$11))</f>
        <v>82</v>
      </c>
    </row>
    <row r="247" spans="1:13" x14ac:dyDescent="0.25">
      <c r="A247" s="1">
        <f t="shared" si="24"/>
        <v>46047</v>
      </c>
      <c r="B247" t="str" cm="1">
        <f t="array" ref="B247">INDEX(HotelList,MOD(ROW()-2,10)+1)</f>
        <v>H006</v>
      </c>
      <c r="C247">
        <f>_xlfn.XLOOKUP(B247,Dim_Hotel!$A$2:$A$11,Dim_Hotel!$F$2:$F$11)</f>
        <v>311</v>
      </c>
      <c r="D247">
        <f t="shared" si="25"/>
        <v>171</v>
      </c>
      <c r="E247">
        <f t="shared" si="26"/>
        <v>0.54983922829581988</v>
      </c>
      <c r="F247">
        <f t="shared" si="27"/>
        <v>190</v>
      </c>
      <c r="G247">
        <f t="shared" si="28"/>
        <v>104.46945337620578</v>
      </c>
      <c r="H247" t="str">
        <f>_xlfn.XLOOKUP(A247,Fact_Events!$D$2:$D$20,Fact_Events!$A$2:$A$20, "")</f>
        <v/>
      </c>
      <c r="I247">
        <f t="shared" si="29"/>
        <v>0</v>
      </c>
      <c r="J247" t="str">
        <f>_xlfn.XLOOKUP(H247, Fact_Events!$A$2:$A$20, Fact_Events!$F$2:$F$20, "")</f>
        <v/>
      </c>
      <c r="K247" t="str">
        <f t="shared" si="30"/>
        <v>Low</v>
      </c>
      <c r="L247">
        <f t="shared" si="31"/>
        <v>0.55000000000000004</v>
      </c>
      <c r="M247">
        <f>_xlfn.XLOOKUP(B247, Dim_Hotel!$A$2:$A$11, Dim_Hotel!$I$2:$I$11)
 + (IF(J247="",0,J247)
    * _xlfn.XLOOKUP(B247, Dim_Hotel!$A$2:$A$11, Dim_Hotel!$J$2:$J$11))</f>
        <v>190</v>
      </c>
    </row>
    <row r="248" spans="1:13" x14ac:dyDescent="0.25">
      <c r="A248" s="1">
        <f t="shared" si="24"/>
        <v>46047</v>
      </c>
      <c r="B248" t="str" cm="1">
        <f t="array" ref="B248">INDEX(HotelList,MOD(ROW()-2,10)+1)</f>
        <v>H007</v>
      </c>
      <c r="C248">
        <f>_xlfn.XLOOKUP(B248,Dim_Hotel!$A$2:$A$11,Dim_Hotel!$F$2:$F$11)</f>
        <v>132</v>
      </c>
      <c r="D248">
        <f t="shared" si="25"/>
        <v>73</v>
      </c>
      <c r="E248">
        <f t="shared" si="26"/>
        <v>0.55303030303030298</v>
      </c>
      <c r="F248">
        <f t="shared" si="27"/>
        <v>165</v>
      </c>
      <c r="G248">
        <f t="shared" si="28"/>
        <v>91.249999999999986</v>
      </c>
      <c r="H248" t="str">
        <f>_xlfn.XLOOKUP(A248,Fact_Events!$D$2:$D$20,Fact_Events!$A$2:$A$20, "")</f>
        <v/>
      </c>
      <c r="I248">
        <f t="shared" si="29"/>
        <v>0</v>
      </c>
      <c r="J248" t="str">
        <f>_xlfn.XLOOKUP(H248, Fact_Events!$A$2:$A$20, Fact_Events!$F$2:$F$20, "")</f>
        <v/>
      </c>
      <c r="K248" t="str">
        <f t="shared" si="30"/>
        <v>Low</v>
      </c>
      <c r="L248">
        <f t="shared" si="31"/>
        <v>0.55000000000000004</v>
      </c>
      <c r="M248">
        <f>_xlfn.XLOOKUP(B248, Dim_Hotel!$A$2:$A$11, Dim_Hotel!$I$2:$I$11)
 + (IF(J248="",0,J248)
    * _xlfn.XLOOKUP(B248, Dim_Hotel!$A$2:$A$11, Dim_Hotel!$J$2:$J$11))</f>
        <v>165</v>
      </c>
    </row>
    <row r="249" spans="1:13" x14ac:dyDescent="0.25">
      <c r="A249" s="1">
        <f t="shared" si="24"/>
        <v>46047</v>
      </c>
      <c r="B249" t="str" cm="1">
        <f t="array" ref="B249">INDEX(HotelList,MOD(ROW()-2,10)+1)</f>
        <v>H008</v>
      </c>
      <c r="C249">
        <f>_xlfn.XLOOKUP(B249,Dim_Hotel!$A$2:$A$11,Dim_Hotel!$F$2:$F$11)</f>
        <v>103</v>
      </c>
      <c r="D249">
        <f t="shared" si="25"/>
        <v>57</v>
      </c>
      <c r="E249">
        <f t="shared" si="26"/>
        <v>0.55339805825242716</v>
      </c>
      <c r="F249">
        <f t="shared" si="27"/>
        <v>140</v>
      </c>
      <c r="G249">
        <f t="shared" si="28"/>
        <v>77.475728155339809</v>
      </c>
      <c r="H249" t="str">
        <f>_xlfn.XLOOKUP(A249,Fact_Events!$D$2:$D$20,Fact_Events!$A$2:$A$20, "")</f>
        <v/>
      </c>
      <c r="I249">
        <f t="shared" si="29"/>
        <v>0</v>
      </c>
      <c r="J249" t="str">
        <f>_xlfn.XLOOKUP(H249, Fact_Events!$A$2:$A$20, Fact_Events!$F$2:$F$20, "")</f>
        <v/>
      </c>
      <c r="K249" t="str">
        <f t="shared" si="30"/>
        <v>Low</v>
      </c>
      <c r="L249">
        <f t="shared" si="31"/>
        <v>0.55000000000000004</v>
      </c>
      <c r="M249">
        <f>_xlfn.XLOOKUP(B249, Dim_Hotel!$A$2:$A$11, Dim_Hotel!$I$2:$I$11)
 + (IF(J249="",0,J249)
    * _xlfn.XLOOKUP(B249, Dim_Hotel!$A$2:$A$11, Dim_Hotel!$J$2:$J$11))</f>
        <v>140</v>
      </c>
    </row>
    <row r="250" spans="1:13" x14ac:dyDescent="0.25">
      <c r="A250" s="1">
        <f t="shared" si="24"/>
        <v>46047</v>
      </c>
      <c r="B250" t="str" cm="1">
        <f t="array" ref="B250">INDEX(HotelList,MOD(ROW()-2,10)+1)</f>
        <v>H009</v>
      </c>
      <c r="C250">
        <f>_xlfn.XLOOKUP(B250,Dim_Hotel!$A$2:$A$11,Dim_Hotel!$F$2:$F$11)</f>
        <v>114</v>
      </c>
      <c r="D250">
        <f t="shared" si="25"/>
        <v>63</v>
      </c>
      <c r="E250">
        <f t="shared" si="26"/>
        <v>0.55263157894736847</v>
      </c>
      <c r="F250">
        <f t="shared" si="27"/>
        <v>185</v>
      </c>
      <c r="G250">
        <f t="shared" si="28"/>
        <v>102.23684210526316</v>
      </c>
      <c r="H250" t="str">
        <f>_xlfn.XLOOKUP(A250,Fact_Events!$D$2:$D$20,Fact_Events!$A$2:$A$20, "")</f>
        <v/>
      </c>
      <c r="I250">
        <f t="shared" si="29"/>
        <v>0</v>
      </c>
      <c r="J250" t="str">
        <f>_xlfn.XLOOKUP(H250, Fact_Events!$A$2:$A$20, Fact_Events!$F$2:$F$20, "")</f>
        <v/>
      </c>
      <c r="K250" t="str">
        <f t="shared" si="30"/>
        <v>Low</v>
      </c>
      <c r="L250">
        <f t="shared" si="31"/>
        <v>0.55000000000000004</v>
      </c>
      <c r="M250">
        <f>_xlfn.XLOOKUP(B250, Dim_Hotel!$A$2:$A$11, Dim_Hotel!$I$2:$I$11)
 + (IF(J250="",0,J250)
    * _xlfn.XLOOKUP(B250, Dim_Hotel!$A$2:$A$11, Dim_Hotel!$J$2:$J$11))</f>
        <v>185</v>
      </c>
    </row>
    <row r="251" spans="1:13" x14ac:dyDescent="0.25">
      <c r="A251" s="1">
        <f t="shared" si="24"/>
        <v>46047</v>
      </c>
      <c r="B251" t="str" cm="1">
        <f t="array" ref="B251">INDEX(HotelList,MOD(ROW()-2,10)+1)</f>
        <v>H010</v>
      </c>
      <c r="C251">
        <f>_xlfn.XLOOKUP(B251,Dim_Hotel!$A$2:$A$11,Dim_Hotel!$F$2:$F$11)</f>
        <v>89</v>
      </c>
      <c r="D251">
        <f t="shared" si="25"/>
        <v>49</v>
      </c>
      <c r="E251">
        <f t="shared" si="26"/>
        <v>0.550561797752809</v>
      </c>
      <c r="F251">
        <f t="shared" si="27"/>
        <v>150</v>
      </c>
      <c r="G251">
        <f t="shared" si="28"/>
        <v>82.584269662921344</v>
      </c>
      <c r="H251" t="str">
        <f>_xlfn.XLOOKUP(A251,Fact_Events!$D$2:$D$20,Fact_Events!$A$2:$A$20, "")</f>
        <v/>
      </c>
      <c r="I251">
        <f t="shared" si="29"/>
        <v>0</v>
      </c>
      <c r="J251" t="str">
        <f>_xlfn.XLOOKUP(H251, Fact_Events!$A$2:$A$20, Fact_Events!$F$2:$F$20, "")</f>
        <v/>
      </c>
      <c r="K251" t="str">
        <f t="shared" si="30"/>
        <v>Low</v>
      </c>
      <c r="L251">
        <f t="shared" si="31"/>
        <v>0.55000000000000004</v>
      </c>
      <c r="M251">
        <f>_xlfn.XLOOKUP(B251, Dim_Hotel!$A$2:$A$11, Dim_Hotel!$I$2:$I$11)
 + (IF(J251="",0,J251)
    * _xlfn.XLOOKUP(B251, Dim_Hotel!$A$2:$A$11, Dim_Hotel!$J$2:$J$11))</f>
        <v>150</v>
      </c>
    </row>
    <row r="252" spans="1:13" x14ac:dyDescent="0.25">
      <c r="A252" s="1">
        <f t="shared" si="24"/>
        <v>46048</v>
      </c>
      <c r="B252" t="str" cm="1">
        <f t="array" ref="B252">INDEX(HotelList,MOD(ROW()-2,10)+1)</f>
        <v>H001</v>
      </c>
      <c r="C252">
        <f>_xlfn.XLOOKUP(B252,Dim_Hotel!$A$2:$A$11,Dim_Hotel!$F$2:$F$11)</f>
        <v>888</v>
      </c>
      <c r="D252">
        <f t="shared" si="25"/>
        <v>488</v>
      </c>
      <c r="E252">
        <f t="shared" si="26"/>
        <v>0.5495495495495496</v>
      </c>
      <c r="F252">
        <f t="shared" si="27"/>
        <v>260</v>
      </c>
      <c r="G252">
        <f t="shared" si="28"/>
        <v>142.88288288288288</v>
      </c>
      <c r="H252" t="str">
        <f>_xlfn.XLOOKUP(A252,Fact_Events!$D$2:$D$20,Fact_Events!$A$2:$A$20, "")</f>
        <v/>
      </c>
      <c r="I252">
        <f t="shared" si="29"/>
        <v>0</v>
      </c>
      <c r="J252" t="str">
        <f>_xlfn.XLOOKUP(H252, Fact_Events!$A$2:$A$20, Fact_Events!$F$2:$F$20, "")</f>
        <v/>
      </c>
      <c r="K252" t="str">
        <f t="shared" si="30"/>
        <v>Low</v>
      </c>
      <c r="L252">
        <f t="shared" si="31"/>
        <v>0.55000000000000004</v>
      </c>
      <c r="M252">
        <f>_xlfn.XLOOKUP(B252, Dim_Hotel!$A$2:$A$11, Dim_Hotel!$I$2:$I$11)
 + (IF(J252="",0,J252)
    * _xlfn.XLOOKUP(B252, Dim_Hotel!$A$2:$A$11, Dim_Hotel!$J$2:$J$11))</f>
        <v>260</v>
      </c>
    </row>
    <row r="253" spans="1:13" x14ac:dyDescent="0.25">
      <c r="A253" s="1">
        <f t="shared" si="24"/>
        <v>46048</v>
      </c>
      <c r="B253" t="str" cm="1">
        <f t="array" ref="B253">INDEX(HotelList,MOD(ROW()-2,10)+1)</f>
        <v>H002</v>
      </c>
      <c r="C253">
        <f>_xlfn.XLOOKUP(B253,Dim_Hotel!$A$2:$A$11,Dim_Hotel!$F$2:$F$11)</f>
        <v>147</v>
      </c>
      <c r="D253">
        <f t="shared" si="25"/>
        <v>81</v>
      </c>
      <c r="E253">
        <f t="shared" si="26"/>
        <v>0.55102040816326525</v>
      </c>
      <c r="F253">
        <f t="shared" si="27"/>
        <v>175</v>
      </c>
      <c r="G253">
        <f t="shared" si="28"/>
        <v>96.428571428571416</v>
      </c>
      <c r="H253" t="str">
        <f>_xlfn.XLOOKUP(A253,Fact_Events!$D$2:$D$20,Fact_Events!$A$2:$A$20, "")</f>
        <v/>
      </c>
      <c r="I253">
        <f t="shared" si="29"/>
        <v>0</v>
      </c>
      <c r="J253" t="str">
        <f>_xlfn.XLOOKUP(H253, Fact_Events!$A$2:$A$20, Fact_Events!$F$2:$F$20, "")</f>
        <v/>
      </c>
      <c r="K253" t="str">
        <f t="shared" si="30"/>
        <v>Low</v>
      </c>
      <c r="L253">
        <f t="shared" si="31"/>
        <v>0.55000000000000004</v>
      </c>
      <c r="M253">
        <f>_xlfn.XLOOKUP(B253, Dim_Hotel!$A$2:$A$11, Dim_Hotel!$I$2:$I$11)
 + (IF(J253="",0,J253)
    * _xlfn.XLOOKUP(B253, Dim_Hotel!$A$2:$A$11, Dim_Hotel!$J$2:$J$11))</f>
        <v>175</v>
      </c>
    </row>
    <row r="254" spans="1:13" x14ac:dyDescent="0.25">
      <c r="A254" s="1">
        <f t="shared" si="24"/>
        <v>46048</v>
      </c>
      <c r="B254" t="str" cm="1">
        <f t="array" ref="B254">INDEX(HotelList,MOD(ROW()-2,10)+1)</f>
        <v>H003</v>
      </c>
      <c r="C254">
        <f>_xlfn.XLOOKUP(B254,Dim_Hotel!$A$2:$A$11,Dim_Hotel!$F$2:$F$11)</f>
        <v>121</v>
      </c>
      <c r="D254">
        <f t="shared" si="25"/>
        <v>67</v>
      </c>
      <c r="E254">
        <f t="shared" si="26"/>
        <v>0.55371900826446285</v>
      </c>
      <c r="F254">
        <f t="shared" si="27"/>
        <v>145</v>
      </c>
      <c r="G254">
        <f t="shared" si="28"/>
        <v>80.289256198347118</v>
      </c>
      <c r="H254" t="str">
        <f>_xlfn.XLOOKUP(A254,Fact_Events!$D$2:$D$20,Fact_Events!$A$2:$A$20, "")</f>
        <v/>
      </c>
      <c r="I254">
        <f t="shared" si="29"/>
        <v>0</v>
      </c>
      <c r="J254" t="str">
        <f>_xlfn.XLOOKUP(H254, Fact_Events!$A$2:$A$20, Fact_Events!$F$2:$F$20, "")</f>
        <v/>
      </c>
      <c r="K254" t="str">
        <f t="shared" si="30"/>
        <v>Low</v>
      </c>
      <c r="L254">
        <f t="shared" si="31"/>
        <v>0.55000000000000004</v>
      </c>
      <c r="M254">
        <f>_xlfn.XLOOKUP(B254, Dim_Hotel!$A$2:$A$11, Dim_Hotel!$I$2:$I$11)
 + (IF(J254="",0,J254)
    * _xlfn.XLOOKUP(B254, Dim_Hotel!$A$2:$A$11, Dim_Hotel!$J$2:$J$11))</f>
        <v>145</v>
      </c>
    </row>
    <row r="255" spans="1:13" x14ac:dyDescent="0.25">
      <c r="A255" s="1">
        <f t="shared" si="24"/>
        <v>46048</v>
      </c>
      <c r="B255" t="str" cm="1">
        <f t="array" ref="B255">INDEX(HotelList,MOD(ROW()-2,10)+1)</f>
        <v>H004</v>
      </c>
      <c r="C255">
        <f>_xlfn.XLOOKUP(B255,Dim_Hotel!$A$2:$A$11,Dim_Hotel!$F$2:$F$11)</f>
        <v>108</v>
      </c>
      <c r="D255">
        <f t="shared" si="25"/>
        <v>59</v>
      </c>
      <c r="E255">
        <f t="shared" si="26"/>
        <v>0.54629629629629628</v>
      </c>
      <c r="F255">
        <f t="shared" si="27"/>
        <v>135</v>
      </c>
      <c r="G255">
        <f t="shared" si="28"/>
        <v>73.75</v>
      </c>
      <c r="H255" t="str">
        <f>_xlfn.XLOOKUP(A255,Fact_Events!$D$2:$D$20,Fact_Events!$A$2:$A$20, "")</f>
        <v/>
      </c>
      <c r="I255">
        <f t="shared" si="29"/>
        <v>0</v>
      </c>
      <c r="J255" t="str">
        <f>_xlfn.XLOOKUP(H255, Fact_Events!$A$2:$A$20, Fact_Events!$F$2:$F$20, "")</f>
        <v/>
      </c>
      <c r="K255" t="str">
        <f t="shared" si="30"/>
        <v>Low</v>
      </c>
      <c r="L255">
        <f t="shared" si="31"/>
        <v>0.55000000000000004</v>
      </c>
      <c r="M255">
        <f>_xlfn.XLOOKUP(B255, Dim_Hotel!$A$2:$A$11, Dim_Hotel!$I$2:$I$11)
 + (IF(J255="",0,J255)
    * _xlfn.XLOOKUP(B255, Dim_Hotel!$A$2:$A$11, Dim_Hotel!$J$2:$J$11))</f>
        <v>135</v>
      </c>
    </row>
    <row r="256" spans="1:13" x14ac:dyDescent="0.25">
      <c r="A256" s="1">
        <f t="shared" si="24"/>
        <v>46048</v>
      </c>
      <c r="B256" t="str" cm="1">
        <f t="array" ref="B256">INDEX(HotelList,MOD(ROW()-2,10)+1)</f>
        <v>H005</v>
      </c>
      <c r="C256">
        <f>_xlfn.XLOOKUP(B256,Dim_Hotel!$A$2:$A$11,Dim_Hotel!$F$2:$F$11)</f>
        <v>66</v>
      </c>
      <c r="D256">
        <f t="shared" si="25"/>
        <v>36</v>
      </c>
      <c r="E256">
        <f t="shared" si="26"/>
        <v>0.54545454545454541</v>
      </c>
      <c r="F256">
        <f t="shared" si="27"/>
        <v>82</v>
      </c>
      <c r="G256">
        <f t="shared" si="28"/>
        <v>44.727272727272727</v>
      </c>
      <c r="H256" t="str">
        <f>_xlfn.XLOOKUP(A256,Fact_Events!$D$2:$D$20,Fact_Events!$A$2:$A$20, "")</f>
        <v/>
      </c>
      <c r="I256">
        <f t="shared" si="29"/>
        <v>0</v>
      </c>
      <c r="J256" t="str">
        <f>_xlfn.XLOOKUP(H256, Fact_Events!$A$2:$A$20, Fact_Events!$F$2:$F$20, "")</f>
        <v/>
      </c>
      <c r="K256" t="str">
        <f t="shared" si="30"/>
        <v>Low</v>
      </c>
      <c r="L256">
        <f t="shared" si="31"/>
        <v>0.55000000000000004</v>
      </c>
      <c r="M256">
        <f>_xlfn.XLOOKUP(B256, Dim_Hotel!$A$2:$A$11, Dim_Hotel!$I$2:$I$11)
 + (IF(J256="",0,J256)
    * _xlfn.XLOOKUP(B256, Dim_Hotel!$A$2:$A$11, Dim_Hotel!$J$2:$J$11))</f>
        <v>82</v>
      </c>
    </row>
    <row r="257" spans="1:13" x14ac:dyDescent="0.25">
      <c r="A257" s="1">
        <f t="shared" si="24"/>
        <v>46048</v>
      </c>
      <c r="B257" t="str" cm="1">
        <f t="array" ref="B257">INDEX(HotelList,MOD(ROW()-2,10)+1)</f>
        <v>H006</v>
      </c>
      <c r="C257">
        <f>_xlfn.XLOOKUP(B257,Dim_Hotel!$A$2:$A$11,Dim_Hotel!$F$2:$F$11)</f>
        <v>311</v>
      </c>
      <c r="D257">
        <f t="shared" si="25"/>
        <v>171</v>
      </c>
      <c r="E257">
        <f t="shared" si="26"/>
        <v>0.54983922829581988</v>
      </c>
      <c r="F257">
        <f t="shared" si="27"/>
        <v>190</v>
      </c>
      <c r="G257">
        <f t="shared" si="28"/>
        <v>104.46945337620578</v>
      </c>
      <c r="H257" t="str">
        <f>_xlfn.XLOOKUP(A257,Fact_Events!$D$2:$D$20,Fact_Events!$A$2:$A$20, "")</f>
        <v/>
      </c>
      <c r="I257">
        <f t="shared" si="29"/>
        <v>0</v>
      </c>
      <c r="J257" t="str">
        <f>_xlfn.XLOOKUP(H257, Fact_Events!$A$2:$A$20, Fact_Events!$F$2:$F$20, "")</f>
        <v/>
      </c>
      <c r="K257" t="str">
        <f t="shared" si="30"/>
        <v>Low</v>
      </c>
      <c r="L257">
        <f t="shared" si="31"/>
        <v>0.55000000000000004</v>
      </c>
      <c r="M257">
        <f>_xlfn.XLOOKUP(B257, Dim_Hotel!$A$2:$A$11, Dim_Hotel!$I$2:$I$11)
 + (IF(J257="",0,J257)
    * _xlfn.XLOOKUP(B257, Dim_Hotel!$A$2:$A$11, Dim_Hotel!$J$2:$J$11))</f>
        <v>190</v>
      </c>
    </row>
    <row r="258" spans="1:13" x14ac:dyDescent="0.25">
      <c r="A258" s="1">
        <f t="shared" si="24"/>
        <v>46048</v>
      </c>
      <c r="B258" t="str" cm="1">
        <f t="array" ref="B258">INDEX(HotelList,MOD(ROW()-2,10)+1)</f>
        <v>H007</v>
      </c>
      <c r="C258">
        <f>_xlfn.XLOOKUP(B258,Dim_Hotel!$A$2:$A$11,Dim_Hotel!$F$2:$F$11)</f>
        <v>132</v>
      </c>
      <c r="D258">
        <f t="shared" si="25"/>
        <v>73</v>
      </c>
      <c r="E258">
        <f t="shared" si="26"/>
        <v>0.55303030303030298</v>
      </c>
      <c r="F258">
        <f t="shared" si="27"/>
        <v>165</v>
      </c>
      <c r="G258">
        <f t="shared" si="28"/>
        <v>91.249999999999986</v>
      </c>
      <c r="H258" t="str">
        <f>_xlfn.XLOOKUP(A258,Fact_Events!$D$2:$D$20,Fact_Events!$A$2:$A$20, "")</f>
        <v/>
      </c>
      <c r="I258">
        <f t="shared" si="29"/>
        <v>0</v>
      </c>
      <c r="J258" t="str">
        <f>_xlfn.XLOOKUP(H258, Fact_Events!$A$2:$A$20, Fact_Events!$F$2:$F$20, "")</f>
        <v/>
      </c>
      <c r="K258" t="str">
        <f t="shared" si="30"/>
        <v>Low</v>
      </c>
      <c r="L258">
        <f t="shared" si="31"/>
        <v>0.55000000000000004</v>
      </c>
      <c r="M258">
        <f>_xlfn.XLOOKUP(B258, Dim_Hotel!$A$2:$A$11, Dim_Hotel!$I$2:$I$11)
 + (IF(J258="",0,J258)
    * _xlfn.XLOOKUP(B258, Dim_Hotel!$A$2:$A$11, Dim_Hotel!$J$2:$J$11))</f>
        <v>165</v>
      </c>
    </row>
    <row r="259" spans="1:13" x14ac:dyDescent="0.25">
      <c r="A259" s="1">
        <f t="shared" ref="A259:A322" si="32">DATE(2026,1,1) + INT((ROW()-2)/10)</f>
        <v>46048</v>
      </c>
      <c r="B259" t="str" cm="1">
        <f t="array" ref="B259">INDEX(HotelList,MOD(ROW()-2,10)+1)</f>
        <v>H008</v>
      </c>
      <c r="C259">
        <f>_xlfn.XLOOKUP(B259,Dim_Hotel!$A$2:$A$11,Dim_Hotel!$F$2:$F$11)</f>
        <v>103</v>
      </c>
      <c r="D259">
        <f t="shared" ref="D259:D322" si="33">ROUND(L259 * C259, 0)</f>
        <v>57</v>
      </c>
      <c r="E259">
        <f t="shared" ref="E259:E322" si="34">D259/C259</f>
        <v>0.55339805825242716</v>
      </c>
      <c r="F259">
        <f t="shared" ref="F259:F322" si="35">M259</f>
        <v>140</v>
      </c>
      <c r="G259">
        <f t="shared" ref="G259:G322" si="36">E259*F259</f>
        <v>77.475728155339809</v>
      </c>
      <c r="H259" t="str">
        <f>_xlfn.XLOOKUP(A259,Fact_Events!$D$2:$D$20,Fact_Events!$A$2:$A$20, "")</f>
        <v/>
      </c>
      <c r="I259">
        <f t="shared" ref="I259:I322" si="37">IF(H259="",0,1)</f>
        <v>0</v>
      </c>
      <c r="J259" t="str">
        <f>_xlfn.XLOOKUP(H259, Fact_Events!$A$2:$A$20, Fact_Events!$F$2:$F$20, "")</f>
        <v/>
      </c>
      <c r="K259" t="str">
        <f t="shared" ref="K259:K322" si="38">IF(I259=0,"Low",
   IF(J259&gt;=9,"High","Medium"))</f>
        <v>Low</v>
      </c>
      <c r="L259">
        <f t="shared" ref="L259:L322" si="39">MIN(1,
  0.55
  + (I259 * 0.25)
  + (IF(J259="",0,J259) / 100)
)</f>
        <v>0.55000000000000004</v>
      </c>
      <c r="M259">
        <f>_xlfn.XLOOKUP(B259, Dim_Hotel!$A$2:$A$11, Dim_Hotel!$I$2:$I$11)
 + (IF(J259="",0,J259)
    * _xlfn.XLOOKUP(B259, Dim_Hotel!$A$2:$A$11, Dim_Hotel!$J$2:$J$11))</f>
        <v>140</v>
      </c>
    </row>
    <row r="260" spans="1:13" x14ac:dyDescent="0.25">
      <c r="A260" s="1">
        <f t="shared" si="32"/>
        <v>46048</v>
      </c>
      <c r="B260" t="str" cm="1">
        <f t="array" ref="B260">INDEX(HotelList,MOD(ROW()-2,10)+1)</f>
        <v>H009</v>
      </c>
      <c r="C260">
        <f>_xlfn.XLOOKUP(B260,Dim_Hotel!$A$2:$A$11,Dim_Hotel!$F$2:$F$11)</f>
        <v>114</v>
      </c>
      <c r="D260">
        <f t="shared" si="33"/>
        <v>63</v>
      </c>
      <c r="E260">
        <f t="shared" si="34"/>
        <v>0.55263157894736847</v>
      </c>
      <c r="F260">
        <f t="shared" si="35"/>
        <v>185</v>
      </c>
      <c r="G260">
        <f t="shared" si="36"/>
        <v>102.23684210526316</v>
      </c>
      <c r="H260" t="str">
        <f>_xlfn.XLOOKUP(A260,Fact_Events!$D$2:$D$20,Fact_Events!$A$2:$A$20, "")</f>
        <v/>
      </c>
      <c r="I260">
        <f t="shared" si="37"/>
        <v>0</v>
      </c>
      <c r="J260" t="str">
        <f>_xlfn.XLOOKUP(H260, Fact_Events!$A$2:$A$20, Fact_Events!$F$2:$F$20, "")</f>
        <v/>
      </c>
      <c r="K260" t="str">
        <f t="shared" si="38"/>
        <v>Low</v>
      </c>
      <c r="L260">
        <f t="shared" si="39"/>
        <v>0.55000000000000004</v>
      </c>
      <c r="M260">
        <f>_xlfn.XLOOKUP(B260, Dim_Hotel!$A$2:$A$11, Dim_Hotel!$I$2:$I$11)
 + (IF(J260="",0,J260)
    * _xlfn.XLOOKUP(B260, Dim_Hotel!$A$2:$A$11, Dim_Hotel!$J$2:$J$11))</f>
        <v>185</v>
      </c>
    </row>
    <row r="261" spans="1:13" x14ac:dyDescent="0.25">
      <c r="A261" s="1">
        <f t="shared" si="32"/>
        <v>46048</v>
      </c>
      <c r="B261" t="str" cm="1">
        <f t="array" ref="B261">INDEX(HotelList,MOD(ROW()-2,10)+1)</f>
        <v>H010</v>
      </c>
      <c r="C261">
        <f>_xlfn.XLOOKUP(B261,Dim_Hotel!$A$2:$A$11,Dim_Hotel!$F$2:$F$11)</f>
        <v>89</v>
      </c>
      <c r="D261">
        <f t="shared" si="33"/>
        <v>49</v>
      </c>
      <c r="E261">
        <f t="shared" si="34"/>
        <v>0.550561797752809</v>
      </c>
      <c r="F261">
        <f t="shared" si="35"/>
        <v>150</v>
      </c>
      <c r="G261">
        <f t="shared" si="36"/>
        <v>82.584269662921344</v>
      </c>
      <c r="H261" t="str">
        <f>_xlfn.XLOOKUP(A261,Fact_Events!$D$2:$D$20,Fact_Events!$A$2:$A$20, "")</f>
        <v/>
      </c>
      <c r="I261">
        <f t="shared" si="37"/>
        <v>0</v>
      </c>
      <c r="J261" t="str">
        <f>_xlfn.XLOOKUP(H261, Fact_Events!$A$2:$A$20, Fact_Events!$F$2:$F$20, "")</f>
        <v/>
      </c>
      <c r="K261" t="str">
        <f t="shared" si="38"/>
        <v>Low</v>
      </c>
      <c r="L261">
        <f t="shared" si="39"/>
        <v>0.55000000000000004</v>
      </c>
      <c r="M261">
        <f>_xlfn.XLOOKUP(B261, Dim_Hotel!$A$2:$A$11, Dim_Hotel!$I$2:$I$11)
 + (IF(J261="",0,J261)
    * _xlfn.XLOOKUP(B261, Dim_Hotel!$A$2:$A$11, Dim_Hotel!$J$2:$J$11))</f>
        <v>150</v>
      </c>
    </row>
    <row r="262" spans="1:13" x14ac:dyDescent="0.25">
      <c r="A262" s="1">
        <f t="shared" si="32"/>
        <v>46049</v>
      </c>
      <c r="B262" t="str" cm="1">
        <f t="array" ref="B262">INDEX(HotelList,MOD(ROW()-2,10)+1)</f>
        <v>H001</v>
      </c>
      <c r="C262">
        <f>_xlfn.XLOOKUP(B262,Dim_Hotel!$A$2:$A$11,Dim_Hotel!$F$2:$F$11)</f>
        <v>888</v>
      </c>
      <c r="D262">
        <f t="shared" si="33"/>
        <v>488</v>
      </c>
      <c r="E262">
        <f t="shared" si="34"/>
        <v>0.5495495495495496</v>
      </c>
      <c r="F262">
        <f t="shared" si="35"/>
        <v>260</v>
      </c>
      <c r="G262">
        <f t="shared" si="36"/>
        <v>142.88288288288288</v>
      </c>
      <c r="H262" t="str">
        <f>_xlfn.XLOOKUP(A262,Fact_Events!$D$2:$D$20,Fact_Events!$A$2:$A$20, "")</f>
        <v/>
      </c>
      <c r="I262">
        <f t="shared" si="37"/>
        <v>0</v>
      </c>
      <c r="J262" t="str">
        <f>_xlfn.XLOOKUP(H262, Fact_Events!$A$2:$A$20, Fact_Events!$F$2:$F$20, "")</f>
        <v/>
      </c>
      <c r="K262" t="str">
        <f t="shared" si="38"/>
        <v>Low</v>
      </c>
      <c r="L262">
        <f t="shared" si="39"/>
        <v>0.55000000000000004</v>
      </c>
      <c r="M262">
        <f>_xlfn.XLOOKUP(B262, Dim_Hotel!$A$2:$A$11, Dim_Hotel!$I$2:$I$11)
 + (IF(J262="",0,J262)
    * _xlfn.XLOOKUP(B262, Dim_Hotel!$A$2:$A$11, Dim_Hotel!$J$2:$J$11))</f>
        <v>260</v>
      </c>
    </row>
    <row r="263" spans="1:13" x14ac:dyDescent="0.25">
      <c r="A263" s="1">
        <f t="shared" si="32"/>
        <v>46049</v>
      </c>
      <c r="B263" t="str" cm="1">
        <f t="array" ref="B263">INDEX(HotelList,MOD(ROW()-2,10)+1)</f>
        <v>H002</v>
      </c>
      <c r="C263">
        <f>_xlfn.XLOOKUP(B263,Dim_Hotel!$A$2:$A$11,Dim_Hotel!$F$2:$F$11)</f>
        <v>147</v>
      </c>
      <c r="D263">
        <f t="shared" si="33"/>
        <v>81</v>
      </c>
      <c r="E263">
        <f t="shared" si="34"/>
        <v>0.55102040816326525</v>
      </c>
      <c r="F263">
        <f t="shared" si="35"/>
        <v>175</v>
      </c>
      <c r="G263">
        <f t="shared" si="36"/>
        <v>96.428571428571416</v>
      </c>
      <c r="H263" t="str">
        <f>_xlfn.XLOOKUP(A263,Fact_Events!$D$2:$D$20,Fact_Events!$A$2:$A$20, "")</f>
        <v/>
      </c>
      <c r="I263">
        <f t="shared" si="37"/>
        <v>0</v>
      </c>
      <c r="J263" t="str">
        <f>_xlfn.XLOOKUP(H263, Fact_Events!$A$2:$A$20, Fact_Events!$F$2:$F$20, "")</f>
        <v/>
      </c>
      <c r="K263" t="str">
        <f t="shared" si="38"/>
        <v>Low</v>
      </c>
      <c r="L263">
        <f t="shared" si="39"/>
        <v>0.55000000000000004</v>
      </c>
      <c r="M263">
        <f>_xlfn.XLOOKUP(B263, Dim_Hotel!$A$2:$A$11, Dim_Hotel!$I$2:$I$11)
 + (IF(J263="",0,J263)
    * _xlfn.XLOOKUP(B263, Dim_Hotel!$A$2:$A$11, Dim_Hotel!$J$2:$J$11))</f>
        <v>175</v>
      </c>
    </row>
    <row r="264" spans="1:13" x14ac:dyDescent="0.25">
      <c r="A264" s="1">
        <f t="shared" si="32"/>
        <v>46049</v>
      </c>
      <c r="B264" t="str" cm="1">
        <f t="array" ref="B264">INDEX(HotelList,MOD(ROW()-2,10)+1)</f>
        <v>H003</v>
      </c>
      <c r="C264">
        <f>_xlfn.XLOOKUP(B264,Dim_Hotel!$A$2:$A$11,Dim_Hotel!$F$2:$F$11)</f>
        <v>121</v>
      </c>
      <c r="D264">
        <f t="shared" si="33"/>
        <v>67</v>
      </c>
      <c r="E264">
        <f t="shared" si="34"/>
        <v>0.55371900826446285</v>
      </c>
      <c r="F264">
        <f t="shared" si="35"/>
        <v>145</v>
      </c>
      <c r="G264">
        <f t="shared" si="36"/>
        <v>80.289256198347118</v>
      </c>
      <c r="H264" t="str">
        <f>_xlfn.XLOOKUP(A264,Fact_Events!$D$2:$D$20,Fact_Events!$A$2:$A$20, "")</f>
        <v/>
      </c>
      <c r="I264">
        <f t="shared" si="37"/>
        <v>0</v>
      </c>
      <c r="J264" t="str">
        <f>_xlfn.XLOOKUP(H264, Fact_Events!$A$2:$A$20, Fact_Events!$F$2:$F$20, "")</f>
        <v/>
      </c>
      <c r="K264" t="str">
        <f t="shared" si="38"/>
        <v>Low</v>
      </c>
      <c r="L264">
        <f t="shared" si="39"/>
        <v>0.55000000000000004</v>
      </c>
      <c r="M264">
        <f>_xlfn.XLOOKUP(B264, Dim_Hotel!$A$2:$A$11, Dim_Hotel!$I$2:$I$11)
 + (IF(J264="",0,J264)
    * _xlfn.XLOOKUP(B264, Dim_Hotel!$A$2:$A$11, Dim_Hotel!$J$2:$J$11))</f>
        <v>145</v>
      </c>
    </row>
    <row r="265" spans="1:13" x14ac:dyDescent="0.25">
      <c r="A265" s="1">
        <f t="shared" si="32"/>
        <v>46049</v>
      </c>
      <c r="B265" t="str" cm="1">
        <f t="array" ref="B265">INDEX(HotelList,MOD(ROW()-2,10)+1)</f>
        <v>H004</v>
      </c>
      <c r="C265">
        <f>_xlfn.XLOOKUP(B265,Dim_Hotel!$A$2:$A$11,Dim_Hotel!$F$2:$F$11)</f>
        <v>108</v>
      </c>
      <c r="D265">
        <f t="shared" si="33"/>
        <v>59</v>
      </c>
      <c r="E265">
        <f t="shared" si="34"/>
        <v>0.54629629629629628</v>
      </c>
      <c r="F265">
        <f t="shared" si="35"/>
        <v>135</v>
      </c>
      <c r="G265">
        <f t="shared" si="36"/>
        <v>73.75</v>
      </c>
      <c r="H265" t="str">
        <f>_xlfn.XLOOKUP(A265,Fact_Events!$D$2:$D$20,Fact_Events!$A$2:$A$20, "")</f>
        <v/>
      </c>
      <c r="I265">
        <f t="shared" si="37"/>
        <v>0</v>
      </c>
      <c r="J265" t="str">
        <f>_xlfn.XLOOKUP(H265, Fact_Events!$A$2:$A$20, Fact_Events!$F$2:$F$20, "")</f>
        <v/>
      </c>
      <c r="K265" t="str">
        <f t="shared" si="38"/>
        <v>Low</v>
      </c>
      <c r="L265">
        <f t="shared" si="39"/>
        <v>0.55000000000000004</v>
      </c>
      <c r="M265">
        <f>_xlfn.XLOOKUP(B265, Dim_Hotel!$A$2:$A$11, Dim_Hotel!$I$2:$I$11)
 + (IF(J265="",0,J265)
    * _xlfn.XLOOKUP(B265, Dim_Hotel!$A$2:$A$11, Dim_Hotel!$J$2:$J$11))</f>
        <v>135</v>
      </c>
    </row>
    <row r="266" spans="1:13" x14ac:dyDescent="0.25">
      <c r="A266" s="1">
        <f t="shared" si="32"/>
        <v>46049</v>
      </c>
      <c r="B266" t="str" cm="1">
        <f t="array" ref="B266">INDEX(HotelList,MOD(ROW()-2,10)+1)</f>
        <v>H005</v>
      </c>
      <c r="C266">
        <f>_xlfn.XLOOKUP(B266,Dim_Hotel!$A$2:$A$11,Dim_Hotel!$F$2:$F$11)</f>
        <v>66</v>
      </c>
      <c r="D266">
        <f t="shared" si="33"/>
        <v>36</v>
      </c>
      <c r="E266">
        <f t="shared" si="34"/>
        <v>0.54545454545454541</v>
      </c>
      <c r="F266">
        <f t="shared" si="35"/>
        <v>82</v>
      </c>
      <c r="G266">
        <f t="shared" si="36"/>
        <v>44.727272727272727</v>
      </c>
      <c r="H266" t="str">
        <f>_xlfn.XLOOKUP(A266,Fact_Events!$D$2:$D$20,Fact_Events!$A$2:$A$20, "")</f>
        <v/>
      </c>
      <c r="I266">
        <f t="shared" si="37"/>
        <v>0</v>
      </c>
      <c r="J266" t="str">
        <f>_xlfn.XLOOKUP(H266, Fact_Events!$A$2:$A$20, Fact_Events!$F$2:$F$20, "")</f>
        <v/>
      </c>
      <c r="K266" t="str">
        <f t="shared" si="38"/>
        <v>Low</v>
      </c>
      <c r="L266">
        <f t="shared" si="39"/>
        <v>0.55000000000000004</v>
      </c>
      <c r="M266">
        <f>_xlfn.XLOOKUP(B266, Dim_Hotel!$A$2:$A$11, Dim_Hotel!$I$2:$I$11)
 + (IF(J266="",0,J266)
    * _xlfn.XLOOKUP(B266, Dim_Hotel!$A$2:$A$11, Dim_Hotel!$J$2:$J$11))</f>
        <v>82</v>
      </c>
    </row>
    <row r="267" spans="1:13" x14ac:dyDescent="0.25">
      <c r="A267" s="1">
        <f t="shared" si="32"/>
        <v>46049</v>
      </c>
      <c r="B267" t="str" cm="1">
        <f t="array" ref="B267">INDEX(HotelList,MOD(ROW()-2,10)+1)</f>
        <v>H006</v>
      </c>
      <c r="C267">
        <f>_xlfn.XLOOKUP(B267,Dim_Hotel!$A$2:$A$11,Dim_Hotel!$F$2:$F$11)</f>
        <v>311</v>
      </c>
      <c r="D267">
        <f t="shared" si="33"/>
        <v>171</v>
      </c>
      <c r="E267">
        <f t="shared" si="34"/>
        <v>0.54983922829581988</v>
      </c>
      <c r="F267">
        <f t="shared" si="35"/>
        <v>190</v>
      </c>
      <c r="G267">
        <f t="shared" si="36"/>
        <v>104.46945337620578</v>
      </c>
      <c r="H267" t="str">
        <f>_xlfn.XLOOKUP(A267,Fact_Events!$D$2:$D$20,Fact_Events!$A$2:$A$20, "")</f>
        <v/>
      </c>
      <c r="I267">
        <f t="shared" si="37"/>
        <v>0</v>
      </c>
      <c r="J267" t="str">
        <f>_xlfn.XLOOKUP(H267, Fact_Events!$A$2:$A$20, Fact_Events!$F$2:$F$20, "")</f>
        <v/>
      </c>
      <c r="K267" t="str">
        <f t="shared" si="38"/>
        <v>Low</v>
      </c>
      <c r="L267">
        <f t="shared" si="39"/>
        <v>0.55000000000000004</v>
      </c>
      <c r="M267">
        <f>_xlfn.XLOOKUP(B267, Dim_Hotel!$A$2:$A$11, Dim_Hotel!$I$2:$I$11)
 + (IF(J267="",0,J267)
    * _xlfn.XLOOKUP(B267, Dim_Hotel!$A$2:$A$11, Dim_Hotel!$J$2:$J$11))</f>
        <v>190</v>
      </c>
    </row>
    <row r="268" spans="1:13" x14ac:dyDescent="0.25">
      <c r="A268" s="1">
        <f t="shared" si="32"/>
        <v>46049</v>
      </c>
      <c r="B268" t="str" cm="1">
        <f t="array" ref="B268">INDEX(HotelList,MOD(ROW()-2,10)+1)</f>
        <v>H007</v>
      </c>
      <c r="C268">
        <f>_xlfn.XLOOKUP(B268,Dim_Hotel!$A$2:$A$11,Dim_Hotel!$F$2:$F$11)</f>
        <v>132</v>
      </c>
      <c r="D268">
        <f t="shared" si="33"/>
        <v>73</v>
      </c>
      <c r="E268">
        <f t="shared" si="34"/>
        <v>0.55303030303030298</v>
      </c>
      <c r="F268">
        <f t="shared" si="35"/>
        <v>165</v>
      </c>
      <c r="G268">
        <f t="shared" si="36"/>
        <v>91.249999999999986</v>
      </c>
      <c r="H268" t="str">
        <f>_xlfn.XLOOKUP(A268,Fact_Events!$D$2:$D$20,Fact_Events!$A$2:$A$20, "")</f>
        <v/>
      </c>
      <c r="I268">
        <f t="shared" si="37"/>
        <v>0</v>
      </c>
      <c r="J268" t="str">
        <f>_xlfn.XLOOKUP(H268, Fact_Events!$A$2:$A$20, Fact_Events!$F$2:$F$20, "")</f>
        <v/>
      </c>
      <c r="K268" t="str">
        <f t="shared" si="38"/>
        <v>Low</v>
      </c>
      <c r="L268">
        <f t="shared" si="39"/>
        <v>0.55000000000000004</v>
      </c>
      <c r="M268">
        <f>_xlfn.XLOOKUP(B268, Dim_Hotel!$A$2:$A$11, Dim_Hotel!$I$2:$I$11)
 + (IF(J268="",0,J268)
    * _xlfn.XLOOKUP(B268, Dim_Hotel!$A$2:$A$11, Dim_Hotel!$J$2:$J$11))</f>
        <v>165</v>
      </c>
    </row>
    <row r="269" spans="1:13" x14ac:dyDescent="0.25">
      <c r="A269" s="1">
        <f t="shared" si="32"/>
        <v>46049</v>
      </c>
      <c r="B269" t="str" cm="1">
        <f t="array" ref="B269">INDEX(HotelList,MOD(ROW()-2,10)+1)</f>
        <v>H008</v>
      </c>
      <c r="C269">
        <f>_xlfn.XLOOKUP(B269,Dim_Hotel!$A$2:$A$11,Dim_Hotel!$F$2:$F$11)</f>
        <v>103</v>
      </c>
      <c r="D269">
        <f t="shared" si="33"/>
        <v>57</v>
      </c>
      <c r="E269">
        <f t="shared" si="34"/>
        <v>0.55339805825242716</v>
      </c>
      <c r="F269">
        <f t="shared" si="35"/>
        <v>140</v>
      </c>
      <c r="G269">
        <f t="shared" si="36"/>
        <v>77.475728155339809</v>
      </c>
      <c r="H269" t="str">
        <f>_xlfn.XLOOKUP(A269,Fact_Events!$D$2:$D$20,Fact_Events!$A$2:$A$20, "")</f>
        <v/>
      </c>
      <c r="I269">
        <f t="shared" si="37"/>
        <v>0</v>
      </c>
      <c r="J269" t="str">
        <f>_xlfn.XLOOKUP(H269, Fact_Events!$A$2:$A$20, Fact_Events!$F$2:$F$20, "")</f>
        <v/>
      </c>
      <c r="K269" t="str">
        <f t="shared" si="38"/>
        <v>Low</v>
      </c>
      <c r="L269">
        <f t="shared" si="39"/>
        <v>0.55000000000000004</v>
      </c>
      <c r="M269">
        <f>_xlfn.XLOOKUP(B269, Dim_Hotel!$A$2:$A$11, Dim_Hotel!$I$2:$I$11)
 + (IF(J269="",0,J269)
    * _xlfn.XLOOKUP(B269, Dim_Hotel!$A$2:$A$11, Dim_Hotel!$J$2:$J$11))</f>
        <v>140</v>
      </c>
    </row>
    <row r="270" spans="1:13" x14ac:dyDescent="0.25">
      <c r="A270" s="1">
        <f t="shared" si="32"/>
        <v>46049</v>
      </c>
      <c r="B270" t="str" cm="1">
        <f t="array" ref="B270">INDEX(HotelList,MOD(ROW()-2,10)+1)</f>
        <v>H009</v>
      </c>
      <c r="C270">
        <f>_xlfn.XLOOKUP(B270,Dim_Hotel!$A$2:$A$11,Dim_Hotel!$F$2:$F$11)</f>
        <v>114</v>
      </c>
      <c r="D270">
        <f t="shared" si="33"/>
        <v>63</v>
      </c>
      <c r="E270">
        <f t="shared" si="34"/>
        <v>0.55263157894736847</v>
      </c>
      <c r="F270">
        <f t="shared" si="35"/>
        <v>185</v>
      </c>
      <c r="G270">
        <f t="shared" si="36"/>
        <v>102.23684210526316</v>
      </c>
      <c r="H270" t="str">
        <f>_xlfn.XLOOKUP(A270,Fact_Events!$D$2:$D$20,Fact_Events!$A$2:$A$20, "")</f>
        <v/>
      </c>
      <c r="I270">
        <f t="shared" si="37"/>
        <v>0</v>
      </c>
      <c r="J270" t="str">
        <f>_xlfn.XLOOKUP(H270, Fact_Events!$A$2:$A$20, Fact_Events!$F$2:$F$20, "")</f>
        <v/>
      </c>
      <c r="K270" t="str">
        <f t="shared" si="38"/>
        <v>Low</v>
      </c>
      <c r="L270">
        <f t="shared" si="39"/>
        <v>0.55000000000000004</v>
      </c>
      <c r="M270">
        <f>_xlfn.XLOOKUP(B270, Dim_Hotel!$A$2:$A$11, Dim_Hotel!$I$2:$I$11)
 + (IF(J270="",0,J270)
    * _xlfn.XLOOKUP(B270, Dim_Hotel!$A$2:$A$11, Dim_Hotel!$J$2:$J$11))</f>
        <v>185</v>
      </c>
    </row>
    <row r="271" spans="1:13" x14ac:dyDescent="0.25">
      <c r="A271" s="1">
        <f t="shared" si="32"/>
        <v>46049</v>
      </c>
      <c r="B271" t="str" cm="1">
        <f t="array" ref="B271">INDEX(HotelList,MOD(ROW()-2,10)+1)</f>
        <v>H010</v>
      </c>
      <c r="C271">
        <f>_xlfn.XLOOKUP(B271,Dim_Hotel!$A$2:$A$11,Dim_Hotel!$F$2:$F$11)</f>
        <v>89</v>
      </c>
      <c r="D271">
        <f t="shared" si="33"/>
        <v>49</v>
      </c>
      <c r="E271">
        <f t="shared" si="34"/>
        <v>0.550561797752809</v>
      </c>
      <c r="F271">
        <f t="shared" si="35"/>
        <v>150</v>
      </c>
      <c r="G271">
        <f t="shared" si="36"/>
        <v>82.584269662921344</v>
      </c>
      <c r="H271" t="str">
        <f>_xlfn.XLOOKUP(A271,Fact_Events!$D$2:$D$20,Fact_Events!$A$2:$A$20, "")</f>
        <v/>
      </c>
      <c r="I271">
        <f t="shared" si="37"/>
        <v>0</v>
      </c>
      <c r="J271" t="str">
        <f>_xlfn.XLOOKUP(H271, Fact_Events!$A$2:$A$20, Fact_Events!$F$2:$F$20, "")</f>
        <v/>
      </c>
      <c r="K271" t="str">
        <f t="shared" si="38"/>
        <v>Low</v>
      </c>
      <c r="L271">
        <f t="shared" si="39"/>
        <v>0.55000000000000004</v>
      </c>
      <c r="M271">
        <f>_xlfn.XLOOKUP(B271, Dim_Hotel!$A$2:$A$11, Dim_Hotel!$I$2:$I$11)
 + (IF(J271="",0,J271)
    * _xlfn.XLOOKUP(B271, Dim_Hotel!$A$2:$A$11, Dim_Hotel!$J$2:$J$11))</f>
        <v>150</v>
      </c>
    </row>
    <row r="272" spans="1:13" x14ac:dyDescent="0.25">
      <c r="A272" s="1">
        <f t="shared" si="32"/>
        <v>46050</v>
      </c>
      <c r="B272" t="str" cm="1">
        <f t="array" ref="B272">INDEX(HotelList,MOD(ROW()-2,10)+1)</f>
        <v>H001</v>
      </c>
      <c r="C272">
        <f>_xlfn.XLOOKUP(B272,Dim_Hotel!$A$2:$A$11,Dim_Hotel!$F$2:$F$11)</f>
        <v>888</v>
      </c>
      <c r="D272">
        <f t="shared" si="33"/>
        <v>488</v>
      </c>
      <c r="E272">
        <f t="shared" si="34"/>
        <v>0.5495495495495496</v>
      </c>
      <c r="F272">
        <f t="shared" si="35"/>
        <v>260</v>
      </c>
      <c r="G272">
        <f t="shared" si="36"/>
        <v>142.88288288288288</v>
      </c>
      <c r="H272" t="str">
        <f>_xlfn.XLOOKUP(A272,Fact_Events!$D$2:$D$20,Fact_Events!$A$2:$A$20, "")</f>
        <v/>
      </c>
      <c r="I272">
        <f t="shared" si="37"/>
        <v>0</v>
      </c>
      <c r="J272" t="str">
        <f>_xlfn.XLOOKUP(H272, Fact_Events!$A$2:$A$20, Fact_Events!$F$2:$F$20, "")</f>
        <v/>
      </c>
      <c r="K272" t="str">
        <f t="shared" si="38"/>
        <v>Low</v>
      </c>
      <c r="L272">
        <f t="shared" si="39"/>
        <v>0.55000000000000004</v>
      </c>
      <c r="M272">
        <f>_xlfn.XLOOKUP(B272, Dim_Hotel!$A$2:$A$11, Dim_Hotel!$I$2:$I$11)
 + (IF(J272="",0,J272)
    * _xlfn.XLOOKUP(B272, Dim_Hotel!$A$2:$A$11, Dim_Hotel!$J$2:$J$11))</f>
        <v>260</v>
      </c>
    </row>
    <row r="273" spans="1:13" x14ac:dyDescent="0.25">
      <c r="A273" s="1">
        <f t="shared" si="32"/>
        <v>46050</v>
      </c>
      <c r="B273" t="str" cm="1">
        <f t="array" ref="B273">INDEX(HotelList,MOD(ROW()-2,10)+1)</f>
        <v>H002</v>
      </c>
      <c r="C273">
        <f>_xlfn.XLOOKUP(B273,Dim_Hotel!$A$2:$A$11,Dim_Hotel!$F$2:$F$11)</f>
        <v>147</v>
      </c>
      <c r="D273">
        <f t="shared" si="33"/>
        <v>81</v>
      </c>
      <c r="E273">
        <f t="shared" si="34"/>
        <v>0.55102040816326525</v>
      </c>
      <c r="F273">
        <f t="shared" si="35"/>
        <v>175</v>
      </c>
      <c r="G273">
        <f t="shared" si="36"/>
        <v>96.428571428571416</v>
      </c>
      <c r="H273" t="str">
        <f>_xlfn.XLOOKUP(A273,Fact_Events!$D$2:$D$20,Fact_Events!$A$2:$A$20, "")</f>
        <v/>
      </c>
      <c r="I273">
        <f t="shared" si="37"/>
        <v>0</v>
      </c>
      <c r="J273" t="str">
        <f>_xlfn.XLOOKUP(H273, Fact_Events!$A$2:$A$20, Fact_Events!$F$2:$F$20, "")</f>
        <v/>
      </c>
      <c r="K273" t="str">
        <f t="shared" si="38"/>
        <v>Low</v>
      </c>
      <c r="L273">
        <f t="shared" si="39"/>
        <v>0.55000000000000004</v>
      </c>
      <c r="M273">
        <f>_xlfn.XLOOKUP(B273, Dim_Hotel!$A$2:$A$11, Dim_Hotel!$I$2:$I$11)
 + (IF(J273="",0,J273)
    * _xlfn.XLOOKUP(B273, Dim_Hotel!$A$2:$A$11, Dim_Hotel!$J$2:$J$11))</f>
        <v>175</v>
      </c>
    </row>
    <row r="274" spans="1:13" x14ac:dyDescent="0.25">
      <c r="A274" s="1">
        <f t="shared" si="32"/>
        <v>46050</v>
      </c>
      <c r="B274" t="str" cm="1">
        <f t="array" ref="B274">INDEX(HotelList,MOD(ROW()-2,10)+1)</f>
        <v>H003</v>
      </c>
      <c r="C274">
        <f>_xlfn.XLOOKUP(B274,Dim_Hotel!$A$2:$A$11,Dim_Hotel!$F$2:$F$11)</f>
        <v>121</v>
      </c>
      <c r="D274">
        <f t="shared" si="33"/>
        <v>67</v>
      </c>
      <c r="E274">
        <f t="shared" si="34"/>
        <v>0.55371900826446285</v>
      </c>
      <c r="F274">
        <f t="shared" si="35"/>
        <v>145</v>
      </c>
      <c r="G274">
        <f t="shared" si="36"/>
        <v>80.289256198347118</v>
      </c>
      <c r="H274" t="str">
        <f>_xlfn.XLOOKUP(A274,Fact_Events!$D$2:$D$20,Fact_Events!$A$2:$A$20, "")</f>
        <v/>
      </c>
      <c r="I274">
        <f t="shared" si="37"/>
        <v>0</v>
      </c>
      <c r="J274" t="str">
        <f>_xlfn.XLOOKUP(H274, Fact_Events!$A$2:$A$20, Fact_Events!$F$2:$F$20, "")</f>
        <v/>
      </c>
      <c r="K274" t="str">
        <f t="shared" si="38"/>
        <v>Low</v>
      </c>
      <c r="L274">
        <f t="shared" si="39"/>
        <v>0.55000000000000004</v>
      </c>
      <c r="M274">
        <f>_xlfn.XLOOKUP(B274, Dim_Hotel!$A$2:$A$11, Dim_Hotel!$I$2:$I$11)
 + (IF(J274="",0,J274)
    * _xlfn.XLOOKUP(B274, Dim_Hotel!$A$2:$A$11, Dim_Hotel!$J$2:$J$11))</f>
        <v>145</v>
      </c>
    </row>
    <row r="275" spans="1:13" x14ac:dyDescent="0.25">
      <c r="A275" s="1">
        <f t="shared" si="32"/>
        <v>46050</v>
      </c>
      <c r="B275" t="str" cm="1">
        <f t="array" ref="B275">INDEX(HotelList,MOD(ROW()-2,10)+1)</f>
        <v>H004</v>
      </c>
      <c r="C275">
        <f>_xlfn.XLOOKUP(B275,Dim_Hotel!$A$2:$A$11,Dim_Hotel!$F$2:$F$11)</f>
        <v>108</v>
      </c>
      <c r="D275">
        <f t="shared" si="33"/>
        <v>59</v>
      </c>
      <c r="E275">
        <f t="shared" si="34"/>
        <v>0.54629629629629628</v>
      </c>
      <c r="F275">
        <f t="shared" si="35"/>
        <v>135</v>
      </c>
      <c r="G275">
        <f t="shared" si="36"/>
        <v>73.75</v>
      </c>
      <c r="H275" t="str">
        <f>_xlfn.XLOOKUP(A275,Fact_Events!$D$2:$D$20,Fact_Events!$A$2:$A$20, "")</f>
        <v/>
      </c>
      <c r="I275">
        <f t="shared" si="37"/>
        <v>0</v>
      </c>
      <c r="J275" t="str">
        <f>_xlfn.XLOOKUP(H275, Fact_Events!$A$2:$A$20, Fact_Events!$F$2:$F$20, "")</f>
        <v/>
      </c>
      <c r="K275" t="str">
        <f t="shared" si="38"/>
        <v>Low</v>
      </c>
      <c r="L275">
        <f t="shared" si="39"/>
        <v>0.55000000000000004</v>
      </c>
      <c r="M275">
        <f>_xlfn.XLOOKUP(B275, Dim_Hotel!$A$2:$A$11, Dim_Hotel!$I$2:$I$11)
 + (IF(J275="",0,J275)
    * _xlfn.XLOOKUP(B275, Dim_Hotel!$A$2:$A$11, Dim_Hotel!$J$2:$J$11))</f>
        <v>135</v>
      </c>
    </row>
    <row r="276" spans="1:13" x14ac:dyDescent="0.25">
      <c r="A276" s="1">
        <f t="shared" si="32"/>
        <v>46050</v>
      </c>
      <c r="B276" t="str" cm="1">
        <f t="array" ref="B276">INDEX(HotelList,MOD(ROW()-2,10)+1)</f>
        <v>H005</v>
      </c>
      <c r="C276">
        <f>_xlfn.XLOOKUP(B276,Dim_Hotel!$A$2:$A$11,Dim_Hotel!$F$2:$F$11)</f>
        <v>66</v>
      </c>
      <c r="D276">
        <f t="shared" si="33"/>
        <v>36</v>
      </c>
      <c r="E276">
        <f t="shared" si="34"/>
        <v>0.54545454545454541</v>
      </c>
      <c r="F276">
        <f t="shared" si="35"/>
        <v>82</v>
      </c>
      <c r="G276">
        <f t="shared" si="36"/>
        <v>44.727272727272727</v>
      </c>
      <c r="H276" t="str">
        <f>_xlfn.XLOOKUP(A276,Fact_Events!$D$2:$D$20,Fact_Events!$A$2:$A$20, "")</f>
        <v/>
      </c>
      <c r="I276">
        <f t="shared" si="37"/>
        <v>0</v>
      </c>
      <c r="J276" t="str">
        <f>_xlfn.XLOOKUP(H276, Fact_Events!$A$2:$A$20, Fact_Events!$F$2:$F$20, "")</f>
        <v/>
      </c>
      <c r="K276" t="str">
        <f t="shared" si="38"/>
        <v>Low</v>
      </c>
      <c r="L276">
        <f t="shared" si="39"/>
        <v>0.55000000000000004</v>
      </c>
      <c r="M276">
        <f>_xlfn.XLOOKUP(B276, Dim_Hotel!$A$2:$A$11, Dim_Hotel!$I$2:$I$11)
 + (IF(J276="",0,J276)
    * _xlfn.XLOOKUP(B276, Dim_Hotel!$A$2:$A$11, Dim_Hotel!$J$2:$J$11))</f>
        <v>82</v>
      </c>
    </row>
    <row r="277" spans="1:13" x14ac:dyDescent="0.25">
      <c r="A277" s="1">
        <f t="shared" si="32"/>
        <v>46050</v>
      </c>
      <c r="B277" t="str" cm="1">
        <f t="array" ref="B277">INDEX(HotelList,MOD(ROW()-2,10)+1)</f>
        <v>H006</v>
      </c>
      <c r="C277">
        <f>_xlfn.XLOOKUP(B277,Dim_Hotel!$A$2:$A$11,Dim_Hotel!$F$2:$F$11)</f>
        <v>311</v>
      </c>
      <c r="D277">
        <f t="shared" si="33"/>
        <v>171</v>
      </c>
      <c r="E277">
        <f t="shared" si="34"/>
        <v>0.54983922829581988</v>
      </c>
      <c r="F277">
        <f t="shared" si="35"/>
        <v>190</v>
      </c>
      <c r="G277">
        <f t="shared" si="36"/>
        <v>104.46945337620578</v>
      </c>
      <c r="H277" t="str">
        <f>_xlfn.XLOOKUP(A277,Fact_Events!$D$2:$D$20,Fact_Events!$A$2:$A$20, "")</f>
        <v/>
      </c>
      <c r="I277">
        <f t="shared" si="37"/>
        <v>0</v>
      </c>
      <c r="J277" t="str">
        <f>_xlfn.XLOOKUP(H277, Fact_Events!$A$2:$A$20, Fact_Events!$F$2:$F$20, "")</f>
        <v/>
      </c>
      <c r="K277" t="str">
        <f t="shared" si="38"/>
        <v>Low</v>
      </c>
      <c r="L277">
        <f t="shared" si="39"/>
        <v>0.55000000000000004</v>
      </c>
      <c r="M277">
        <f>_xlfn.XLOOKUP(B277, Dim_Hotel!$A$2:$A$11, Dim_Hotel!$I$2:$I$11)
 + (IF(J277="",0,J277)
    * _xlfn.XLOOKUP(B277, Dim_Hotel!$A$2:$A$11, Dim_Hotel!$J$2:$J$11))</f>
        <v>190</v>
      </c>
    </row>
    <row r="278" spans="1:13" x14ac:dyDescent="0.25">
      <c r="A278" s="1">
        <f t="shared" si="32"/>
        <v>46050</v>
      </c>
      <c r="B278" t="str" cm="1">
        <f t="array" ref="B278">INDEX(HotelList,MOD(ROW()-2,10)+1)</f>
        <v>H007</v>
      </c>
      <c r="C278">
        <f>_xlfn.XLOOKUP(B278,Dim_Hotel!$A$2:$A$11,Dim_Hotel!$F$2:$F$11)</f>
        <v>132</v>
      </c>
      <c r="D278">
        <f t="shared" si="33"/>
        <v>73</v>
      </c>
      <c r="E278">
        <f t="shared" si="34"/>
        <v>0.55303030303030298</v>
      </c>
      <c r="F278">
        <f t="shared" si="35"/>
        <v>165</v>
      </c>
      <c r="G278">
        <f t="shared" si="36"/>
        <v>91.249999999999986</v>
      </c>
      <c r="H278" t="str">
        <f>_xlfn.XLOOKUP(A278,Fact_Events!$D$2:$D$20,Fact_Events!$A$2:$A$20, "")</f>
        <v/>
      </c>
      <c r="I278">
        <f t="shared" si="37"/>
        <v>0</v>
      </c>
      <c r="J278" t="str">
        <f>_xlfn.XLOOKUP(H278, Fact_Events!$A$2:$A$20, Fact_Events!$F$2:$F$20, "")</f>
        <v/>
      </c>
      <c r="K278" t="str">
        <f t="shared" si="38"/>
        <v>Low</v>
      </c>
      <c r="L278">
        <f t="shared" si="39"/>
        <v>0.55000000000000004</v>
      </c>
      <c r="M278">
        <f>_xlfn.XLOOKUP(B278, Dim_Hotel!$A$2:$A$11, Dim_Hotel!$I$2:$I$11)
 + (IF(J278="",0,J278)
    * _xlfn.XLOOKUP(B278, Dim_Hotel!$A$2:$A$11, Dim_Hotel!$J$2:$J$11))</f>
        <v>165</v>
      </c>
    </row>
    <row r="279" spans="1:13" x14ac:dyDescent="0.25">
      <c r="A279" s="1">
        <f t="shared" si="32"/>
        <v>46050</v>
      </c>
      <c r="B279" t="str" cm="1">
        <f t="array" ref="B279">INDEX(HotelList,MOD(ROW()-2,10)+1)</f>
        <v>H008</v>
      </c>
      <c r="C279">
        <f>_xlfn.XLOOKUP(B279,Dim_Hotel!$A$2:$A$11,Dim_Hotel!$F$2:$F$11)</f>
        <v>103</v>
      </c>
      <c r="D279">
        <f t="shared" si="33"/>
        <v>57</v>
      </c>
      <c r="E279">
        <f t="shared" si="34"/>
        <v>0.55339805825242716</v>
      </c>
      <c r="F279">
        <f t="shared" si="35"/>
        <v>140</v>
      </c>
      <c r="G279">
        <f t="shared" si="36"/>
        <v>77.475728155339809</v>
      </c>
      <c r="H279" t="str">
        <f>_xlfn.XLOOKUP(A279,Fact_Events!$D$2:$D$20,Fact_Events!$A$2:$A$20, "")</f>
        <v/>
      </c>
      <c r="I279">
        <f t="shared" si="37"/>
        <v>0</v>
      </c>
      <c r="J279" t="str">
        <f>_xlfn.XLOOKUP(H279, Fact_Events!$A$2:$A$20, Fact_Events!$F$2:$F$20, "")</f>
        <v/>
      </c>
      <c r="K279" t="str">
        <f t="shared" si="38"/>
        <v>Low</v>
      </c>
      <c r="L279">
        <f t="shared" si="39"/>
        <v>0.55000000000000004</v>
      </c>
      <c r="M279">
        <f>_xlfn.XLOOKUP(B279, Dim_Hotel!$A$2:$A$11, Dim_Hotel!$I$2:$I$11)
 + (IF(J279="",0,J279)
    * _xlfn.XLOOKUP(B279, Dim_Hotel!$A$2:$A$11, Dim_Hotel!$J$2:$J$11))</f>
        <v>140</v>
      </c>
    </row>
    <row r="280" spans="1:13" x14ac:dyDescent="0.25">
      <c r="A280" s="1">
        <f t="shared" si="32"/>
        <v>46050</v>
      </c>
      <c r="B280" t="str" cm="1">
        <f t="array" ref="B280">INDEX(HotelList,MOD(ROW()-2,10)+1)</f>
        <v>H009</v>
      </c>
      <c r="C280">
        <f>_xlfn.XLOOKUP(B280,Dim_Hotel!$A$2:$A$11,Dim_Hotel!$F$2:$F$11)</f>
        <v>114</v>
      </c>
      <c r="D280">
        <f t="shared" si="33"/>
        <v>63</v>
      </c>
      <c r="E280">
        <f t="shared" si="34"/>
        <v>0.55263157894736847</v>
      </c>
      <c r="F280">
        <f t="shared" si="35"/>
        <v>185</v>
      </c>
      <c r="G280">
        <f t="shared" si="36"/>
        <v>102.23684210526316</v>
      </c>
      <c r="H280" t="str">
        <f>_xlfn.XLOOKUP(A280,Fact_Events!$D$2:$D$20,Fact_Events!$A$2:$A$20, "")</f>
        <v/>
      </c>
      <c r="I280">
        <f t="shared" si="37"/>
        <v>0</v>
      </c>
      <c r="J280" t="str">
        <f>_xlfn.XLOOKUP(H280, Fact_Events!$A$2:$A$20, Fact_Events!$F$2:$F$20, "")</f>
        <v/>
      </c>
      <c r="K280" t="str">
        <f t="shared" si="38"/>
        <v>Low</v>
      </c>
      <c r="L280">
        <f t="shared" si="39"/>
        <v>0.55000000000000004</v>
      </c>
      <c r="M280">
        <f>_xlfn.XLOOKUP(B280, Dim_Hotel!$A$2:$A$11, Dim_Hotel!$I$2:$I$11)
 + (IF(J280="",0,J280)
    * _xlfn.XLOOKUP(B280, Dim_Hotel!$A$2:$A$11, Dim_Hotel!$J$2:$J$11))</f>
        <v>185</v>
      </c>
    </row>
    <row r="281" spans="1:13" x14ac:dyDescent="0.25">
      <c r="A281" s="1">
        <f t="shared" si="32"/>
        <v>46050</v>
      </c>
      <c r="B281" t="str" cm="1">
        <f t="array" ref="B281">INDEX(HotelList,MOD(ROW()-2,10)+1)</f>
        <v>H010</v>
      </c>
      <c r="C281">
        <f>_xlfn.XLOOKUP(B281,Dim_Hotel!$A$2:$A$11,Dim_Hotel!$F$2:$F$11)</f>
        <v>89</v>
      </c>
      <c r="D281">
        <f t="shared" si="33"/>
        <v>49</v>
      </c>
      <c r="E281">
        <f t="shared" si="34"/>
        <v>0.550561797752809</v>
      </c>
      <c r="F281">
        <f t="shared" si="35"/>
        <v>150</v>
      </c>
      <c r="G281">
        <f t="shared" si="36"/>
        <v>82.584269662921344</v>
      </c>
      <c r="H281" t="str">
        <f>_xlfn.XLOOKUP(A281,Fact_Events!$D$2:$D$20,Fact_Events!$A$2:$A$20, "")</f>
        <v/>
      </c>
      <c r="I281">
        <f t="shared" si="37"/>
        <v>0</v>
      </c>
      <c r="J281" t="str">
        <f>_xlfn.XLOOKUP(H281, Fact_Events!$A$2:$A$20, Fact_Events!$F$2:$F$20, "")</f>
        <v/>
      </c>
      <c r="K281" t="str">
        <f t="shared" si="38"/>
        <v>Low</v>
      </c>
      <c r="L281">
        <f t="shared" si="39"/>
        <v>0.55000000000000004</v>
      </c>
      <c r="M281">
        <f>_xlfn.XLOOKUP(B281, Dim_Hotel!$A$2:$A$11, Dim_Hotel!$I$2:$I$11)
 + (IF(J281="",0,J281)
    * _xlfn.XLOOKUP(B281, Dim_Hotel!$A$2:$A$11, Dim_Hotel!$J$2:$J$11))</f>
        <v>150</v>
      </c>
    </row>
    <row r="282" spans="1:13" x14ac:dyDescent="0.25">
      <c r="A282" s="1">
        <f t="shared" si="32"/>
        <v>46051</v>
      </c>
      <c r="B282" t="str" cm="1">
        <f t="array" ref="B282">INDEX(HotelList,MOD(ROW()-2,10)+1)</f>
        <v>H001</v>
      </c>
      <c r="C282">
        <f>_xlfn.XLOOKUP(B282,Dim_Hotel!$A$2:$A$11,Dim_Hotel!$F$2:$F$11)</f>
        <v>888</v>
      </c>
      <c r="D282">
        <f t="shared" si="33"/>
        <v>488</v>
      </c>
      <c r="E282">
        <f t="shared" si="34"/>
        <v>0.5495495495495496</v>
      </c>
      <c r="F282">
        <f t="shared" si="35"/>
        <v>260</v>
      </c>
      <c r="G282">
        <f t="shared" si="36"/>
        <v>142.88288288288288</v>
      </c>
      <c r="H282" t="str">
        <f>_xlfn.XLOOKUP(A282,Fact_Events!$D$2:$D$20,Fact_Events!$A$2:$A$20, "")</f>
        <v/>
      </c>
      <c r="I282">
        <f t="shared" si="37"/>
        <v>0</v>
      </c>
      <c r="J282" t="str">
        <f>_xlfn.XLOOKUP(H282, Fact_Events!$A$2:$A$20, Fact_Events!$F$2:$F$20, "")</f>
        <v/>
      </c>
      <c r="K282" t="str">
        <f t="shared" si="38"/>
        <v>Low</v>
      </c>
      <c r="L282">
        <f t="shared" si="39"/>
        <v>0.55000000000000004</v>
      </c>
      <c r="M282">
        <f>_xlfn.XLOOKUP(B282, Dim_Hotel!$A$2:$A$11, Dim_Hotel!$I$2:$I$11)
 + (IF(J282="",0,J282)
    * _xlfn.XLOOKUP(B282, Dim_Hotel!$A$2:$A$11, Dim_Hotel!$J$2:$J$11))</f>
        <v>260</v>
      </c>
    </row>
    <row r="283" spans="1:13" x14ac:dyDescent="0.25">
      <c r="A283" s="1">
        <f t="shared" si="32"/>
        <v>46051</v>
      </c>
      <c r="B283" t="str" cm="1">
        <f t="array" ref="B283">INDEX(HotelList,MOD(ROW()-2,10)+1)</f>
        <v>H002</v>
      </c>
      <c r="C283">
        <f>_xlfn.XLOOKUP(B283,Dim_Hotel!$A$2:$A$11,Dim_Hotel!$F$2:$F$11)</f>
        <v>147</v>
      </c>
      <c r="D283">
        <f t="shared" si="33"/>
        <v>81</v>
      </c>
      <c r="E283">
        <f t="shared" si="34"/>
        <v>0.55102040816326525</v>
      </c>
      <c r="F283">
        <f t="shared" si="35"/>
        <v>175</v>
      </c>
      <c r="G283">
        <f t="shared" si="36"/>
        <v>96.428571428571416</v>
      </c>
      <c r="H283" t="str">
        <f>_xlfn.XLOOKUP(A283,Fact_Events!$D$2:$D$20,Fact_Events!$A$2:$A$20, "")</f>
        <v/>
      </c>
      <c r="I283">
        <f t="shared" si="37"/>
        <v>0</v>
      </c>
      <c r="J283" t="str">
        <f>_xlfn.XLOOKUP(H283, Fact_Events!$A$2:$A$20, Fact_Events!$F$2:$F$20, "")</f>
        <v/>
      </c>
      <c r="K283" t="str">
        <f t="shared" si="38"/>
        <v>Low</v>
      </c>
      <c r="L283">
        <f t="shared" si="39"/>
        <v>0.55000000000000004</v>
      </c>
      <c r="M283">
        <f>_xlfn.XLOOKUP(B283, Dim_Hotel!$A$2:$A$11, Dim_Hotel!$I$2:$I$11)
 + (IF(J283="",0,J283)
    * _xlfn.XLOOKUP(B283, Dim_Hotel!$A$2:$A$11, Dim_Hotel!$J$2:$J$11))</f>
        <v>175</v>
      </c>
    </row>
    <row r="284" spans="1:13" x14ac:dyDescent="0.25">
      <c r="A284" s="1">
        <f t="shared" si="32"/>
        <v>46051</v>
      </c>
      <c r="B284" t="str" cm="1">
        <f t="array" ref="B284">INDEX(HotelList,MOD(ROW()-2,10)+1)</f>
        <v>H003</v>
      </c>
      <c r="C284">
        <f>_xlfn.XLOOKUP(B284,Dim_Hotel!$A$2:$A$11,Dim_Hotel!$F$2:$F$11)</f>
        <v>121</v>
      </c>
      <c r="D284">
        <f t="shared" si="33"/>
        <v>67</v>
      </c>
      <c r="E284">
        <f t="shared" si="34"/>
        <v>0.55371900826446285</v>
      </c>
      <c r="F284">
        <f t="shared" si="35"/>
        <v>145</v>
      </c>
      <c r="G284">
        <f t="shared" si="36"/>
        <v>80.289256198347118</v>
      </c>
      <c r="H284" t="str">
        <f>_xlfn.XLOOKUP(A284,Fact_Events!$D$2:$D$20,Fact_Events!$A$2:$A$20, "")</f>
        <v/>
      </c>
      <c r="I284">
        <f t="shared" si="37"/>
        <v>0</v>
      </c>
      <c r="J284" t="str">
        <f>_xlfn.XLOOKUP(H284, Fact_Events!$A$2:$A$20, Fact_Events!$F$2:$F$20, "")</f>
        <v/>
      </c>
      <c r="K284" t="str">
        <f t="shared" si="38"/>
        <v>Low</v>
      </c>
      <c r="L284">
        <f t="shared" si="39"/>
        <v>0.55000000000000004</v>
      </c>
      <c r="M284">
        <f>_xlfn.XLOOKUP(B284, Dim_Hotel!$A$2:$A$11, Dim_Hotel!$I$2:$I$11)
 + (IF(J284="",0,J284)
    * _xlfn.XLOOKUP(B284, Dim_Hotel!$A$2:$A$11, Dim_Hotel!$J$2:$J$11))</f>
        <v>145</v>
      </c>
    </row>
    <row r="285" spans="1:13" x14ac:dyDescent="0.25">
      <c r="A285" s="1">
        <f t="shared" si="32"/>
        <v>46051</v>
      </c>
      <c r="B285" t="str" cm="1">
        <f t="array" ref="B285">INDEX(HotelList,MOD(ROW()-2,10)+1)</f>
        <v>H004</v>
      </c>
      <c r="C285">
        <f>_xlfn.XLOOKUP(B285,Dim_Hotel!$A$2:$A$11,Dim_Hotel!$F$2:$F$11)</f>
        <v>108</v>
      </c>
      <c r="D285">
        <f t="shared" si="33"/>
        <v>59</v>
      </c>
      <c r="E285">
        <f t="shared" si="34"/>
        <v>0.54629629629629628</v>
      </c>
      <c r="F285">
        <f t="shared" si="35"/>
        <v>135</v>
      </c>
      <c r="G285">
        <f t="shared" si="36"/>
        <v>73.75</v>
      </c>
      <c r="H285" t="str">
        <f>_xlfn.XLOOKUP(A285,Fact_Events!$D$2:$D$20,Fact_Events!$A$2:$A$20, "")</f>
        <v/>
      </c>
      <c r="I285">
        <f t="shared" si="37"/>
        <v>0</v>
      </c>
      <c r="J285" t="str">
        <f>_xlfn.XLOOKUP(H285, Fact_Events!$A$2:$A$20, Fact_Events!$F$2:$F$20, "")</f>
        <v/>
      </c>
      <c r="K285" t="str">
        <f t="shared" si="38"/>
        <v>Low</v>
      </c>
      <c r="L285">
        <f t="shared" si="39"/>
        <v>0.55000000000000004</v>
      </c>
      <c r="M285">
        <f>_xlfn.XLOOKUP(B285, Dim_Hotel!$A$2:$A$11, Dim_Hotel!$I$2:$I$11)
 + (IF(J285="",0,J285)
    * _xlfn.XLOOKUP(B285, Dim_Hotel!$A$2:$A$11, Dim_Hotel!$J$2:$J$11))</f>
        <v>135</v>
      </c>
    </row>
    <row r="286" spans="1:13" x14ac:dyDescent="0.25">
      <c r="A286" s="1">
        <f t="shared" si="32"/>
        <v>46051</v>
      </c>
      <c r="B286" t="str" cm="1">
        <f t="array" ref="B286">INDEX(HotelList,MOD(ROW()-2,10)+1)</f>
        <v>H005</v>
      </c>
      <c r="C286">
        <f>_xlfn.XLOOKUP(B286,Dim_Hotel!$A$2:$A$11,Dim_Hotel!$F$2:$F$11)</f>
        <v>66</v>
      </c>
      <c r="D286">
        <f t="shared" si="33"/>
        <v>36</v>
      </c>
      <c r="E286">
        <f t="shared" si="34"/>
        <v>0.54545454545454541</v>
      </c>
      <c r="F286">
        <f t="shared" si="35"/>
        <v>82</v>
      </c>
      <c r="G286">
        <f t="shared" si="36"/>
        <v>44.727272727272727</v>
      </c>
      <c r="H286" t="str">
        <f>_xlfn.XLOOKUP(A286,Fact_Events!$D$2:$D$20,Fact_Events!$A$2:$A$20, "")</f>
        <v/>
      </c>
      <c r="I286">
        <f t="shared" si="37"/>
        <v>0</v>
      </c>
      <c r="J286" t="str">
        <f>_xlfn.XLOOKUP(H286, Fact_Events!$A$2:$A$20, Fact_Events!$F$2:$F$20, "")</f>
        <v/>
      </c>
      <c r="K286" t="str">
        <f t="shared" si="38"/>
        <v>Low</v>
      </c>
      <c r="L286">
        <f t="shared" si="39"/>
        <v>0.55000000000000004</v>
      </c>
      <c r="M286">
        <f>_xlfn.XLOOKUP(B286, Dim_Hotel!$A$2:$A$11, Dim_Hotel!$I$2:$I$11)
 + (IF(J286="",0,J286)
    * _xlfn.XLOOKUP(B286, Dim_Hotel!$A$2:$A$11, Dim_Hotel!$J$2:$J$11))</f>
        <v>82</v>
      </c>
    </row>
    <row r="287" spans="1:13" x14ac:dyDescent="0.25">
      <c r="A287" s="1">
        <f t="shared" si="32"/>
        <v>46051</v>
      </c>
      <c r="B287" t="str" cm="1">
        <f t="array" ref="B287">INDEX(HotelList,MOD(ROW()-2,10)+1)</f>
        <v>H006</v>
      </c>
      <c r="C287">
        <f>_xlfn.XLOOKUP(B287,Dim_Hotel!$A$2:$A$11,Dim_Hotel!$F$2:$F$11)</f>
        <v>311</v>
      </c>
      <c r="D287">
        <f t="shared" si="33"/>
        <v>171</v>
      </c>
      <c r="E287">
        <f t="shared" si="34"/>
        <v>0.54983922829581988</v>
      </c>
      <c r="F287">
        <f t="shared" si="35"/>
        <v>190</v>
      </c>
      <c r="G287">
        <f t="shared" si="36"/>
        <v>104.46945337620578</v>
      </c>
      <c r="H287" t="str">
        <f>_xlfn.XLOOKUP(A287,Fact_Events!$D$2:$D$20,Fact_Events!$A$2:$A$20, "")</f>
        <v/>
      </c>
      <c r="I287">
        <f t="shared" si="37"/>
        <v>0</v>
      </c>
      <c r="J287" t="str">
        <f>_xlfn.XLOOKUP(H287, Fact_Events!$A$2:$A$20, Fact_Events!$F$2:$F$20, "")</f>
        <v/>
      </c>
      <c r="K287" t="str">
        <f t="shared" si="38"/>
        <v>Low</v>
      </c>
      <c r="L287">
        <f t="shared" si="39"/>
        <v>0.55000000000000004</v>
      </c>
      <c r="M287">
        <f>_xlfn.XLOOKUP(B287, Dim_Hotel!$A$2:$A$11, Dim_Hotel!$I$2:$I$11)
 + (IF(J287="",0,J287)
    * _xlfn.XLOOKUP(B287, Dim_Hotel!$A$2:$A$11, Dim_Hotel!$J$2:$J$11))</f>
        <v>190</v>
      </c>
    </row>
    <row r="288" spans="1:13" x14ac:dyDescent="0.25">
      <c r="A288" s="1">
        <f t="shared" si="32"/>
        <v>46051</v>
      </c>
      <c r="B288" t="str" cm="1">
        <f t="array" ref="B288">INDEX(HotelList,MOD(ROW()-2,10)+1)</f>
        <v>H007</v>
      </c>
      <c r="C288">
        <f>_xlfn.XLOOKUP(B288,Dim_Hotel!$A$2:$A$11,Dim_Hotel!$F$2:$F$11)</f>
        <v>132</v>
      </c>
      <c r="D288">
        <f t="shared" si="33"/>
        <v>73</v>
      </c>
      <c r="E288">
        <f t="shared" si="34"/>
        <v>0.55303030303030298</v>
      </c>
      <c r="F288">
        <f t="shared" si="35"/>
        <v>165</v>
      </c>
      <c r="G288">
        <f t="shared" si="36"/>
        <v>91.249999999999986</v>
      </c>
      <c r="H288" t="str">
        <f>_xlfn.XLOOKUP(A288,Fact_Events!$D$2:$D$20,Fact_Events!$A$2:$A$20, "")</f>
        <v/>
      </c>
      <c r="I288">
        <f t="shared" si="37"/>
        <v>0</v>
      </c>
      <c r="J288" t="str">
        <f>_xlfn.XLOOKUP(H288, Fact_Events!$A$2:$A$20, Fact_Events!$F$2:$F$20, "")</f>
        <v/>
      </c>
      <c r="K288" t="str">
        <f t="shared" si="38"/>
        <v>Low</v>
      </c>
      <c r="L288">
        <f t="shared" si="39"/>
        <v>0.55000000000000004</v>
      </c>
      <c r="M288">
        <f>_xlfn.XLOOKUP(B288, Dim_Hotel!$A$2:$A$11, Dim_Hotel!$I$2:$I$11)
 + (IF(J288="",0,J288)
    * _xlfn.XLOOKUP(B288, Dim_Hotel!$A$2:$A$11, Dim_Hotel!$J$2:$J$11))</f>
        <v>165</v>
      </c>
    </row>
    <row r="289" spans="1:13" x14ac:dyDescent="0.25">
      <c r="A289" s="1">
        <f t="shared" si="32"/>
        <v>46051</v>
      </c>
      <c r="B289" t="str" cm="1">
        <f t="array" ref="B289">INDEX(HotelList,MOD(ROW()-2,10)+1)</f>
        <v>H008</v>
      </c>
      <c r="C289">
        <f>_xlfn.XLOOKUP(B289,Dim_Hotel!$A$2:$A$11,Dim_Hotel!$F$2:$F$11)</f>
        <v>103</v>
      </c>
      <c r="D289">
        <f t="shared" si="33"/>
        <v>57</v>
      </c>
      <c r="E289">
        <f t="shared" si="34"/>
        <v>0.55339805825242716</v>
      </c>
      <c r="F289">
        <f t="shared" si="35"/>
        <v>140</v>
      </c>
      <c r="G289">
        <f t="shared" si="36"/>
        <v>77.475728155339809</v>
      </c>
      <c r="H289" t="str">
        <f>_xlfn.XLOOKUP(A289,Fact_Events!$D$2:$D$20,Fact_Events!$A$2:$A$20, "")</f>
        <v/>
      </c>
      <c r="I289">
        <f t="shared" si="37"/>
        <v>0</v>
      </c>
      <c r="J289" t="str">
        <f>_xlfn.XLOOKUP(H289, Fact_Events!$A$2:$A$20, Fact_Events!$F$2:$F$20, "")</f>
        <v/>
      </c>
      <c r="K289" t="str">
        <f t="shared" si="38"/>
        <v>Low</v>
      </c>
      <c r="L289">
        <f t="shared" si="39"/>
        <v>0.55000000000000004</v>
      </c>
      <c r="M289">
        <f>_xlfn.XLOOKUP(B289, Dim_Hotel!$A$2:$A$11, Dim_Hotel!$I$2:$I$11)
 + (IF(J289="",0,J289)
    * _xlfn.XLOOKUP(B289, Dim_Hotel!$A$2:$A$11, Dim_Hotel!$J$2:$J$11))</f>
        <v>140</v>
      </c>
    </row>
    <row r="290" spans="1:13" x14ac:dyDescent="0.25">
      <c r="A290" s="1">
        <f t="shared" si="32"/>
        <v>46051</v>
      </c>
      <c r="B290" t="str" cm="1">
        <f t="array" ref="B290">INDEX(HotelList,MOD(ROW()-2,10)+1)</f>
        <v>H009</v>
      </c>
      <c r="C290">
        <f>_xlfn.XLOOKUP(B290,Dim_Hotel!$A$2:$A$11,Dim_Hotel!$F$2:$F$11)</f>
        <v>114</v>
      </c>
      <c r="D290">
        <f t="shared" si="33"/>
        <v>63</v>
      </c>
      <c r="E290">
        <f t="shared" si="34"/>
        <v>0.55263157894736847</v>
      </c>
      <c r="F290">
        <f t="shared" si="35"/>
        <v>185</v>
      </c>
      <c r="G290">
        <f t="shared" si="36"/>
        <v>102.23684210526316</v>
      </c>
      <c r="H290" t="str">
        <f>_xlfn.XLOOKUP(A290,Fact_Events!$D$2:$D$20,Fact_Events!$A$2:$A$20, "")</f>
        <v/>
      </c>
      <c r="I290">
        <f t="shared" si="37"/>
        <v>0</v>
      </c>
      <c r="J290" t="str">
        <f>_xlfn.XLOOKUP(H290, Fact_Events!$A$2:$A$20, Fact_Events!$F$2:$F$20, "")</f>
        <v/>
      </c>
      <c r="K290" t="str">
        <f t="shared" si="38"/>
        <v>Low</v>
      </c>
      <c r="L290">
        <f t="shared" si="39"/>
        <v>0.55000000000000004</v>
      </c>
      <c r="M290">
        <f>_xlfn.XLOOKUP(B290, Dim_Hotel!$A$2:$A$11, Dim_Hotel!$I$2:$I$11)
 + (IF(J290="",0,J290)
    * _xlfn.XLOOKUP(B290, Dim_Hotel!$A$2:$A$11, Dim_Hotel!$J$2:$J$11))</f>
        <v>185</v>
      </c>
    </row>
    <row r="291" spans="1:13" x14ac:dyDescent="0.25">
      <c r="A291" s="1">
        <f t="shared" si="32"/>
        <v>46051</v>
      </c>
      <c r="B291" t="str" cm="1">
        <f t="array" ref="B291">INDEX(HotelList,MOD(ROW()-2,10)+1)</f>
        <v>H010</v>
      </c>
      <c r="C291">
        <f>_xlfn.XLOOKUP(B291,Dim_Hotel!$A$2:$A$11,Dim_Hotel!$F$2:$F$11)</f>
        <v>89</v>
      </c>
      <c r="D291">
        <f t="shared" si="33"/>
        <v>49</v>
      </c>
      <c r="E291">
        <f t="shared" si="34"/>
        <v>0.550561797752809</v>
      </c>
      <c r="F291">
        <f t="shared" si="35"/>
        <v>150</v>
      </c>
      <c r="G291">
        <f t="shared" si="36"/>
        <v>82.584269662921344</v>
      </c>
      <c r="H291" t="str">
        <f>_xlfn.XLOOKUP(A291,Fact_Events!$D$2:$D$20,Fact_Events!$A$2:$A$20, "")</f>
        <v/>
      </c>
      <c r="I291">
        <f t="shared" si="37"/>
        <v>0</v>
      </c>
      <c r="J291" t="str">
        <f>_xlfn.XLOOKUP(H291, Fact_Events!$A$2:$A$20, Fact_Events!$F$2:$F$20, "")</f>
        <v/>
      </c>
      <c r="K291" t="str">
        <f t="shared" si="38"/>
        <v>Low</v>
      </c>
      <c r="L291">
        <f t="shared" si="39"/>
        <v>0.55000000000000004</v>
      </c>
      <c r="M291">
        <f>_xlfn.XLOOKUP(B291, Dim_Hotel!$A$2:$A$11, Dim_Hotel!$I$2:$I$11)
 + (IF(J291="",0,J291)
    * _xlfn.XLOOKUP(B291, Dim_Hotel!$A$2:$A$11, Dim_Hotel!$J$2:$J$11))</f>
        <v>150</v>
      </c>
    </row>
    <row r="292" spans="1:13" x14ac:dyDescent="0.25">
      <c r="A292" s="1">
        <f t="shared" si="32"/>
        <v>46052</v>
      </c>
      <c r="B292" t="str" cm="1">
        <f t="array" ref="B292">INDEX(HotelList,MOD(ROW()-2,10)+1)</f>
        <v>H001</v>
      </c>
      <c r="C292">
        <f>_xlfn.XLOOKUP(B292,Dim_Hotel!$A$2:$A$11,Dim_Hotel!$F$2:$F$11)</f>
        <v>888</v>
      </c>
      <c r="D292">
        <f t="shared" si="33"/>
        <v>488</v>
      </c>
      <c r="E292">
        <f t="shared" si="34"/>
        <v>0.5495495495495496</v>
      </c>
      <c r="F292">
        <f t="shared" si="35"/>
        <v>260</v>
      </c>
      <c r="G292">
        <f t="shared" si="36"/>
        <v>142.88288288288288</v>
      </c>
      <c r="H292" t="str">
        <f>_xlfn.XLOOKUP(A292,Fact_Events!$D$2:$D$20,Fact_Events!$A$2:$A$20, "")</f>
        <v/>
      </c>
      <c r="I292">
        <f t="shared" si="37"/>
        <v>0</v>
      </c>
      <c r="J292" t="str">
        <f>_xlfn.XLOOKUP(H292, Fact_Events!$A$2:$A$20, Fact_Events!$F$2:$F$20, "")</f>
        <v/>
      </c>
      <c r="K292" t="str">
        <f t="shared" si="38"/>
        <v>Low</v>
      </c>
      <c r="L292">
        <f t="shared" si="39"/>
        <v>0.55000000000000004</v>
      </c>
      <c r="M292">
        <f>_xlfn.XLOOKUP(B292, Dim_Hotel!$A$2:$A$11, Dim_Hotel!$I$2:$I$11)
 + (IF(J292="",0,J292)
    * _xlfn.XLOOKUP(B292, Dim_Hotel!$A$2:$A$11, Dim_Hotel!$J$2:$J$11))</f>
        <v>260</v>
      </c>
    </row>
    <row r="293" spans="1:13" x14ac:dyDescent="0.25">
      <c r="A293" s="1">
        <f t="shared" si="32"/>
        <v>46052</v>
      </c>
      <c r="B293" t="str" cm="1">
        <f t="array" ref="B293">INDEX(HotelList,MOD(ROW()-2,10)+1)</f>
        <v>H002</v>
      </c>
      <c r="C293">
        <f>_xlfn.XLOOKUP(B293,Dim_Hotel!$A$2:$A$11,Dim_Hotel!$F$2:$F$11)</f>
        <v>147</v>
      </c>
      <c r="D293">
        <f t="shared" si="33"/>
        <v>81</v>
      </c>
      <c r="E293">
        <f t="shared" si="34"/>
        <v>0.55102040816326525</v>
      </c>
      <c r="F293">
        <f t="shared" si="35"/>
        <v>175</v>
      </c>
      <c r="G293">
        <f t="shared" si="36"/>
        <v>96.428571428571416</v>
      </c>
      <c r="H293" t="str">
        <f>_xlfn.XLOOKUP(A293,Fact_Events!$D$2:$D$20,Fact_Events!$A$2:$A$20, "")</f>
        <v/>
      </c>
      <c r="I293">
        <f t="shared" si="37"/>
        <v>0</v>
      </c>
      <c r="J293" t="str">
        <f>_xlfn.XLOOKUP(H293, Fact_Events!$A$2:$A$20, Fact_Events!$F$2:$F$20, "")</f>
        <v/>
      </c>
      <c r="K293" t="str">
        <f t="shared" si="38"/>
        <v>Low</v>
      </c>
      <c r="L293">
        <f t="shared" si="39"/>
        <v>0.55000000000000004</v>
      </c>
      <c r="M293">
        <f>_xlfn.XLOOKUP(B293, Dim_Hotel!$A$2:$A$11, Dim_Hotel!$I$2:$I$11)
 + (IF(J293="",0,J293)
    * _xlfn.XLOOKUP(B293, Dim_Hotel!$A$2:$A$11, Dim_Hotel!$J$2:$J$11))</f>
        <v>175</v>
      </c>
    </row>
    <row r="294" spans="1:13" x14ac:dyDescent="0.25">
      <c r="A294" s="1">
        <f t="shared" si="32"/>
        <v>46052</v>
      </c>
      <c r="B294" t="str" cm="1">
        <f t="array" ref="B294">INDEX(HotelList,MOD(ROW()-2,10)+1)</f>
        <v>H003</v>
      </c>
      <c r="C294">
        <f>_xlfn.XLOOKUP(B294,Dim_Hotel!$A$2:$A$11,Dim_Hotel!$F$2:$F$11)</f>
        <v>121</v>
      </c>
      <c r="D294">
        <f t="shared" si="33"/>
        <v>67</v>
      </c>
      <c r="E294">
        <f t="shared" si="34"/>
        <v>0.55371900826446285</v>
      </c>
      <c r="F294">
        <f t="shared" si="35"/>
        <v>145</v>
      </c>
      <c r="G294">
        <f t="shared" si="36"/>
        <v>80.289256198347118</v>
      </c>
      <c r="H294" t="str">
        <f>_xlfn.XLOOKUP(A294,Fact_Events!$D$2:$D$20,Fact_Events!$A$2:$A$20, "")</f>
        <v/>
      </c>
      <c r="I294">
        <f t="shared" si="37"/>
        <v>0</v>
      </c>
      <c r="J294" t="str">
        <f>_xlfn.XLOOKUP(H294, Fact_Events!$A$2:$A$20, Fact_Events!$F$2:$F$20, "")</f>
        <v/>
      </c>
      <c r="K294" t="str">
        <f t="shared" si="38"/>
        <v>Low</v>
      </c>
      <c r="L294">
        <f t="shared" si="39"/>
        <v>0.55000000000000004</v>
      </c>
      <c r="M294">
        <f>_xlfn.XLOOKUP(B294, Dim_Hotel!$A$2:$A$11, Dim_Hotel!$I$2:$I$11)
 + (IF(J294="",0,J294)
    * _xlfn.XLOOKUP(B294, Dim_Hotel!$A$2:$A$11, Dim_Hotel!$J$2:$J$11))</f>
        <v>145</v>
      </c>
    </row>
    <row r="295" spans="1:13" x14ac:dyDescent="0.25">
      <c r="A295" s="1">
        <f t="shared" si="32"/>
        <v>46052</v>
      </c>
      <c r="B295" t="str" cm="1">
        <f t="array" ref="B295">INDEX(HotelList,MOD(ROW()-2,10)+1)</f>
        <v>H004</v>
      </c>
      <c r="C295">
        <f>_xlfn.XLOOKUP(B295,Dim_Hotel!$A$2:$A$11,Dim_Hotel!$F$2:$F$11)</f>
        <v>108</v>
      </c>
      <c r="D295">
        <f t="shared" si="33"/>
        <v>59</v>
      </c>
      <c r="E295">
        <f t="shared" si="34"/>
        <v>0.54629629629629628</v>
      </c>
      <c r="F295">
        <f t="shared" si="35"/>
        <v>135</v>
      </c>
      <c r="G295">
        <f t="shared" si="36"/>
        <v>73.75</v>
      </c>
      <c r="H295" t="str">
        <f>_xlfn.XLOOKUP(A295,Fact_Events!$D$2:$D$20,Fact_Events!$A$2:$A$20, "")</f>
        <v/>
      </c>
      <c r="I295">
        <f t="shared" si="37"/>
        <v>0</v>
      </c>
      <c r="J295" t="str">
        <f>_xlfn.XLOOKUP(H295, Fact_Events!$A$2:$A$20, Fact_Events!$F$2:$F$20, "")</f>
        <v/>
      </c>
      <c r="K295" t="str">
        <f t="shared" si="38"/>
        <v>Low</v>
      </c>
      <c r="L295">
        <f t="shared" si="39"/>
        <v>0.55000000000000004</v>
      </c>
      <c r="M295">
        <f>_xlfn.XLOOKUP(B295, Dim_Hotel!$A$2:$A$11, Dim_Hotel!$I$2:$I$11)
 + (IF(J295="",0,J295)
    * _xlfn.XLOOKUP(B295, Dim_Hotel!$A$2:$A$11, Dim_Hotel!$J$2:$J$11))</f>
        <v>135</v>
      </c>
    </row>
    <row r="296" spans="1:13" x14ac:dyDescent="0.25">
      <c r="A296" s="1">
        <f t="shared" si="32"/>
        <v>46052</v>
      </c>
      <c r="B296" t="str" cm="1">
        <f t="array" ref="B296">INDEX(HotelList,MOD(ROW()-2,10)+1)</f>
        <v>H005</v>
      </c>
      <c r="C296">
        <f>_xlfn.XLOOKUP(B296,Dim_Hotel!$A$2:$A$11,Dim_Hotel!$F$2:$F$11)</f>
        <v>66</v>
      </c>
      <c r="D296">
        <f t="shared" si="33"/>
        <v>36</v>
      </c>
      <c r="E296">
        <f t="shared" si="34"/>
        <v>0.54545454545454541</v>
      </c>
      <c r="F296">
        <f t="shared" si="35"/>
        <v>82</v>
      </c>
      <c r="G296">
        <f t="shared" si="36"/>
        <v>44.727272727272727</v>
      </c>
      <c r="H296" t="str">
        <f>_xlfn.XLOOKUP(A296,Fact_Events!$D$2:$D$20,Fact_Events!$A$2:$A$20, "")</f>
        <v/>
      </c>
      <c r="I296">
        <f t="shared" si="37"/>
        <v>0</v>
      </c>
      <c r="J296" t="str">
        <f>_xlfn.XLOOKUP(H296, Fact_Events!$A$2:$A$20, Fact_Events!$F$2:$F$20, "")</f>
        <v/>
      </c>
      <c r="K296" t="str">
        <f t="shared" si="38"/>
        <v>Low</v>
      </c>
      <c r="L296">
        <f t="shared" si="39"/>
        <v>0.55000000000000004</v>
      </c>
      <c r="M296">
        <f>_xlfn.XLOOKUP(B296, Dim_Hotel!$A$2:$A$11, Dim_Hotel!$I$2:$I$11)
 + (IF(J296="",0,J296)
    * _xlfn.XLOOKUP(B296, Dim_Hotel!$A$2:$A$11, Dim_Hotel!$J$2:$J$11))</f>
        <v>82</v>
      </c>
    </row>
    <row r="297" spans="1:13" x14ac:dyDescent="0.25">
      <c r="A297" s="1">
        <f t="shared" si="32"/>
        <v>46052</v>
      </c>
      <c r="B297" t="str" cm="1">
        <f t="array" ref="B297">INDEX(HotelList,MOD(ROW()-2,10)+1)</f>
        <v>H006</v>
      </c>
      <c r="C297">
        <f>_xlfn.XLOOKUP(B297,Dim_Hotel!$A$2:$A$11,Dim_Hotel!$F$2:$F$11)</f>
        <v>311</v>
      </c>
      <c r="D297">
        <f t="shared" si="33"/>
        <v>171</v>
      </c>
      <c r="E297">
        <f t="shared" si="34"/>
        <v>0.54983922829581988</v>
      </c>
      <c r="F297">
        <f t="shared" si="35"/>
        <v>190</v>
      </c>
      <c r="G297">
        <f t="shared" si="36"/>
        <v>104.46945337620578</v>
      </c>
      <c r="H297" t="str">
        <f>_xlfn.XLOOKUP(A297,Fact_Events!$D$2:$D$20,Fact_Events!$A$2:$A$20, "")</f>
        <v/>
      </c>
      <c r="I297">
        <f t="shared" si="37"/>
        <v>0</v>
      </c>
      <c r="J297" t="str">
        <f>_xlfn.XLOOKUP(H297, Fact_Events!$A$2:$A$20, Fact_Events!$F$2:$F$20, "")</f>
        <v/>
      </c>
      <c r="K297" t="str">
        <f t="shared" si="38"/>
        <v>Low</v>
      </c>
      <c r="L297">
        <f t="shared" si="39"/>
        <v>0.55000000000000004</v>
      </c>
      <c r="M297">
        <f>_xlfn.XLOOKUP(B297, Dim_Hotel!$A$2:$A$11, Dim_Hotel!$I$2:$I$11)
 + (IF(J297="",0,J297)
    * _xlfn.XLOOKUP(B297, Dim_Hotel!$A$2:$A$11, Dim_Hotel!$J$2:$J$11))</f>
        <v>190</v>
      </c>
    </row>
    <row r="298" spans="1:13" x14ac:dyDescent="0.25">
      <c r="A298" s="1">
        <f t="shared" si="32"/>
        <v>46052</v>
      </c>
      <c r="B298" t="str" cm="1">
        <f t="array" ref="B298">INDEX(HotelList,MOD(ROW()-2,10)+1)</f>
        <v>H007</v>
      </c>
      <c r="C298">
        <f>_xlfn.XLOOKUP(B298,Dim_Hotel!$A$2:$A$11,Dim_Hotel!$F$2:$F$11)</f>
        <v>132</v>
      </c>
      <c r="D298">
        <f t="shared" si="33"/>
        <v>73</v>
      </c>
      <c r="E298">
        <f t="shared" si="34"/>
        <v>0.55303030303030298</v>
      </c>
      <c r="F298">
        <f t="shared" si="35"/>
        <v>165</v>
      </c>
      <c r="G298">
        <f t="shared" si="36"/>
        <v>91.249999999999986</v>
      </c>
      <c r="H298" t="str">
        <f>_xlfn.XLOOKUP(A298,Fact_Events!$D$2:$D$20,Fact_Events!$A$2:$A$20, "")</f>
        <v/>
      </c>
      <c r="I298">
        <f t="shared" si="37"/>
        <v>0</v>
      </c>
      <c r="J298" t="str">
        <f>_xlfn.XLOOKUP(H298, Fact_Events!$A$2:$A$20, Fact_Events!$F$2:$F$20, "")</f>
        <v/>
      </c>
      <c r="K298" t="str">
        <f t="shared" si="38"/>
        <v>Low</v>
      </c>
      <c r="L298">
        <f t="shared" si="39"/>
        <v>0.55000000000000004</v>
      </c>
      <c r="M298">
        <f>_xlfn.XLOOKUP(B298, Dim_Hotel!$A$2:$A$11, Dim_Hotel!$I$2:$I$11)
 + (IF(J298="",0,J298)
    * _xlfn.XLOOKUP(B298, Dim_Hotel!$A$2:$A$11, Dim_Hotel!$J$2:$J$11))</f>
        <v>165</v>
      </c>
    </row>
    <row r="299" spans="1:13" x14ac:dyDescent="0.25">
      <c r="A299" s="1">
        <f t="shared" si="32"/>
        <v>46052</v>
      </c>
      <c r="B299" t="str" cm="1">
        <f t="array" ref="B299">INDEX(HotelList,MOD(ROW()-2,10)+1)</f>
        <v>H008</v>
      </c>
      <c r="C299">
        <f>_xlfn.XLOOKUP(B299,Dim_Hotel!$A$2:$A$11,Dim_Hotel!$F$2:$F$11)</f>
        <v>103</v>
      </c>
      <c r="D299">
        <f t="shared" si="33"/>
        <v>57</v>
      </c>
      <c r="E299">
        <f t="shared" si="34"/>
        <v>0.55339805825242716</v>
      </c>
      <c r="F299">
        <f t="shared" si="35"/>
        <v>140</v>
      </c>
      <c r="G299">
        <f t="shared" si="36"/>
        <v>77.475728155339809</v>
      </c>
      <c r="H299" t="str">
        <f>_xlfn.XLOOKUP(A299,Fact_Events!$D$2:$D$20,Fact_Events!$A$2:$A$20, "")</f>
        <v/>
      </c>
      <c r="I299">
        <f t="shared" si="37"/>
        <v>0</v>
      </c>
      <c r="J299" t="str">
        <f>_xlfn.XLOOKUP(H299, Fact_Events!$A$2:$A$20, Fact_Events!$F$2:$F$20, "")</f>
        <v/>
      </c>
      <c r="K299" t="str">
        <f t="shared" si="38"/>
        <v>Low</v>
      </c>
      <c r="L299">
        <f t="shared" si="39"/>
        <v>0.55000000000000004</v>
      </c>
      <c r="M299">
        <f>_xlfn.XLOOKUP(B299, Dim_Hotel!$A$2:$A$11, Dim_Hotel!$I$2:$I$11)
 + (IF(J299="",0,J299)
    * _xlfn.XLOOKUP(B299, Dim_Hotel!$A$2:$A$11, Dim_Hotel!$J$2:$J$11))</f>
        <v>140</v>
      </c>
    </row>
    <row r="300" spans="1:13" x14ac:dyDescent="0.25">
      <c r="A300" s="1">
        <f t="shared" si="32"/>
        <v>46052</v>
      </c>
      <c r="B300" t="str" cm="1">
        <f t="array" ref="B300">INDEX(HotelList,MOD(ROW()-2,10)+1)</f>
        <v>H009</v>
      </c>
      <c r="C300">
        <f>_xlfn.XLOOKUP(B300,Dim_Hotel!$A$2:$A$11,Dim_Hotel!$F$2:$F$11)</f>
        <v>114</v>
      </c>
      <c r="D300">
        <f t="shared" si="33"/>
        <v>63</v>
      </c>
      <c r="E300">
        <f t="shared" si="34"/>
        <v>0.55263157894736847</v>
      </c>
      <c r="F300">
        <f t="shared" si="35"/>
        <v>185</v>
      </c>
      <c r="G300">
        <f t="shared" si="36"/>
        <v>102.23684210526316</v>
      </c>
      <c r="H300" t="str">
        <f>_xlfn.XLOOKUP(A300,Fact_Events!$D$2:$D$20,Fact_Events!$A$2:$A$20, "")</f>
        <v/>
      </c>
      <c r="I300">
        <f t="shared" si="37"/>
        <v>0</v>
      </c>
      <c r="J300" t="str">
        <f>_xlfn.XLOOKUP(H300, Fact_Events!$A$2:$A$20, Fact_Events!$F$2:$F$20, "")</f>
        <v/>
      </c>
      <c r="K300" t="str">
        <f t="shared" si="38"/>
        <v>Low</v>
      </c>
      <c r="L300">
        <f t="shared" si="39"/>
        <v>0.55000000000000004</v>
      </c>
      <c r="M300">
        <f>_xlfn.XLOOKUP(B300, Dim_Hotel!$A$2:$A$11, Dim_Hotel!$I$2:$I$11)
 + (IF(J300="",0,J300)
    * _xlfn.XLOOKUP(B300, Dim_Hotel!$A$2:$A$11, Dim_Hotel!$J$2:$J$11))</f>
        <v>185</v>
      </c>
    </row>
    <row r="301" spans="1:13" x14ac:dyDescent="0.25">
      <c r="A301" s="1">
        <f t="shared" si="32"/>
        <v>46052</v>
      </c>
      <c r="B301" t="str" cm="1">
        <f t="array" ref="B301">INDEX(HotelList,MOD(ROW()-2,10)+1)</f>
        <v>H010</v>
      </c>
      <c r="C301">
        <f>_xlfn.XLOOKUP(B301,Dim_Hotel!$A$2:$A$11,Dim_Hotel!$F$2:$F$11)</f>
        <v>89</v>
      </c>
      <c r="D301">
        <f t="shared" si="33"/>
        <v>49</v>
      </c>
      <c r="E301">
        <f t="shared" si="34"/>
        <v>0.550561797752809</v>
      </c>
      <c r="F301">
        <f t="shared" si="35"/>
        <v>150</v>
      </c>
      <c r="G301">
        <f t="shared" si="36"/>
        <v>82.584269662921344</v>
      </c>
      <c r="H301" t="str">
        <f>_xlfn.XLOOKUP(A301,Fact_Events!$D$2:$D$20,Fact_Events!$A$2:$A$20, "")</f>
        <v/>
      </c>
      <c r="I301">
        <f t="shared" si="37"/>
        <v>0</v>
      </c>
      <c r="J301" t="str">
        <f>_xlfn.XLOOKUP(H301, Fact_Events!$A$2:$A$20, Fact_Events!$F$2:$F$20, "")</f>
        <v/>
      </c>
      <c r="K301" t="str">
        <f t="shared" si="38"/>
        <v>Low</v>
      </c>
      <c r="L301">
        <f t="shared" si="39"/>
        <v>0.55000000000000004</v>
      </c>
      <c r="M301">
        <f>_xlfn.XLOOKUP(B301, Dim_Hotel!$A$2:$A$11, Dim_Hotel!$I$2:$I$11)
 + (IF(J301="",0,J301)
    * _xlfn.XLOOKUP(B301, Dim_Hotel!$A$2:$A$11, Dim_Hotel!$J$2:$J$11))</f>
        <v>150</v>
      </c>
    </row>
    <row r="302" spans="1:13" x14ac:dyDescent="0.25">
      <c r="A302" s="1">
        <f t="shared" si="32"/>
        <v>46053</v>
      </c>
      <c r="B302" t="str" cm="1">
        <f t="array" ref="B302">INDEX(HotelList,MOD(ROW()-2,10)+1)</f>
        <v>H001</v>
      </c>
      <c r="C302">
        <f>_xlfn.XLOOKUP(B302,Dim_Hotel!$A$2:$A$11,Dim_Hotel!$F$2:$F$11)</f>
        <v>888</v>
      </c>
      <c r="D302">
        <f t="shared" si="33"/>
        <v>488</v>
      </c>
      <c r="E302">
        <f t="shared" si="34"/>
        <v>0.5495495495495496</v>
      </c>
      <c r="F302">
        <f t="shared" si="35"/>
        <v>260</v>
      </c>
      <c r="G302">
        <f t="shared" si="36"/>
        <v>142.88288288288288</v>
      </c>
      <c r="H302" t="str">
        <f>_xlfn.XLOOKUP(A302,Fact_Events!$D$2:$D$20,Fact_Events!$A$2:$A$20, "")</f>
        <v/>
      </c>
      <c r="I302">
        <f t="shared" si="37"/>
        <v>0</v>
      </c>
      <c r="J302" t="str">
        <f>_xlfn.XLOOKUP(H302, Fact_Events!$A$2:$A$20, Fact_Events!$F$2:$F$20, "")</f>
        <v/>
      </c>
      <c r="K302" t="str">
        <f t="shared" si="38"/>
        <v>Low</v>
      </c>
      <c r="L302">
        <f t="shared" si="39"/>
        <v>0.55000000000000004</v>
      </c>
      <c r="M302">
        <f>_xlfn.XLOOKUP(B302, Dim_Hotel!$A$2:$A$11, Dim_Hotel!$I$2:$I$11)
 + (IF(J302="",0,J302)
    * _xlfn.XLOOKUP(B302, Dim_Hotel!$A$2:$A$11, Dim_Hotel!$J$2:$J$11))</f>
        <v>260</v>
      </c>
    </row>
    <row r="303" spans="1:13" x14ac:dyDescent="0.25">
      <c r="A303" s="1">
        <f t="shared" si="32"/>
        <v>46053</v>
      </c>
      <c r="B303" t="str" cm="1">
        <f t="array" ref="B303">INDEX(HotelList,MOD(ROW()-2,10)+1)</f>
        <v>H002</v>
      </c>
      <c r="C303">
        <f>_xlfn.XLOOKUP(B303,Dim_Hotel!$A$2:$A$11,Dim_Hotel!$F$2:$F$11)</f>
        <v>147</v>
      </c>
      <c r="D303">
        <f t="shared" si="33"/>
        <v>81</v>
      </c>
      <c r="E303">
        <f t="shared" si="34"/>
        <v>0.55102040816326525</v>
      </c>
      <c r="F303">
        <f t="shared" si="35"/>
        <v>175</v>
      </c>
      <c r="G303">
        <f t="shared" si="36"/>
        <v>96.428571428571416</v>
      </c>
      <c r="H303" t="str">
        <f>_xlfn.XLOOKUP(A303,Fact_Events!$D$2:$D$20,Fact_Events!$A$2:$A$20, "")</f>
        <v/>
      </c>
      <c r="I303">
        <f t="shared" si="37"/>
        <v>0</v>
      </c>
      <c r="J303" t="str">
        <f>_xlfn.XLOOKUP(H303, Fact_Events!$A$2:$A$20, Fact_Events!$F$2:$F$20, "")</f>
        <v/>
      </c>
      <c r="K303" t="str">
        <f t="shared" si="38"/>
        <v>Low</v>
      </c>
      <c r="L303">
        <f t="shared" si="39"/>
        <v>0.55000000000000004</v>
      </c>
      <c r="M303">
        <f>_xlfn.XLOOKUP(B303, Dim_Hotel!$A$2:$A$11, Dim_Hotel!$I$2:$I$11)
 + (IF(J303="",0,J303)
    * _xlfn.XLOOKUP(B303, Dim_Hotel!$A$2:$A$11, Dim_Hotel!$J$2:$J$11))</f>
        <v>175</v>
      </c>
    </row>
    <row r="304" spans="1:13" x14ac:dyDescent="0.25">
      <c r="A304" s="1">
        <f t="shared" si="32"/>
        <v>46053</v>
      </c>
      <c r="B304" t="str" cm="1">
        <f t="array" ref="B304">INDEX(HotelList,MOD(ROW()-2,10)+1)</f>
        <v>H003</v>
      </c>
      <c r="C304">
        <f>_xlfn.XLOOKUP(B304,Dim_Hotel!$A$2:$A$11,Dim_Hotel!$F$2:$F$11)</f>
        <v>121</v>
      </c>
      <c r="D304">
        <f t="shared" si="33"/>
        <v>67</v>
      </c>
      <c r="E304">
        <f t="shared" si="34"/>
        <v>0.55371900826446285</v>
      </c>
      <c r="F304">
        <f t="shared" si="35"/>
        <v>145</v>
      </c>
      <c r="G304">
        <f t="shared" si="36"/>
        <v>80.289256198347118</v>
      </c>
      <c r="H304" t="str">
        <f>_xlfn.XLOOKUP(A304,Fact_Events!$D$2:$D$20,Fact_Events!$A$2:$A$20, "")</f>
        <v/>
      </c>
      <c r="I304">
        <f t="shared" si="37"/>
        <v>0</v>
      </c>
      <c r="J304" t="str">
        <f>_xlfn.XLOOKUP(H304, Fact_Events!$A$2:$A$20, Fact_Events!$F$2:$F$20, "")</f>
        <v/>
      </c>
      <c r="K304" t="str">
        <f t="shared" si="38"/>
        <v>Low</v>
      </c>
      <c r="L304">
        <f t="shared" si="39"/>
        <v>0.55000000000000004</v>
      </c>
      <c r="M304">
        <f>_xlfn.XLOOKUP(B304, Dim_Hotel!$A$2:$A$11, Dim_Hotel!$I$2:$I$11)
 + (IF(J304="",0,J304)
    * _xlfn.XLOOKUP(B304, Dim_Hotel!$A$2:$A$11, Dim_Hotel!$J$2:$J$11))</f>
        <v>145</v>
      </c>
    </row>
    <row r="305" spans="1:13" x14ac:dyDescent="0.25">
      <c r="A305" s="1">
        <f t="shared" si="32"/>
        <v>46053</v>
      </c>
      <c r="B305" t="str" cm="1">
        <f t="array" ref="B305">INDEX(HotelList,MOD(ROW()-2,10)+1)</f>
        <v>H004</v>
      </c>
      <c r="C305">
        <f>_xlfn.XLOOKUP(B305,Dim_Hotel!$A$2:$A$11,Dim_Hotel!$F$2:$F$11)</f>
        <v>108</v>
      </c>
      <c r="D305">
        <f t="shared" si="33"/>
        <v>59</v>
      </c>
      <c r="E305">
        <f t="shared" si="34"/>
        <v>0.54629629629629628</v>
      </c>
      <c r="F305">
        <f t="shared" si="35"/>
        <v>135</v>
      </c>
      <c r="G305">
        <f t="shared" si="36"/>
        <v>73.75</v>
      </c>
      <c r="H305" t="str">
        <f>_xlfn.XLOOKUP(A305,Fact_Events!$D$2:$D$20,Fact_Events!$A$2:$A$20, "")</f>
        <v/>
      </c>
      <c r="I305">
        <f t="shared" si="37"/>
        <v>0</v>
      </c>
      <c r="J305" t="str">
        <f>_xlfn.XLOOKUP(H305, Fact_Events!$A$2:$A$20, Fact_Events!$F$2:$F$20, "")</f>
        <v/>
      </c>
      <c r="K305" t="str">
        <f t="shared" si="38"/>
        <v>Low</v>
      </c>
      <c r="L305">
        <f t="shared" si="39"/>
        <v>0.55000000000000004</v>
      </c>
      <c r="M305">
        <f>_xlfn.XLOOKUP(B305, Dim_Hotel!$A$2:$A$11, Dim_Hotel!$I$2:$I$11)
 + (IF(J305="",0,J305)
    * _xlfn.XLOOKUP(B305, Dim_Hotel!$A$2:$A$11, Dim_Hotel!$J$2:$J$11))</f>
        <v>135</v>
      </c>
    </row>
    <row r="306" spans="1:13" x14ac:dyDescent="0.25">
      <c r="A306" s="1">
        <f t="shared" si="32"/>
        <v>46053</v>
      </c>
      <c r="B306" t="str" cm="1">
        <f t="array" ref="B306">INDEX(HotelList,MOD(ROW()-2,10)+1)</f>
        <v>H005</v>
      </c>
      <c r="C306">
        <f>_xlfn.XLOOKUP(B306,Dim_Hotel!$A$2:$A$11,Dim_Hotel!$F$2:$F$11)</f>
        <v>66</v>
      </c>
      <c r="D306">
        <f t="shared" si="33"/>
        <v>36</v>
      </c>
      <c r="E306">
        <f t="shared" si="34"/>
        <v>0.54545454545454541</v>
      </c>
      <c r="F306">
        <f t="shared" si="35"/>
        <v>82</v>
      </c>
      <c r="G306">
        <f t="shared" si="36"/>
        <v>44.727272727272727</v>
      </c>
      <c r="H306" t="str">
        <f>_xlfn.XLOOKUP(A306,Fact_Events!$D$2:$D$20,Fact_Events!$A$2:$A$20, "")</f>
        <v/>
      </c>
      <c r="I306">
        <f t="shared" si="37"/>
        <v>0</v>
      </c>
      <c r="J306" t="str">
        <f>_xlfn.XLOOKUP(H306, Fact_Events!$A$2:$A$20, Fact_Events!$F$2:$F$20, "")</f>
        <v/>
      </c>
      <c r="K306" t="str">
        <f t="shared" si="38"/>
        <v>Low</v>
      </c>
      <c r="L306">
        <f t="shared" si="39"/>
        <v>0.55000000000000004</v>
      </c>
      <c r="M306">
        <f>_xlfn.XLOOKUP(B306, Dim_Hotel!$A$2:$A$11, Dim_Hotel!$I$2:$I$11)
 + (IF(J306="",0,J306)
    * _xlfn.XLOOKUP(B306, Dim_Hotel!$A$2:$A$11, Dim_Hotel!$J$2:$J$11))</f>
        <v>82</v>
      </c>
    </row>
    <row r="307" spans="1:13" x14ac:dyDescent="0.25">
      <c r="A307" s="1">
        <f t="shared" si="32"/>
        <v>46053</v>
      </c>
      <c r="B307" t="str" cm="1">
        <f t="array" ref="B307">INDEX(HotelList,MOD(ROW()-2,10)+1)</f>
        <v>H006</v>
      </c>
      <c r="C307">
        <f>_xlfn.XLOOKUP(B307,Dim_Hotel!$A$2:$A$11,Dim_Hotel!$F$2:$F$11)</f>
        <v>311</v>
      </c>
      <c r="D307">
        <f t="shared" si="33"/>
        <v>171</v>
      </c>
      <c r="E307">
        <f t="shared" si="34"/>
        <v>0.54983922829581988</v>
      </c>
      <c r="F307">
        <f t="shared" si="35"/>
        <v>190</v>
      </c>
      <c r="G307">
        <f t="shared" si="36"/>
        <v>104.46945337620578</v>
      </c>
      <c r="H307" t="str">
        <f>_xlfn.XLOOKUP(A307,Fact_Events!$D$2:$D$20,Fact_Events!$A$2:$A$20, "")</f>
        <v/>
      </c>
      <c r="I307">
        <f t="shared" si="37"/>
        <v>0</v>
      </c>
      <c r="J307" t="str">
        <f>_xlfn.XLOOKUP(H307, Fact_Events!$A$2:$A$20, Fact_Events!$F$2:$F$20, "")</f>
        <v/>
      </c>
      <c r="K307" t="str">
        <f t="shared" si="38"/>
        <v>Low</v>
      </c>
      <c r="L307">
        <f t="shared" si="39"/>
        <v>0.55000000000000004</v>
      </c>
      <c r="M307">
        <f>_xlfn.XLOOKUP(B307, Dim_Hotel!$A$2:$A$11, Dim_Hotel!$I$2:$I$11)
 + (IF(J307="",0,J307)
    * _xlfn.XLOOKUP(B307, Dim_Hotel!$A$2:$A$11, Dim_Hotel!$J$2:$J$11))</f>
        <v>190</v>
      </c>
    </row>
    <row r="308" spans="1:13" x14ac:dyDescent="0.25">
      <c r="A308" s="1">
        <f t="shared" si="32"/>
        <v>46053</v>
      </c>
      <c r="B308" t="str" cm="1">
        <f t="array" ref="B308">INDEX(HotelList,MOD(ROW()-2,10)+1)</f>
        <v>H007</v>
      </c>
      <c r="C308">
        <f>_xlfn.XLOOKUP(B308,Dim_Hotel!$A$2:$A$11,Dim_Hotel!$F$2:$F$11)</f>
        <v>132</v>
      </c>
      <c r="D308">
        <f t="shared" si="33"/>
        <v>73</v>
      </c>
      <c r="E308">
        <f t="shared" si="34"/>
        <v>0.55303030303030298</v>
      </c>
      <c r="F308">
        <f t="shared" si="35"/>
        <v>165</v>
      </c>
      <c r="G308">
        <f t="shared" si="36"/>
        <v>91.249999999999986</v>
      </c>
      <c r="H308" t="str">
        <f>_xlfn.XLOOKUP(A308,Fact_Events!$D$2:$D$20,Fact_Events!$A$2:$A$20, "")</f>
        <v/>
      </c>
      <c r="I308">
        <f t="shared" si="37"/>
        <v>0</v>
      </c>
      <c r="J308" t="str">
        <f>_xlfn.XLOOKUP(H308, Fact_Events!$A$2:$A$20, Fact_Events!$F$2:$F$20, "")</f>
        <v/>
      </c>
      <c r="K308" t="str">
        <f t="shared" si="38"/>
        <v>Low</v>
      </c>
      <c r="L308">
        <f t="shared" si="39"/>
        <v>0.55000000000000004</v>
      </c>
      <c r="M308">
        <f>_xlfn.XLOOKUP(B308, Dim_Hotel!$A$2:$A$11, Dim_Hotel!$I$2:$I$11)
 + (IF(J308="",0,J308)
    * _xlfn.XLOOKUP(B308, Dim_Hotel!$A$2:$A$11, Dim_Hotel!$J$2:$J$11))</f>
        <v>165</v>
      </c>
    </row>
    <row r="309" spans="1:13" x14ac:dyDescent="0.25">
      <c r="A309" s="1">
        <f t="shared" si="32"/>
        <v>46053</v>
      </c>
      <c r="B309" t="str" cm="1">
        <f t="array" ref="B309">INDEX(HotelList,MOD(ROW()-2,10)+1)</f>
        <v>H008</v>
      </c>
      <c r="C309">
        <f>_xlfn.XLOOKUP(B309,Dim_Hotel!$A$2:$A$11,Dim_Hotel!$F$2:$F$11)</f>
        <v>103</v>
      </c>
      <c r="D309">
        <f t="shared" si="33"/>
        <v>57</v>
      </c>
      <c r="E309">
        <f t="shared" si="34"/>
        <v>0.55339805825242716</v>
      </c>
      <c r="F309">
        <f t="shared" si="35"/>
        <v>140</v>
      </c>
      <c r="G309">
        <f t="shared" si="36"/>
        <v>77.475728155339809</v>
      </c>
      <c r="H309" t="str">
        <f>_xlfn.XLOOKUP(A309,Fact_Events!$D$2:$D$20,Fact_Events!$A$2:$A$20, "")</f>
        <v/>
      </c>
      <c r="I309">
        <f t="shared" si="37"/>
        <v>0</v>
      </c>
      <c r="J309" t="str">
        <f>_xlfn.XLOOKUP(H309, Fact_Events!$A$2:$A$20, Fact_Events!$F$2:$F$20, "")</f>
        <v/>
      </c>
      <c r="K309" t="str">
        <f t="shared" si="38"/>
        <v>Low</v>
      </c>
      <c r="L309">
        <f t="shared" si="39"/>
        <v>0.55000000000000004</v>
      </c>
      <c r="M309">
        <f>_xlfn.XLOOKUP(B309, Dim_Hotel!$A$2:$A$11, Dim_Hotel!$I$2:$I$11)
 + (IF(J309="",0,J309)
    * _xlfn.XLOOKUP(B309, Dim_Hotel!$A$2:$A$11, Dim_Hotel!$J$2:$J$11))</f>
        <v>140</v>
      </c>
    </row>
    <row r="310" spans="1:13" x14ac:dyDescent="0.25">
      <c r="A310" s="1">
        <f t="shared" si="32"/>
        <v>46053</v>
      </c>
      <c r="B310" t="str" cm="1">
        <f t="array" ref="B310">INDEX(HotelList,MOD(ROW()-2,10)+1)</f>
        <v>H009</v>
      </c>
      <c r="C310">
        <f>_xlfn.XLOOKUP(B310,Dim_Hotel!$A$2:$A$11,Dim_Hotel!$F$2:$F$11)</f>
        <v>114</v>
      </c>
      <c r="D310">
        <f t="shared" si="33"/>
        <v>63</v>
      </c>
      <c r="E310">
        <f t="shared" si="34"/>
        <v>0.55263157894736847</v>
      </c>
      <c r="F310">
        <f t="shared" si="35"/>
        <v>185</v>
      </c>
      <c r="G310">
        <f t="shared" si="36"/>
        <v>102.23684210526316</v>
      </c>
      <c r="H310" t="str">
        <f>_xlfn.XLOOKUP(A310,Fact_Events!$D$2:$D$20,Fact_Events!$A$2:$A$20, "")</f>
        <v/>
      </c>
      <c r="I310">
        <f t="shared" si="37"/>
        <v>0</v>
      </c>
      <c r="J310" t="str">
        <f>_xlfn.XLOOKUP(H310, Fact_Events!$A$2:$A$20, Fact_Events!$F$2:$F$20, "")</f>
        <v/>
      </c>
      <c r="K310" t="str">
        <f t="shared" si="38"/>
        <v>Low</v>
      </c>
      <c r="L310">
        <f t="shared" si="39"/>
        <v>0.55000000000000004</v>
      </c>
      <c r="M310">
        <f>_xlfn.XLOOKUP(B310, Dim_Hotel!$A$2:$A$11, Dim_Hotel!$I$2:$I$11)
 + (IF(J310="",0,J310)
    * _xlfn.XLOOKUP(B310, Dim_Hotel!$A$2:$A$11, Dim_Hotel!$J$2:$J$11))</f>
        <v>185</v>
      </c>
    </row>
    <row r="311" spans="1:13" x14ac:dyDescent="0.25">
      <c r="A311" s="1">
        <f t="shared" si="32"/>
        <v>46053</v>
      </c>
      <c r="B311" t="str" cm="1">
        <f t="array" ref="B311">INDEX(HotelList,MOD(ROW()-2,10)+1)</f>
        <v>H010</v>
      </c>
      <c r="C311">
        <f>_xlfn.XLOOKUP(B311,Dim_Hotel!$A$2:$A$11,Dim_Hotel!$F$2:$F$11)</f>
        <v>89</v>
      </c>
      <c r="D311">
        <f t="shared" si="33"/>
        <v>49</v>
      </c>
      <c r="E311">
        <f t="shared" si="34"/>
        <v>0.550561797752809</v>
      </c>
      <c r="F311">
        <f t="shared" si="35"/>
        <v>150</v>
      </c>
      <c r="G311">
        <f t="shared" si="36"/>
        <v>82.584269662921344</v>
      </c>
      <c r="H311" t="str">
        <f>_xlfn.XLOOKUP(A311,Fact_Events!$D$2:$D$20,Fact_Events!$A$2:$A$20, "")</f>
        <v/>
      </c>
      <c r="I311">
        <f t="shared" si="37"/>
        <v>0</v>
      </c>
      <c r="J311" t="str">
        <f>_xlfn.XLOOKUP(H311, Fact_Events!$A$2:$A$20, Fact_Events!$F$2:$F$20, "")</f>
        <v/>
      </c>
      <c r="K311" t="str">
        <f t="shared" si="38"/>
        <v>Low</v>
      </c>
      <c r="L311">
        <f t="shared" si="39"/>
        <v>0.55000000000000004</v>
      </c>
      <c r="M311">
        <f>_xlfn.XLOOKUP(B311, Dim_Hotel!$A$2:$A$11, Dim_Hotel!$I$2:$I$11)
 + (IF(J311="",0,J311)
    * _xlfn.XLOOKUP(B311, Dim_Hotel!$A$2:$A$11, Dim_Hotel!$J$2:$J$11))</f>
        <v>150</v>
      </c>
    </row>
    <row r="312" spans="1:13" x14ac:dyDescent="0.25">
      <c r="A312" s="1">
        <f t="shared" si="32"/>
        <v>46054</v>
      </c>
      <c r="B312" t="str" cm="1">
        <f t="array" ref="B312">INDEX(HotelList,MOD(ROW()-2,10)+1)</f>
        <v>H001</v>
      </c>
      <c r="C312">
        <f>_xlfn.XLOOKUP(B312,Dim_Hotel!$A$2:$A$11,Dim_Hotel!$F$2:$F$11)</f>
        <v>888</v>
      </c>
      <c r="D312">
        <f t="shared" si="33"/>
        <v>488</v>
      </c>
      <c r="E312">
        <f t="shared" si="34"/>
        <v>0.5495495495495496</v>
      </c>
      <c r="F312">
        <f t="shared" si="35"/>
        <v>260</v>
      </c>
      <c r="G312">
        <f t="shared" si="36"/>
        <v>142.88288288288288</v>
      </c>
      <c r="H312" t="str">
        <f>_xlfn.XLOOKUP(A312,Fact_Events!$D$2:$D$20,Fact_Events!$A$2:$A$20, "")</f>
        <v/>
      </c>
      <c r="I312">
        <f t="shared" si="37"/>
        <v>0</v>
      </c>
      <c r="J312" t="str">
        <f>_xlfn.XLOOKUP(H312, Fact_Events!$A$2:$A$20, Fact_Events!$F$2:$F$20, "")</f>
        <v/>
      </c>
      <c r="K312" t="str">
        <f t="shared" si="38"/>
        <v>Low</v>
      </c>
      <c r="L312">
        <f t="shared" si="39"/>
        <v>0.55000000000000004</v>
      </c>
      <c r="M312">
        <f>_xlfn.XLOOKUP(B312, Dim_Hotel!$A$2:$A$11, Dim_Hotel!$I$2:$I$11)
 + (IF(J312="",0,J312)
    * _xlfn.XLOOKUP(B312, Dim_Hotel!$A$2:$A$11, Dim_Hotel!$J$2:$J$11))</f>
        <v>260</v>
      </c>
    </row>
    <row r="313" spans="1:13" x14ac:dyDescent="0.25">
      <c r="A313" s="1">
        <f t="shared" si="32"/>
        <v>46054</v>
      </c>
      <c r="B313" t="str" cm="1">
        <f t="array" ref="B313">INDEX(HotelList,MOD(ROW()-2,10)+1)</f>
        <v>H002</v>
      </c>
      <c r="C313">
        <f>_xlfn.XLOOKUP(B313,Dim_Hotel!$A$2:$A$11,Dim_Hotel!$F$2:$F$11)</f>
        <v>147</v>
      </c>
      <c r="D313">
        <f t="shared" si="33"/>
        <v>81</v>
      </c>
      <c r="E313">
        <f t="shared" si="34"/>
        <v>0.55102040816326525</v>
      </c>
      <c r="F313">
        <f t="shared" si="35"/>
        <v>175</v>
      </c>
      <c r="G313">
        <f t="shared" si="36"/>
        <v>96.428571428571416</v>
      </c>
      <c r="H313" t="str">
        <f>_xlfn.XLOOKUP(A313,Fact_Events!$D$2:$D$20,Fact_Events!$A$2:$A$20, "")</f>
        <v/>
      </c>
      <c r="I313">
        <f t="shared" si="37"/>
        <v>0</v>
      </c>
      <c r="J313" t="str">
        <f>_xlfn.XLOOKUP(H313, Fact_Events!$A$2:$A$20, Fact_Events!$F$2:$F$20, "")</f>
        <v/>
      </c>
      <c r="K313" t="str">
        <f t="shared" si="38"/>
        <v>Low</v>
      </c>
      <c r="L313">
        <f t="shared" si="39"/>
        <v>0.55000000000000004</v>
      </c>
      <c r="M313">
        <f>_xlfn.XLOOKUP(B313, Dim_Hotel!$A$2:$A$11, Dim_Hotel!$I$2:$I$11)
 + (IF(J313="",0,J313)
    * _xlfn.XLOOKUP(B313, Dim_Hotel!$A$2:$A$11, Dim_Hotel!$J$2:$J$11))</f>
        <v>175</v>
      </c>
    </row>
    <row r="314" spans="1:13" x14ac:dyDescent="0.25">
      <c r="A314" s="1">
        <f t="shared" si="32"/>
        <v>46054</v>
      </c>
      <c r="B314" t="str" cm="1">
        <f t="array" ref="B314">INDEX(HotelList,MOD(ROW()-2,10)+1)</f>
        <v>H003</v>
      </c>
      <c r="C314">
        <f>_xlfn.XLOOKUP(B314,Dim_Hotel!$A$2:$A$11,Dim_Hotel!$F$2:$F$11)</f>
        <v>121</v>
      </c>
      <c r="D314">
        <f t="shared" si="33"/>
        <v>67</v>
      </c>
      <c r="E314">
        <f t="shared" si="34"/>
        <v>0.55371900826446285</v>
      </c>
      <c r="F314">
        <f t="shared" si="35"/>
        <v>145</v>
      </c>
      <c r="G314">
        <f t="shared" si="36"/>
        <v>80.289256198347118</v>
      </c>
      <c r="H314" t="str">
        <f>_xlfn.XLOOKUP(A314,Fact_Events!$D$2:$D$20,Fact_Events!$A$2:$A$20, "")</f>
        <v/>
      </c>
      <c r="I314">
        <f t="shared" si="37"/>
        <v>0</v>
      </c>
      <c r="J314" t="str">
        <f>_xlfn.XLOOKUP(H314, Fact_Events!$A$2:$A$20, Fact_Events!$F$2:$F$20, "")</f>
        <v/>
      </c>
      <c r="K314" t="str">
        <f t="shared" si="38"/>
        <v>Low</v>
      </c>
      <c r="L314">
        <f t="shared" si="39"/>
        <v>0.55000000000000004</v>
      </c>
      <c r="M314">
        <f>_xlfn.XLOOKUP(B314, Dim_Hotel!$A$2:$A$11, Dim_Hotel!$I$2:$I$11)
 + (IF(J314="",0,J314)
    * _xlfn.XLOOKUP(B314, Dim_Hotel!$A$2:$A$11, Dim_Hotel!$J$2:$J$11))</f>
        <v>145</v>
      </c>
    </row>
    <row r="315" spans="1:13" x14ac:dyDescent="0.25">
      <c r="A315" s="1">
        <f t="shared" si="32"/>
        <v>46054</v>
      </c>
      <c r="B315" t="str" cm="1">
        <f t="array" ref="B315">INDEX(HotelList,MOD(ROW()-2,10)+1)</f>
        <v>H004</v>
      </c>
      <c r="C315">
        <f>_xlfn.XLOOKUP(B315,Dim_Hotel!$A$2:$A$11,Dim_Hotel!$F$2:$F$11)</f>
        <v>108</v>
      </c>
      <c r="D315">
        <f t="shared" si="33"/>
        <v>59</v>
      </c>
      <c r="E315">
        <f t="shared" si="34"/>
        <v>0.54629629629629628</v>
      </c>
      <c r="F315">
        <f t="shared" si="35"/>
        <v>135</v>
      </c>
      <c r="G315">
        <f t="shared" si="36"/>
        <v>73.75</v>
      </c>
      <c r="H315" t="str">
        <f>_xlfn.XLOOKUP(A315,Fact_Events!$D$2:$D$20,Fact_Events!$A$2:$A$20, "")</f>
        <v/>
      </c>
      <c r="I315">
        <f t="shared" si="37"/>
        <v>0</v>
      </c>
      <c r="J315" t="str">
        <f>_xlfn.XLOOKUP(H315, Fact_Events!$A$2:$A$20, Fact_Events!$F$2:$F$20, "")</f>
        <v/>
      </c>
      <c r="K315" t="str">
        <f t="shared" si="38"/>
        <v>Low</v>
      </c>
      <c r="L315">
        <f t="shared" si="39"/>
        <v>0.55000000000000004</v>
      </c>
      <c r="M315">
        <f>_xlfn.XLOOKUP(B315, Dim_Hotel!$A$2:$A$11, Dim_Hotel!$I$2:$I$11)
 + (IF(J315="",0,J315)
    * _xlfn.XLOOKUP(B315, Dim_Hotel!$A$2:$A$11, Dim_Hotel!$J$2:$J$11))</f>
        <v>135</v>
      </c>
    </row>
    <row r="316" spans="1:13" x14ac:dyDescent="0.25">
      <c r="A316" s="1">
        <f t="shared" si="32"/>
        <v>46054</v>
      </c>
      <c r="B316" t="str" cm="1">
        <f t="array" ref="B316">INDEX(HotelList,MOD(ROW()-2,10)+1)</f>
        <v>H005</v>
      </c>
      <c r="C316">
        <f>_xlfn.XLOOKUP(B316,Dim_Hotel!$A$2:$A$11,Dim_Hotel!$F$2:$F$11)</f>
        <v>66</v>
      </c>
      <c r="D316">
        <f t="shared" si="33"/>
        <v>36</v>
      </c>
      <c r="E316">
        <f t="shared" si="34"/>
        <v>0.54545454545454541</v>
      </c>
      <c r="F316">
        <f t="shared" si="35"/>
        <v>82</v>
      </c>
      <c r="G316">
        <f t="shared" si="36"/>
        <v>44.727272727272727</v>
      </c>
      <c r="H316" t="str">
        <f>_xlfn.XLOOKUP(A316,Fact_Events!$D$2:$D$20,Fact_Events!$A$2:$A$20, "")</f>
        <v/>
      </c>
      <c r="I316">
        <f t="shared" si="37"/>
        <v>0</v>
      </c>
      <c r="J316" t="str">
        <f>_xlfn.XLOOKUP(H316, Fact_Events!$A$2:$A$20, Fact_Events!$F$2:$F$20, "")</f>
        <v/>
      </c>
      <c r="K316" t="str">
        <f t="shared" si="38"/>
        <v>Low</v>
      </c>
      <c r="L316">
        <f t="shared" si="39"/>
        <v>0.55000000000000004</v>
      </c>
      <c r="M316">
        <f>_xlfn.XLOOKUP(B316, Dim_Hotel!$A$2:$A$11, Dim_Hotel!$I$2:$I$11)
 + (IF(J316="",0,J316)
    * _xlfn.XLOOKUP(B316, Dim_Hotel!$A$2:$A$11, Dim_Hotel!$J$2:$J$11))</f>
        <v>82</v>
      </c>
    </row>
    <row r="317" spans="1:13" x14ac:dyDescent="0.25">
      <c r="A317" s="1">
        <f t="shared" si="32"/>
        <v>46054</v>
      </c>
      <c r="B317" t="str" cm="1">
        <f t="array" ref="B317">INDEX(HotelList,MOD(ROW()-2,10)+1)</f>
        <v>H006</v>
      </c>
      <c r="C317">
        <f>_xlfn.XLOOKUP(B317,Dim_Hotel!$A$2:$A$11,Dim_Hotel!$F$2:$F$11)</f>
        <v>311</v>
      </c>
      <c r="D317">
        <f t="shared" si="33"/>
        <v>171</v>
      </c>
      <c r="E317">
        <f t="shared" si="34"/>
        <v>0.54983922829581988</v>
      </c>
      <c r="F317">
        <f t="shared" si="35"/>
        <v>190</v>
      </c>
      <c r="G317">
        <f t="shared" si="36"/>
        <v>104.46945337620578</v>
      </c>
      <c r="H317" t="str">
        <f>_xlfn.XLOOKUP(A317,Fact_Events!$D$2:$D$20,Fact_Events!$A$2:$A$20, "")</f>
        <v/>
      </c>
      <c r="I317">
        <f t="shared" si="37"/>
        <v>0</v>
      </c>
      <c r="J317" t="str">
        <f>_xlfn.XLOOKUP(H317, Fact_Events!$A$2:$A$20, Fact_Events!$F$2:$F$20, "")</f>
        <v/>
      </c>
      <c r="K317" t="str">
        <f t="shared" si="38"/>
        <v>Low</v>
      </c>
      <c r="L317">
        <f t="shared" si="39"/>
        <v>0.55000000000000004</v>
      </c>
      <c r="M317">
        <f>_xlfn.XLOOKUP(B317, Dim_Hotel!$A$2:$A$11, Dim_Hotel!$I$2:$I$11)
 + (IF(J317="",0,J317)
    * _xlfn.XLOOKUP(B317, Dim_Hotel!$A$2:$A$11, Dim_Hotel!$J$2:$J$11))</f>
        <v>190</v>
      </c>
    </row>
    <row r="318" spans="1:13" x14ac:dyDescent="0.25">
      <c r="A318" s="1">
        <f t="shared" si="32"/>
        <v>46054</v>
      </c>
      <c r="B318" t="str" cm="1">
        <f t="array" ref="B318">INDEX(HotelList,MOD(ROW()-2,10)+1)</f>
        <v>H007</v>
      </c>
      <c r="C318">
        <f>_xlfn.XLOOKUP(B318,Dim_Hotel!$A$2:$A$11,Dim_Hotel!$F$2:$F$11)</f>
        <v>132</v>
      </c>
      <c r="D318">
        <f t="shared" si="33"/>
        <v>73</v>
      </c>
      <c r="E318">
        <f t="shared" si="34"/>
        <v>0.55303030303030298</v>
      </c>
      <c r="F318">
        <f t="shared" si="35"/>
        <v>165</v>
      </c>
      <c r="G318">
        <f t="shared" si="36"/>
        <v>91.249999999999986</v>
      </c>
      <c r="H318" t="str">
        <f>_xlfn.XLOOKUP(A318,Fact_Events!$D$2:$D$20,Fact_Events!$A$2:$A$20, "")</f>
        <v/>
      </c>
      <c r="I318">
        <f t="shared" si="37"/>
        <v>0</v>
      </c>
      <c r="J318" t="str">
        <f>_xlfn.XLOOKUP(H318, Fact_Events!$A$2:$A$20, Fact_Events!$F$2:$F$20, "")</f>
        <v/>
      </c>
      <c r="K318" t="str">
        <f t="shared" si="38"/>
        <v>Low</v>
      </c>
      <c r="L318">
        <f t="shared" si="39"/>
        <v>0.55000000000000004</v>
      </c>
      <c r="M318">
        <f>_xlfn.XLOOKUP(B318, Dim_Hotel!$A$2:$A$11, Dim_Hotel!$I$2:$I$11)
 + (IF(J318="",0,J318)
    * _xlfn.XLOOKUP(B318, Dim_Hotel!$A$2:$A$11, Dim_Hotel!$J$2:$J$11))</f>
        <v>165</v>
      </c>
    </row>
    <row r="319" spans="1:13" x14ac:dyDescent="0.25">
      <c r="A319" s="1">
        <f t="shared" si="32"/>
        <v>46054</v>
      </c>
      <c r="B319" t="str" cm="1">
        <f t="array" ref="B319">INDEX(HotelList,MOD(ROW()-2,10)+1)</f>
        <v>H008</v>
      </c>
      <c r="C319">
        <f>_xlfn.XLOOKUP(B319,Dim_Hotel!$A$2:$A$11,Dim_Hotel!$F$2:$F$11)</f>
        <v>103</v>
      </c>
      <c r="D319">
        <f t="shared" si="33"/>
        <v>57</v>
      </c>
      <c r="E319">
        <f t="shared" si="34"/>
        <v>0.55339805825242716</v>
      </c>
      <c r="F319">
        <f t="shared" si="35"/>
        <v>140</v>
      </c>
      <c r="G319">
        <f t="shared" si="36"/>
        <v>77.475728155339809</v>
      </c>
      <c r="H319" t="str">
        <f>_xlfn.XLOOKUP(A319,Fact_Events!$D$2:$D$20,Fact_Events!$A$2:$A$20, "")</f>
        <v/>
      </c>
      <c r="I319">
        <f t="shared" si="37"/>
        <v>0</v>
      </c>
      <c r="J319" t="str">
        <f>_xlfn.XLOOKUP(H319, Fact_Events!$A$2:$A$20, Fact_Events!$F$2:$F$20, "")</f>
        <v/>
      </c>
      <c r="K319" t="str">
        <f t="shared" si="38"/>
        <v>Low</v>
      </c>
      <c r="L319">
        <f t="shared" si="39"/>
        <v>0.55000000000000004</v>
      </c>
      <c r="M319">
        <f>_xlfn.XLOOKUP(B319, Dim_Hotel!$A$2:$A$11, Dim_Hotel!$I$2:$I$11)
 + (IF(J319="",0,J319)
    * _xlfn.XLOOKUP(B319, Dim_Hotel!$A$2:$A$11, Dim_Hotel!$J$2:$J$11))</f>
        <v>140</v>
      </c>
    </row>
    <row r="320" spans="1:13" x14ac:dyDescent="0.25">
      <c r="A320" s="1">
        <f t="shared" si="32"/>
        <v>46054</v>
      </c>
      <c r="B320" t="str" cm="1">
        <f t="array" ref="B320">INDEX(HotelList,MOD(ROW()-2,10)+1)</f>
        <v>H009</v>
      </c>
      <c r="C320">
        <f>_xlfn.XLOOKUP(B320,Dim_Hotel!$A$2:$A$11,Dim_Hotel!$F$2:$F$11)</f>
        <v>114</v>
      </c>
      <c r="D320">
        <f t="shared" si="33"/>
        <v>63</v>
      </c>
      <c r="E320">
        <f t="shared" si="34"/>
        <v>0.55263157894736847</v>
      </c>
      <c r="F320">
        <f t="shared" si="35"/>
        <v>185</v>
      </c>
      <c r="G320">
        <f t="shared" si="36"/>
        <v>102.23684210526316</v>
      </c>
      <c r="H320" t="str">
        <f>_xlfn.XLOOKUP(A320,Fact_Events!$D$2:$D$20,Fact_Events!$A$2:$A$20, "")</f>
        <v/>
      </c>
      <c r="I320">
        <f t="shared" si="37"/>
        <v>0</v>
      </c>
      <c r="J320" t="str">
        <f>_xlfn.XLOOKUP(H320, Fact_Events!$A$2:$A$20, Fact_Events!$F$2:$F$20, "")</f>
        <v/>
      </c>
      <c r="K320" t="str">
        <f t="shared" si="38"/>
        <v>Low</v>
      </c>
      <c r="L320">
        <f t="shared" si="39"/>
        <v>0.55000000000000004</v>
      </c>
      <c r="M320">
        <f>_xlfn.XLOOKUP(B320, Dim_Hotel!$A$2:$A$11, Dim_Hotel!$I$2:$I$11)
 + (IF(J320="",0,J320)
    * _xlfn.XLOOKUP(B320, Dim_Hotel!$A$2:$A$11, Dim_Hotel!$J$2:$J$11))</f>
        <v>185</v>
      </c>
    </row>
    <row r="321" spans="1:13" x14ac:dyDescent="0.25">
      <c r="A321" s="1">
        <f t="shared" si="32"/>
        <v>46054</v>
      </c>
      <c r="B321" t="str" cm="1">
        <f t="array" ref="B321">INDEX(HotelList,MOD(ROW()-2,10)+1)</f>
        <v>H010</v>
      </c>
      <c r="C321">
        <f>_xlfn.XLOOKUP(B321,Dim_Hotel!$A$2:$A$11,Dim_Hotel!$F$2:$F$11)</f>
        <v>89</v>
      </c>
      <c r="D321">
        <f t="shared" si="33"/>
        <v>49</v>
      </c>
      <c r="E321">
        <f t="shared" si="34"/>
        <v>0.550561797752809</v>
      </c>
      <c r="F321">
        <f t="shared" si="35"/>
        <v>150</v>
      </c>
      <c r="G321">
        <f t="shared" si="36"/>
        <v>82.584269662921344</v>
      </c>
      <c r="H321" t="str">
        <f>_xlfn.XLOOKUP(A321,Fact_Events!$D$2:$D$20,Fact_Events!$A$2:$A$20, "")</f>
        <v/>
      </c>
      <c r="I321">
        <f t="shared" si="37"/>
        <v>0</v>
      </c>
      <c r="J321" t="str">
        <f>_xlfn.XLOOKUP(H321, Fact_Events!$A$2:$A$20, Fact_Events!$F$2:$F$20, "")</f>
        <v/>
      </c>
      <c r="K321" t="str">
        <f t="shared" si="38"/>
        <v>Low</v>
      </c>
      <c r="L321">
        <f t="shared" si="39"/>
        <v>0.55000000000000004</v>
      </c>
      <c r="M321">
        <f>_xlfn.XLOOKUP(B321, Dim_Hotel!$A$2:$A$11, Dim_Hotel!$I$2:$I$11)
 + (IF(J321="",0,J321)
    * _xlfn.XLOOKUP(B321, Dim_Hotel!$A$2:$A$11, Dim_Hotel!$J$2:$J$11))</f>
        <v>150</v>
      </c>
    </row>
    <row r="322" spans="1:13" x14ac:dyDescent="0.25">
      <c r="A322" s="1">
        <f t="shared" si="32"/>
        <v>46055</v>
      </c>
      <c r="B322" t="str" cm="1">
        <f t="array" ref="B322">INDEX(HotelList,MOD(ROW()-2,10)+1)</f>
        <v>H001</v>
      </c>
      <c r="C322">
        <f>_xlfn.XLOOKUP(B322,Dim_Hotel!$A$2:$A$11,Dim_Hotel!$F$2:$F$11)</f>
        <v>888</v>
      </c>
      <c r="D322">
        <f t="shared" si="33"/>
        <v>488</v>
      </c>
      <c r="E322">
        <f t="shared" si="34"/>
        <v>0.5495495495495496</v>
      </c>
      <c r="F322">
        <f t="shared" si="35"/>
        <v>260</v>
      </c>
      <c r="G322">
        <f t="shared" si="36"/>
        <v>142.88288288288288</v>
      </c>
      <c r="H322" t="str">
        <f>_xlfn.XLOOKUP(A322,Fact_Events!$D$2:$D$20,Fact_Events!$A$2:$A$20, "")</f>
        <v/>
      </c>
      <c r="I322">
        <f t="shared" si="37"/>
        <v>0</v>
      </c>
      <c r="J322" t="str">
        <f>_xlfn.XLOOKUP(H322, Fact_Events!$A$2:$A$20, Fact_Events!$F$2:$F$20, "")</f>
        <v/>
      </c>
      <c r="K322" t="str">
        <f t="shared" si="38"/>
        <v>Low</v>
      </c>
      <c r="L322">
        <f t="shared" si="39"/>
        <v>0.55000000000000004</v>
      </c>
      <c r="M322">
        <f>_xlfn.XLOOKUP(B322, Dim_Hotel!$A$2:$A$11, Dim_Hotel!$I$2:$I$11)
 + (IF(J322="",0,J322)
    * _xlfn.XLOOKUP(B322, Dim_Hotel!$A$2:$A$11, Dim_Hotel!$J$2:$J$11))</f>
        <v>260</v>
      </c>
    </row>
    <row r="323" spans="1:13" x14ac:dyDescent="0.25">
      <c r="A323" s="1">
        <f t="shared" ref="A323:A386" si="40">DATE(2026,1,1) + INT((ROW()-2)/10)</f>
        <v>46055</v>
      </c>
      <c r="B323" t="str" cm="1">
        <f t="array" ref="B323">INDEX(HotelList,MOD(ROW()-2,10)+1)</f>
        <v>H002</v>
      </c>
      <c r="C323">
        <f>_xlfn.XLOOKUP(B323,Dim_Hotel!$A$2:$A$11,Dim_Hotel!$F$2:$F$11)</f>
        <v>147</v>
      </c>
      <c r="D323">
        <f t="shared" ref="D323:D386" si="41">ROUND(L323 * C323, 0)</f>
        <v>81</v>
      </c>
      <c r="E323">
        <f t="shared" ref="E323:E386" si="42">D323/C323</f>
        <v>0.55102040816326525</v>
      </c>
      <c r="F323">
        <f t="shared" ref="F323:F386" si="43">M323</f>
        <v>175</v>
      </c>
      <c r="G323">
        <f t="shared" ref="G323:G386" si="44">E323*F323</f>
        <v>96.428571428571416</v>
      </c>
      <c r="H323" t="str">
        <f>_xlfn.XLOOKUP(A323,Fact_Events!$D$2:$D$20,Fact_Events!$A$2:$A$20, "")</f>
        <v/>
      </c>
      <c r="I323">
        <f t="shared" ref="I323:I386" si="45">IF(H323="",0,1)</f>
        <v>0</v>
      </c>
      <c r="J323" t="str">
        <f>_xlfn.XLOOKUP(H323, Fact_Events!$A$2:$A$20, Fact_Events!$F$2:$F$20, "")</f>
        <v/>
      </c>
      <c r="K323" t="str">
        <f t="shared" ref="K323:K386" si="46">IF(I323=0,"Low",
   IF(J323&gt;=9,"High","Medium"))</f>
        <v>Low</v>
      </c>
      <c r="L323">
        <f t="shared" ref="L323:L386" si="47">MIN(1,
  0.55
  + (I323 * 0.25)
  + (IF(J323="",0,J323) / 100)
)</f>
        <v>0.55000000000000004</v>
      </c>
      <c r="M323">
        <f>_xlfn.XLOOKUP(B323, Dim_Hotel!$A$2:$A$11, Dim_Hotel!$I$2:$I$11)
 + (IF(J323="",0,J323)
    * _xlfn.XLOOKUP(B323, Dim_Hotel!$A$2:$A$11, Dim_Hotel!$J$2:$J$11))</f>
        <v>175</v>
      </c>
    </row>
    <row r="324" spans="1:13" x14ac:dyDescent="0.25">
      <c r="A324" s="1">
        <f t="shared" si="40"/>
        <v>46055</v>
      </c>
      <c r="B324" t="str" cm="1">
        <f t="array" ref="B324">INDEX(HotelList,MOD(ROW()-2,10)+1)</f>
        <v>H003</v>
      </c>
      <c r="C324">
        <f>_xlfn.XLOOKUP(B324,Dim_Hotel!$A$2:$A$11,Dim_Hotel!$F$2:$F$11)</f>
        <v>121</v>
      </c>
      <c r="D324">
        <f t="shared" si="41"/>
        <v>67</v>
      </c>
      <c r="E324">
        <f t="shared" si="42"/>
        <v>0.55371900826446285</v>
      </c>
      <c r="F324">
        <f t="shared" si="43"/>
        <v>145</v>
      </c>
      <c r="G324">
        <f t="shared" si="44"/>
        <v>80.289256198347118</v>
      </c>
      <c r="H324" t="str">
        <f>_xlfn.XLOOKUP(A324,Fact_Events!$D$2:$D$20,Fact_Events!$A$2:$A$20, "")</f>
        <v/>
      </c>
      <c r="I324">
        <f t="shared" si="45"/>
        <v>0</v>
      </c>
      <c r="J324" t="str">
        <f>_xlfn.XLOOKUP(H324, Fact_Events!$A$2:$A$20, Fact_Events!$F$2:$F$20, "")</f>
        <v/>
      </c>
      <c r="K324" t="str">
        <f t="shared" si="46"/>
        <v>Low</v>
      </c>
      <c r="L324">
        <f t="shared" si="47"/>
        <v>0.55000000000000004</v>
      </c>
      <c r="M324">
        <f>_xlfn.XLOOKUP(B324, Dim_Hotel!$A$2:$A$11, Dim_Hotel!$I$2:$I$11)
 + (IF(J324="",0,J324)
    * _xlfn.XLOOKUP(B324, Dim_Hotel!$A$2:$A$11, Dim_Hotel!$J$2:$J$11))</f>
        <v>145</v>
      </c>
    </row>
    <row r="325" spans="1:13" x14ac:dyDescent="0.25">
      <c r="A325" s="1">
        <f t="shared" si="40"/>
        <v>46055</v>
      </c>
      <c r="B325" t="str" cm="1">
        <f t="array" ref="B325">INDEX(HotelList,MOD(ROW()-2,10)+1)</f>
        <v>H004</v>
      </c>
      <c r="C325">
        <f>_xlfn.XLOOKUP(B325,Dim_Hotel!$A$2:$A$11,Dim_Hotel!$F$2:$F$11)</f>
        <v>108</v>
      </c>
      <c r="D325">
        <f t="shared" si="41"/>
        <v>59</v>
      </c>
      <c r="E325">
        <f t="shared" si="42"/>
        <v>0.54629629629629628</v>
      </c>
      <c r="F325">
        <f t="shared" si="43"/>
        <v>135</v>
      </c>
      <c r="G325">
        <f t="shared" si="44"/>
        <v>73.75</v>
      </c>
      <c r="H325" t="str">
        <f>_xlfn.XLOOKUP(A325,Fact_Events!$D$2:$D$20,Fact_Events!$A$2:$A$20, "")</f>
        <v/>
      </c>
      <c r="I325">
        <f t="shared" si="45"/>
        <v>0</v>
      </c>
      <c r="J325" t="str">
        <f>_xlfn.XLOOKUP(H325, Fact_Events!$A$2:$A$20, Fact_Events!$F$2:$F$20, "")</f>
        <v/>
      </c>
      <c r="K325" t="str">
        <f t="shared" si="46"/>
        <v>Low</v>
      </c>
      <c r="L325">
        <f t="shared" si="47"/>
        <v>0.55000000000000004</v>
      </c>
      <c r="M325">
        <f>_xlfn.XLOOKUP(B325, Dim_Hotel!$A$2:$A$11, Dim_Hotel!$I$2:$I$11)
 + (IF(J325="",0,J325)
    * _xlfn.XLOOKUP(B325, Dim_Hotel!$A$2:$A$11, Dim_Hotel!$J$2:$J$11))</f>
        <v>135</v>
      </c>
    </row>
    <row r="326" spans="1:13" x14ac:dyDescent="0.25">
      <c r="A326" s="1">
        <f t="shared" si="40"/>
        <v>46055</v>
      </c>
      <c r="B326" t="str" cm="1">
        <f t="array" ref="B326">INDEX(HotelList,MOD(ROW()-2,10)+1)</f>
        <v>H005</v>
      </c>
      <c r="C326">
        <f>_xlfn.XLOOKUP(B326,Dim_Hotel!$A$2:$A$11,Dim_Hotel!$F$2:$F$11)</f>
        <v>66</v>
      </c>
      <c r="D326">
        <f t="shared" si="41"/>
        <v>36</v>
      </c>
      <c r="E326">
        <f t="shared" si="42"/>
        <v>0.54545454545454541</v>
      </c>
      <c r="F326">
        <f t="shared" si="43"/>
        <v>82</v>
      </c>
      <c r="G326">
        <f t="shared" si="44"/>
        <v>44.727272727272727</v>
      </c>
      <c r="H326" t="str">
        <f>_xlfn.XLOOKUP(A326,Fact_Events!$D$2:$D$20,Fact_Events!$A$2:$A$20, "")</f>
        <v/>
      </c>
      <c r="I326">
        <f t="shared" si="45"/>
        <v>0</v>
      </c>
      <c r="J326" t="str">
        <f>_xlfn.XLOOKUP(H326, Fact_Events!$A$2:$A$20, Fact_Events!$F$2:$F$20, "")</f>
        <v/>
      </c>
      <c r="K326" t="str">
        <f t="shared" si="46"/>
        <v>Low</v>
      </c>
      <c r="L326">
        <f t="shared" si="47"/>
        <v>0.55000000000000004</v>
      </c>
      <c r="M326">
        <f>_xlfn.XLOOKUP(B326, Dim_Hotel!$A$2:$A$11, Dim_Hotel!$I$2:$I$11)
 + (IF(J326="",0,J326)
    * _xlfn.XLOOKUP(B326, Dim_Hotel!$A$2:$A$11, Dim_Hotel!$J$2:$J$11))</f>
        <v>82</v>
      </c>
    </row>
    <row r="327" spans="1:13" x14ac:dyDescent="0.25">
      <c r="A327" s="1">
        <f t="shared" si="40"/>
        <v>46055</v>
      </c>
      <c r="B327" t="str" cm="1">
        <f t="array" ref="B327">INDEX(HotelList,MOD(ROW()-2,10)+1)</f>
        <v>H006</v>
      </c>
      <c r="C327">
        <f>_xlfn.XLOOKUP(B327,Dim_Hotel!$A$2:$A$11,Dim_Hotel!$F$2:$F$11)</f>
        <v>311</v>
      </c>
      <c r="D327">
        <f t="shared" si="41"/>
        <v>171</v>
      </c>
      <c r="E327">
        <f t="shared" si="42"/>
        <v>0.54983922829581988</v>
      </c>
      <c r="F327">
        <f t="shared" si="43"/>
        <v>190</v>
      </c>
      <c r="G327">
        <f t="shared" si="44"/>
        <v>104.46945337620578</v>
      </c>
      <c r="H327" t="str">
        <f>_xlfn.XLOOKUP(A327,Fact_Events!$D$2:$D$20,Fact_Events!$A$2:$A$20, "")</f>
        <v/>
      </c>
      <c r="I327">
        <f t="shared" si="45"/>
        <v>0</v>
      </c>
      <c r="J327" t="str">
        <f>_xlfn.XLOOKUP(H327, Fact_Events!$A$2:$A$20, Fact_Events!$F$2:$F$20, "")</f>
        <v/>
      </c>
      <c r="K327" t="str">
        <f t="shared" si="46"/>
        <v>Low</v>
      </c>
      <c r="L327">
        <f t="shared" si="47"/>
        <v>0.55000000000000004</v>
      </c>
      <c r="M327">
        <f>_xlfn.XLOOKUP(B327, Dim_Hotel!$A$2:$A$11, Dim_Hotel!$I$2:$I$11)
 + (IF(J327="",0,J327)
    * _xlfn.XLOOKUP(B327, Dim_Hotel!$A$2:$A$11, Dim_Hotel!$J$2:$J$11))</f>
        <v>190</v>
      </c>
    </row>
    <row r="328" spans="1:13" x14ac:dyDescent="0.25">
      <c r="A328" s="1">
        <f t="shared" si="40"/>
        <v>46055</v>
      </c>
      <c r="B328" t="str" cm="1">
        <f t="array" ref="B328">INDEX(HotelList,MOD(ROW()-2,10)+1)</f>
        <v>H007</v>
      </c>
      <c r="C328">
        <f>_xlfn.XLOOKUP(B328,Dim_Hotel!$A$2:$A$11,Dim_Hotel!$F$2:$F$11)</f>
        <v>132</v>
      </c>
      <c r="D328">
        <f t="shared" si="41"/>
        <v>73</v>
      </c>
      <c r="E328">
        <f t="shared" si="42"/>
        <v>0.55303030303030298</v>
      </c>
      <c r="F328">
        <f t="shared" si="43"/>
        <v>165</v>
      </c>
      <c r="G328">
        <f t="shared" si="44"/>
        <v>91.249999999999986</v>
      </c>
      <c r="H328" t="str">
        <f>_xlfn.XLOOKUP(A328,Fact_Events!$D$2:$D$20,Fact_Events!$A$2:$A$20, "")</f>
        <v/>
      </c>
      <c r="I328">
        <f t="shared" si="45"/>
        <v>0</v>
      </c>
      <c r="J328" t="str">
        <f>_xlfn.XLOOKUP(H328, Fact_Events!$A$2:$A$20, Fact_Events!$F$2:$F$20, "")</f>
        <v/>
      </c>
      <c r="K328" t="str">
        <f t="shared" si="46"/>
        <v>Low</v>
      </c>
      <c r="L328">
        <f t="shared" si="47"/>
        <v>0.55000000000000004</v>
      </c>
      <c r="M328">
        <f>_xlfn.XLOOKUP(B328, Dim_Hotel!$A$2:$A$11, Dim_Hotel!$I$2:$I$11)
 + (IF(J328="",0,J328)
    * _xlfn.XLOOKUP(B328, Dim_Hotel!$A$2:$A$11, Dim_Hotel!$J$2:$J$11))</f>
        <v>165</v>
      </c>
    </row>
    <row r="329" spans="1:13" x14ac:dyDescent="0.25">
      <c r="A329" s="1">
        <f t="shared" si="40"/>
        <v>46055</v>
      </c>
      <c r="B329" t="str" cm="1">
        <f t="array" ref="B329">INDEX(HotelList,MOD(ROW()-2,10)+1)</f>
        <v>H008</v>
      </c>
      <c r="C329">
        <f>_xlfn.XLOOKUP(B329,Dim_Hotel!$A$2:$A$11,Dim_Hotel!$F$2:$F$11)</f>
        <v>103</v>
      </c>
      <c r="D329">
        <f t="shared" si="41"/>
        <v>57</v>
      </c>
      <c r="E329">
        <f t="shared" si="42"/>
        <v>0.55339805825242716</v>
      </c>
      <c r="F329">
        <f t="shared" si="43"/>
        <v>140</v>
      </c>
      <c r="G329">
        <f t="shared" si="44"/>
        <v>77.475728155339809</v>
      </c>
      <c r="H329" t="str">
        <f>_xlfn.XLOOKUP(A329,Fact_Events!$D$2:$D$20,Fact_Events!$A$2:$A$20, "")</f>
        <v/>
      </c>
      <c r="I329">
        <f t="shared" si="45"/>
        <v>0</v>
      </c>
      <c r="J329" t="str">
        <f>_xlfn.XLOOKUP(H329, Fact_Events!$A$2:$A$20, Fact_Events!$F$2:$F$20, "")</f>
        <v/>
      </c>
      <c r="K329" t="str">
        <f t="shared" si="46"/>
        <v>Low</v>
      </c>
      <c r="L329">
        <f t="shared" si="47"/>
        <v>0.55000000000000004</v>
      </c>
      <c r="M329">
        <f>_xlfn.XLOOKUP(B329, Dim_Hotel!$A$2:$A$11, Dim_Hotel!$I$2:$I$11)
 + (IF(J329="",0,J329)
    * _xlfn.XLOOKUP(B329, Dim_Hotel!$A$2:$A$11, Dim_Hotel!$J$2:$J$11))</f>
        <v>140</v>
      </c>
    </row>
    <row r="330" spans="1:13" x14ac:dyDescent="0.25">
      <c r="A330" s="1">
        <f t="shared" si="40"/>
        <v>46055</v>
      </c>
      <c r="B330" t="str" cm="1">
        <f t="array" ref="B330">INDEX(HotelList,MOD(ROW()-2,10)+1)</f>
        <v>H009</v>
      </c>
      <c r="C330">
        <f>_xlfn.XLOOKUP(B330,Dim_Hotel!$A$2:$A$11,Dim_Hotel!$F$2:$F$11)</f>
        <v>114</v>
      </c>
      <c r="D330">
        <f t="shared" si="41"/>
        <v>63</v>
      </c>
      <c r="E330">
        <f t="shared" si="42"/>
        <v>0.55263157894736847</v>
      </c>
      <c r="F330">
        <f t="shared" si="43"/>
        <v>185</v>
      </c>
      <c r="G330">
        <f t="shared" si="44"/>
        <v>102.23684210526316</v>
      </c>
      <c r="H330" t="str">
        <f>_xlfn.XLOOKUP(A330,Fact_Events!$D$2:$D$20,Fact_Events!$A$2:$A$20, "")</f>
        <v/>
      </c>
      <c r="I330">
        <f t="shared" si="45"/>
        <v>0</v>
      </c>
      <c r="J330" t="str">
        <f>_xlfn.XLOOKUP(H330, Fact_Events!$A$2:$A$20, Fact_Events!$F$2:$F$20, "")</f>
        <v/>
      </c>
      <c r="K330" t="str">
        <f t="shared" si="46"/>
        <v>Low</v>
      </c>
      <c r="L330">
        <f t="shared" si="47"/>
        <v>0.55000000000000004</v>
      </c>
      <c r="M330">
        <f>_xlfn.XLOOKUP(B330, Dim_Hotel!$A$2:$A$11, Dim_Hotel!$I$2:$I$11)
 + (IF(J330="",0,J330)
    * _xlfn.XLOOKUP(B330, Dim_Hotel!$A$2:$A$11, Dim_Hotel!$J$2:$J$11))</f>
        <v>185</v>
      </c>
    </row>
    <row r="331" spans="1:13" x14ac:dyDescent="0.25">
      <c r="A331" s="1">
        <f t="shared" si="40"/>
        <v>46055</v>
      </c>
      <c r="B331" t="str" cm="1">
        <f t="array" ref="B331">INDEX(HotelList,MOD(ROW()-2,10)+1)</f>
        <v>H010</v>
      </c>
      <c r="C331">
        <f>_xlfn.XLOOKUP(B331,Dim_Hotel!$A$2:$A$11,Dim_Hotel!$F$2:$F$11)</f>
        <v>89</v>
      </c>
      <c r="D331">
        <f t="shared" si="41"/>
        <v>49</v>
      </c>
      <c r="E331">
        <f t="shared" si="42"/>
        <v>0.550561797752809</v>
      </c>
      <c r="F331">
        <f t="shared" si="43"/>
        <v>150</v>
      </c>
      <c r="G331">
        <f t="shared" si="44"/>
        <v>82.584269662921344</v>
      </c>
      <c r="H331" t="str">
        <f>_xlfn.XLOOKUP(A331,Fact_Events!$D$2:$D$20,Fact_Events!$A$2:$A$20, "")</f>
        <v/>
      </c>
      <c r="I331">
        <f t="shared" si="45"/>
        <v>0</v>
      </c>
      <c r="J331" t="str">
        <f>_xlfn.XLOOKUP(H331, Fact_Events!$A$2:$A$20, Fact_Events!$F$2:$F$20, "")</f>
        <v/>
      </c>
      <c r="K331" t="str">
        <f t="shared" si="46"/>
        <v>Low</v>
      </c>
      <c r="L331">
        <f t="shared" si="47"/>
        <v>0.55000000000000004</v>
      </c>
      <c r="M331">
        <f>_xlfn.XLOOKUP(B331, Dim_Hotel!$A$2:$A$11, Dim_Hotel!$I$2:$I$11)
 + (IF(J331="",0,J331)
    * _xlfn.XLOOKUP(B331, Dim_Hotel!$A$2:$A$11, Dim_Hotel!$J$2:$J$11))</f>
        <v>150</v>
      </c>
    </row>
    <row r="332" spans="1:13" x14ac:dyDescent="0.25">
      <c r="A332" s="1">
        <f t="shared" si="40"/>
        <v>46056</v>
      </c>
      <c r="B332" t="str" cm="1">
        <f t="array" ref="B332">INDEX(HotelList,MOD(ROW()-2,10)+1)</f>
        <v>H001</v>
      </c>
      <c r="C332">
        <f>_xlfn.XLOOKUP(B332,Dim_Hotel!$A$2:$A$11,Dim_Hotel!$F$2:$F$11)</f>
        <v>888</v>
      </c>
      <c r="D332">
        <f t="shared" si="41"/>
        <v>488</v>
      </c>
      <c r="E332">
        <f t="shared" si="42"/>
        <v>0.5495495495495496</v>
      </c>
      <c r="F332">
        <f t="shared" si="43"/>
        <v>260</v>
      </c>
      <c r="G332">
        <f t="shared" si="44"/>
        <v>142.88288288288288</v>
      </c>
      <c r="H332" t="str">
        <f>_xlfn.XLOOKUP(A332,Fact_Events!$D$2:$D$20,Fact_Events!$A$2:$A$20, "")</f>
        <v/>
      </c>
      <c r="I332">
        <f t="shared" si="45"/>
        <v>0</v>
      </c>
      <c r="J332" t="str">
        <f>_xlfn.XLOOKUP(H332, Fact_Events!$A$2:$A$20, Fact_Events!$F$2:$F$20, "")</f>
        <v/>
      </c>
      <c r="K332" t="str">
        <f t="shared" si="46"/>
        <v>Low</v>
      </c>
      <c r="L332">
        <f t="shared" si="47"/>
        <v>0.55000000000000004</v>
      </c>
      <c r="M332">
        <f>_xlfn.XLOOKUP(B332, Dim_Hotel!$A$2:$A$11, Dim_Hotel!$I$2:$I$11)
 + (IF(J332="",0,J332)
    * _xlfn.XLOOKUP(B332, Dim_Hotel!$A$2:$A$11, Dim_Hotel!$J$2:$J$11))</f>
        <v>260</v>
      </c>
    </row>
    <row r="333" spans="1:13" x14ac:dyDescent="0.25">
      <c r="A333" s="1">
        <f t="shared" si="40"/>
        <v>46056</v>
      </c>
      <c r="B333" t="str" cm="1">
        <f t="array" ref="B333">INDEX(HotelList,MOD(ROW()-2,10)+1)</f>
        <v>H002</v>
      </c>
      <c r="C333">
        <f>_xlfn.XLOOKUP(B333,Dim_Hotel!$A$2:$A$11,Dim_Hotel!$F$2:$F$11)</f>
        <v>147</v>
      </c>
      <c r="D333">
        <f t="shared" si="41"/>
        <v>81</v>
      </c>
      <c r="E333">
        <f t="shared" si="42"/>
        <v>0.55102040816326525</v>
      </c>
      <c r="F333">
        <f t="shared" si="43"/>
        <v>175</v>
      </c>
      <c r="G333">
        <f t="shared" si="44"/>
        <v>96.428571428571416</v>
      </c>
      <c r="H333" t="str">
        <f>_xlfn.XLOOKUP(A333,Fact_Events!$D$2:$D$20,Fact_Events!$A$2:$A$20, "")</f>
        <v/>
      </c>
      <c r="I333">
        <f t="shared" si="45"/>
        <v>0</v>
      </c>
      <c r="J333" t="str">
        <f>_xlfn.XLOOKUP(H333, Fact_Events!$A$2:$A$20, Fact_Events!$F$2:$F$20, "")</f>
        <v/>
      </c>
      <c r="K333" t="str">
        <f t="shared" si="46"/>
        <v>Low</v>
      </c>
      <c r="L333">
        <f t="shared" si="47"/>
        <v>0.55000000000000004</v>
      </c>
      <c r="M333">
        <f>_xlfn.XLOOKUP(B333, Dim_Hotel!$A$2:$A$11, Dim_Hotel!$I$2:$I$11)
 + (IF(J333="",0,J333)
    * _xlfn.XLOOKUP(B333, Dim_Hotel!$A$2:$A$11, Dim_Hotel!$J$2:$J$11))</f>
        <v>175</v>
      </c>
    </row>
    <row r="334" spans="1:13" x14ac:dyDescent="0.25">
      <c r="A334" s="1">
        <f t="shared" si="40"/>
        <v>46056</v>
      </c>
      <c r="B334" t="str" cm="1">
        <f t="array" ref="B334">INDEX(HotelList,MOD(ROW()-2,10)+1)</f>
        <v>H003</v>
      </c>
      <c r="C334">
        <f>_xlfn.XLOOKUP(B334,Dim_Hotel!$A$2:$A$11,Dim_Hotel!$F$2:$F$11)</f>
        <v>121</v>
      </c>
      <c r="D334">
        <f t="shared" si="41"/>
        <v>67</v>
      </c>
      <c r="E334">
        <f t="shared" si="42"/>
        <v>0.55371900826446285</v>
      </c>
      <c r="F334">
        <f t="shared" si="43"/>
        <v>145</v>
      </c>
      <c r="G334">
        <f t="shared" si="44"/>
        <v>80.289256198347118</v>
      </c>
      <c r="H334" t="str">
        <f>_xlfn.XLOOKUP(A334,Fact_Events!$D$2:$D$20,Fact_Events!$A$2:$A$20, "")</f>
        <v/>
      </c>
      <c r="I334">
        <f t="shared" si="45"/>
        <v>0</v>
      </c>
      <c r="J334" t="str">
        <f>_xlfn.XLOOKUP(H334, Fact_Events!$A$2:$A$20, Fact_Events!$F$2:$F$20, "")</f>
        <v/>
      </c>
      <c r="K334" t="str">
        <f t="shared" si="46"/>
        <v>Low</v>
      </c>
      <c r="L334">
        <f t="shared" si="47"/>
        <v>0.55000000000000004</v>
      </c>
      <c r="M334">
        <f>_xlfn.XLOOKUP(B334, Dim_Hotel!$A$2:$A$11, Dim_Hotel!$I$2:$I$11)
 + (IF(J334="",0,J334)
    * _xlfn.XLOOKUP(B334, Dim_Hotel!$A$2:$A$11, Dim_Hotel!$J$2:$J$11))</f>
        <v>145</v>
      </c>
    </row>
    <row r="335" spans="1:13" x14ac:dyDescent="0.25">
      <c r="A335" s="1">
        <f t="shared" si="40"/>
        <v>46056</v>
      </c>
      <c r="B335" t="str" cm="1">
        <f t="array" ref="B335">INDEX(HotelList,MOD(ROW()-2,10)+1)</f>
        <v>H004</v>
      </c>
      <c r="C335">
        <f>_xlfn.XLOOKUP(B335,Dim_Hotel!$A$2:$A$11,Dim_Hotel!$F$2:$F$11)</f>
        <v>108</v>
      </c>
      <c r="D335">
        <f t="shared" si="41"/>
        <v>59</v>
      </c>
      <c r="E335">
        <f t="shared" si="42"/>
        <v>0.54629629629629628</v>
      </c>
      <c r="F335">
        <f t="shared" si="43"/>
        <v>135</v>
      </c>
      <c r="G335">
        <f t="shared" si="44"/>
        <v>73.75</v>
      </c>
      <c r="H335" t="str">
        <f>_xlfn.XLOOKUP(A335,Fact_Events!$D$2:$D$20,Fact_Events!$A$2:$A$20, "")</f>
        <v/>
      </c>
      <c r="I335">
        <f t="shared" si="45"/>
        <v>0</v>
      </c>
      <c r="J335" t="str">
        <f>_xlfn.XLOOKUP(H335, Fact_Events!$A$2:$A$20, Fact_Events!$F$2:$F$20, "")</f>
        <v/>
      </c>
      <c r="K335" t="str">
        <f t="shared" si="46"/>
        <v>Low</v>
      </c>
      <c r="L335">
        <f t="shared" si="47"/>
        <v>0.55000000000000004</v>
      </c>
      <c r="M335">
        <f>_xlfn.XLOOKUP(B335, Dim_Hotel!$A$2:$A$11, Dim_Hotel!$I$2:$I$11)
 + (IF(J335="",0,J335)
    * _xlfn.XLOOKUP(B335, Dim_Hotel!$A$2:$A$11, Dim_Hotel!$J$2:$J$11))</f>
        <v>135</v>
      </c>
    </row>
    <row r="336" spans="1:13" x14ac:dyDescent="0.25">
      <c r="A336" s="1">
        <f t="shared" si="40"/>
        <v>46056</v>
      </c>
      <c r="B336" t="str" cm="1">
        <f t="array" ref="B336">INDEX(HotelList,MOD(ROW()-2,10)+1)</f>
        <v>H005</v>
      </c>
      <c r="C336">
        <f>_xlfn.XLOOKUP(B336,Dim_Hotel!$A$2:$A$11,Dim_Hotel!$F$2:$F$11)</f>
        <v>66</v>
      </c>
      <c r="D336">
        <f t="shared" si="41"/>
        <v>36</v>
      </c>
      <c r="E336">
        <f t="shared" si="42"/>
        <v>0.54545454545454541</v>
      </c>
      <c r="F336">
        <f t="shared" si="43"/>
        <v>82</v>
      </c>
      <c r="G336">
        <f t="shared" si="44"/>
        <v>44.727272727272727</v>
      </c>
      <c r="H336" t="str">
        <f>_xlfn.XLOOKUP(A336,Fact_Events!$D$2:$D$20,Fact_Events!$A$2:$A$20, "")</f>
        <v/>
      </c>
      <c r="I336">
        <f t="shared" si="45"/>
        <v>0</v>
      </c>
      <c r="J336" t="str">
        <f>_xlfn.XLOOKUP(H336, Fact_Events!$A$2:$A$20, Fact_Events!$F$2:$F$20, "")</f>
        <v/>
      </c>
      <c r="K336" t="str">
        <f t="shared" si="46"/>
        <v>Low</v>
      </c>
      <c r="L336">
        <f t="shared" si="47"/>
        <v>0.55000000000000004</v>
      </c>
      <c r="M336">
        <f>_xlfn.XLOOKUP(B336, Dim_Hotel!$A$2:$A$11, Dim_Hotel!$I$2:$I$11)
 + (IF(J336="",0,J336)
    * _xlfn.XLOOKUP(B336, Dim_Hotel!$A$2:$A$11, Dim_Hotel!$J$2:$J$11))</f>
        <v>82</v>
      </c>
    </row>
    <row r="337" spans="1:13" x14ac:dyDescent="0.25">
      <c r="A337" s="1">
        <f t="shared" si="40"/>
        <v>46056</v>
      </c>
      <c r="B337" t="str" cm="1">
        <f t="array" ref="B337">INDEX(HotelList,MOD(ROW()-2,10)+1)</f>
        <v>H006</v>
      </c>
      <c r="C337">
        <f>_xlfn.XLOOKUP(B337,Dim_Hotel!$A$2:$A$11,Dim_Hotel!$F$2:$F$11)</f>
        <v>311</v>
      </c>
      <c r="D337">
        <f t="shared" si="41"/>
        <v>171</v>
      </c>
      <c r="E337">
        <f t="shared" si="42"/>
        <v>0.54983922829581988</v>
      </c>
      <c r="F337">
        <f t="shared" si="43"/>
        <v>190</v>
      </c>
      <c r="G337">
        <f t="shared" si="44"/>
        <v>104.46945337620578</v>
      </c>
      <c r="H337" t="str">
        <f>_xlfn.XLOOKUP(A337,Fact_Events!$D$2:$D$20,Fact_Events!$A$2:$A$20, "")</f>
        <v/>
      </c>
      <c r="I337">
        <f t="shared" si="45"/>
        <v>0</v>
      </c>
      <c r="J337" t="str">
        <f>_xlfn.XLOOKUP(H337, Fact_Events!$A$2:$A$20, Fact_Events!$F$2:$F$20, "")</f>
        <v/>
      </c>
      <c r="K337" t="str">
        <f t="shared" si="46"/>
        <v>Low</v>
      </c>
      <c r="L337">
        <f t="shared" si="47"/>
        <v>0.55000000000000004</v>
      </c>
      <c r="M337">
        <f>_xlfn.XLOOKUP(B337, Dim_Hotel!$A$2:$A$11, Dim_Hotel!$I$2:$I$11)
 + (IF(J337="",0,J337)
    * _xlfn.XLOOKUP(B337, Dim_Hotel!$A$2:$A$11, Dim_Hotel!$J$2:$J$11))</f>
        <v>190</v>
      </c>
    </row>
    <row r="338" spans="1:13" x14ac:dyDescent="0.25">
      <c r="A338" s="1">
        <f t="shared" si="40"/>
        <v>46056</v>
      </c>
      <c r="B338" t="str" cm="1">
        <f t="array" ref="B338">INDEX(HotelList,MOD(ROW()-2,10)+1)</f>
        <v>H007</v>
      </c>
      <c r="C338">
        <f>_xlfn.XLOOKUP(B338,Dim_Hotel!$A$2:$A$11,Dim_Hotel!$F$2:$F$11)</f>
        <v>132</v>
      </c>
      <c r="D338">
        <f t="shared" si="41"/>
        <v>73</v>
      </c>
      <c r="E338">
        <f t="shared" si="42"/>
        <v>0.55303030303030298</v>
      </c>
      <c r="F338">
        <f t="shared" si="43"/>
        <v>165</v>
      </c>
      <c r="G338">
        <f t="shared" si="44"/>
        <v>91.249999999999986</v>
      </c>
      <c r="H338" t="str">
        <f>_xlfn.XLOOKUP(A338,Fact_Events!$D$2:$D$20,Fact_Events!$A$2:$A$20, "")</f>
        <v/>
      </c>
      <c r="I338">
        <f t="shared" si="45"/>
        <v>0</v>
      </c>
      <c r="J338" t="str">
        <f>_xlfn.XLOOKUP(H338, Fact_Events!$A$2:$A$20, Fact_Events!$F$2:$F$20, "")</f>
        <v/>
      </c>
      <c r="K338" t="str">
        <f t="shared" si="46"/>
        <v>Low</v>
      </c>
      <c r="L338">
        <f t="shared" si="47"/>
        <v>0.55000000000000004</v>
      </c>
      <c r="M338">
        <f>_xlfn.XLOOKUP(B338, Dim_Hotel!$A$2:$A$11, Dim_Hotel!$I$2:$I$11)
 + (IF(J338="",0,J338)
    * _xlfn.XLOOKUP(B338, Dim_Hotel!$A$2:$A$11, Dim_Hotel!$J$2:$J$11))</f>
        <v>165</v>
      </c>
    </row>
    <row r="339" spans="1:13" x14ac:dyDescent="0.25">
      <c r="A339" s="1">
        <f t="shared" si="40"/>
        <v>46056</v>
      </c>
      <c r="B339" t="str" cm="1">
        <f t="array" ref="B339">INDEX(HotelList,MOD(ROW()-2,10)+1)</f>
        <v>H008</v>
      </c>
      <c r="C339">
        <f>_xlfn.XLOOKUP(B339,Dim_Hotel!$A$2:$A$11,Dim_Hotel!$F$2:$F$11)</f>
        <v>103</v>
      </c>
      <c r="D339">
        <f t="shared" si="41"/>
        <v>57</v>
      </c>
      <c r="E339">
        <f t="shared" si="42"/>
        <v>0.55339805825242716</v>
      </c>
      <c r="F339">
        <f t="shared" si="43"/>
        <v>140</v>
      </c>
      <c r="G339">
        <f t="shared" si="44"/>
        <v>77.475728155339809</v>
      </c>
      <c r="H339" t="str">
        <f>_xlfn.XLOOKUP(A339,Fact_Events!$D$2:$D$20,Fact_Events!$A$2:$A$20, "")</f>
        <v/>
      </c>
      <c r="I339">
        <f t="shared" si="45"/>
        <v>0</v>
      </c>
      <c r="J339" t="str">
        <f>_xlfn.XLOOKUP(H339, Fact_Events!$A$2:$A$20, Fact_Events!$F$2:$F$20, "")</f>
        <v/>
      </c>
      <c r="K339" t="str">
        <f t="shared" si="46"/>
        <v>Low</v>
      </c>
      <c r="L339">
        <f t="shared" si="47"/>
        <v>0.55000000000000004</v>
      </c>
      <c r="M339">
        <f>_xlfn.XLOOKUP(B339, Dim_Hotel!$A$2:$A$11, Dim_Hotel!$I$2:$I$11)
 + (IF(J339="",0,J339)
    * _xlfn.XLOOKUP(B339, Dim_Hotel!$A$2:$A$11, Dim_Hotel!$J$2:$J$11))</f>
        <v>140</v>
      </c>
    </row>
    <row r="340" spans="1:13" x14ac:dyDescent="0.25">
      <c r="A340" s="1">
        <f t="shared" si="40"/>
        <v>46056</v>
      </c>
      <c r="B340" t="str" cm="1">
        <f t="array" ref="B340">INDEX(HotelList,MOD(ROW()-2,10)+1)</f>
        <v>H009</v>
      </c>
      <c r="C340">
        <f>_xlfn.XLOOKUP(B340,Dim_Hotel!$A$2:$A$11,Dim_Hotel!$F$2:$F$11)</f>
        <v>114</v>
      </c>
      <c r="D340">
        <f t="shared" si="41"/>
        <v>63</v>
      </c>
      <c r="E340">
        <f t="shared" si="42"/>
        <v>0.55263157894736847</v>
      </c>
      <c r="F340">
        <f t="shared" si="43"/>
        <v>185</v>
      </c>
      <c r="G340">
        <f t="shared" si="44"/>
        <v>102.23684210526316</v>
      </c>
      <c r="H340" t="str">
        <f>_xlfn.XLOOKUP(A340,Fact_Events!$D$2:$D$20,Fact_Events!$A$2:$A$20, "")</f>
        <v/>
      </c>
      <c r="I340">
        <f t="shared" si="45"/>
        <v>0</v>
      </c>
      <c r="J340" t="str">
        <f>_xlfn.XLOOKUP(H340, Fact_Events!$A$2:$A$20, Fact_Events!$F$2:$F$20, "")</f>
        <v/>
      </c>
      <c r="K340" t="str">
        <f t="shared" si="46"/>
        <v>Low</v>
      </c>
      <c r="L340">
        <f t="shared" si="47"/>
        <v>0.55000000000000004</v>
      </c>
      <c r="M340">
        <f>_xlfn.XLOOKUP(B340, Dim_Hotel!$A$2:$A$11, Dim_Hotel!$I$2:$I$11)
 + (IF(J340="",0,J340)
    * _xlfn.XLOOKUP(B340, Dim_Hotel!$A$2:$A$11, Dim_Hotel!$J$2:$J$11))</f>
        <v>185</v>
      </c>
    </row>
    <row r="341" spans="1:13" x14ac:dyDescent="0.25">
      <c r="A341" s="1">
        <f t="shared" si="40"/>
        <v>46056</v>
      </c>
      <c r="B341" t="str" cm="1">
        <f t="array" ref="B341">INDEX(HotelList,MOD(ROW()-2,10)+1)</f>
        <v>H010</v>
      </c>
      <c r="C341">
        <f>_xlfn.XLOOKUP(B341,Dim_Hotel!$A$2:$A$11,Dim_Hotel!$F$2:$F$11)</f>
        <v>89</v>
      </c>
      <c r="D341">
        <f t="shared" si="41"/>
        <v>49</v>
      </c>
      <c r="E341">
        <f t="shared" si="42"/>
        <v>0.550561797752809</v>
      </c>
      <c r="F341">
        <f t="shared" si="43"/>
        <v>150</v>
      </c>
      <c r="G341">
        <f t="shared" si="44"/>
        <v>82.584269662921344</v>
      </c>
      <c r="H341" t="str">
        <f>_xlfn.XLOOKUP(A341,Fact_Events!$D$2:$D$20,Fact_Events!$A$2:$A$20, "")</f>
        <v/>
      </c>
      <c r="I341">
        <f t="shared" si="45"/>
        <v>0</v>
      </c>
      <c r="J341" t="str">
        <f>_xlfn.XLOOKUP(H341, Fact_Events!$A$2:$A$20, Fact_Events!$F$2:$F$20, "")</f>
        <v/>
      </c>
      <c r="K341" t="str">
        <f t="shared" si="46"/>
        <v>Low</v>
      </c>
      <c r="L341">
        <f t="shared" si="47"/>
        <v>0.55000000000000004</v>
      </c>
      <c r="M341">
        <f>_xlfn.XLOOKUP(B341, Dim_Hotel!$A$2:$A$11, Dim_Hotel!$I$2:$I$11)
 + (IF(J341="",0,J341)
    * _xlfn.XLOOKUP(B341, Dim_Hotel!$A$2:$A$11, Dim_Hotel!$J$2:$J$11))</f>
        <v>150</v>
      </c>
    </row>
    <row r="342" spans="1:13" x14ac:dyDescent="0.25">
      <c r="A342" s="1">
        <f t="shared" si="40"/>
        <v>46057</v>
      </c>
      <c r="B342" t="str" cm="1">
        <f t="array" ref="B342">INDEX(HotelList,MOD(ROW()-2,10)+1)</f>
        <v>H001</v>
      </c>
      <c r="C342">
        <f>_xlfn.XLOOKUP(B342,Dim_Hotel!$A$2:$A$11,Dim_Hotel!$F$2:$F$11)</f>
        <v>888</v>
      </c>
      <c r="D342">
        <f t="shared" si="41"/>
        <v>488</v>
      </c>
      <c r="E342">
        <f t="shared" si="42"/>
        <v>0.5495495495495496</v>
      </c>
      <c r="F342">
        <f t="shared" si="43"/>
        <v>260</v>
      </c>
      <c r="G342">
        <f t="shared" si="44"/>
        <v>142.88288288288288</v>
      </c>
      <c r="H342" t="str">
        <f>_xlfn.XLOOKUP(A342,Fact_Events!$D$2:$D$20,Fact_Events!$A$2:$A$20, "")</f>
        <v/>
      </c>
      <c r="I342">
        <f t="shared" si="45"/>
        <v>0</v>
      </c>
      <c r="J342" t="str">
        <f>_xlfn.XLOOKUP(H342, Fact_Events!$A$2:$A$20, Fact_Events!$F$2:$F$20, "")</f>
        <v/>
      </c>
      <c r="K342" t="str">
        <f t="shared" si="46"/>
        <v>Low</v>
      </c>
      <c r="L342">
        <f t="shared" si="47"/>
        <v>0.55000000000000004</v>
      </c>
      <c r="M342">
        <f>_xlfn.XLOOKUP(B342, Dim_Hotel!$A$2:$A$11, Dim_Hotel!$I$2:$I$11)
 + (IF(J342="",0,J342)
    * _xlfn.XLOOKUP(B342, Dim_Hotel!$A$2:$A$11, Dim_Hotel!$J$2:$J$11))</f>
        <v>260</v>
      </c>
    </row>
    <row r="343" spans="1:13" x14ac:dyDescent="0.25">
      <c r="A343" s="1">
        <f t="shared" si="40"/>
        <v>46057</v>
      </c>
      <c r="B343" t="str" cm="1">
        <f t="array" ref="B343">INDEX(HotelList,MOD(ROW()-2,10)+1)</f>
        <v>H002</v>
      </c>
      <c r="C343">
        <f>_xlfn.XLOOKUP(B343,Dim_Hotel!$A$2:$A$11,Dim_Hotel!$F$2:$F$11)</f>
        <v>147</v>
      </c>
      <c r="D343">
        <f t="shared" si="41"/>
        <v>81</v>
      </c>
      <c r="E343">
        <f t="shared" si="42"/>
        <v>0.55102040816326525</v>
      </c>
      <c r="F343">
        <f t="shared" si="43"/>
        <v>175</v>
      </c>
      <c r="G343">
        <f t="shared" si="44"/>
        <v>96.428571428571416</v>
      </c>
      <c r="H343" t="str">
        <f>_xlfn.XLOOKUP(A343,Fact_Events!$D$2:$D$20,Fact_Events!$A$2:$A$20, "")</f>
        <v/>
      </c>
      <c r="I343">
        <f t="shared" si="45"/>
        <v>0</v>
      </c>
      <c r="J343" t="str">
        <f>_xlfn.XLOOKUP(H343, Fact_Events!$A$2:$A$20, Fact_Events!$F$2:$F$20, "")</f>
        <v/>
      </c>
      <c r="K343" t="str">
        <f t="shared" si="46"/>
        <v>Low</v>
      </c>
      <c r="L343">
        <f t="shared" si="47"/>
        <v>0.55000000000000004</v>
      </c>
      <c r="M343">
        <f>_xlfn.XLOOKUP(B343, Dim_Hotel!$A$2:$A$11, Dim_Hotel!$I$2:$I$11)
 + (IF(J343="",0,J343)
    * _xlfn.XLOOKUP(B343, Dim_Hotel!$A$2:$A$11, Dim_Hotel!$J$2:$J$11))</f>
        <v>175</v>
      </c>
    </row>
    <row r="344" spans="1:13" x14ac:dyDescent="0.25">
      <c r="A344" s="1">
        <f t="shared" si="40"/>
        <v>46057</v>
      </c>
      <c r="B344" t="str" cm="1">
        <f t="array" ref="B344">INDEX(HotelList,MOD(ROW()-2,10)+1)</f>
        <v>H003</v>
      </c>
      <c r="C344">
        <f>_xlfn.XLOOKUP(B344,Dim_Hotel!$A$2:$A$11,Dim_Hotel!$F$2:$F$11)</f>
        <v>121</v>
      </c>
      <c r="D344">
        <f t="shared" si="41"/>
        <v>67</v>
      </c>
      <c r="E344">
        <f t="shared" si="42"/>
        <v>0.55371900826446285</v>
      </c>
      <c r="F344">
        <f t="shared" si="43"/>
        <v>145</v>
      </c>
      <c r="G344">
        <f t="shared" si="44"/>
        <v>80.289256198347118</v>
      </c>
      <c r="H344" t="str">
        <f>_xlfn.XLOOKUP(A344,Fact_Events!$D$2:$D$20,Fact_Events!$A$2:$A$20, "")</f>
        <v/>
      </c>
      <c r="I344">
        <f t="shared" si="45"/>
        <v>0</v>
      </c>
      <c r="J344" t="str">
        <f>_xlfn.XLOOKUP(H344, Fact_Events!$A$2:$A$20, Fact_Events!$F$2:$F$20, "")</f>
        <v/>
      </c>
      <c r="K344" t="str">
        <f t="shared" si="46"/>
        <v>Low</v>
      </c>
      <c r="L344">
        <f t="shared" si="47"/>
        <v>0.55000000000000004</v>
      </c>
      <c r="M344">
        <f>_xlfn.XLOOKUP(B344, Dim_Hotel!$A$2:$A$11, Dim_Hotel!$I$2:$I$11)
 + (IF(J344="",0,J344)
    * _xlfn.XLOOKUP(B344, Dim_Hotel!$A$2:$A$11, Dim_Hotel!$J$2:$J$11))</f>
        <v>145</v>
      </c>
    </row>
    <row r="345" spans="1:13" x14ac:dyDescent="0.25">
      <c r="A345" s="1">
        <f t="shared" si="40"/>
        <v>46057</v>
      </c>
      <c r="B345" t="str" cm="1">
        <f t="array" ref="B345">INDEX(HotelList,MOD(ROW()-2,10)+1)</f>
        <v>H004</v>
      </c>
      <c r="C345">
        <f>_xlfn.XLOOKUP(B345,Dim_Hotel!$A$2:$A$11,Dim_Hotel!$F$2:$F$11)</f>
        <v>108</v>
      </c>
      <c r="D345">
        <f t="shared" si="41"/>
        <v>59</v>
      </c>
      <c r="E345">
        <f t="shared" si="42"/>
        <v>0.54629629629629628</v>
      </c>
      <c r="F345">
        <f t="shared" si="43"/>
        <v>135</v>
      </c>
      <c r="G345">
        <f t="shared" si="44"/>
        <v>73.75</v>
      </c>
      <c r="H345" t="str">
        <f>_xlfn.XLOOKUP(A345,Fact_Events!$D$2:$D$20,Fact_Events!$A$2:$A$20, "")</f>
        <v/>
      </c>
      <c r="I345">
        <f t="shared" si="45"/>
        <v>0</v>
      </c>
      <c r="J345" t="str">
        <f>_xlfn.XLOOKUP(H345, Fact_Events!$A$2:$A$20, Fact_Events!$F$2:$F$20, "")</f>
        <v/>
      </c>
      <c r="K345" t="str">
        <f t="shared" si="46"/>
        <v>Low</v>
      </c>
      <c r="L345">
        <f t="shared" si="47"/>
        <v>0.55000000000000004</v>
      </c>
      <c r="M345">
        <f>_xlfn.XLOOKUP(B345, Dim_Hotel!$A$2:$A$11, Dim_Hotel!$I$2:$I$11)
 + (IF(J345="",0,J345)
    * _xlfn.XLOOKUP(B345, Dim_Hotel!$A$2:$A$11, Dim_Hotel!$J$2:$J$11))</f>
        <v>135</v>
      </c>
    </row>
    <row r="346" spans="1:13" x14ac:dyDescent="0.25">
      <c r="A346" s="1">
        <f t="shared" si="40"/>
        <v>46057</v>
      </c>
      <c r="B346" t="str" cm="1">
        <f t="array" ref="B346">INDEX(HotelList,MOD(ROW()-2,10)+1)</f>
        <v>H005</v>
      </c>
      <c r="C346">
        <f>_xlfn.XLOOKUP(B346,Dim_Hotel!$A$2:$A$11,Dim_Hotel!$F$2:$F$11)</f>
        <v>66</v>
      </c>
      <c r="D346">
        <f t="shared" si="41"/>
        <v>36</v>
      </c>
      <c r="E346">
        <f t="shared" si="42"/>
        <v>0.54545454545454541</v>
      </c>
      <c r="F346">
        <f t="shared" si="43"/>
        <v>82</v>
      </c>
      <c r="G346">
        <f t="shared" si="44"/>
        <v>44.727272727272727</v>
      </c>
      <c r="H346" t="str">
        <f>_xlfn.XLOOKUP(A346,Fact_Events!$D$2:$D$20,Fact_Events!$A$2:$A$20, "")</f>
        <v/>
      </c>
      <c r="I346">
        <f t="shared" si="45"/>
        <v>0</v>
      </c>
      <c r="J346" t="str">
        <f>_xlfn.XLOOKUP(H346, Fact_Events!$A$2:$A$20, Fact_Events!$F$2:$F$20, "")</f>
        <v/>
      </c>
      <c r="K346" t="str">
        <f t="shared" si="46"/>
        <v>Low</v>
      </c>
      <c r="L346">
        <f t="shared" si="47"/>
        <v>0.55000000000000004</v>
      </c>
      <c r="M346">
        <f>_xlfn.XLOOKUP(B346, Dim_Hotel!$A$2:$A$11, Dim_Hotel!$I$2:$I$11)
 + (IF(J346="",0,J346)
    * _xlfn.XLOOKUP(B346, Dim_Hotel!$A$2:$A$11, Dim_Hotel!$J$2:$J$11))</f>
        <v>82</v>
      </c>
    </row>
    <row r="347" spans="1:13" x14ac:dyDescent="0.25">
      <c r="A347" s="1">
        <f t="shared" si="40"/>
        <v>46057</v>
      </c>
      <c r="B347" t="str" cm="1">
        <f t="array" ref="B347">INDEX(HotelList,MOD(ROW()-2,10)+1)</f>
        <v>H006</v>
      </c>
      <c r="C347">
        <f>_xlfn.XLOOKUP(B347,Dim_Hotel!$A$2:$A$11,Dim_Hotel!$F$2:$F$11)</f>
        <v>311</v>
      </c>
      <c r="D347">
        <f t="shared" si="41"/>
        <v>171</v>
      </c>
      <c r="E347">
        <f t="shared" si="42"/>
        <v>0.54983922829581988</v>
      </c>
      <c r="F347">
        <f t="shared" si="43"/>
        <v>190</v>
      </c>
      <c r="G347">
        <f t="shared" si="44"/>
        <v>104.46945337620578</v>
      </c>
      <c r="H347" t="str">
        <f>_xlfn.XLOOKUP(A347,Fact_Events!$D$2:$D$20,Fact_Events!$A$2:$A$20, "")</f>
        <v/>
      </c>
      <c r="I347">
        <f t="shared" si="45"/>
        <v>0</v>
      </c>
      <c r="J347" t="str">
        <f>_xlfn.XLOOKUP(H347, Fact_Events!$A$2:$A$20, Fact_Events!$F$2:$F$20, "")</f>
        <v/>
      </c>
      <c r="K347" t="str">
        <f t="shared" si="46"/>
        <v>Low</v>
      </c>
      <c r="L347">
        <f t="shared" si="47"/>
        <v>0.55000000000000004</v>
      </c>
      <c r="M347">
        <f>_xlfn.XLOOKUP(B347, Dim_Hotel!$A$2:$A$11, Dim_Hotel!$I$2:$I$11)
 + (IF(J347="",0,J347)
    * _xlfn.XLOOKUP(B347, Dim_Hotel!$A$2:$A$11, Dim_Hotel!$J$2:$J$11))</f>
        <v>190</v>
      </c>
    </row>
    <row r="348" spans="1:13" x14ac:dyDescent="0.25">
      <c r="A348" s="1">
        <f t="shared" si="40"/>
        <v>46057</v>
      </c>
      <c r="B348" t="str" cm="1">
        <f t="array" ref="B348">INDEX(HotelList,MOD(ROW()-2,10)+1)</f>
        <v>H007</v>
      </c>
      <c r="C348">
        <f>_xlfn.XLOOKUP(B348,Dim_Hotel!$A$2:$A$11,Dim_Hotel!$F$2:$F$11)</f>
        <v>132</v>
      </c>
      <c r="D348">
        <f t="shared" si="41"/>
        <v>73</v>
      </c>
      <c r="E348">
        <f t="shared" si="42"/>
        <v>0.55303030303030298</v>
      </c>
      <c r="F348">
        <f t="shared" si="43"/>
        <v>165</v>
      </c>
      <c r="G348">
        <f t="shared" si="44"/>
        <v>91.249999999999986</v>
      </c>
      <c r="H348" t="str">
        <f>_xlfn.XLOOKUP(A348,Fact_Events!$D$2:$D$20,Fact_Events!$A$2:$A$20, "")</f>
        <v/>
      </c>
      <c r="I348">
        <f t="shared" si="45"/>
        <v>0</v>
      </c>
      <c r="J348" t="str">
        <f>_xlfn.XLOOKUP(H348, Fact_Events!$A$2:$A$20, Fact_Events!$F$2:$F$20, "")</f>
        <v/>
      </c>
      <c r="K348" t="str">
        <f t="shared" si="46"/>
        <v>Low</v>
      </c>
      <c r="L348">
        <f t="shared" si="47"/>
        <v>0.55000000000000004</v>
      </c>
      <c r="M348">
        <f>_xlfn.XLOOKUP(B348, Dim_Hotel!$A$2:$A$11, Dim_Hotel!$I$2:$I$11)
 + (IF(J348="",0,J348)
    * _xlfn.XLOOKUP(B348, Dim_Hotel!$A$2:$A$11, Dim_Hotel!$J$2:$J$11))</f>
        <v>165</v>
      </c>
    </row>
    <row r="349" spans="1:13" x14ac:dyDescent="0.25">
      <c r="A349" s="1">
        <f t="shared" si="40"/>
        <v>46057</v>
      </c>
      <c r="B349" t="str" cm="1">
        <f t="array" ref="B349">INDEX(HotelList,MOD(ROW()-2,10)+1)</f>
        <v>H008</v>
      </c>
      <c r="C349">
        <f>_xlfn.XLOOKUP(B349,Dim_Hotel!$A$2:$A$11,Dim_Hotel!$F$2:$F$11)</f>
        <v>103</v>
      </c>
      <c r="D349">
        <f t="shared" si="41"/>
        <v>57</v>
      </c>
      <c r="E349">
        <f t="shared" si="42"/>
        <v>0.55339805825242716</v>
      </c>
      <c r="F349">
        <f t="shared" si="43"/>
        <v>140</v>
      </c>
      <c r="G349">
        <f t="shared" si="44"/>
        <v>77.475728155339809</v>
      </c>
      <c r="H349" t="str">
        <f>_xlfn.XLOOKUP(A349,Fact_Events!$D$2:$D$20,Fact_Events!$A$2:$A$20, "")</f>
        <v/>
      </c>
      <c r="I349">
        <f t="shared" si="45"/>
        <v>0</v>
      </c>
      <c r="J349" t="str">
        <f>_xlfn.XLOOKUP(H349, Fact_Events!$A$2:$A$20, Fact_Events!$F$2:$F$20, "")</f>
        <v/>
      </c>
      <c r="K349" t="str">
        <f t="shared" si="46"/>
        <v>Low</v>
      </c>
      <c r="L349">
        <f t="shared" si="47"/>
        <v>0.55000000000000004</v>
      </c>
      <c r="M349">
        <f>_xlfn.XLOOKUP(B349, Dim_Hotel!$A$2:$A$11, Dim_Hotel!$I$2:$I$11)
 + (IF(J349="",0,J349)
    * _xlfn.XLOOKUP(B349, Dim_Hotel!$A$2:$A$11, Dim_Hotel!$J$2:$J$11))</f>
        <v>140</v>
      </c>
    </row>
    <row r="350" spans="1:13" x14ac:dyDescent="0.25">
      <c r="A350" s="1">
        <f t="shared" si="40"/>
        <v>46057</v>
      </c>
      <c r="B350" t="str" cm="1">
        <f t="array" ref="B350">INDEX(HotelList,MOD(ROW()-2,10)+1)</f>
        <v>H009</v>
      </c>
      <c r="C350">
        <f>_xlfn.XLOOKUP(B350,Dim_Hotel!$A$2:$A$11,Dim_Hotel!$F$2:$F$11)</f>
        <v>114</v>
      </c>
      <c r="D350">
        <f t="shared" si="41"/>
        <v>63</v>
      </c>
      <c r="E350">
        <f t="shared" si="42"/>
        <v>0.55263157894736847</v>
      </c>
      <c r="F350">
        <f t="shared" si="43"/>
        <v>185</v>
      </c>
      <c r="G350">
        <f t="shared" si="44"/>
        <v>102.23684210526316</v>
      </c>
      <c r="H350" t="str">
        <f>_xlfn.XLOOKUP(A350,Fact_Events!$D$2:$D$20,Fact_Events!$A$2:$A$20, "")</f>
        <v/>
      </c>
      <c r="I350">
        <f t="shared" si="45"/>
        <v>0</v>
      </c>
      <c r="J350" t="str">
        <f>_xlfn.XLOOKUP(H350, Fact_Events!$A$2:$A$20, Fact_Events!$F$2:$F$20, "")</f>
        <v/>
      </c>
      <c r="K350" t="str">
        <f t="shared" si="46"/>
        <v>Low</v>
      </c>
      <c r="L350">
        <f t="shared" si="47"/>
        <v>0.55000000000000004</v>
      </c>
      <c r="M350">
        <f>_xlfn.XLOOKUP(B350, Dim_Hotel!$A$2:$A$11, Dim_Hotel!$I$2:$I$11)
 + (IF(J350="",0,J350)
    * _xlfn.XLOOKUP(B350, Dim_Hotel!$A$2:$A$11, Dim_Hotel!$J$2:$J$11))</f>
        <v>185</v>
      </c>
    </row>
    <row r="351" spans="1:13" x14ac:dyDescent="0.25">
      <c r="A351" s="1">
        <f t="shared" si="40"/>
        <v>46057</v>
      </c>
      <c r="B351" t="str" cm="1">
        <f t="array" ref="B351">INDEX(HotelList,MOD(ROW()-2,10)+1)</f>
        <v>H010</v>
      </c>
      <c r="C351">
        <f>_xlfn.XLOOKUP(B351,Dim_Hotel!$A$2:$A$11,Dim_Hotel!$F$2:$F$11)</f>
        <v>89</v>
      </c>
      <c r="D351">
        <f t="shared" si="41"/>
        <v>49</v>
      </c>
      <c r="E351">
        <f t="shared" si="42"/>
        <v>0.550561797752809</v>
      </c>
      <c r="F351">
        <f t="shared" si="43"/>
        <v>150</v>
      </c>
      <c r="G351">
        <f t="shared" si="44"/>
        <v>82.584269662921344</v>
      </c>
      <c r="H351" t="str">
        <f>_xlfn.XLOOKUP(A351,Fact_Events!$D$2:$D$20,Fact_Events!$A$2:$A$20, "")</f>
        <v/>
      </c>
      <c r="I351">
        <f t="shared" si="45"/>
        <v>0</v>
      </c>
      <c r="J351" t="str">
        <f>_xlfn.XLOOKUP(H351, Fact_Events!$A$2:$A$20, Fact_Events!$F$2:$F$20, "")</f>
        <v/>
      </c>
      <c r="K351" t="str">
        <f t="shared" si="46"/>
        <v>Low</v>
      </c>
      <c r="L351">
        <f t="shared" si="47"/>
        <v>0.55000000000000004</v>
      </c>
      <c r="M351">
        <f>_xlfn.XLOOKUP(B351, Dim_Hotel!$A$2:$A$11, Dim_Hotel!$I$2:$I$11)
 + (IF(J351="",0,J351)
    * _xlfn.XLOOKUP(B351, Dim_Hotel!$A$2:$A$11, Dim_Hotel!$J$2:$J$11))</f>
        <v>150</v>
      </c>
    </row>
    <row r="352" spans="1:13" x14ac:dyDescent="0.25">
      <c r="A352" s="1">
        <f t="shared" si="40"/>
        <v>46058</v>
      </c>
      <c r="B352" t="str" cm="1">
        <f t="array" ref="B352">INDEX(HotelList,MOD(ROW()-2,10)+1)</f>
        <v>H001</v>
      </c>
      <c r="C352">
        <f>_xlfn.XLOOKUP(B352,Dim_Hotel!$A$2:$A$11,Dim_Hotel!$F$2:$F$11)</f>
        <v>888</v>
      </c>
      <c r="D352">
        <f t="shared" si="41"/>
        <v>488</v>
      </c>
      <c r="E352">
        <f t="shared" si="42"/>
        <v>0.5495495495495496</v>
      </c>
      <c r="F352">
        <f t="shared" si="43"/>
        <v>260</v>
      </c>
      <c r="G352">
        <f t="shared" si="44"/>
        <v>142.88288288288288</v>
      </c>
      <c r="H352" t="str">
        <f>_xlfn.XLOOKUP(A352,Fact_Events!$D$2:$D$20,Fact_Events!$A$2:$A$20, "")</f>
        <v/>
      </c>
      <c r="I352">
        <f t="shared" si="45"/>
        <v>0</v>
      </c>
      <c r="J352" t="str">
        <f>_xlfn.XLOOKUP(H352, Fact_Events!$A$2:$A$20, Fact_Events!$F$2:$F$20, "")</f>
        <v/>
      </c>
      <c r="K352" t="str">
        <f t="shared" si="46"/>
        <v>Low</v>
      </c>
      <c r="L352">
        <f t="shared" si="47"/>
        <v>0.55000000000000004</v>
      </c>
      <c r="M352">
        <f>_xlfn.XLOOKUP(B352, Dim_Hotel!$A$2:$A$11, Dim_Hotel!$I$2:$I$11)
 + (IF(J352="",0,J352)
    * _xlfn.XLOOKUP(B352, Dim_Hotel!$A$2:$A$11, Dim_Hotel!$J$2:$J$11))</f>
        <v>260</v>
      </c>
    </row>
    <row r="353" spans="1:13" x14ac:dyDescent="0.25">
      <c r="A353" s="1">
        <f t="shared" si="40"/>
        <v>46058</v>
      </c>
      <c r="B353" t="str" cm="1">
        <f t="array" ref="B353">INDEX(HotelList,MOD(ROW()-2,10)+1)</f>
        <v>H002</v>
      </c>
      <c r="C353">
        <f>_xlfn.XLOOKUP(B353,Dim_Hotel!$A$2:$A$11,Dim_Hotel!$F$2:$F$11)</f>
        <v>147</v>
      </c>
      <c r="D353">
        <f t="shared" si="41"/>
        <v>81</v>
      </c>
      <c r="E353">
        <f t="shared" si="42"/>
        <v>0.55102040816326525</v>
      </c>
      <c r="F353">
        <f t="shared" si="43"/>
        <v>175</v>
      </c>
      <c r="G353">
        <f t="shared" si="44"/>
        <v>96.428571428571416</v>
      </c>
      <c r="H353" t="str">
        <f>_xlfn.XLOOKUP(A353,Fact_Events!$D$2:$D$20,Fact_Events!$A$2:$A$20, "")</f>
        <v/>
      </c>
      <c r="I353">
        <f t="shared" si="45"/>
        <v>0</v>
      </c>
      <c r="J353" t="str">
        <f>_xlfn.XLOOKUP(H353, Fact_Events!$A$2:$A$20, Fact_Events!$F$2:$F$20, "")</f>
        <v/>
      </c>
      <c r="K353" t="str">
        <f t="shared" si="46"/>
        <v>Low</v>
      </c>
      <c r="L353">
        <f t="shared" si="47"/>
        <v>0.55000000000000004</v>
      </c>
      <c r="M353">
        <f>_xlfn.XLOOKUP(B353, Dim_Hotel!$A$2:$A$11, Dim_Hotel!$I$2:$I$11)
 + (IF(J353="",0,J353)
    * _xlfn.XLOOKUP(B353, Dim_Hotel!$A$2:$A$11, Dim_Hotel!$J$2:$J$11))</f>
        <v>175</v>
      </c>
    </row>
    <row r="354" spans="1:13" x14ac:dyDescent="0.25">
      <c r="A354" s="1">
        <f t="shared" si="40"/>
        <v>46058</v>
      </c>
      <c r="B354" t="str" cm="1">
        <f t="array" ref="B354">INDEX(HotelList,MOD(ROW()-2,10)+1)</f>
        <v>H003</v>
      </c>
      <c r="C354">
        <f>_xlfn.XLOOKUP(B354,Dim_Hotel!$A$2:$A$11,Dim_Hotel!$F$2:$F$11)</f>
        <v>121</v>
      </c>
      <c r="D354">
        <f t="shared" si="41"/>
        <v>67</v>
      </c>
      <c r="E354">
        <f t="shared" si="42"/>
        <v>0.55371900826446285</v>
      </c>
      <c r="F354">
        <f t="shared" si="43"/>
        <v>145</v>
      </c>
      <c r="G354">
        <f t="shared" si="44"/>
        <v>80.289256198347118</v>
      </c>
      <c r="H354" t="str">
        <f>_xlfn.XLOOKUP(A354,Fact_Events!$D$2:$D$20,Fact_Events!$A$2:$A$20, "")</f>
        <v/>
      </c>
      <c r="I354">
        <f t="shared" si="45"/>
        <v>0</v>
      </c>
      <c r="J354" t="str">
        <f>_xlfn.XLOOKUP(H354, Fact_Events!$A$2:$A$20, Fact_Events!$F$2:$F$20, "")</f>
        <v/>
      </c>
      <c r="K354" t="str">
        <f t="shared" si="46"/>
        <v>Low</v>
      </c>
      <c r="L354">
        <f t="shared" si="47"/>
        <v>0.55000000000000004</v>
      </c>
      <c r="M354">
        <f>_xlfn.XLOOKUP(B354, Dim_Hotel!$A$2:$A$11, Dim_Hotel!$I$2:$I$11)
 + (IF(J354="",0,J354)
    * _xlfn.XLOOKUP(B354, Dim_Hotel!$A$2:$A$11, Dim_Hotel!$J$2:$J$11))</f>
        <v>145</v>
      </c>
    </row>
    <row r="355" spans="1:13" x14ac:dyDescent="0.25">
      <c r="A355" s="1">
        <f t="shared" si="40"/>
        <v>46058</v>
      </c>
      <c r="B355" t="str" cm="1">
        <f t="array" ref="B355">INDEX(HotelList,MOD(ROW()-2,10)+1)</f>
        <v>H004</v>
      </c>
      <c r="C355">
        <f>_xlfn.XLOOKUP(B355,Dim_Hotel!$A$2:$A$11,Dim_Hotel!$F$2:$F$11)</f>
        <v>108</v>
      </c>
      <c r="D355">
        <f t="shared" si="41"/>
        <v>59</v>
      </c>
      <c r="E355">
        <f t="shared" si="42"/>
        <v>0.54629629629629628</v>
      </c>
      <c r="F355">
        <f t="shared" si="43"/>
        <v>135</v>
      </c>
      <c r="G355">
        <f t="shared" si="44"/>
        <v>73.75</v>
      </c>
      <c r="H355" t="str">
        <f>_xlfn.XLOOKUP(A355,Fact_Events!$D$2:$D$20,Fact_Events!$A$2:$A$20, "")</f>
        <v/>
      </c>
      <c r="I355">
        <f t="shared" si="45"/>
        <v>0</v>
      </c>
      <c r="J355" t="str">
        <f>_xlfn.XLOOKUP(H355, Fact_Events!$A$2:$A$20, Fact_Events!$F$2:$F$20, "")</f>
        <v/>
      </c>
      <c r="K355" t="str">
        <f t="shared" si="46"/>
        <v>Low</v>
      </c>
      <c r="L355">
        <f t="shared" si="47"/>
        <v>0.55000000000000004</v>
      </c>
      <c r="M355">
        <f>_xlfn.XLOOKUP(B355, Dim_Hotel!$A$2:$A$11, Dim_Hotel!$I$2:$I$11)
 + (IF(J355="",0,J355)
    * _xlfn.XLOOKUP(B355, Dim_Hotel!$A$2:$A$11, Dim_Hotel!$J$2:$J$11))</f>
        <v>135</v>
      </c>
    </row>
    <row r="356" spans="1:13" x14ac:dyDescent="0.25">
      <c r="A356" s="1">
        <f t="shared" si="40"/>
        <v>46058</v>
      </c>
      <c r="B356" t="str" cm="1">
        <f t="array" ref="B356">INDEX(HotelList,MOD(ROW()-2,10)+1)</f>
        <v>H005</v>
      </c>
      <c r="C356">
        <f>_xlfn.XLOOKUP(B356,Dim_Hotel!$A$2:$A$11,Dim_Hotel!$F$2:$F$11)</f>
        <v>66</v>
      </c>
      <c r="D356">
        <f t="shared" si="41"/>
        <v>36</v>
      </c>
      <c r="E356">
        <f t="shared" si="42"/>
        <v>0.54545454545454541</v>
      </c>
      <c r="F356">
        <f t="shared" si="43"/>
        <v>82</v>
      </c>
      <c r="G356">
        <f t="shared" si="44"/>
        <v>44.727272727272727</v>
      </c>
      <c r="H356" t="str">
        <f>_xlfn.XLOOKUP(A356,Fact_Events!$D$2:$D$20,Fact_Events!$A$2:$A$20, "")</f>
        <v/>
      </c>
      <c r="I356">
        <f t="shared" si="45"/>
        <v>0</v>
      </c>
      <c r="J356" t="str">
        <f>_xlfn.XLOOKUP(H356, Fact_Events!$A$2:$A$20, Fact_Events!$F$2:$F$20, "")</f>
        <v/>
      </c>
      <c r="K356" t="str">
        <f t="shared" si="46"/>
        <v>Low</v>
      </c>
      <c r="L356">
        <f t="shared" si="47"/>
        <v>0.55000000000000004</v>
      </c>
      <c r="M356">
        <f>_xlfn.XLOOKUP(B356, Dim_Hotel!$A$2:$A$11, Dim_Hotel!$I$2:$I$11)
 + (IF(J356="",0,J356)
    * _xlfn.XLOOKUP(B356, Dim_Hotel!$A$2:$A$11, Dim_Hotel!$J$2:$J$11))</f>
        <v>82</v>
      </c>
    </row>
    <row r="357" spans="1:13" x14ac:dyDescent="0.25">
      <c r="A357" s="1">
        <f t="shared" si="40"/>
        <v>46058</v>
      </c>
      <c r="B357" t="str" cm="1">
        <f t="array" ref="B357">INDEX(HotelList,MOD(ROW()-2,10)+1)</f>
        <v>H006</v>
      </c>
      <c r="C357">
        <f>_xlfn.XLOOKUP(B357,Dim_Hotel!$A$2:$A$11,Dim_Hotel!$F$2:$F$11)</f>
        <v>311</v>
      </c>
      <c r="D357">
        <f t="shared" si="41"/>
        <v>171</v>
      </c>
      <c r="E357">
        <f t="shared" si="42"/>
        <v>0.54983922829581988</v>
      </c>
      <c r="F357">
        <f t="shared" si="43"/>
        <v>190</v>
      </c>
      <c r="G357">
        <f t="shared" si="44"/>
        <v>104.46945337620578</v>
      </c>
      <c r="H357" t="str">
        <f>_xlfn.XLOOKUP(A357,Fact_Events!$D$2:$D$20,Fact_Events!$A$2:$A$20, "")</f>
        <v/>
      </c>
      <c r="I357">
        <f t="shared" si="45"/>
        <v>0</v>
      </c>
      <c r="J357" t="str">
        <f>_xlfn.XLOOKUP(H357, Fact_Events!$A$2:$A$20, Fact_Events!$F$2:$F$20, "")</f>
        <v/>
      </c>
      <c r="K357" t="str">
        <f t="shared" si="46"/>
        <v>Low</v>
      </c>
      <c r="L357">
        <f t="shared" si="47"/>
        <v>0.55000000000000004</v>
      </c>
      <c r="M357">
        <f>_xlfn.XLOOKUP(B357, Dim_Hotel!$A$2:$A$11, Dim_Hotel!$I$2:$I$11)
 + (IF(J357="",0,J357)
    * _xlfn.XLOOKUP(B357, Dim_Hotel!$A$2:$A$11, Dim_Hotel!$J$2:$J$11))</f>
        <v>190</v>
      </c>
    </row>
    <row r="358" spans="1:13" x14ac:dyDescent="0.25">
      <c r="A358" s="1">
        <f t="shared" si="40"/>
        <v>46058</v>
      </c>
      <c r="B358" t="str" cm="1">
        <f t="array" ref="B358">INDEX(HotelList,MOD(ROW()-2,10)+1)</f>
        <v>H007</v>
      </c>
      <c r="C358">
        <f>_xlfn.XLOOKUP(B358,Dim_Hotel!$A$2:$A$11,Dim_Hotel!$F$2:$F$11)</f>
        <v>132</v>
      </c>
      <c r="D358">
        <f t="shared" si="41"/>
        <v>73</v>
      </c>
      <c r="E358">
        <f t="shared" si="42"/>
        <v>0.55303030303030298</v>
      </c>
      <c r="F358">
        <f t="shared" si="43"/>
        <v>165</v>
      </c>
      <c r="G358">
        <f t="shared" si="44"/>
        <v>91.249999999999986</v>
      </c>
      <c r="H358" t="str">
        <f>_xlfn.XLOOKUP(A358,Fact_Events!$D$2:$D$20,Fact_Events!$A$2:$A$20, "")</f>
        <v/>
      </c>
      <c r="I358">
        <f t="shared" si="45"/>
        <v>0</v>
      </c>
      <c r="J358" t="str">
        <f>_xlfn.XLOOKUP(H358, Fact_Events!$A$2:$A$20, Fact_Events!$F$2:$F$20, "")</f>
        <v/>
      </c>
      <c r="K358" t="str">
        <f t="shared" si="46"/>
        <v>Low</v>
      </c>
      <c r="L358">
        <f t="shared" si="47"/>
        <v>0.55000000000000004</v>
      </c>
      <c r="M358">
        <f>_xlfn.XLOOKUP(B358, Dim_Hotel!$A$2:$A$11, Dim_Hotel!$I$2:$I$11)
 + (IF(J358="",0,J358)
    * _xlfn.XLOOKUP(B358, Dim_Hotel!$A$2:$A$11, Dim_Hotel!$J$2:$J$11))</f>
        <v>165</v>
      </c>
    </row>
    <row r="359" spans="1:13" x14ac:dyDescent="0.25">
      <c r="A359" s="1">
        <f t="shared" si="40"/>
        <v>46058</v>
      </c>
      <c r="B359" t="str" cm="1">
        <f t="array" ref="B359">INDEX(HotelList,MOD(ROW()-2,10)+1)</f>
        <v>H008</v>
      </c>
      <c r="C359">
        <f>_xlfn.XLOOKUP(B359,Dim_Hotel!$A$2:$A$11,Dim_Hotel!$F$2:$F$11)</f>
        <v>103</v>
      </c>
      <c r="D359">
        <f t="shared" si="41"/>
        <v>57</v>
      </c>
      <c r="E359">
        <f t="shared" si="42"/>
        <v>0.55339805825242716</v>
      </c>
      <c r="F359">
        <f t="shared" si="43"/>
        <v>140</v>
      </c>
      <c r="G359">
        <f t="shared" si="44"/>
        <v>77.475728155339809</v>
      </c>
      <c r="H359" t="str">
        <f>_xlfn.XLOOKUP(A359,Fact_Events!$D$2:$D$20,Fact_Events!$A$2:$A$20, "")</f>
        <v/>
      </c>
      <c r="I359">
        <f t="shared" si="45"/>
        <v>0</v>
      </c>
      <c r="J359" t="str">
        <f>_xlfn.XLOOKUP(H359, Fact_Events!$A$2:$A$20, Fact_Events!$F$2:$F$20, "")</f>
        <v/>
      </c>
      <c r="K359" t="str">
        <f t="shared" si="46"/>
        <v>Low</v>
      </c>
      <c r="L359">
        <f t="shared" si="47"/>
        <v>0.55000000000000004</v>
      </c>
      <c r="M359">
        <f>_xlfn.XLOOKUP(B359, Dim_Hotel!$A$2:$A$11, Dim_Hotel!$I$2:$I$11)
 + (IF(J359="",0,J359)
    * _xlfn.XLOOKUP(B359, Dim_Hotel!$A$2:$A$11, Dim_Hotel!$J$2:$J$11))</f>
        <v>140</v>
      </c>
    </row>
    <row r="360" spans="1:13" x14ac:dyDescent="0.25">
      <c r="A360" s="1">
        <f t="shared" si="40"/>
        <v>46058</v>
      </c>
      <c r="B360" t="str" cm="1">
        <f t="array" ref="B360">INDEX(HotelList,MOD(ROW()-2,10)+1)</f>
        <v>H009</v>
      </c>
      <c r="C360">
        <f>_xlfn.XLOOKUP(B360,Dim_Hotel!$A$2:$A$11,Dim_Hotel!$F$2:$F$11)</f>
        <v>114</v>
      </c>
      <c r="D360">
        <f t="shared" si="41"/>
        <v>63</v>
      </c>
      <c r="E360">
        <f t="shared" si="42"/>
        <v>0.55263157894736847</v>
      </c>
      <c r="F360">
        <f t="shared" si="43"/>
        <v>185</v>
      </c>
      <c r="G360">
        <f t="shared" si="44"/>
        <v>102.23684210526316</v>
      </c>
      <c r="H360" t="str">
        <f>_xlfn.XLOOKUP(A360,Fact_Events!$D$2:$D$20,Fact_Events!$A$2:$A$20, "")</f>
        <v/>
      </c>
      <c r="I360">
        <f t="shared" si="45"/>
        <v>0</v>
      </c>
      <c r="J360" t="str">
        <f>_xlfn.XLOOKUP(H360, Fact_Events!$A$2:$A$20, Fact_Events!$F$2:$F$20, "")</f>
        <v/>
      </c>
      <c r="K360" t="str">
        <f t="shared" si="46"/>
        <v>Low</v>
      </c>
      <c r="L360">
        <f t="shared" si="47"/>
        <v>0.55000000000000004</v>
      </c>
      <c r="M360">
        <f>_xlfn.XLOOKUP(B360, Dim_Hotel!$A$2:$A$11, Dim_Hotel!$I$2:$I$11)
 + (IF(J360="",0,J360)
    * _xlfn.XLOOKUP(B360, Dim_Hotel!$A$2:$A$11, Dim_Hotel!$J$2:$J$11))</f>
        <v>185</v>
      </c>
    </row>
    <row r="361" spans="1:13" x14ac:dyDescent="0.25">
      <c r="A361" s="1">
        <f t="shared" si="40"/>
        <v>46058</v>
      </c>
      <c r="B361" t="str" cm="1">
        <f t="array" ref="B361">INDEX(HotelList,MOD(ROW()-2,10)+1)</f>
        <v>H010</v>
      </c>
      <c r="C361">
        <f>_xlfn.XLOOKUP(B361,Dim_Hotel!$A$2:$A$11,Dim_Hotel!$F$2:$F$11)</f>
        <v>89</v>
      </c>
      <c r="D361">
        <f t="shared" si="41"/>
        <v>49</v>
      </c>
      <c r="E361">
        <f t="shared" si="42"/>
        <v>0.550561797752809</v>
      </c>
      <c r="F361">
        <f t="shared" si="43"/>
        <v>150</v>
      </c>
      <c r="G361">
        <f t="shared" si="44"/>
        <v>82.584269662921344</v>
      </c>
      <c r="H361" t="str">
        <f>_xlfn.XLOOKUP(A361,Fact_Events!$D$2:$D$20,Fact_Events!$A$2:$A$20, "")</f>
        <v/>
      </c>
      <c r="I361">
        <f t="shared" si="45"/>
        <v>0</v>
      </c>
      <c r="J361" t="str">
        <f>_xlfn.XLOOKUP(H361, Fact_Events!$A$2:$A$20, Fact_Events!$F$2:$F$20, "")</f>
        <v/>
      </c>
      <c r="K361" t="str">
        <f t="shared" si="46"/>
        <v>Low</v>
      </c>
      <c r="L361">
        <f t="shared" si="47"/>
        <v>0.55000000000000004</v>
      </c>
      <c r="M361">
        <f>_xlfn.XLOOKUP(B361, Dim_Hotel!$A$2:$A$11, Dim_Hotel!$I$2:$I$11)
 + (IF(J361="",0,J361)
    * _xlfn.XLOOKUP(B361, Dim_Hotel!$A$2:$A$11, Dim_Hotel!$J$2:$J$11))</f>
        <v>150</v>
      </c>
    </row>
    <row r="362" spans="1:13" x14ac:dyDescent="0.25">
      <c r="A362" s="1">
        <f t="shared" si="40"/>
        <v>46059</v>
      </c>
      <c r="B362" t="str" cm="1">
        <f t="array" ref="B362">INDEX(HotelList,MOD(ROW()-2,10)+1)</f>
        <v>H001</v>
      </c>
      <c r="C362">
        <f>_xlfn.XLOOKUP(B362,Dim_Hotel!$A$2:$A$11,Dim_Hotel!$F$2:$F$11)</f>
        <v>888</v>
      </c>
      <c r="D362">
        <f t="shared" si="41"/>
        <v>488</v>
      </c>
      <c r="E362">
        <f t="shared" si="42"/>
        <v>0.5495495495495496</v>
      </c>
      <c r="F362">
        <f t="shared" si="43"/>
        <v>260</v>
      </c>
      <c r="G362">
        <f t="shared" si="44"/>
        <v>142.88288288288288</v>
      </c>
      <c r="H362" t="str">
        <f>_xlfn.XLOOKUP(A362,Fact_Events!$D$2:$D$20,Fact_Events!$A$2:$A$20, "")</f>
        <v/>
      </c>
      <c r="I362">
        <f t="shared" si="45"/>
        <v>0</v>
      </c>
      <c r="J362" t="str">
        <f>_xlfn.XLOOKUP(H362, Fact_Events!$A$2:$A$20, Fact_Events!$F$2:$F$20, "")</f>
        <v/>
      </c>
      <c r="K362" t="str">
        <f t="shared" si="46"/>
        <v>Low</v>
      </c>
      <c r="L362">
        <f t="shared" si="47"/>
        <v>0.55000000000000004</v>
      </c>
      <c r="M362">
        <f>_xlfn.XLOOKUP(B362, Dim_Hotel!$A$2:$A$11, Dim_Hotel!$I$2:$I$11)
 + (IF(J362="",0,J362)
    * _xlfn.XLOOKUP(B362, Dim_Hotel!$A$2:$A$11, Dim_Hotel!$J$2:$J$11))</f>
        <v>260</v>
      </c>
    </row>
    <row r="363" spans="1:13" x14ac:dyDescent="0.25">
      <c r="A363" s="1">
        <f t="shared" si="40"/>
        <v>46059</v>
      </c>
      <c r="B363" t="str" cm="1">
        <f t="array" ref="B363">INDEX(HotelList,MOD(ROW()-2,10)+1)</f>
        <v>H002</v>
      </c>
      <c r="C363">
        <f>_xlfn.XLOOKUP(B363,Dim_Hotel!$A$2:$A$11,Dim_Hotel!$F$2:$F$11)</f>
        <v>147</v>
      </c>
      <c r="D363">
        <f t="shared" si="41"/>
        <v>81</v>
      </c>
      <c r="E363">
        <f t="shared" si="42"/>
        <v>0.55102040816326525</v>
      </c>
      <c r="F363">
        <f t="shared" si="43"/>
        <v>175</v>
      </c>
      <c r="G363">
        <f t="shared" si="44"/>
        <v>96.428571428571416</v>
      </c>
      <c r="H363" t="str">
        <f>_xlfn.XLOOKUP(A363,Fact_Events!$D$2:$D$20,Fact_Events!$A$2:$A$20, "")</f>
        <v/>
      </c>
      <c r="I363">
        <f t="shared" si="45"/>
        <v>0</v>
      </c>
      <c r="J363" t="str">
        <f>_xlfn.XLOOKUP(H363, Fact_Events!$A$2:$A$20, Fact_Events!$F$2:$F$20, "")</f>
        <v/>
      </c>
      <c r="K363" t="str">
        <f t="shared" si="46"/>
        <v>Low</v>
      </c>
      <c r="L363">
        <f t="shared" si="47"/>
        <v>0.55000000000000004</v>
      </c>
      <c r="M363">
        <f>_xlfn.XLOOKUP(B363, Dim_Hotel!$A$2:$A$11, Dim_Hotel!$I$2:$I$11)
 + (IF(J363="",0,J363)
    * _xlfn.XLOOKUP(B363, Dim_Hotel!$A$2:$A$11, Dim_Hotel!$J$2:$J$11))</f>
        <v>175</v>
      </c>
    </row>
    <row r="364" spans="1:13" x14ac:dyDescent="0.25">
      <c r="A364" s="1">
        <f t="shared" si="40"/>
        <v>46059</v>
      </c>
      <c r="B364" t="str" cm="1">
        <f t="array" ref="B364">INDEX(HotelList,MOD(ROW()-2,10)+1)</f>
        <v>H003</v>
      </c>
      <c r="C364">
        <f>_xlfn.XLOOKUP(B364,Dim_Hotel!$A$2:$A$11,Dim_Hotel!$F$2:$F$11)</f>
        <v>121</v>
      </c>
      <c r="D364">
        <f t="shared" si="41"/>
        <v>67</v>
      </c>
      <c r="E364">
        <f t="shared" si="42"/>
        <v>0.55371900826446285</v>
      </c>
      <c r="F364">
        <f t="shared" si="43"/>
        <v>145</v>
      </c>
      <c r="G364">
        <f t="shared" si="44"/>
        <v>80.289256198347118</v>
      </c>
      <c r="H364" t="str">
        <f>_xlfn.XLOOKUP(A364,Fact_Events!$D$2:$D$20,Fact_Events!$A$2:$A$20, "")</f>
        <v/>
      </c>
      <c r="I364">
        <f t="shared" si="45"/>
        <v>0</v>
      </c>
      <c r="J364" t="str">
        <f>_xlfn.XLOOKUP(H364, Fact_Events!$A$2:$A$20, Fact_Events!$F$2:$F$20, "")</f>
        <v/>
      </c>
      <c r="K364" t="str">
        <f t="shared" si="46"/>
        <v>Low</v>
      </c>
      <c r="L364">
        <f t="shared" si="47"/>
        <v>0.55000000000000004</v>
      </c>
      <c r="M364">
        <f>_xlfn.XLOOKUP(B364, Dim_Hotel!$A$2:$A$11, Dim_Hotel!$I$2:$I$11)
 + (IF(J364="",0,J364)
    * _xlfn.XLOOKUP(B364, Dim_Hotel!$A$2:$A$11, Dim_Hotel!$J$2:$J$11))</f>
        <v>145</v>
      </c>
    </row>
    <row r="365" spans="1:13" x14ac:dyDescent="0.25">
      <c r="A365" s="1">
        <f t="shared" si="40"/>
        <v>46059</v>
      </c>
      <c r="B365" t="str" cm="1">
        <f t="array" ref="B365">INDEX(HotelList,MOD(ROW()-2,10)+1)</f>
        <v>H004</v>
      </c>
      <c r="C365">
        <f>_xlfn.XLOOKUP(B365,Dim_Hotel!$A$2:$A$11,Dim_Hotel!$F$2:$F$11)</f>
        <v>108</v>
      </c>
      <c r="D365">
        <f t="shared" si="41"/>
        <v>59</v>
      </c>
      <c r="E365">
        <f t="shared" si="42"/>
        <v>0.54629629629629628</v>
      </c>
      <c r="F365">
        <f t="shared" si="43"/>
        <v>135</v>
      </c>
      <c r="G365">
        <f t="shared" si="44"/>
        <v>73.75</v>
      </c>
      <c r="H365" t="str">
        <f>_xlfn.XLOOKUP(A365,Fact_Events!$D$2:$D$20,Fact_Events!$A$2:$A$20, "")</f>
        <v/>
      </c>
      <c r="I365">
        <f t="shared" si="45"/>
        <v>0</v>
      </c>
      <c r="J365" t="str">
        <f>_xlfn.XLOOKUP(H365, Fact_Events!$A$2:$A$20, Fact_Events!$F$2:$F$20, "")</f>
        <v/>
      </c>
      <c r="K365" t="str">
        <f t="shared" si="46"/>
        <v>Low</v>
      </c>
      <c r="L365">
        <f t="shared" si="47"/>
        <v>0.55000000000000004</v>
      </c>
      <c r="M365">
        <f>_xlfn.XLOOKUP(B365, Dim_Hotel!$A$2:$A$11, Dim_Hotel!$I$2:$I$11)
 + (IF(J365="",0,J365)
    * _xlfn.XLOOKUP(B365, Dim_Hotel!$A$2:$A$11, Dim_Hotel!$J$2:$J$11))</f>
        <v>135</v>
      </c>
    </row>
    <row r="366" spans="1:13" x14ac:dyDescent="0.25">
      <c r="A366" s="1">
        <f t="shared" si="40"/>
        <v>46059</v>
      </c>
      <c r="B366" t="str" cm="1">
        <f t="array" ref="B366">INDEX(HotelList,MOD(ROW()-2,10)+1)</f>
        <v>H005</v>
      </c>
      <c r="C366">
        <f>_xlfn.XLOOKUP(B366,Dim_Hotel!$A$2:$A$11,Dim_Hotel!$F$2:$F$11)</f>
        <v>66</v>
      </c>
      <c r="D366">
        <f t="shared" si="41"/>
        <v>36</v>
      </c>
      <c r="E366">
        <f t="shared" si="42"/>
        <v>0.54545454545454541</v>
      </c>
      <c r="F366">
        <f t="shared" si="43"/>
        <v>82</v>
      </c>
      <c r="G366">
        <f t="shared" si="44"/>
        <v>44.727272727272727</v>
      </c>
      <c r="H366" t="str">
        <f>_xlfn.XLOOKUP(A366,Fact_Events!$D$2:$D$20,Fact_Events!$A$2:$A$20, "")</f>
        <v/>
      </c>
      <c r="I366">
        <f t="shared" si="45"/>
        <v>0</v>
      </c>
      <c r="J366" t="str">
        <f>_xlfn.XLOOKUP(H366, Fact_Events!$A$2:$A$20, Fact_Events!$F$2:$F$20, "")</f>
        <v/>
      </c>
      <c r="K366" t="str">
        <f t="shared" si="46"/>
        <v>Low</v>
      </c>
      <c r="L366">
        <f t="shared" si="47"/>
        <v>0.55000000000000004</v>
      </c>
      <c r="M366">
        <f>_xlfn.XLOOKUP(B366, Dim_Hotel!$A$2:$A$11, Dim_Hotel!$I$2:$I$11)
 + (IF(J366="",0,J366)
    * _xlfn.XLOOKUP(B366, Dim_Hotel!$A$2:$A$11, Dim_Hotel!$J$2:$J$11))</f>
        <v>82</v>
      </c>
    </row>
    <row r="367" spans="1:13" x14ac:dyDescent="0.25">
      <c r="A367" s="1">
        <f t="shared" si="40"/>
        <v>46059</v>
      </c>
      <c r="B367" t="str" cm="1">
        <f t="array" ref="B367">INDEX(HotelList,MOD(ROW()-2,10)+1)</f>
        <v>H006</v>
      </c>
      <c r="C367">
        <f>_xlfn.XLOOKUP(B367,Dim_Hotel!$A$2:$A$11,Dim_Hotel!$F$2:$F$11)</f>
        <v>311</v>
      </c>
      <c r="D367">
        <f t="shared" si="41"/>
        <v>171</v>
      </c>
      <c r="E367">
        <f t="shared" si="42"/>
        <v>0.54983922829581988</v>
      </c>
      <c r="F367">
        <f t="shared" si="43"/>
        <v>190</v>
      </c>
      <c r="G367">
        <f t="shared" si="44"/>
        <v>104.46945337620578</v>
      </c>
      <c r="H367" t="str">
        <f>_xlfn.XLOOKUP(A367,Fact_Events!$D$2:$D$20,Fact_Events!$A$2:$A$20, "")</f>
        <v/>
      </c>
      <c r="I367">
        <f t="shared" si="45"/>
        <v>0</v>
      </c>
      <c r="J367" t="str">
        <f>_xlfn.XLOOKUP(H367, Fact_Events!$A$2:$A$20, Fact_Events!$F$2:$F$20, "")</f>
        <v/>
      </c>
      <c r="K367" t="str">
        <f t="shared" si="46"/>
        <v>Low</v>
      </c>
      <c r="L367">
        <f t="shared" si="47"/>
        <v>0.55000000000000004</v>
      </c>
      <c r="M367">
        <f>_xlfn.XLOOKUP(B367, Dim_Hotel!$A$2:$A$11, Dim_Hotel!$I$2:$I$11)
 + (IF(J367="",0,J367)
    * _xlfn.XLOOKUP(B367, Dim_Hotel!$A$2:$A$11, Dim_Hotel!$J$2:$J$11))</f>
        <v>190</v>
      </c>
    </row>
    <row r="368" spans="1:13" x14ac:dyDescent="0.25">
      <c r="A368" s="1">
        <f t="shared" si="40"/>
        <v>46059</v>
      </c>
      <c r="B368" t="str" cm="1">
        <f t="array" ref="B368">INDEX(HotelList,MOD(ROW()-2,10)+1)</f>
        <v>H007</v>
      </c>
      <c r="C368">
        <f>_xlfn.XLOOKUP(B368,Dim_Hotel!$A$2:$A$11,Dim_Hotel!$F$2:$F$11)</f>
        <v>132</v>
      </c>
      <c r="D368">
        <f t="shared" si="41"/>
        <v>73</v>
      </c>
      <c r="E368">
        <f t="shared" si="42"/>
        <v>0.55303030303030298</v>
      </c>
      <c r="F368">
        <f t="shared" si="43"/>
        <v>165</v>
      </c>
      <c r="G368">
        <f t="shared" si="44"/>
        <v>91.249999999999986</v>
      </c>
      <c r="H368" t="str">
        <f>_xlfn.XLOOKUP(A368,Fact_Events!$D$2:$D$20,Fact_Events!$A$2:$A$20, "")</f>
        <v/>
      </c>
      <c r="I368">
        <f t="shared" si="45"/>
        <v>0</v>
      </c>
      <c r="J368" t="str">
        <f>_xlfn.XLOOKUP(H368, Fact_Events!$A$2:$A$20, Fact_Events!$F$2:$F$20, "")</f>
        <v/>
      </c>
      <c r="K368" t="str">
        <f t="shared" si="46"/>
        <v>Low</v>
      </c>
      <c r="L368">
        <f t="shared" si="47"/>
        <v>0.55000000000000004</v>
      </c>
      <c r="M368">
        <f>_xlfn.XLOOKUP(B368, Dim_Hotel!$A$2:$A$11, Dim_Hotel!$I$2:$I$11)
 + (IF(J368="",0,J368)
    * _xlfn.XLOOKUP(B368, Dim_Hotel!$A$2:$A$11, Dim_Hotel!$J$2:$J$11))</f>
        <v>165</v>
      </c>
    </row>
    <row r="369" spans="1:13" x14ac:dyDescent="0.25">
      <c r="A369" s="1">
        <f t="shared" si="40"/>
        <v>46059</v>
      </c>
      <c r="B369" t="str" cm="1">
        <f t="array" ref="B369">INDEX(HotelList,MOD(ROW()-2,10)+1)</f>
        <v>H008</v>
      </c>
      <c r="C369">
        <f>_xlfn.XLOOKUP(B369,Dim_Hotel!$A$2:$A$11,Dim_Hotel!$F$2:$F$11)</f>
        <v>103</v>
      </c>
      <c r="D369">
        <f t="shared" si="41"/>
        <v>57</v>
      </c>
      <c r="E369">
        <f t="shared" si="42"/>
        <v>0.55339805825242716</v>
      </c>
      <c r="F369">
        <f t="shared" si="43"/>
        <v>140</v>
      </c>
      <c r="G369">
        <f t="shared" si="44"/>
        <v>77.475728155339809</v>
      </c>
      <c r="H369" t="str">
        <f>_xlfn.XLOOKUP(A369,Fact_Events!$D$2:$D$20,Fact_Events!$A$2:$A$20, "")</f>
        <v/>
      </c>
      <c r="I369">
        <f t="shared" si="45"/>
        <v>0</v>
      </c>
      <c r="J369" t="str">
        <f>_xlfn.XLOOKUP(H369, Fact_Events!$A$2:$A$20, Fact_Events!$F$2:$F$20, "")</f>
        <v/>
      </c>
      <c r="K369" t="str">
        <f t="shared" si="46"/>
        <v>Low</v>
      </c>
      <c r="L369">
        <f t="shared" si="47"/>
        <v>0.55000000000000004</v>
      </c>
      <c r="M369">
        <f>_xlfn.XLOOKUP(B369, Dim_Hotel!$A$2:$A$11, Dim_Hotel!$I$2:$I$11)
 + (IF(J369="",0,J369)
    * _xlfn.XLOOKUP(B369, Dim_Hotel!$A$2:$A$11, Dim_Hotel!$J$2:$J$11))</f>
        <v>140</v>
      </c>
    </row>
    <row r="370" spans="1:13" x14ac:dyDescent="0.25">
      <c r="A370" s="1">
        <f t="shared" si="40"/>
        <v>46059</v>
      </c>
      <c r="B370" t="str" cm="1">
        <f t="array" ref="B370">INDEX(HotelList,MOD(ROW()-2,10)+1)</f>
        <v>H009</v>
      </c>
      <c r="C370">
        <f>_xlfn.XLOOKUP(B370,Dim_Hotel!$A$2:$A$11,Dim_Hotel!$F$2:$F$11)</f>
        <v>114</v>
      </c>
      <c r="D370">
        <f t="shared" si="41"/>
        <v>63</v>
      </c>
      <c r="E370">
        <f t="shared" si="42"/>
        <v>0.55263157894736847</v>
      </c>
      <c r="F370">
        <f t="shared" si="43"/>
        <v>185</v>
      </c>
      <c r="G370">
        <f t="shared" si="44"/>
        <v>102.23684210526316</v>
      </c>
      <c r="H370" t="str">
        <f>_xlfn.XLOOKUP(A370,Fact_Events!$D$2:$D$20,Fact_Events!$A$2:$A$20, "")</f>
        <v/>
      </c>
      <c r="I370">
        <f t="shared" si="45"/>
        <v>0</v>
      </c>
      <c r="J370" t="str">
        <f>_xlfn.XLOOKUP(H370, Fact_Events!$A$2:$A$20, Fact_Events!$F$2:$F$20, "")</f>
        <v/>
      </c>
      <c r="K370" t="str">
        <f t="shared" si="46"/>
        <v>Low</v>
      </c>
      <c r="L370">
        <f t="shared" si="47"/>
        <v>0.55000000000000004</v>
      </c>
      <c r="M370">
        <f>_xlfn.XLOOKUP(B370, Dim_Hotel!$A$2:$A$11, Dim_Hotel!$I$2:$I$11)
 + (IF(J370="",0,J370)
    * _xlfn.XLOOKUP(B370, Dim_Hotel!$A$2:$A$11, Dim_Hotel!$J$2:$J$11))</f>
        <v>185</v>
      </c>
    </row>
    <row r="371" spans="1:13" x14ac:dyDescent="0.25">
      <c r="A371" s="1">
        <f t="shared" si="40"/>
        <v>46059</v>
      </c>
      <c r="B371" t="str" cm="1">
        <f t="array" ref="B371">INDEX(HotelList,MOD(ROW()-2,10)+1)</f>
        <v>H010</v>
      </c>
      <c r="C371">
        <f>_xlfn.XLOOKUP(B371,Dim_Hotel!$A$2:$A$11,Dim_Hotel!$F$2:$F$11)</f>
        <v>89</v>
      </c>
      <c r="D371">
        <f t="shared" si="41"/>
        <v>49</v>
      </c>
      <c r="E371">
        <f t="shared" si="42"/>
        <v>0.550561797752809</v>
      </c>
      <c r="F371">
        <f t="shared" si="43"/>
        <v>150</v>
      </c>
      <c r="G371">
        <f t="shared" si="44"/>
        <v>82.584269662921344</v>
      </c>
      <c r="H371" t="str">
        <f>_xlfn.XLOOKUP(A371,Fact_Events!$D$2:$D$20,Fact_Events!$A$2:$A$20, "")</f>
        <v/>
      </c>
      <c r="I371">
        <f t="shared" si="45"/>
        <v>0</v>
      </c>
      <c r="J371" t="str">
        <f>_xlfn.XLOOKUP(H371, Fact_Events!$A$2:$A$20, Fact_Events!$F$2:$F$20, "")</f>
        <v/>
      </c>
      <c r="K371" t="str">
        <f t="shared" si="46"/>
        <v>Low</v>
      </c>
      <c r="L371">
        <f t="shared" si="47"/>
        <v>0.55000000000000004</v>
      </c>
      <c r="M371">
        <f>_xlfn.XLOOKUP(B371, Dim_Hotel!$A$2:$A$11, Dim_Hotel!$I$2:$I$11)
 + (IF(J371="",0,J371)
    * _xlfn.XLOOKUP(B371, Dim_Hotel!$A$2:$A$11, Dim_Hotel!$J$2:$J$11))</f>
        <v>150</v>
      </c>
    </row>
    <row r="372" spans="1:13" x14ac:dyDescent="0.25">
      <c r="A372" s="1">
        <f t="shared" si="40"/>
        <v>46060</v>
      </c>
      <c r="B372" t="str" cm="1">
        <f t="array" ref="B372">INDEX(HotelList,MOD(ROW()-2,10)+1)</f>
        <v>H001</v>
      </c>
      <c r="C372">
        <f>_xlfn.XLOOKUP(B372,Dim_Hotel!$A$2:$A$11,Dim_Hotel!$F$2:$F$11)</f>
        <v>888</v>
      </c>
      <c r="D372">
        <f t="shared" si="41"/>
        <v>488</v>
      </c>
      <c r="E372">
        <f t="shared" si="42"/>
        <v>0.5495495495495496</v>
      </c>
      <c r="F372">
        <f t="shared" si="43"/>
        <v>260</v>
      </c>
      <c r="G372">
        <f t="shared" si="44"/>
        <v>142.88288288288288</v>
      </c>
      <c r="H372" t="str">
        <f>_xlfn.XLOOKUP(A372,Fact_Events!$D$2:$D$20,Fact_Events!$A$2:$A$20, "")</f>
        <v/>
      </c>
      <c r="I372">
        <f t="shared" si="45"/>
        <v>0</v>
      </c>
      <c r="J372" t="str">
        <f>_xlfn.XLOOKUP(H372, Fact_Events!$A$2:$A$20, Fact_Events!$F$2:$F$20, "")</f>
        <v/>
      </c>
      <c r="K372" t="str">
        <f t="shared" si="46"/>
        <v>Low</v>
      </c>
      <c r="L372">
        <f t="shared" si="47"/>
        <v>0.55000000000000004</v>
      </c>
      <c r="M372">
        <f>_xlfn.XLOOKUP(B372, Dim_Hotel!$A$2:$A$11, Dim_Hotel!$I$2:$I$11)
 + (IF(J372="",0,J372)
    * _xlfn.XLOOKUP(B372, Dim_Hotel!$A$2:$A$11, Dim_Hotel!$J$2:$J$11))</f>
        <v>260</v>
      </c>
    </row>
    <row r="373" spans="1:13" x14ac:dyDescent="0.25">
      <c r="A373" s="1">
        <f t="shared" si="40"/>
        <v>46060</v>
      </c>
      <c r="B373" t="str" cm="1">
        <f t="array" ref="B373">INDEX(HotelList,MOD(ROW()-2,10)+1)</f>
        <v>H002</v>
      </c>
      <c r="C373">
        <f>_xlfn.XLOOKUP(B373,Dim_Hotel!$A$2:$A$11,Dim_Hotel!$F$2:$F$11)</f>
        <v>147</v>
      </c>
      <c r="D373">
        <f t="shared" si="41"/>
        <v>81</v>
      </c>
      <c r="E373">
        <f t="shared" si="42"/>
        <v>0.55102040816326525</v>
      </c>
      <c r="F373">
        <f t="shared" si="43"/>
        <v>175</v>
      </c>
      <c r="G373">
        <f t="shared" si="44"/>
        <v>96.428571428571416</v>
      </c>
      <c r="H373" t="str">
        <f>_xlfn.XLOOKUP(A373,Fact_Events!$D$2:$D$20,Fact_Events!$A$2:$A$20, "")</f>
        <v/>
      </c>
      <c r="I373">
        <f t="shared" si="45"/>
        <v>0</v>
      </c>
      <c r="J373" t="str">
        <f>_xlfn.XLOOKUP(H373, Fact_Events!$A$2:$A$20, Fact_Events!$F$2:$F$20, "")</f>
        <v/>
      </c>
      <c r="K373" t="str">
        <f t="shared" si="46"/>
        <v>Low</v>
      </c>
      <c r="L373">
        <f t="shared" si="47"/>
        <v>0.55000000000000004</v>
      </c>
      <c r="M373">
        <f>_xlfn.XLOOKUP(B373, Dim_Hotel!$A$2:$A$11, Dim_Hotel!$I$2:$I$11)
 + (IF(J373="",0,J373)
    * _xlfn.XLOOKUP(B373, Dim_Hotel!$A$2:$A$11, Dim_Hotel!$J$2:$J$11))</f>
        <v>175</v>
      </c>
    </row>
    <row r="374" spans="1:13" x14ac:dyDescent="0.25">
      <c r="A374" s="1">
        <f t="shared" si="40"/>
        <v>46060</v>
      </c>
      <c r="B374" t="str" cm="1">
        <f t="array" ref="B374">INDEX(HotelList,MOD(ROW()-2,10)+1)</f>
        <v>H003</v>
      </c>
      <c r="C374">
        <f>_xlfn.XLOOKUP(B374,Dim_Hotel!$A$2:$A$11,Dim_Hotel!$F$2:$F$11)</f>
        <v>121</v>
      </c>
      <c r="D374">
        <f t="shared" si="41"/>
        <v>67</v>
      </c>
      <c r="E374">
        <f t="shared" si="42"/>
        <v>0.55371900826446285</v>
      </c>
      <c r="F374">
        <f t="shared" si="43"/>
        <v>145</v>
      </c>
      <c r="G374">
        <f t="shared" si="44"/>
        <v>80.289256198347118</v>
      </c>
      <c r="H374" t="str">
        <f>_xlfn.XLOOKUP(A374,Fact_Events!$D$2:$D$20,Fact_Events!$A$2:$A$20, "")</f>
        <v/>
      </c>
      <c r="I374">
        <f t="shared" si="45"/>
        <v>0</v>
      </c>
      <c r="J374" t="str">
        <f>_xlfn.XLOOKUP(H374, Fact_Events!$A$2:$A$20, Fact_Events!$F$2:$F$20, "")</f>
        <v/>
      </c>
      <c r="K374" t="str">
        <f t="shared" si="46"/>
        <v>Low</v>
      </c>
      <c r="L374">
        <f t="shared" si="47"/>
        <v>0.55000000000000004</v>
      </c>
      <c r="M374">
        <f>_xlfn.XLOOKUP(B374, Dim_Hotel!$A$2:$A$11, Dim_Hotel!$I$2:$I$11)
 + (IF(J374="",0,J374)
    * _xlfn.XLOOKUP(B374, Dim_Hotel!$A$2:$A$11, Dim_Hotel!$J$2:$J$11))</f>
        <v>145</v>
      </c>
    </row>
    <row r="375" spans="1:13" x14ac:dyDescent="0.25">
      <c r="A375" s="1">
        <f t="shared" si="40"/>
        <v>46060</v>
      </c>
      <c r="B375" t="str" cm="1">
        <f t="array" ref="B375">INDEX(HotelList,MOD(ROW()-2,10)+1)</f>
        <v>H004</v>
      </c>
      <c r="C375">
        <f>_xlfn.XLOOKUP(B375,Dim_Hotel!$A$2:$A$11,Dim_Hotel!$F$2:$F$11)</f>
        <v>108</v>
      </c>
      <c r="D375">
        <f t="shared" si="41"/>
        <v>59</v>
      </c>
      <c r="E375">
        <f t="shared" si="42"/>
        <v>0.54629629629629628</v>
      </c>
      <c r="F375">
        <f t="shared" si="43"/>
        <v>135</v>
      </c>
      <c r="G375">
        <f t="shared" si="44"/>
        <v>73.75</v>
      </c>
      <c r="H375" t="str">
        <f>_xlfn.XLOOKUP(A375,Fact_Events!$D$2:$D$20,Fact_Events!$A$2:$A$20, "")</f>
        <v/>
      </c>
      <c r="I375">
        <f t="shared" si="45"/>
        <v>0</v>
      </c>
      <c r="J375" t="str">
        <f>_xlfn.XLOOKUP(H375, Fact_Events!$A$2:$A$20, Fact_Events!$F$2:$F$20, "")</f>
        <v/>
      </c>
      <c r="K375" t="str">
        <f t="shared" si="46"/>
        <v>Low</v>
      </c>
      <c r="L375">
        <f t="shared" si="47"/>
        <v>0.55000000000000004</v>
      </c>
      <c r="M375">
        <f>_xlfn.XLOOKUP(B375, Dim_Hotel!$A$2:$A$11, Dim_Hotel!$I$2:$I$11)
 + (IF(J375="",0,J375)
    * _xlfn.XLOOKUP(B375, Dim_Hotel!$A$2:$A$11, Dim_Hotel!$J$2:$J$11))</f>
        <v>135</v>
      </c>
    </row>
    <row r="376" spans="1:13" x14ac:dyDescent="0.25">
      <c r="A376" s="1">
        <f t="shared" si="40"/>
        <v>46060</v>
      </c>
      <c r="B376" t="str" cm="1">
        <f t="array" ref="B376">INDEX(HotelList,MOD(ROW()-2,10)+1)</f>
        <v>H005</v>
      </c>
      <c r="C376">
        <f>_xlfn.XLOOKUP(B376,Dim_Hotel!$A$2:$A$11,Dim_Hotel!$F$2:$F$11)</f>
        <v>66</v>
      </c>
      <c r="D376">
        <f t="shared" si="41"/>
        <v>36</v>
      </c>
      <c r="E376">
        <f t="shared" si="42"/>
        <v>0.54545454545454541</v>
      </c>
      <c r="F376">
        <f t="shared" si="43"/>
        <v>82</v>
      </c>
      <c r="G376">
        <f t="shared" si="44"/>
        <v>44.727272727272727</v>
      </c>
      <c r="H376" t="str">
        <f>_xlfn.XLOOKUP(A376,Fact_Events!$D$2:$D$20,Fact_Events!$A$2:$A$20, "")</f>
        <v/>
      </c>
      <c r="I376">
        <f t="shared" si="45"/>
        <v>0</v>
      </c>
      <c r="J376" t="str">
        <f>_xlfn.XLOOKUP(H376, Fact_Events!$A$2:$A$20, Fact_Events!$F$2:$F$20, "")</f>
        <v/>
      </c>
      <c r="K376" t="str">
        <f t="shared" si="46"/>
        <v>Low</v>
      </c>
      <c r="L376">
        <f t="shared" si="47"/>
        <v>0.55000000000000004</v>
      </c>
      <c r="M376">
        <f>_xlfn.XLOOKUP(B376, Dim_Hotel!$A$2:$A$11, Dim_Hotel!$I$2:$I$11)
 + (IF(J376="",0,J376)
    * _xlfn.XLOOKUP(B376, Dim_Hotel!$A$2:$A$11, Dim_Hotel!$J$2:$J$11))</f>
        <v>82</v>
      </c>
    </row>
    <row r="377" spans="1:13" x14ac:dyDescent="0.25">
      <c r="A377" s="1">
        <f t="shared" si="40"/>
        <v>46060</v>
      </c>
      <c r="B377" t="str" cm="1">
        <f t="array" ref="B377">INDEX(HotelList,MOD(ROW()-2,10)+1)</f>
        <v>H006</v>
      </c>
      <c r="C377">
        <f>_xlfn.XLOOKUP(B377,Dim_Hotel!$A$2:$A$11,Dim_Hotel!$F$2:$F$11)</f>
        <v>311</v>
      </c>
      <c r="D377">
        <f t="shared" si="41"/>
        <v>171</v>
      </c>
      <c r="E377">
        <f t="shared" si="42"/>
        <v>0.54983922829581988</v>
      </c>
      <c r="F377">
        <f t="shared" si="43"/>
        <v>190</v>
      </c>
      <c r="G377">
        <f t="shared" si="44"/>
        <v>104.46945337620578</v>
      </c>
      <c r="H377" t="str">
        <f>_xlfn.XLOOKUP(A377,Fact_Events!$D$2:$D$20,Fact_Events!$A$2:$A$20, "")</f>
        <v/>
      </c>
      <c r="I377">
        <f t="shared" si="45"/>
        <v>0</v>
      </c>
      <c r="J377" t="str">
        <f>_xlfn.XLOOKUP(H377, Fact_Events!$A$2:$A$20, Fact_Events!$F$2:$F$20, "")</f>
        <v/>
      </c>
      <c r="K377" t="str">
        <f t="shared" si="46"/>
        <v>Low</v>
      </c>
      <c r="L377">
        <f t="shared" si="47"/>
        <v>0.55000000000000004</v>
      </c>
      <c r="M377">
        <f>_xlfn.XLOOKUP(B377, Dim_Hotel!$A$2:$A$11, Dim_Hotel!$I$2:$I$11)
 + (IF(J377="",0,J377)
    * _xlfn.XLOOKUP(B377, Dim_Hotel!$A$2:$A$11, Dim_Hotel!$J$2:$J$11))</f>
        <v>190</v>
      </c>
    </row>
    <row r="378" spans="1:13" x14ac:dyDescent="0.25">
      <c r="A378" s="1">
        <f t="shared" si="40"/>
        <v>46060</v>
      </c>
      <c r="B378" t="str" cm="1">
        <f t="array" ref="B378">INDEX(HotelList,MOD(ROW()-2,10)+1)</f>
        <v>H007</v>
      </c>
      <c r="C378">
        <f>_xlfn.XLOOKUP(B378,Dim_Hotel!$A$2:$A$11,Dim_Hotel!$F$2:$F$11)</f>
        <v>132</v>
      </c>
      <c r="D378">
        <f t="shared" si="41"/>
        <v>73</v>
      </c>
      <c r="E378">
        <f t="shared" si="42"/>
        <v>0.55303030303030298</v>
      </c>
      <c r="F378">
        <f t="shared" si="43"/>
        <v>165</v>
      </c>
      <c r="G378">
        <f t="shared" si="44"/>
        <v>91.249999999999986</v>
      </c>
      <c r="H378" t="str">
        <f>_xlfn.XLOOKUP(A378,Fact_Events!$D$2:$D$20,Fact_Events!$A$2:$A$20, "")</f>
        <v/>
      </c>
      <c r="I378">
        <f t="shared" si="45"/>
        <v>0</v>
      </c>
      <c r="J378" t="str">
        <f>_xlfn.XLOOKUP(H378, Fact_Events!$A$2:$A$20, Fact_Events!$F$2:$F$20, "")</f>
        <v/>
      </c>
      <c r="K378" t="str">
        <f t="shared" si="46"/>
        <v>Low</v>
      </c>
      <c r="L378">
        <f t="shared" si="47"/>
        <v>0.55000000000000004</v>
      </c>
      <c r="M378">
        <f>_xlfn.XLOOKUP(B378, Dim_Hotel!$A$2:$A$11, Dim_Hotel!$I$2:$I$11)
 + (IF(J378="",0,J378)
    * _xlfn.XLOOKUP(B378, Dim_Hotel!$A$2:$A$11, Dim_Hotel!$J$2:$J$11))</f>
        <v>165</v>
      </c>
    </row>
    <row r="379" spans="1:13" x14ac:dyDescent="0.25">
      <c r="A379" s="1">
        <f t="shared" si="40"/>
        <v>46060</v>
      </c>
      <c r="B379" t="str" cm="1">
        <f t="array" ref="B379">INDEX(HotelList,MOD(ROW()-2,10)+1)</f>
        <v>H008</v>
      </c>
      <c r="C379">
        <f>_xlfn.XLOOKUP(B379,Dim_Hotel!$A$2:$A$11,Dim_Hotel!$F$2:$F$11)</f>
        <v>103</v>
      </c>
      <c r="D379">
        <f t="shared" si="41"/>
        <v>57</v>
      </c>
      <c r="E379">
        <f t="shared" si="42"/>
        <v>0.55339805825242716</v>
      </c>
      <c r="F379">
        <f t="shared" si="43"/>
        <v>140</v>
      </c>
      <c r="G379">
        <f t="shared" si="44"/>
        <v>77.475728155339809</v>
      </c>
      <c r="H379" t="str">
        <f>_xlfn.XLOOKUP(A379,Fact_Events!$D$2:$D$20,Fact_Events!$A$2:$A$20, "")</f>
        <v/>
      </c>
      <c r="I379">
        <f t="shared" si="45"/>
        <v>0</v>
      </c>
      <c r="J379" t="str">
        <f>_xlfn.XLOOKUP(H379, Fact_Events!$A$2:$A$20, Fact_Events!$F$2:$F$20, "")</f>
        <v/>
      </c>
      <c r="K379" t="str">
        <f t="shared" si="46"/>
        <v>Low</v>
      </c>
      <c r="L379">
        <f t="shared" si="47"/>
        <v>0.55000000000000004</v>
      </c>
      <c r="M379">
        <f>_xlfn.XLOOKUP(B379, Dim_Hotel!$A$2:$A$11, Dim_Hotel!$I$2:$I$11)
 + (IF(J379="",0,J379)
    * _xlfn.XLOOKUP(B379, Dim_Hotel!$A$2:$A$11, Dim_Hotel!$J$2:$J$11))</f>
        <v>140</v>
      </c>
    </row>
    <row r="380" spans="1:13" x14ac:dyDescent="0.25">
      <c r="A380" s="1">
        <f t="shared" si="40"/>
        <v>46060</v>
      </c>
      <c r="B380" t="str" cm="1">
        <f t="array" ref="B380">INDEX(HotelList,MOD(ROW()-2,10)+1)</f>
        <v>H009</v>
      </c>
      <c r="C380">
        <f>_xlfn.XLOOKUP(B380,Dim_Hotel!$A$2:$A$11,Dim_Hotel!$F$2:$F$11)</f>
        <v>114</v>
      </c>
      <c r="D380">
        <f t="shared" si="41"/>
        <v>63</v>
      </c>
      <c r="E380">
        <f t="shared" si="42"/>
        <v>0.55263157894736847</v>
      </c>
      <c r="F380">
        <f t="shared" si="43"/>
        <v>185</v>
      </c>
      <c r="G380">
        <f t="shared" si="44"/>
        <v>102.23684210526316</v>
      </c>
      <c r="H380" t="str">
        <f>_xlfn.XLOOKUP(A380,Fact_Events!$D$2:$D$20,Fact_Events!$A$2:$A$20, "")</f>
        <v/>
      </c>
      <c r="I380">
        <f t="shared" si="45"/>
        <v>0</v>
      </c>
      <c r="J380" t="str">
        <f>_xlfn.XLOOKUP(H380, Fact_Events!$A$2:$A$20, Fact_Events!$F$2:$F$20, "")</f>
        <v/>
      </c>
      <c r="K380" t="str">
        <f t="shared" si="46"/>
        <v>Low</v>
      </c>
      <c r="L380">
        <f t="shared" si="47"/>
        <v>0.55000000000000004</v>
      </c>
      <c r="M380">
        <f>_xlfn.XLOOKUP(B380, Dim_Hotel!$A$2:$A$11, Dim_Hotel!$I$2:$I$11)
 + (IF(J380="",0,J380)
    * _xlfn.XLOOKUP(B380, Dim_Hotel!$A$2:$A$11, Dim_Hotel!$J$2:$J$11))</f>
        <v>185</v>
      </c>
    </row>
    <row r="381" spans="1:13" x14ac:dyDescent="0.25">
      <c r="A381" s="1">
        <f t="shared" si="40"/>
        <v>46060</v>
      </c>
      <c r="B381" t="str" cm="1">
        <f t="array" ref="B381">INDEX(HotelList,MOD(ROW()-2,10)+1)</f>
        <v>H010</v>
      </c>
      <c r="C381">
        <f>_xlfn.XLOOKUP(B381,Dim_Hotel!$A$2:$A$11,Dim_Hotel!$F$2:$F$11)</f>
        <v>89</v>
      </c>
      <c r="D381">
        <f t="shared" si="41"/>
        <v>49</v>
      </c>
      <c r="E381">
        <f t="shared" si="42"/>
        <v>0.550561797752809</v>
      </c>
      <c r="F381">
        <f t="shared" si="43"/>
        <v>150</v>
      </c>
      <c r="G381">
        <f t="shared" si="44"/>
        <v>82.584269662921344</v>
      </c>
      <c r="H381" t="str">
        <f>_xlfn.XLOOKUP(A381,Fact_Events!$D$2:$D$20,Fact_Events!$A$2:$A$20, "")</f>
        <v/>
      </c>
      <c r="I381">
        <f t="shared" si="45"/>
        <v>0</v>
      </c>
      <c r="J381" t="str">
        <f>_xlfn.XLOOKUP(H381, Fact_Events!$A$2:$A$20, Fact_Events!$F$2:$F$20, "")</f>
        <v/>
      </c>
      <c r="K381" t="str">
        <f t="shared" si="46"/>
        <v>Low</v>
      </c>
      <c r="L381">
        <f t="shared" si="47"/>
        <v>0.55000000000000004</v>
      </c>
      <c r="M381">
        <f>_xlfn.XLOOKUP(B381, Dim_Hotel!$A$2:$A$11, Dim_Hotel!$I$2:$I$11)
 + (IF(J381="",0,J381)
    * _xlfn.XLOOKUP(B381, Dim_Hotel!$A$2:$A$11, Dim_Hotel!$J$2:$J$11))</f>
        <v>150</v>
      </c>
    </row>
    <row r="382" spans="1:13" x14ac:dyDescent="0.25">
      <c r="A382" s="1">
        <f t="shared" si="40"/>
        <v>46061</v>
      </c>
      <c r="B382" t="str" cm="1">
        <f t="array" ref="B382">INDEX(HotelList,MOD(ROW()-2,10)+1)</f>
        <v>H001</v>
      </c>
      <c r="C382">
        <f>_xlfn.XLOOKUP(B382,Dim_Hotel!$A$2:$A$11,Dim_Hotel!$F$2:$F$11)</f>
        <v>888</v>
      </c>
      <c r="D382">
        <f t="shared" si="41"/>
        <v>488</v>
      </c>
      <c r="E382">
        <f t="shared" si="42"/>
        <v>0.5495495495495496</v>
      </c>
      <c r="F382">
        <f t="shared" si="43"/>
        <v>260</v>
      </c>
      <c r="G382">
        <f t="shared" si="44"/>
        <v>142.88288288288288</v>
      </c>
      <c r="H382" t="str">
        <f>_xlfn.XLOOKUP(A382,Fact_Events!$D$2:$D$20,Fact_Events!$A$2:$A$20, "")</f>
        <v/>
      </c>
      <c r="I382">
        <f t="shared" si="45"/>
        <v>0</v>
      </c>
      <c r="J382" t="str">
        <f>_xlfn.XLOOKUP(H382, Fact_Events!$A$2:$A$20, Fact_Events!$F$2:$F$20, "")</f>
        <v/>
      </c>
      <c r="K382" t="str">
        <f t="shared" si="46"/>
        <v>Low</v>
      </c>
      <c r="L382">
        <f t="shared" si="47"/>
        <v>0.55000000000000004</v>
      </c>
      <c r="M382">
        <f>_xlfn.XLOOKUP(B382, Dim_Hotel!$A$2:$A$11, Dim_Hotel!$I$2:$I$11)
 + (IF(J382="",0,J382)
    * _xlfn.XLOOKUP(B382, Dim_Hotel!$A$2:$A$11, Dim_Hotel!$J$2:$J$11))</f>
        <v>260</v>
      </c>
    </row>
    <row r="383" spans="1:13" x14ac:dyDescent="0.25">
      <c r="A383" s="1">
        <f t="shared" si="40"/>
        <v>46061</v>
      </c>
      <c r="B383" t="str" cm="1">
        <f t="array" ref="B383">INDEX(HotelList,MOD(ROW()-2,10)+1)</f>
        <v>H002</v>
      </c>
      <c r="C383">
        <f>_xlfn.XLOOKUP(B383,Dim_Hotel!$A$2:$A$11,Dim_Hotel!$F$2:$F$11)</f>
        <v>147</v>
      </c>
      <c r="D383">
        <f t="shared" si="41"/>
        <v>81</v>
      </c>
      <c r="E383">
        <f t="shared" si="42"/>
        <v>0.55102040816326525</v>
      </c>
      <c r="F383">
        <f t="shared" si="43"/>
        <v>175</v>
      </c>
      <c r="G383">
        <f t="shared" si="44"/>
        <v>96.428571428571416</v>
      </c>
      <c r="H383" t="str">
        <f>_xlfn.XLOOKUP(A383,Fact_Events!$D$2:$D$20,Fact_Events!$A$2:$A$20, "")</f>
        <v/>
      </c>
      <c r="I383">
        <f t="shared" si="45"/>
        <v>0</v>
      </c>
      <c r="J383" t="str">
        <f>_xlfn.XLOOKUP(H383, Fact_Events!$A$2:$A$20, Fact_Events!$F$2:$F$20, "")</f>
        <v/>
      </c>
      <c r="K383" t="str">
        <f t="shared" si="46"/>
        <v>Low</v>
      </c>
      <c r="L383">
        <f t="shared" si="47"/>
        <v>0.55000000000000004</v>
      </c>
      <c r="M383">
        <f>_xlfn.XLOOKUP(B383, Dim_Hotel!$A$2:$A$11, Dim_Hotel!$I$2:$I$11)
 + (IF(J383="",0,J383)
    * _xlfn.XLOOKUP(B383, Dim_Hotel!$A$2:$A$11, Dim_Hotel!$J$2:$J$11))</f>
        <v>175</v>
      </c>
    </row>
    <row r="384" spans="1:13" x14ac:dyDescent="0.25">
      <c r="A384" s="1">
        <f t="shared" si="40"/>
        <v>46061</v>
      </c>
      <c r="B384" t="str" cm="1">
        <f t="array" ref="B384">INDEX(HotelList,MOD(ROW()-2,10)+1)</f>
        <v>H003</v>
      </c>
      <c r="C384">
        <f>_xlfn.XLOOKUP(B384,Dim_Hotel!$A$2:$A$11,Dim_Hotel!$F$2:$F$11)</f>
        <v>121</v>
      </c>
      <c r="D384">
        <f t="shared" si="41"/>
        <v>67</v>
      </c>
      <c r="E384">
        <f t="shared" si="42"/>
        <v>0.55371900826446285</v>
      </c>
      <c r="F384">
        <f t="shared" si="43"/>
        <v>145</v>
      </c>
      <c r="G384">
        <f t="shared" si="44"/>
        <v>80.289256198347118</v>
      </c>
      <c r="H384" t="str">
        <f>_xlfn.XLOOKUP(A384,Fact_Events!$D$2:$D$20,Fact_Events!$A$2:$A$20, "")</f>
        <v/>
      </c>
      <c r="I384">
        <f t="shared" si="45"/>
        <v>0</v>
      </c>
      <c r="J384" t="str">
        <f>_xlfn.XLOOKUP(H384, Fact_Events!$A$2:$A$20, Fact_Events!$F$2:$F$20, "")</f>
        <v/>
      </c>
      <c r="K384" t="str">
        <f t="shared" si="46"/>
        <v>Low</v>
      </c>
      <c r="L384">
        <f t="shared" si="47"/>
        <v>0.55000000000000004</v>
      </c>
      <c r="M384">
        <f>_xlfn.XLOOKUP(B384, Dim_Hotel!$A$2:$A$11, Dim_Hotel!$I$2:$I$11)
 + (IF(J384="",0,J384)
    * _xlfn.XLOOKUP(B384, Dim_Hotel!$A$2:$A$11, Dim_Hotel!$J$2:$J$11))</f>
        <v>145</v>
      </c>
    </row>
    <row r="385" spans="1:13" x14ac:dyDescent="0.25">
      <c r="A385" s="1">
        <f t="shared" si="40"/>
        <v>46061</v>
      </c>
      <c r="B385" t="str" cm="1">
        <f t="array" ref="B385">INDEX(HotelList,MOD(ROW()-2,10)+1)</f>
        <v>H004</v>
      </c>
      <c r="C385">
        <f>_xlfn.XLOOKUP(B385,Dim_Hotel!$A$2:$A$11,Dim_Hotel!$F$2:$F$11)</f>
        <v>108</v>
      </c>
      <c r="D385">
        <f t="shared" si="41"/>
        <v>59</v>
      </c>
      <c r="E385">
        <f t="shared" si="42"/>
        <v>0.54629629629629628</v>
      </c>
      <c r="F385">
        <f t="shared" si="43"/>
        <v>135</v>
      </c>
      <c r="G385">
        <f t="shared" si="44"/>
        <v>73.75</v>
      </c>
      <c r="H385" t="str">
        <f>_xlfn.XLOOKUP(A385,Fact_Events!$D$2:$D$20,Fact_Events!$A$2:$A$20, "")</f>
        <v/>
      </c>
      <c r="I385">
        <f t="shared" si="45"/>
        <v>0</v>
      </c>
      <c r="J385" t="str">
        <f>_xlfn.XLOOKUP(H385, Fact_Events!$A$2:$A$20, Fact_Events!$F$2:$F$20, "")</f>
        <v/>
      </c>
      <c r="K385" t="str">
        <f t="shared" si="46"/>
        <v>Low</v>
      </c>
      <c r="L385">
        <f t="shared" si="47"/>
        <v>0.55000000000000004</v>
      </c>
      <c r="M385">
        <f>_xlfn.XLOOKUP(B385, Dim_Hotel!$A$2:$A$11, Dim_Hotel!$I$2:$I$11)
 + (IF(J385="",0,J385)
    * _xlfn.XLOOKUP(B385, Dim_Hotel!$A$2:$A$11, Dim_Hotel!$J$2:$J$11))</f>
        <v>135</v>
      </c>
    </row>
    <row r="386" spans="1:13" x14ac:dyDescent="0.25">
      <c r="A386" s="1">
        <f t="shared" si="40"/>
        <v>46061</v>
      </c>
      <c r="B386" t="str" cm="1">
        <f t="array" ref="B386">INDEX(HotelList,MOD(ROW()-2,10)+1)</f>
        <v>H005</v>
      </c>
      <c r="C386">
        <f>_xlfn.XLOOKUP(B386,Dim_Hotel!$A$2:$A$11,Dim_Hotel!$F$2:$F$11)</f>
        <v>66</v>
      </c>
      <c r="D386">
        <f t="shared" si="41"/>
        <v>36</v>
      </c>
      <c r="E386">
        <f t="shared" si="42"/>
        <v>0.54545454545454541</v>
      </c>
      <c r="F386">
        <f t="shared" si="43"/>
        <v>82</v>
      </c>
      <c r="G386">
        <f t="shared" si="44"/>
        <v>44.727272727272727</v>
      </c>
      <c r="H386" t="str">
        <f>_xlfn.XLOOKUP(A386,Fact_Events!$D$2:$D$20,Fact_Events!$A$2:$A$20, "")</f>
        <v/>
      </c>
      <c r="I386">
        <f t="shared" si="45"/>
        <v>0</v>
      </c>
      <c r="J386" t="str">
        <f>_xlfn.XLOOKUP(H386, Fact_Events!$A$2:$A$20, Fact_Events!$F$2:$F$20, "")</f>
        <v/>
      </c>
      <c r="K386" t="str">
        <f t="shared" si="46"/>
        <v>Low</v>
      </c>
      <c r="L386">
        <f t="shared" si="47"/>
        <v>0.55000000000000004</v>
      </c>
      <c r="M386">
        <f>_xlfn.XLOOKUP(B386, Dim_Hotel!$A$2:$A$11, Dim_Hotel!$I$2:$I$11)
 + (IF(J386="",0,J386)
    * _xlfn.XLOOKUP(B386, Dim_Hotel!$A$2:$A$11, Dim_Hotel!$J$2:$J$11))</f>
        <v>82</v>
      </c>
    </row>
    <row r="387" spans="1:13" x14ac:dyDescent="0.25">
      <c r="A387" s="1">
        <f t="shared" ref="A387:A450" si="48">DATE(2026,1,1) + INT((ROW()-2)/10)</f>
        <v>46061</v>
      </c>
      <c r="B387" t="str" cm="1">
        <f t="array" ref="B387">INDEX(HotelList,MOD(ROW()-2,10)+1)</f>
        <v>H006</v>
      </c>
      <c r="C387">
        <f>_xlfn.XLOOKUP(B387,Dim_Hotel!$A$2:$A$11,Dim_Hotel!$F$2:$F$11)</f>
        <v>311</v>
      </c>
      <c r="D387">
        <f t="shared" ref="D387:D450" si="49">ROUND(L387 * C387, 0)</f>
        <v>171</v>
      </c>
      <c r="E387">
        <f t="shared" ref="E387:E450" si="50">D387/C387</f>
        <v>0.54983922829581988</v>
      </c>
      <c r="F387">
        <f t="shared" ref="F387:F450" si="51">M387</f>
        <v>190</v>
      </c>
      <c r="G387">
        <f t="shared" ref="G387:G450" si="52">E387*F387</f>
        <v>104.46945337620578</v>
      </c>
      <c r="H387" t="str">
        <f>_xlfn.XLOOKUP(A387,Fact_Events!$D$2:$D$20,Fact_Events!$A$2:$A$20, "")</f>
        <v/>
      </c>
      <c r="I387">
        <f t="shared" ref="I387:I450" si="53">IF(H387="",0,1)</f>
        <v>0</v>
      </c>
      <c r="J387" t="str">
        <f>_xlfn.XLOOKUP(H387, Fact_Events!$A$2:$A$20, Fact_Events!$F$2:$F$20, "")</f>
        <v/>
      </c>
      <c r="K387" t="str">
        <f t="shared" ref="K387:K450" si="54">IF(I387=0,"Low",
   IF(J387&gt;=9,"High","Medium"))</f>
        <v>Low</v>
      </c>
      <c r="L387">
        <f t="shared" ref="L387:L450" si="55">MIN(1,
  0.55
  + (I387 * 0.25)
  + (IF(J387="",0,J387) / 100)
)</f>
        <v>0.55000000000000004</v>
      </c>
      <c r="M387">
        <f>_xlfn.XLOOKUP(B387, Dim_Hotel!$A$2:$A$11, Dim_Hotel!$I$2:$I$11)
 + (IF(J387="",0,J387)
    * _xlfn.XLOOKUP(B387, Dim_Hotel!$A$2:$A$11, Dim_Hotel!$J$2:$J$11))</f>
        <v>190</v>
      </c>
    </row>
    <row r="388" spans="1:13" x14ac:dyDescent="0.25">
      <c r="A388" s="1">
        <f t="shared" si="48"/>
        <v>46061</v>
      </c>
      <c r="B388" t="str" cm="1">
        <f t="array" ref="B388">INDEX(HotelList,MOD(ROW()-2,10)+1)</f>
        <v>H007</v>
      </c>
      <c r="C388">
        <f>_xlfn.XLOOKUP(B388,Dim_Hotel!$A$2:$A$11,Dim_Hotel!$F$2:$F$11)</f>
        <v>132</v>
      </c>
      <c r="D388">
        <f t="shared" si="49"/>
        <v>73</v>
      </c>
      <c r="E388">
        <f t="shared" si="50"/>
        <v>0.55303030303030298</v>
      </c>
      <c r="F388">
        <f t="shared" si="51"/>
        <v>165</v>
      </c>
      <c r="G388">
        <f t="shared" si="52"/>
        <v>91.249999999999986</v>
      </c>
      <c r="H388" t="str">
        <f>_xlfn.XLOOKUP(A388,Fact_Events!$D$2:$D$20,Fact_Events!$A$2:$A$20, "")</f>
        <v/>
      </c>
      <c r="I388">
        <f t="shared" si="53"/>
        <v>0</v>
      </c>
      <c r="J388" t="str">
        <f>_xlfn.XLOOKUP(H388, Fact_Events!$A$2:$A$20, Fact_Events!$F$2:$F$20, "")</f>
        <v/>
      </c>
      <c r="K388" t="str">
        <f t="shared" si="54"/>
        <v>Low</v>
      </c>
      <c r="L388">
        <f t="shared" si="55"/>
        <v>0.55000000000000004</v>
      </c>
      <c r="M388">
        <f>_xlfn.XLOOKUP(B388, Dim_Hotel!$A$2:$A$11, Dim_Hotel!$I$2:$I$11)
 + (IF(J388="",0,J388)
    * _xlfn.XLOOKUP(B388, Dim_Hotel!$A$2:$A$11, Dim_Hotel!$J$2:$J$11))</f>
        <v>165</v>
      </c>
    </row>
    <row r="389" spans="1:13" x14ac:dyDescent="0.25">
      <c r="A389" s="1">
        <f t="shared" si="48"/>
        <v>46061</v>
      </c>
      <c r="B389" t="str" cm="1">
        <f t="array" ref="B389">INDEX(HotelList,MOD(ROW()-2,10)+1)</f>
        <v>H008</v>
      </c>
      <c r="C389">
        <f>_xlfn.XLOOKUP(B389,Dim_Hotel!$A$2:$A$11,Dim_Hotel!$F$2:$F$11)</f>
        <v>103</v>
      </c>
      <c r="D389">
        <f t="shared" si="49"/>
        <v>57</v>
      </c>
      <c r="E389">
        <f t="shared" si="50"/>
        <v>0.55339805825242716</v>
      </c>
      <c r="F389">
        <f t="shared" si="51"/>
        <v>140</v>
      </c>
      <c r="G389">
        <f t="shared" si="52"/>
        <v>77.475728155339809</v>
      </c>
      <c r="H389" t="str">
        <f>_xlfn.XLOOKUP(A389,Fact_Events!$D$2:$D$20,Fact_Events!$A$2:$A$20, "")</f>
        <v/>
      </c>
      <c r="I389">
        <f t="shared" si="53"/>
        <v>0</v>
      </c>
      <c r="J389" t="str">
        <f>_xlfn.XLOOKUP(H389, Fact_Events!$A$2:$A$20, Fact_Events!$F$2:$F$20, "")</f>
        <v/>
      </c>
      <c r="K389" t="str">
        <f t="shared" si="54"/>
        <v>Low</v>
      </c>
      <c r="L389">
        <f t="shared" si="55"/>
        <v>0.55000000000000004</v>
      </c>
      <c r="M389">
        <f>_xlfn.XLOOKUP(B389, Dim_Hotel!$A$2:$A$11, Dim_Hotel!$I$2:$I$11)
 + (IF(J389="",0,J389)
    * _xlfn.XLOOKUP(B389, Dim_Hotel!$A$2:$A$11, Dim_Hotel!$J$2:$J$11))</f>
        <v>140</v>
      </c>
    </row>
    <row r="390" spans="1:13" x14ac:dyDescent="0.25">
      <c r="A390" s="1">
        <f t="shared" si="48"/>
        <v>46061</v>
      </c>
      <c r="B390" t="str" cm="1">
        <f t="array" ref="B390">INDEX(HotelList,MOD(ROW()-2,10)+1)</f>
        <v>H009</v>
      </c>
      <c r="C390">
        <f>_xlfn.XLOOKUP(B390,Dim_Hotel!$A$2:$A$11,Dim_Hotel!$F$2:$F$11)</f>
        <v>114</v>
      </c>
      <c r="D390">
        <f t="shared" si="49"/>
        <v>63</v>
      </c>
      <c r="E390">
        <f t="shared" si="50"/>
        <v>0.55263157894736847</v>
      </c>
      <c r="F390">
        <f t="shared" si="51"/>
        <v>185</v>
      </c>
      <c r="G390">
        <f t="shared" si="52"/>
        <v>102.23684210526316</v>
      </c>
      <c r="H390" t="str">
        <f>_xlfn.XLOOKUP(A390,Fact_Events!$D$2:$D$20,Fact_Events!$A$2:$A$20, "")</f>
        <v/>
      </c>
      <c r="I390">
        <f t="shared" si="53"/>
        <v>0</v>
      </c>
      <c r="J390" t="str">
        <f>_xlfn.XLOOKUP(H390, Fact_Events!$A$2:$A$20, Fact_Events!$F$2:$F$20, "")</f>
        <v/>
      </c>
      <c r="K390" t="str">
        <f t="shared" si="54"/>
        <v>Low</v>
      </c>
      <c r="L390">
        <f t="shared" si="55"/>
        <v>0.55000000000000004</v>
      </c>
      <c r="M390">
        <f>_xlfn.XLOOKUP(B390, Dim_Hotel!$A$2:$A$11, Dim_Hotel!$I$2:$I$11)
 + (IF(J390="",0,J390)
    * _xlfn.XLOOKUP(B390, Dim_Hotel!$A$2:$A$11, Dim_Hotel!$J$2:$J$11))</f>
        <v>185</v>
      </c>
    </row>
    <row r="391" spans="1:13" x14ac:dyDescent="0.25">
      <c r="A391" s="1">
        <f t="shared" si="48"/>
        <v>46061</v>
      </c>
      <c r="B391" t="str" cm="1">
        <f t="array" ref="B391">INDEX(HotelList,MOD(ROW()-2,10)+1)</f>
        <v>H010</v>
      </c>
      <c r="C391">
        <f>_xlfn.XLOOKUP(B391,Dim_Hotel!$A$2:$A$11,Dim_Hotel!$F$2:$F$11)</f>
        <v>89</v>
      </c>
      <c r="D391">
        <f t="shared" si="49"/>
        <v>49</v>
      </c>
      <c r="E391">
        <f t="shared" si="50"/>
        <v>0.550561797752809</v>
      </c>
      <c r="F391">
        <f t="shared" si="51"/>
        <v>150</v>
      </c>
      <c r="G391">
        <f t="shared" si="52"/>
        <v>82.584269662921344</v>
      </c>
      <c r="H391" t="str">
        <f>_xlfn.XLOOKUP(A391,Fact_Events!$D$2:$D$20,Fact_Events!$A$2:$A$20, "")</f>
        <v/>
      </c>
      <c r="I391">
        <f t="shared" si="53"/>
        <v>0</v>
      </c>
      <c r="J391" t="str">
        <f>_xlfn.XLOOKUP(H391, Fact_Events!$A$2:$A$20, Fact_Events!$F$2:$F$20, "")</f>
        <v/>
      </c>
      <c r="K391" t="str">
        <f t="shared" si="54"/>
        <v>Low</v>
      </c>
      <c r="L391">
        <f t="shared" si="55"/>
        <v>0.55000000000000004</v>
      </c>
      <c r="M391">
        <f>_xlfn.XLOOKUP(B391, Dim_Hotel!$A$2:$A$11, Dim_Hotel!$I$2:$I$11)
 + (IF(J391="",0,J391)
    * _xlfn.XLOOKUP(B391, Dim_Hotel!$A$2:$A$11, Dim_Hotel!$J$2:$J$11))</f>
        <v>150</v>
      </c>
    </row>
    <row r="392" spans="1:13" x14ac:dyDescent="0.25">
      <c r="A392" s="1">
        <f t="shared" si="48"/>
        <v>46062</v>
      </c>
      <c r="B392" t="str" cm="1">
        <f t="array" ref="B392">INDEX(HotelList,MOD(ROW()-2,10)+1)</f>
        <v>H001</v>
      </c>
      <c r="C392">
        <f>_xlfn.XLOOKUP(B392,Dim_Hotel!$A$2:$A$11,Dim_Hotel!$F$2:$F$11)</f>
        <v>888</v>
      </c>
      <c r="D392">
        <f t="shared" si="49"/>
        <v>488</v>
      </c>
      <c r="E392">
        <f t="shared" si="50"/>
        <v>0.5495495495495496</v>
      </c>
      <c r="F392">
        <f t="shared" si="51"/>
        <v>260</v>
      </c>
      <c r="G392">
        <f t="shared" si="52"/>
        <v>142.88288288288288</v>
      </c>
      <c r="H392" t="str">
        <f>_xlfn.XLOOKUP(A392,Fact_Events!$D$2:$D$20,Fact_Events!$A$2:$A$20, "")</f>
        <v/>
      </c>
      <c r="I392">
        <f t="shared" si="53"/>
        <v>0</v>
      </c>
      <c r="J392" t="str">
        <f>_xlfn.XLOOKUP(H392, Fact_Events!$A$2:$A$20, Fact_Events!$F$2:$F$20, "")</f>
        <v/>
      </c>
      <c r="K392" t="str">
        <f t="shared" si="54"/>
        <v>Low</v>
      </c>
      <c r="L392">
        <f t="shared" si="55"/>
        <v>0.55000000000000004</v>
      </c>
      <c r="M392">
        <f>_xlfn.XLOOKUP(B392, Dim_Hotel!$A$2:$A$11, Dim_Hotel!$I$2:$I$11)
 + (IF(J392="",0,J392)
    * _xlfn.XLOOKUP(B392, Dim_Hotel!$A$2:$A$11, Dim_Hotel!$J$2:$J$11))</f>
        <v>260</v>
      </c>
    </row>
    <row r="393" spans="1:13" x14ac:dyDescent="0.25">
      <c r="A393" s="1">
        <f t="shared" si="48"/>
        <v>46062</v>
      </c>
      <c r="B393" t="str" cm="1">
        <f t="array" ref="B393">INDEX(HotelList,MOD(ROW()-2,10)+1)</f>
        <v>H002</v>
      </c>
      <c r="C393">
        <f>_xlfn.XLOOKUP(B393,Dim_Hotel!$A$2:$A$11,Dim_Hotel!$F$2:$F$11)</f>
        <v>147</v>
      </c>
      <c r="D393">
        <f t="shared" si="49"/>
        <v>81</v>
      </c>
      <c r="E393">
        <f t="shared" si="50"/>
        <v>0.55102040816326525</v>
      </c>
      <c r="F393">
        <f t="shared" si="51"/>
        <v>175</v>
      </c>
      <c r="G393">
        <f t="shared" si="52"/>
        <v>96.428571428571416</v>
      </c>
      <c r="H393" t="str">
        <f>_xlfn.XLOOKUP(A393,Fact_Events!$D$2:$D$20,Fact_Events!$A$2:$A$20, "")</f>
        <v/>
      </c>
      <c r="I393">
        <f t="shared" si="53"/>
        <v>0</v>
      </c>
      <c r="J393" t="str">
        <f>_xlfn.XLOOKUP(H393, Fact_Events!$A$2:$A$20, Fact_Events!$F$2:$F$20, "")</f>
        <v/>
      </c>
      <c r="K393" t="str">
        <f t="shared" si="54"/>
        <v>Low</v>
      </c>
      <c r="L393">
        <f t="shared" si="55"/>
        <v>0.55000000000000004</v>
      </c>
      <c r="M393">
        <f>_xlfn.XLOOKUP(B393, Dim_Hotel!$A$2:$A$11, Dim_Hotel!$I$2:$I$11)
 + (IF(J393="",0,J393)
    * _xlfn.XLOOKUP(B393, Dim_Hotel!$A$2:$A$11, Dim_Hotel!$J$2:$J$11))</f>
        <v>175</v>
      </c>
    </row>
    <row r="394" spans="1:13" x14ac:dyDescent="0.25">
      <c r="A394" s="1">
        <f t="shared" si="48"/>
        <v>46062</v>
      </c>
      <c r="B394" t="str" cm="1">
        <f t="array" ref="B394">INDEX(HotelList,MOD(ROW()-2,10)+1)</f>
        <v>H003</v>
      </c>
      <c r="C394">
        <f>_xlfn.XLOOKUP(B394,Dim_Hotel!$A$2:$A$11,Dim_Hotel!$F$2:$F$11)</f>
        <v>121</v>
      </c>
      <c r="D394">
        <f t="shared" si="49"/>
        <v>67</v>
      </c>
      <c r="E394">
        <f t="shared" si="50"/>
        <v>0.55371900826446285</v>
      </c>
      <c r="F394">
        <f t="shared" si="51"/>
        <v>145</v>
      </c>
      <c r="G394">
        <f t="shared" si="52"/>
        <v>80.289256198347118</v>
      </c>
      <c r="H394" t="str">
        <f>_xlfn.XLOOKUP(A394,Fact_Events!$D$2:$D$20,Fact_Events!$A$2:$A$20, "")</f>
        <v/>
      </c>
      <c r="I394">
        <f t="shared" si="53"/>
        <v>0</v>
      </c>
      <c r="J394" t="str">
        <f>_xlfn.XLOOKUP(H394, Fact_Events!$A$2:$A$20, Fact_Events!$F$2:$F$20, "")</f>
        <v/>
      </c>
      <c r="K394" t="str">
        <f t="shared" si="54"/>
        <v>Low</v>
      </c>
      <c r="L394">
        <f t="shared" si="55"/>
        <v>0.55000000000000004</v>
      </c>
      <c r="M394">
        <f>_xlfn.XLOOKUP(B394, Dim_Hotel!$A$2:$A$11, Dim_Hotel!$I$2:$I$11)
 + (IF(J394="",0,J394)
    * _xlfn.XLOOKUP(B394, Dim_Hotel!$A$2:$A$11, Dim_Hotel!$J$2:$J$11))</f>
        <v>145</v>
      </c>
    </row>
    <row r="395" spans="1:13" x14ac:dyDescent="0.25">
      <c r="A395" s="1">
        <f t="shared" si="48"/>
        <v>46062</v>
      </c>
      <c r="B395" t="str" cm="1">
        <f t="array" ref="B395">INDEX(HotelList,MOD(ROW()-2,10)+1)</f>
        <v>H004</v>
      </c>
      <c r="C395">
        <f>_xlfn.XLOOKUP(B395,Dim_Hotel!$A$2:$A$11,Dim_Hotel!$F$2:$F$11)</f>
        <v>108</v>
      </c>
      <c r="D395">
        <f t="shared" si="49"/>
        <v>59</v>
      </c>
      <c r="E395">
        <f t="shared" si="50"/>
        <v>0.54629629629629628</v>
      </c>
      <c r="F395">
        <f t="shared" si="51"/>
        <v>135</v>
      </c>
      <c r="G395">
        <f t="shared" si="52"/>
        <v>73.75</v>
      </c>
      <c r="H395" t="str">
        <f>_xlfn.XLOOKUP(A395,Fact_Events!$D$2:$D$20,Fact_Events!$A$2:$A$20, "")</f>
        <v/>
      </c>
      <c r="I395">
        <f t="shared" si="53"/>
        <v>0</v>
      </c>
      <c r="J395" t="str">
        <f>_xlfn.XLOOKUP(H395, Fact_Events!$A$2:$A$20, Fact_Events!$F$2:$F$20, "")</f>
        <v/>
      </c>
      <c r="K395" t="str">
        <f t="shared" si="54"/>
        <v>Low</v>
      </c>
      <c r="L395">
        <f t="shared" si="55"/>
        <v>0.55000000000000004</v>
      </c>
      <c r="M395">
        <f>_xlfn.XLOOKUP(B395, Dim_Hotel!$A$2:$A$11, Dim_Hotel!$I$2:$I$11)
 + (IF(J395="",0,J395)
    * _xlfn.XLOOKUP(B395, Dim_Hotel!$A$2:$A$11, Dim_Hotel!$J$2:$J$11))</f>
        <v>135</v>
      </c>
    </row>
    <row r="396" spans="1:13" x14ac:dyDescent="0.25">
      <c r="A396" s="1">
        <f t="shared" si="48"/>
        <v>46062</v>
      </c>
      <c r="B396" t="str" cm="1">
        <f t="array" ref="B396">INDEX(HotelList,MOD(ROW()-2,10)+1)</f>
        <v>H005</v>
      </c>
      <c r="C396">
        <f>_xlfn.XLOOKUP(B396,Dim_Hotel!$A$2:$A$11,Dim_Hotel!$F$2:$F$11)</f>
        <v>66</v>
      </c>
      <c r="D396">
        <f t="shared" si="49"/>
        <v>36</v>
      </c>
      <c r="E396">
        <f t="shared" si="50"/>
        <v>0.54545454545454541</v>
      </c>
      <c r="F396">
        <f t="shared" si="51"/>
        <v>82</v>
      </c>
      <c r="G396">
        <f t="shared" si="52"/>
        <v>44.727272727272727</v>
      </c>
      <c r="H396" t="str">
        <f>_xlfn.XLOOKUP(A396,Fact_Events!$D$2:$D$20,Fact_Events!$A$2:$A$20, "")</f>
        <v/>
      </c>
      <c r="I396">
        <f t="shared" si="53"/>
        <v>0</v>
      </c>
      <c r="J396" t="str">
        <f>_xlfn.XLOOKUP(H396, Fact_Events!$A$2:$A$20, Fact_Events!$F$2:$F$20, "")</f>
        <v/>
      </c>
      <c r="K396" t="str">
        <f t="shared" si="54"/>
        <v>Low</v>
      </c>
      <c r="L396">
        <f t="shared" si="55"/>
        <v>0.55000000000000004</v>
      </c>
      <c r="M396">
        <f>_xlfn.XLOOKUP(B396, Dim_Hotel!$A$2:$A$11, Dim_Hotel!$I$2:$I$11)
 + (IF(J396="",0,J396)
    * _xlfn.XLOOKUP(B396, Dim_Hotel!$A$2:$A$11, Dim_Hotel!$J$2:$J$11))</f>
        <v>82</v>
      </c>
    </row>
    <row r="397" spans="1:13" x14ac:dyDescent="0.25">
      <c r="A397" s="1">
        <f t="shared" si="48"/>
        <v>46062</v>
      </c>
      <c r="B397" t="str" cm="1">
        <f t="array" ref="B397">INDEX(HotelList,MOD(ROW()-2,10)+1)</f>
        <v>H006</v>
      </c>
      <c r="C397">
        <f>_xlfn.XLOOKUP(B397,Dim_Hotel!$A$2:$A$11,Dim_Hotel!$F$2:$F$11)</f>
        <v>311</v>
      </c>
      <c r="D397">
        <f t="shared" si="49"/>
        <v>171</v>
      </c>
      <c r="E397">
        <f t="shared" si="50"/>
        <v>0.54983922829581988</v>
      </c>
      <c r="F397">
        <f t="shared" si="51"/>
        <v>190</v>
      </c>
      <c r="G397">
        <f t="shared" si="52"/>
        <v>104.46945337620578</v>
      </c>
      <c r="H397" t="str">
        <f>_xlfn.XLOOKUP(A397,Fact_Events!$D$2:$D$20,Fact_Events!$A$2:$A$20, "")</f>
        <v/>
      </c>
      <c r="I397">
        <f t="shared" si="53"/>
        <v>0</v>
      </c>
      <c r="J397" t="str">
        <f>_xlfn.XLOOKUP(H397, Fact_Events!$A$2:$A$20, Fact_Events!$F$2:$F$20, "")</f>
        <v/>
      </c>
      <c r="K397" t="str">
        <f t="shared" si="54"/>
        <v>Low</v>
      </c>
      <c r="L397">
        <f t="shared" si="55"/>
        <v>0.55000000000000004</v>
      </c>
      <c r="M397">
        <f>_xlfn.XLOOKUP(B397, Dim_Hotel!$A$2:$A$11, Dim_Hotel!$I$2:$I$11)
 + (IF(J397="",0,J397)
    * _xlfn.XLOOKUP(B397, Dim_Hotel!$A$2:$A$11, Dim_Hotel!$J$2:$J$11))</f>
        <v>190</v>
      </c>
    </row>
    <row r="398" spans="1:13" x14ac:dyDescent="0.25">
      <c r="A398" s="1">
        <f t="shared" si="48"/>
        <v>46062</v>
      </c>
      <c r="B398" t="str" cm="1">
        <f t="array" ref="B398">INDEX(HotelList,MOD(ROW()-2,10)+1)</f>
        <v>H007</v>
      </c>
      <c r="C398">
        <f>_xlfn.XLOOKUP(B398,Dim_Hotel!$A$2:$A$11,Dim_Hotel!$F$2:$F$11)</f>
        <v>132</v>
      </c>
      <c r="D398">
        <f t="shared" si="49"/>
        <v>73</v>
      </c>
      <c r="E398">
        <f t="shared" si="50"/>
        <v>0.55303030303030298</v>
      </c>
      <c r="F398">
        <f t="shared" si="51"/>
        <v>165</v>
      </c>
      <c r="G398">
        <f t="shared" si="52"/>
        <v>91.249999999999986</v>
      </c>
      <c r="H398" t="str">
        <f>_xlfn.XLOOKUP(A398,Fact_Events!$D$2:$D$20,Fact_Events!$A$2:$A$20, "")</f>
        <v/>
      </c>
      <c r="I398">
        <f t="shared" si="53"/>
        <v>0</v>
      </c>
      <c r="J398" t="str">
        <f>_xlfn.XLOOKUP(H398, Fact_Events!$A$2:$A$20, Fact_Events!$F$2:$F$20, "")</f>
        <v/>
      </c>
      <c r="K398" t="str">
        <f t="shared" si="54"/>
        <v>Low</v>
      </c>
      <c r="L398">
        <f t="shared" si="55"/>
        <v>0.55000000000000004</v>
      </c>
      <c r="M398">
        <f>_xlfn.XLOOKUP(B398, Dim_Hotel!$A$2:$A$11, Dim_Hotel!$I$2:$I$11)
 + (IF(J398="",0,J398)
    * _xlfn.XLOOKUP(B398, Dim_Hotel!$A$2:$A$11, Dim_Hotel!$J$2:$J$11))</f>
        <v>165</v>
      </c>
    </row>
    <row r="399" spans="1:13" x14ac:dyDescent="0.25">
      <c r="A399" s="1">
        <f t="shared" si="48"/>
        <v>46062</v>
      </c>
      <c r="B399" t="str" cm="1">
        <f t="array" ref="B399">INDEX(HotelList,MOD(ROW()-2,10)+1)</f>
        <v>H008</v>
      </c>
      <c r="C399">
        <f>_xlfn.XLOOKUP(B399,Dim_Hotel!$A$2:$A$11,Dim_Hotel!$F$2:$F$11)</f>
        <v>103</v>
      </c>
      <c r="D399">
        <f t="shared" si="49"/>
        <v>57</v>
      </c>
      <c r="E399">
        <f t="shared" si="50"/>
        <v>0.55339805825242716</v>
      </c>
      <c r="F399">
        <f t="shared" si="51"/>
        <v>140</v>
      </c>
      <c r="G399">
        <f t="shared" si="52"/>
        <v>77.475728155339809</v>
      </c>
      <c r="H399" t="str">
        <f>_xlfn.XLOOKUP(A399,Fact_Events!$D$2:$D$20,Fact_Events!$A$2:$A$20, "")</f>
        <v/>
      </c>
      <c r="I399">
        <f t="shared" si="53"/>
        <v>0</v>
      </c>
      <c r="J399" t="str">
        <f>_xlfn.XLOOKUP(H399, Fact_Events!$A$2:$A$20, Fact_Events!$F$2:$F$20, "")</f>
        <v/>
      </c>
      <c r="K399" t="str">
        <f t="shared" si="54"/>
        <v>Low</v>
      </c>
      <c r="L399">
        <f t="shared" si="55"/>
        <v>0.55000000000000004</v>
      </c>
      <c r="M399">
        <f>_xlfn.XLOOKUP(B399, Dim_Hotel!$A$2:$A$11, Dim_Hotel!$I$2:$I$11)
 + (IF(J399="",0,J399)
    * _xlfn.XLOOKUP(B399, Dim_Hotel!$A$2:$A$11, Dim_Hotel!$J$2:$J$11))</f>
        <v>140</v>
      </c>
    </row>
    <row r="400" spans="1:13" x14ac:dyDescent="0.25">
      <c r="A400" s="1">
        <f t="shared" si="48"/>
        <v>46062</v>
      </c>
      <c r="B400" t="str" cm="1">
        <f t="array" ref="B400">INDEX(HotelList,MOD(ROW()-2,10)+1)</f>
        <v>H009</v>
      </c>
      <c r="C400">
        <f>_xlfn.XLOOKUP(B400,Dim_Hotel!$A$2:$A$11,Dim_Hotel!$F$2:$F$11)</f>
        <v>114</v>
      </c>
      <c r="D400">
        <f t="shared" si="49"/>
        <v>63</v>
      </c>
      <c r="E400">
        <f t="shared" si="50"/>
        <v>0.55263157894736847</v>
      </c>
      <c r="F400">
        <f t="shared" si="51"/>
        <v>185</v>
      </c>
      <c r="G400">
        <f t="shared" si="52"/>
        <v>102.23684210526316</v>
      </c>
      <c r="H400" t="str">
        <f>_xlfn.XLOOKUP(A400,Fact_Events!$D$2:$D$20,Fact_Events!$A$2:$A$20, "")</f>
        <v/>
      </c>
      <c r="I400">
        <f t="shared" si="53"/>
        <v>0</v>
      </c>
      <c r="J400" t="str">
        <f>_xlfn.XLOOKUP(H400, Fact_Events!$A$2:$A$20, Fact_Events!$F$2:$F$20, "")</f>
        <v/>
      </c>
      <c r="K400" t="str">
        <f t="shared" si="54"/>
        <v>Low</v>
      </c>
      <c r="L400">
        <f t="shared" si="55"/>
        <v>0.55000000000000004</v>
      </c>
      <c r="M400">
        <f>_xlfn.XLOOKUP(B400, Dim_Hotel!$A$2:$A$11, Dim_Hotel!$I$2:$I$11)
 + (IF(J400="",0,J400)
    * _xlfn.XLOOKUP(B400, Dim_Hotel!$A$2:$A$11, Dim_Hotel!$J$2:$J$11))</f>
        <v>185</v>
      </c>
    </row>
    <row r="401" spans="1:13" x14ac:dyDescent="0.25">
      <c r="A401" s="1">
        <f t="shared" si="48"/>
        <v>46062</v>
      </c>
      <c r="B401" t="str" cm="1">
        <f t="array" ref="B401">INDEX(HotelList,MOD(ROW()-2,10)+1)</f>
        <v>H010</v>
      </c>
      <c r="C401">
        <f>_xlfn.XLOOKUP(B401,Dim_Hotel!$A$2:$A$11,Dim_Hotel!$F$2:$F$11)</f>
        <v>89</v>
      </c>
      <c r="D401">
        <f t="shared" si="49"/>
        <v>49</v>
      </c>
      <c r="E401">
        <f t="shared" si="50"/>
        <v>0.550561797752809</v>
      </c>
      <c r="F401">
        <f t="shared" si="51"/>
        <v>150</v>
      </c>
      <c r="G401">
        <f t="shared" si="52"/>
        <v>82.584269662921344</v>
      </c>
      <c r="H401" t="str">
        <f>_xlfn.XLOOKUP(A401,Fact_Events!$D$2:$D$20,Fact_Events!$A$2:$A$20, "")</f>
        <v/>
      </c>
      <c r="I401">
        <f t="shared" si="53"/>
        <v>0</v>
      </c>
      <c r="J401" t="str">
        <f>_xlfn.XLOOKUP(H401, Fact_Events!$A$2:$A$20, Fact_Events!$F$2:$F$20, "")</f>
        <v/>
      </c>
      <c r="K401" t="str">
        <f t="shared" si="54"/>
        <v>Low</v>
      </c>
      <c r="L401">
        <f t="shared" si="55"/>
        <v>0.55000000000000004</v>
      </c>
      <c r="M401">
        <f>_xlfn.XLOOKUP(B401, Dim_Hotel!$A$2:$A$11, Dim_Hotel!$I$2:$I$11)
 + (IF(J401="",0,J401)
    * _xlfn.XLOOKUP(B401, Dim_Hotel!$A$2:$A$11, Dim_Hotel!$J$2:$J$11))</f>
        <v>150</v>
      </c>
    </row>
    <row r="402" spans="1:13" x14ac:dyDescent="0.25">
      <c r="A402" s="1">
        <f t="shared" si="48"/>
        <v>46063</v>
      </c>
      <c r="B402" t="str" cm="1">
        <f t="array" ref="B402">INDEX(HotelList,MOD(ROW()-2,10)+1)</f>
        <v>H001</v>
      </c>
      <c r="C402">
        <f>_xlfn.XLOOKUP(B402,Dim_Hotel!$A$2:$A$11,Dim_Hotel!$F$2:$F$11)</f>
        <v>888</v>
      </c>
      <c r="D402">
        <f t="shared" si="49"/>
        <v>488</v>
      </c>
      <c r="E402">
        <f t="shared" si="50"/>
        <v>0.5495495495495496</v>
      </c>
      <c r="F402">
        <f t="shared" si="51"/>
        <v>260</v>
      </c>
      <c r="G402">
        <f t="shared" si="52"/>
        <v>142.88288288288288</v>
      </c>
      <c r="H402" t="str">
        <f>_xlfn.XLOOKUP(A402,Fact_Events!$D$2:$D$20,Fact_Events!$A$2:$A$20, "")</f>
        <v/>
      </c>
      <c r="I402">
        <f t="shared" si="53"/>
        <v>0</v>
      </c>
      <c r="J402" t="str">
        <f>_xlfn.XLOOKUP(H402, Fact_Events!$A$2:$A$20, Fact_Events!$F$2:$F$20, "")</f>
        <v/>
      </c>
      <c r="K402" t="str">
        <f t="shared" si="54"/>
        <v>Low</v>
      </c>
      <c r="L402">
        <f t="shared" si="55"/>
        <v>0.55000000000000004</v>
      </c>
      <c r="M402">
        <f>_xlfn.XLOOKUP(B402, Dim_Hotel!$A$2:$A$11, Dim_Hotel!$I$2:$I$11)
 + (IF(J402="",0,J402)
    * _xlfn.XLOOKUP(B402, Dim_Hotel!$A$2:$A$11, Dim_Hotel!$J$2:$J$11))</f>
        <v>260</v>
      </c>
    </row>
    <row r="403" spans="1:13" x14ac:dyDescent="0.25">
      <c r="A403" s="1">
        <f t="shared" si="48"/>
        <v>46063</v>
      </c>
      <c r="B403" t="str" cm="1">
        <f t="array" ref="B403">INDEX(HotelList,MOD(ROW()-2,10)+1)</f>
        <v>H002</v>
      </c>
      <c r="C403">
        <f>_xlfn.XLOOKUP(B403,Dim_Hotel!$A$2:$A$11,Dim_Hotel!$F$2:$F$11)</f>
        <v>147</v>
      </c>
      <c r="D403">
        <f t="shared" si="49"/>
        <v>81</v>
      </c>
      <c r="E403">
        <f t="shared" si="50"/>
        <v>0.55102040816326525</v>
      </c>
      <c r="F403">
        <f t="shared" si="51"/>
        <v>175</v>
      </c>
      <c r="G403">
        <f t="shared" si="52"/>
        <v>96.428571428571416</v>
      </c>
      <c r="H403" t="str">
        <f>_xlfn.XLOOKUP(A403,Fact_Events!$D$2:$D$20,Fact_Events!$A$2:$A$20, "")</f>
        <v/>
      </c>
      <c r="I403">
        <f t="shared" si="53"/>
        <v>0</v>
      </c>
      <c r="J403" t="str">
        <f>_xlfn.XLOOKUP(H403, Fact_Events!$A$2:$A$20, Fact_Events!$F$2:$F$20, "")</f>
        <v/>
      </c>
      <c r="K403" t="str">
        <f t="shared" si="54"/>
        <v>Low</v>
      </c>
      <c r="L403">
        <f t="shared" si="55"/>
        <v>0.55000000000000004</v>
      </c>
      <c r="M403">
        <f>_xlfn.XLOOKUP(B403, Dim_Hotel!$A$2:$A$11, Dim_Hotel!$I$2:$I$11)
 + (IF(J403="",0,J403)
    * _xlfn.XLOOKUP(B403, Dim_Hotel!$A$2:$A$11, Dim_Hotel!$J$2:$J$11))</f>
        <v>175</v>
      </c>
    </row>
    <row r="404" spans="1:13" x14ac:dyDescent="0.25">
      <c r="A404" s="1">
        <f t="shared" si="48"/>
        <v>46063</v>
      </c>
      <c r="B404" t="str" cm="1">
        <f t="array" ref="B404">INDEX(HotelList,MOD(ROW()-2,10)+1)</f>
        <v>H003</v>
      </c>
      <c r="C404">
        <f>_xlfn.XLOOKUP(B404,Dim_Hotel!$A$2:$A$11,Dim_Hotel!$F$2:$F$11)</f>
        <v>121</v>
      </c>
      <c r="D404">
        <f t="shared" si="49"/>
        <v>67</v>
      </c>
      <c r="E404">
        <f t="shared" si="50"/>
        <v>0.55371900826446285</v>
      </c>
      <c r="F404">
        <f t="shared" si="51"/>
        <v>145</v>
      </c>
      <c r="G404">
        <f t="shared" si="52"/>
        <v>80.289256198347118</v>
      </c>
      <c r="H404" t="str">
        <f>_xlfn.XLOOKUP(A404,Fact_Events!$D$2:$D$20,Fact_Events!$A$2:$A$20, "")</f>
        <v/>
      </c>
      <c r="I404">
        <f t="shared" si="53"/>
        <v>0</v>
      </c>
      <c r="J404" t="str">
        <f>_xlfn.XLOOKUP(H404, Fact_Events!$A$2:$A$20, Fact_Events!$F$2:$F$20, "")</f>
        <v/>
      </c>
      <c r="K404" t="str">
        <f t="shared" si="54"/>
        <v>Low</v>
      </c>
      <c r="L404">
        <f t="shared" si="55"/>
        <v>0.55000000000000004</v>
      </c>
      <c r="M404">
        <f>_xlfn.XLOOKUP(B404, Dim_Hotel!$A$2:$A$11, Dim_Hotel!$I$2:$I$11)
 + (IF(J404="",0,J404)
    * _xlfn.XLOOKUP(B404, Dim_Hotel!$A$2:$A$11, Dim_Hotel!$J$2:$J$11))</f>
        <v>145</v>
      </c>
    </row>
    <row r="405" spans="1:13" x14ac:dyDescent="0.25">
      <c r="A405" s="1">
        <f t="shared" si="48"/>
        <v>46063</v>
      </c>
      <c r="B405" t="str" cm="1">
        <f t="array" ref="B405">INDEX(HotelList,MOD(ROW()-2,10)+1)</f>
        <v>H004</v>
      </c>
      <c r="C405">
        <f>_xlfn.XLOOKUP(B405,Dim_Hotel!$A$2:$A$11,Dim_Hotel!$F$2:$F$11)</f>
        <v>108</v>
      </c>
      <c r="D405">
        <f t="shared" si="49"/>
        <v>59</v>
      </c>
      <c r="E405">
        <f t="shared" si="50"/>
        <v>0.54629629629629628</v>
      </c>
      <c r="F405">
        <f t="shared" si="51"/>
        <v>135</v>
      </c>
      <c r="G405">
        <f t="shared" si="52"/>
        <v>73.75</v>
      </c>
      <c r="H405" t="str">
        <f>_xlfn.XLOOKUP(A405,Fact_Events!$D$2:$D$20,Fact_Events!$A$2:$A$20, "")</f>
        <v/>
      </c>
      <c r="I405">
        <f t="shared" si="53"/>
        <v>0</v>
      </c>
      <c r="J405" t="str">
        <f>_xlfn.XLOOKUP(H405, Fact_Events!$A$2:$A$20, Fact_Events!$F$2:$F$20, "")</f>
        <v/>
      </c>
      <c r="K405" t="str">
        <f t="shared" si="54"/>
        <v>Low</v>
      </c>
      <c r="L405">
        <f t="shared" si="55"/>
        <v>0.55000000000000004</v>
      </c>
      <c r="M405">
        <f>_xlfn.XLOOKUP(B405, Dim_Hotel!$A$2:$A$11, Dim_Hotel!$I$2:$I$11)
 + (IF(J405="",0,J405)
    * _xlfn.XLOOKUP(B405, Dim_Hotel!$A$2:$A$11, Dim_Hotel!$J$2:$J$11))</f>
        <v>135</v>
      </c>
    </row>
    <row r="406" spans="1:13" x14ac:dyDescent="0.25">
      <c r="A406" s="1">
        <f t="shared" si="48"/>
        <v>46063</v>
      </c>
      <c r="B406" t="str" cm="1">
        <f t="array" ref="B406">INDEX(HotelList,MOD(ROW()-2,10)+1)</f>
        <v>H005</v>
      </c>
      <c r="C406">
        <f>_xlfn.XLOOKUP(B406,Dim_Hotel!$A$2:$A$11,Dim_Hotel!$F$2:$F$11)</f>
        <v>66</v>
      </c>
      <c r="D406">
        <f t="shared" si="49"/>
        <v>36</v>
      </c>
      <c r="E406">
        <f t="shared" si="50"/>
        <v>0.54545454545454541</v>
      </c>
      <c r="F406">
        <f t="shared" si="51"/>
        <v>82</v>
      </c>
      <c r="G406">
        <f t="shared" si="52"/>
        <v>44.727272727272727</v>
      </c>
      <c r="H406" t="str">
        <f>_xlfn.XLOOKUP(A406,Fact_Events!$D$2:$D$20,Fact_Events!$A$2:$A$20, "")</f>
        <v/>
      </c>
      <c r="I406">
        <f t="shared" si="53"/>
        <v>0</v>
      </c>
      <c r="J406" t="str">
        <f>_xlfn.XLOOKUP(H406, Fact_Events!$A$2:$A$20, Fact_Events!$F$2:$F$20, "")</f>
        <v/>
      </c>
      <c r="K406" t="str">
        <f t="shared" si="54"/>
        <v>Low</v>
      </c>
      <c r="L406">
        <f t="shared" si="55"/>
        <v>0.55000000000000004</v>
      </c>
      <c r="M406">
        <f>_xlfn.XLOOKUP(B406, Dim_Hotel!$A$2:$A$11, Dim_Hotel!$I$2:$I$11)
 + (IF(J406="",0,J406)
    * _xlfn.XLOOKUP(B406, Dim_Hotel!$A$2:$A$11, Dim_Hotel!$J$2:$J$11))</f>
        <v>82</v>
      </c>
    </row>
    <row r="407" spans="1:13" x14ac:dyDescent="0.25">
      <c r="A407" s="1">
        <f t="shared" si="48"/>
        <v>46063</v>
      </c>
      <c r="B407" t="str" cm="1">
        <f t="array" ref="B407">INDEX(HotelList,MOD(ROW()-2,10)+1)</f>
        <v>H006</v>
      </c>
      <c r="C407">
        <f>_xlfn.XLOOKUP(B407,Dim_Hotel!$A$2:$A$11,Dim_Hotel!$F$2:$F$11)</f>
        <v>311</v>
      </c>
      <c r="D407">
        <f t="shared" si="49"/>
        <v>171</v>
      </c>
      <c r="E407">
        <f t="shared" si="50"/>
        <v>0.54983922829581988</v>
      </c>
      <c r="F407">
        <f t="shared" si="51"/>
        <v>190</v>
      </c>
      <c r="G407">
        <f t="shared" si="52"/>
        <v>104.46945337620578</v>
      </c>
      <c r="H407" t="str">
        <f>_xlfn.XLOOKUP(A407,Fact_Events!$D$2:$D$20,Fact_Events!$A$2:$A$20, "")</f>
        <v/>
      </c>
      <c r="I407">
        <f t="shared" si="53"/>
        <v>0</v>
      </c>
      <c r="J407" t="str">
        <f>_xlfn.XLOOKUP(H407, Fact_Events!$A$2:$A$20, Fact_Events!$F$2:$F$20, "")</f>
        <v/>
      </c>
      <c r="K407" t="str">
        <f t="shared" si="54"/>
        <v>Low</v>
      </c>
      <c r="L407">
        <f t="shared" si="55"/>
        <v>0.55000000000000004</v>
      </c>
      <c r="M407">
        <f>_xlfn.XLOOKUP(B407, Dim_Hotel!$A$2:$A$11, Dim_Hotel!$I$2:$I$11)
 + (IF(J407="",0,J407)
    * _xlfn.XLOOKUP(B407, Dim_Hotel!$A$2:$A$11, Dim_Hotel!$J$2:$J$11))</f>
        <v>190</v>
      </c>
    </row>
    <row r="408" spans="1:13" x14ac:dyDescent="0.25">
      <c r="A408" s="1">
        <f t="shared" si="48"/>
        <v>46063</v>
      </c>
      <c r="B408" t="str" cm="1">
        <f t="array" ref="B408">INDEX(HotelList,MOD(ROW()-2,10)+1)</f>
        <v>H007</v>
      </c>
      <c r="C408">
        <f>_xlfn.XLOOKUP(B408,Dim_Hotel!$A$2:$A$11,Dim_Hotel!$F$2:$F$11)</f>
        <v>132</v>
      </c>
      <c r="D408">
        <f t="shared" si="49"/>
        <v>73</v>
      </c>
      <c r="E408">
        <f t="shared" si="50"/>
        <v>0.55303030303030298</v>
      </c>
      <c r="F408">
        <f t="shared" si="51"/>
        <v>165</v>
      </c>
      <c r="G408">
        <f t="shared" si="52"/>
        <v>91.249999999999986</v>
      </c>
      <c r="H408" t="str">
        <f>_xlfn.XLOOKUP(A408,Fact_Events!$D$2:$D$20,Fact_Events!$A$2:$A$20, "")</f>
        <v/>
      </c>
      <c r="I408">
        <f t="shared" si="53"/>
        <v>0</v>
      </c>
      <c r="J408" t="str">
        <f>_xlfn.XLOOKUP(H408, Fact_Events!$A$2:$A$20, Fact_Events!$F$2:$F$20, "")</f>
        <v/>
      </c>
      <c r="K408" t="str">
        <f t="shared" si="54"/>
        <v>Low</v>
      </c>
      <c r="L408">
        <f t="shared" si="55"/>
        <v>0.55000000000000004</v>
      </c>
      <c r="M408">
        <f>_xlfn.XLOOKUP(B408, Dim_Hotel!$A$2:$A$11, Dim_Hotel!$I$2:$I$11)
 + (IF(J408="",0,J408)
    * _xlfn.XLOOKUP(B408, Dim_Hotel!$A$2:$A$11, Dim_Hotel!$J$2:$J$11))</f>
        <v>165</v>
      </c>
    </row>
    <row r="409" spans="1:13" x14ac:dyDescent="0.25">
      <c r="A409" s="1">
        <f t="shared" si="48"/>
        <v>46063</v>
      </c>
      <c r="B409" t="str" cm="1">
        <f t="array" ref="B409">INDEX(HotelList,MOD(ROW()-2,10)+1)</f>
        <v>H008</v>
      </c>
      <c r="C409">
        <f>_xlfn.XLOOKUP(B409,Dim_Hotel!$A$2:$A$11,Dim_Hotel!$F$2:$F$11)</f>
        <v>103</v>
      </c>
      <c r="D409">
        <f t="shared" si="49"/>
        <v>57</v>
      </c>
      <c r="E409">
        <f t="shared" si="50"/>
        <v>0.55339805825242716</v>
      </c>
      <c r="F409">
        <f t="shared" si="51"/>
        <v>140</v>
      </c>
      <c r="G409">
        <f t="shared" si="52"/>
        <v>77.475728155339809</v>
      </c>
      <c r="H409" t="str">
        <f>_xlfn.XLOOKUP(A409,Fact_Events!$D$2:$D$20,Fact_Events!$A$2:$A$20, "")</f>
        <v/>
      </c>
      <c r="I409">
        <f t="shared" si="53"/>
        <v>0</v>
      </c>
      <c r="J409" t="str">
        <f>_xlfn.XLOOKUP(H409, Fact_Events!$A$2:$A$20, Fact_Events!$F$2:$F$20, "")</f>
        <v/>
      </c>
      <c r="K409" t="str">
        <f t="shared" si="54"/>
        <v>Low</v>
      </c>
      <c r="L409">
        <f t="shared" si="55"/>
        <v>0.55000000000000004</v>
      </c>
      <c r="M409">
        <f>_xlfn.XLOOKUP(B409, Dim_Hotel!$A$2:$A$11, Dim_Hotel!$I$2:$I$11)
 + (IF(J409="",0,J409)
    * _xlfn.XLOOKUP(B409, Dim_Hotel!$A$2:$A$11, Dim_Hotel!$J$2:$J$11))</f>
        <v>140</v>
      </c>
    </row>
    <row r="410" spans="1:13" x14ac:dyDescent="0.25">
      <c r="A410" s="1">
        <f t="shared" si="48"/>
        <v>46063</v>
      </c>
      <c r="B410" t="str" cm="1">
        <f t="array" ref="B410">INDEX(HotelList,MOD(ROW()-2,10)+1)</f>
        <v>H009</v>
      </c>
      <c r="C410">
        <f>_xlfn.XLOOKUP(B410,Dim_Hotel!$A$2:$A$11,Dim_Hotel!$F$2:$F$11)</f>
        <v>114</v>
      </c>
      <c r="D410">
        <f t="shared" si="49"/>
        <v>63</v>
      </c>
      <c r="E410">
        <f t="shared" si="50"/>
        <v>0.55263157894736847</v>
      </c>
      <c r="F410">
        <f t="shared" si="51"/>
        <v>185</v>
      </c>
      <c r="G410">
        <f t="shared" si="52"/>
        <v>102.23684210526316</v>
      </c>
      <c r="H410" t="str">
        <f>_xlfn.XLOOKUP(A410,Fact_Events!$D$2:$D$20,Fact_Events!$A$2:$A$20, "")</f>
        <v/>
      </c>
      <c r="I410">
        <f t="shared" si="53"/>
        <v>0</v>
      </c>
      <c r="J410" t="str">
        <f>_xlfn.XLOOKUP(H410, Fact_Events!$A$2:$A$20, Fact_Events!$F$2:$F$20, "")</f>
        <v/>
      </c>
      <c r="K410" t="str">
        <f t="shared" si="54"/>
        <v>Low</v>
      </c>
      <c r="L410">
        <f t="shared" si="55"/>
        <v>0.55000000000000004</v>
      </c>
      <c r="M410">
        <f>_xlfn.XLOOKUP(B410, Dim_Hotel!$A$2:$A$11, Dim_Hotel!$I$2:$I$11)
 + (IF(J410="",0,J410)
    * _xlfn.XLOOKUP(B410, Dim_Hotel!$A$2:$A$11, Dim_Hotel!$J$2:$J$11))</f>
        <v>185</v>
      </c>
    </row>
    <row r="411" spans="1:13" x14ac:dyDescent="0.25">
      <c r="A411" s="1">
        <f t="shared" si="48"/>
        <v>46063</v>
      </c>
      <c r="B411" t="str" cm="1">
        <f t="array" ref="B411">INDEX(HotelList,MOD(ROW()-2,10)+1)</f>
        <v>H010</v>
      </c>
      <c r="C411">
        <f>_xlfn.XLOOKUP(B411,Dim_Hotel!$A$2:$A$11,Dim_Hotel!$F$2:$F$11)</f>
        <v>89</v>
      </c>
      <c r="D411">
        <f t="shared" si="49"/>
        <v>49</v>
      </c>
      <c r="E411">
        <f t="shared" si="50"/>
        <v>0.550561797752809</v>
      </c>
      <c r="F411">
        <f t="shared" si="51"/>
        <v>150</v>
      </c>
      <c r="G411">
        <f t="shared" si="52"/>
        <v>82.584269662921344</v>
      </c>
      <c r="H411" t="str">
        <f>_xlfn.XLOOKUP(A411,Fact_Events!$D$2:$D$20,Fact_Events!$A$2:$A$20, "")</f>
        <v/>
      </c>
      <c r="I411">
        <f t="shared" si="53"/>
        <v>0</v>
      </c>
      <c r="J411" t="str">
        <f>_xlfn.XLOOKUP(H411, Fact_Events!$A$2:$A$20, Fact_Events!$F$2:$F$20, "")</f>
        <v/>
      </c>
      <c r="K411" t="str">
        <f t="shared" si="54"/>
        <v>Low</v>
      </c>
      <c r="L411">
        <f t="shared" si="55"/>
        <v>0.55000000000000004</v>
      </c>
      <c r="M411">
        <f>_xlfn.XLOOKUP(B411, Dim_Hotel!$A$2:$A$11, Dim_Hotel!$I$2:$I$11)
 + (IF(J411="",0,J411)
    * _xlfn.XLOOKUP(B411, Dim_Hotel!$A$2:$A$11, Dim_Hotel!$J$2:$J$11))</f>
        <v>150</v>
      </c>
    </row>
    <row r="412" spans="1:13" x14ac:dyDescent="0.25">
      <c r="A412" s="1">
        <f t="shared" si="48"/>
        <v>46064</v>
      </c>
      <c r="B412" t="str" cm="1">
        <f t="array" ref="B412">INDEX(HotelList,MOD(ROW()-2,10)+1)</f>
        <v>H001</v>
      </c>
      <c r="C412">
        <f>_xlfn.XLOOKUP(B412,Dim_Hotel!$A$2:$A$11,Dim_Hotel!$F$2:$F$11)</f>
        <v>888</v>
      </c>
      <c r="D412">
        <f t="shared" si="49"/>
        <v>488</v>
      </c>
      <c r="E412">
        <f t="shared" si="50"/>
        <v>0.5495495495495496</v>
      </c>
      <c r="F412">
        <f t="shared" si="51"/>
        <v>260</v>
      </c>
      <c r="G412">
        <f t="shared" si="52"/>
        <v>142.88288288288288</v>
      </c>
      <c r="H412" t="str">
        <f>_xlfn.XLOOKUP(A412,Fact_Events!$D$2:$D$20,Fact_Events!$A$2:$A$20, "")</f>
        <v/>
      </c>
      <c r="I412">
        <f t="shared" si="53"/>
        <v>0</v>
      </c>
      <c r="J412" t="str">
        <f>_xlfn.XLOOKUP(H412, Fact_Events!$A$2:$A$20, Fact_Events!$F$2:$F$20, "")</f>
        <v/>
      </c>
      <c r="K412" t="str">
        <f t="shared" si="54"/>
        <v>Low</v>
      </c>
      <c r="L412">
        <f t="shared" si="55"/>
        <v>0.55000000000000004</v>
      </c>
      <c r="M412">
        <f>_xlfn.XLOOKUP(B412, Dim_Hotel!$A$2:$A$11, Dim_Hotel!$I$2:$I$11)
 + (IF(J412="",0,J412)
    * _xlfn.XLOOKUP(B412, Dim_Hotel!$A$2:$A$11, Dim_Hotel!$J$2:$J$11))</f>
        <v>260</v>
      </c>
    </row>
    <row r="413" spans="1:13" x14ac:dyDescent="0.25">
      <c r="A413" s="1">
        <f t="shared" si="48"/>
        <v>46064</v>
      </c>
      <c r="B413" t="str" cm="1">
        <f t="array" ref="B413">INDEX(HotelList,MOD(ROW()-2,10)+1)</f>
        <v>H002</v>
      </c>
      <c r="C413">
        <f>_xlfn.XLOOKUP(B413,Dim_Hotel!$A$2:$A$11,Dim_Hotel!$F$2:$F$11)</f>
        <v>147</v>
      </c>
      <c r="D413">
        <f t="shared" si="49"/>
        <v>81</v>
      </c>
      <c r="E413">
        <f t="shared" si="50"/>
        <v>0.55102040816326525</v>
      </c>
      <c r="F413">
        <f t="shared" si="51"/>
        <v>175</v>
      </c>
      <c r="G413">
        <f t="shared" si="52"/>
        <v>96.428571428571416</v>
      </c>
      <c r="H413" t="str">
        <f>_xlfn.XLOOKUP(A413,Fact_Events!$D$2:$D$20,Fact_Events!$A$2:$A$20, "")</f>
        <v/>
      </c>
      <c r="I413">
        <f t="shared" si="53"/>
        <v>0</v>
      </c>
      <c r="J413" t="str">
        <f>_xlfn.XLOOKUP(H413, Fact_Events!$A$2:$A$20, Fact_Events!$F$2:$F$20, "")</f>
        <v/>
      </c>
      <c r="K413" t="str">
        <f t="shared" si="54"/>
        <v>Low</v>
      </c>
      <c r="L413">
        <f t="shared" si="55"/>
        <v>0.55000000000000004</v>
      </c>
      <c r="M413">
        <f>_xlfn.XLOOKUP(B413, Dim_Hotel!$A$2:$A$11, Dim_Hotel!$I$2:$I$11)
 + (IF(J413="",0,J413)
    * _xlfn.XLOOKUP(B413, Dim_Hotel!$A$2:$A$11, Dim_Hotel!$J$2:$J$11))</f>
        <v>175</v>
      </c>
    </row>
    <row r="414" spans="1:13" x14ac:dyDescent="0.25">
      <c r="A414" s="1">
        <f t="shared" si="48"/>
        <v>46064</v>
      </c>
      <c r="B414" t="str" cm="1">
        <f t="array" ref="B414">INDEX(HotelList,MOD(ROW()-2,10)+1)</f>
        <v>H003</v>
      </c>
      <c r="C414">
        <f>_xlfn.XLOOKUP(B414,Dim_Hotel!$A$2:$A$11,Dim_Hotel!$F$2:$F$11)</f>
        <v>121</v>
      </c>
      <c r="D414">
        <f t="shared" si="49"/>
        <v>67</v>
      </c>
      <c r="E414">
        <f t="shared" si="50"/>
        <v>0.55371900826446285</v>
      </c>
      <c r="F414">
        <f t="shared" si="51"/>
        <v>145</v>
      </c>
      <c r="G414">
        <f t="shared" si="52"/>
        <v>80.289256198347118</v>
      </c>
      <c r="H414" t="str">
        <f>_xlfn.XLOOKUP(A414,Fact_Events!$D$2:$D$20,Fact_Events!$A$2:$A$20, "")</f>
        <v/>
      </c>
      <c r="I414">
        <f t="shared" si="53"/>
        <v>0</v>
      </c>
      <c r="J414" t="str">
        <f>_xlfn.XLOOKUP(H414, Fact_Events!$A$2:$A$20, Fact_Events!$F$2:$F$20, "")</f>
        <v/>
      </c>
      <c r="K414" t="str">
        <f t="shared" si="54"/>
        <v>Low</v>
      </c>
      <c r="L414">
        <f t="shared" si="55"/>
        <v>0.55000000000000004</v>
      </c>
      <c r="M414">
        <f>_xlfn.XLOOKUP(B414, Dim_Hotel!$A$2:$A$11, Dim_Hotel!$I$2:$I$11)
 + (IF(J414="",0,J414)
    * _xlfn.XLOOKUP(B414, Dim_Hotel!$A$2:$A$11, Dim_Hotel!$J$2:$J$11))</f>
        <v>145</v>
      </c>
    </row>
    <row r="415" spans="1:13" x14ac:dyDescent="0.25">
      <c r="A415" s="1">
        <f t="shared" si="48"/>
        <v>46064</v>
      </c>
      <c r="B415" t="str" cm="1">
        <f t="array" ref="B415">INDEX(HotelList,MOD(ROW()-2,10)+1)</f>
        <v>H004</v>
      </c>
      <c r="C415">
        <f>_xlfn.XLOOKUP(B415,Dim_Hotel!$A$2:$A$11,Dim_Hotel!$F$2:$F$11)</f>
        <v>108</v>
      </c>
      <c r="D415">
        <f t="shared" si="49"/>
        <v>59</v>
      </c>
      <c r="E415">
        <f t="shared" si="50"/>
        <v>0.54629629629629628</v>
      </c>
      <c r="F415">
        <f t="shared" si="51"/>
        <v>135</v>
      </c>
      <c r="G415">
        <f t="shared" si="52"/>
        <v>73.75</v>
      </c>
      <c r="H415" t="str">
        <f>_xlfn.XLOOKUP(A415,Fact_Events!$D$2:$D$20,Fact_Events!$A$2:$A$20, "")</f>
        <v/>
      </c>
      <c r="I415">
        <f t="shared" si="53"/>
        <v>0</v>
      </c>
      <c r="J415" t="str">
        <f>_xlfn.XLOOKUP(H415, Fact_Events!$A$2:$A$20, Fact_Events!$F$2:$F$20, "")</f>
        <v/>
      </c>
      <c r="K415" t="str">
        <f t="shared" si="54"/>
        <v>Low</v>
      </c>
      <c r="L415">
        <f t="shared" si="55"/>
        <v>0.55000000000000004</v>
      </c>
      <c r="M415">
        <f>_xlfn.XLOOKUP(B415, Dim_Hotel!$A$2:$A$11, Dim_Hotel!$I$2:$I$11)
 + (IF(J415="",0,J415)
    * _xlfn.XLOOKUP(B415, Dim_Hotel!$A$2:$A$11, Dim_Hotel!$J$2:$J$11))</f>
        <v>135</v>
      </c>
    </row>
    <row r="416" spans="1:13" x14ac:dyDescent="0.25">
      <c r="A416" s="1">
        <f t="shared" si="48"/>
        <v>46064</v>
      </c>
      <c r="B416" t="str" cm="1">
        <f t="array" ref="B416">INDEX(HotelList,MOD(ROW()-2,10)+1)</f>
        <v>H005</v>
      </c>
      <c r="C416">
        <f>_xlfn.XLOOKUP(B416,Dim_Hotel!$A$2:$A$11,Dim_Hotel!$F$2:$F$11)</f>
        <v>66</v>
      </c>
      <c r="D416">
        <f t="shared" si="49"/>
        <v>36</v>
      </c>
      <c r="E416">
        <f t="shared" si="50"/>
        <v>0.54545454545454541</v>
      </c>
      <c r="F416">
        <f t="shared" si="51"/>
        <v>82</v>
      </c>
      <c r="G416">
        <f t="shared" si="52"/>
        <v>44.727272727272727</v>
      </c>
      <c r="H416" t="str">
        <f>_xlfn.XLOOKUP(A416,Fact_Events!$D$2:$D$20,Fact_Events!$A$2:$A$20, "")</f>
        <v/>
      </c>
      <c r="I416">
        <f t="shared" si="53"/>
        <v>0</v>
      </c>
      <c r="J416" t="str">
        <f>_xlfn.XLOOKUP(H416, Fact_Events!$A$2:$A$20, Fact_Events!$F$2:$F$20, "")</f>
        <v/>
      </c>
      <c r="K416" t="str">
        <f t="shared" si="54"/>
        <v>Low</v>
      </c>
      <c r="L416">
        <f t="shared" si="55"/>
        <v>0.55000000000000004</v>
      </c>
      <c r="M416">
        <f>_xlfn.XLOOKUP(B416, Dim_Hotel!$A$2:$A$11, Dim_Hotel!$I$2:$I$11)
 + (IF(J416="",0,J416)
    * _xlfn.XLOOKUP(B416, Dim_Hotel!$A$2:$A$11, Dim_Hotel!$J$2:$J$11))</f>
        <v>82</v>
      </c>
    </row>
    <row r="417" spans="1:13" x14ac:dyDescent="0.25">
      <c r="A417" s="1">
        <f t="shared" si="48"/>
        <v>46064</v>
      </c>
      <c r="B417" t="str" cm="1">
        <f t="array" ref="B417">INDEX(HotelList,MOD(ROW()-2,10)+1)</f>
        <v>H006</v>
      </c>
      <c r="C417">
        <f>_xlfn.XLOOKUP(B417,Dim_Hotel!$A$2:$A$11,Dim_Hotel!$F$2:$F$11)</f>
        <v>311</v>
      </c>
      <c r="D417">
        <f t="shared" si="49"/>
        <v>171</v>
      </c>
      <c r="E417">
        <f t="shared" si="50"/>
        <v>0.54983922829581988</v>
      </c>
      <c r="F417">
        <f t="shared" si="51"/>
        <v>190</v>
      </c>
      <c r="G417">
        <f t="shared" si="52"/>
        <v>104.46945337620578</v>
      </c>
      <c r="H417" t="str">
        <f>_xlfn.XLOOKUP(A417,Fact_Events!$D$2:$D$20,Fact_Events!$A$2:$A$20, "")</f>
        <v/>
      </c>
      <c r="I417">
        <f t="shared" si="53"/>
        <v>0</v>
      </c>
      <c r="J417" t="str">
        <f>_xlfn.XLOOKUP(H417, Fact_Events!$A$2:$A$20, Fact_Events!$F$2:$F$20, "")</f>
        <v/>
      </c>
      <c r="K417" t="str">
        <f t="shared" si="54"/>
        <v>Low</v>
      </c>
      <c r="L417">
        <f t="shared" si="55"/>
        <v>0.55000000000000004</v>
      </c>
      <c r="M417">
        <f>_xlfn.XLOOKUP(B417, Dim_Hotel!$A$2:$A$11, Dim_Hotel!$I$2:$I$11)
 + (IF(J417="",0,J417)
    * _xlfn.XLOOKUP(B417, Dim_Hotel!$A$2:$A$11, Dim_Hotel!$J$2:$J$11))</f>
        <v>190</v>
      </c>
    </row>
    <row r="418" spans="1:13" x14ac:dyDescent="0.25">
      <c r="A418" s="1">
        <f t="shared" si="48"/>
        <v>46064</v>
      </c>
      <c r="B418" t="str" cm="1">
        <f t="array" ref="B418">INDEX(HotelList,MOD(ROW()-2,10)+1)</f>
        <v>H007</v>
      </c>
      <c r="C418">
        <f>_xlfn.XLOOKUP(B418,Dim_Hotel!$A$2:$A$11,Dim_Hotel!$F$2:$F$11)</f>
        <v>132</v>
      </c>
      <c r="D418">
        <f t="shared" si="49"/>
        <v>73</v>
      </c>
      <c r="E418">
        <f t="shared" si="50"/>
        <v>0.55303030303030298</v>
      </c>
      <c r="F418">
        <f t="shared" si="51"/>
        <v>165</v>
      </c>
      <c r="G418">
        <f t="shared" si="52"/>
        <v>91.249999999999986</v>
      </c>
      <c r="H418" t="str">
        <f>_xlfn.XLOOKUP(A418,Fact_Events!$D$2:$D$20,Fact_Events!$A$2:$A$20, "")</f>
        <v/>
      </c>
      <c r="I418">
        <f t="shared" si="53"/>
        <v>0</v>
      </c>
      <c r="J418" t="str">
        <f>_xlfn.XLOOKUP(H418, Fact_Events!$A$2:$A$20, Fact_Events!$F$2:$F$20, "")</f>
        <v/>
      </c>
      <c r="K418" t="str">
        <f t="shared" si="54"/>
        <v>Low</v>
      </c>
      <c r="L418">
        <f t="shared" si="55"/>
        <v>0.55000000000000004</v>
      </c>
      <c r="M418">
        <f>_xlfn.XLOOKUP(B418, Dim_Hotel!$A$2:$A$11, Dim_Hotel!$I$2:$I$11)
 + (IF(J418="",0,J418)
    * _xlfn.XLOOKUP(B418, Dim_Hotel!$A$2:$A$11, Dim_Hotel!$J$2:$J$11))</f>
        <v>165</v>
      </c>
    </row>
    <row r="419" spans="1:13" x14ac:dyDescent="0.25">
      <c r="A419" s="1">
        <f t="shared" si="48"/>
        <v>46064</v>
      </c>
      <c r="B419" t="str" cm="1">
        <f t="array" ref="B419">INDEX(HotelList,MOD(ROW()-2,10)+1)</f>
        <v>H008</v>
      </c>
      <c r="C419">
        <f>_xlfn.XLOOKUP(B419,Dim_Hotel!$A$2:$A$11,Dim_Hotel!$F$2:$F$11)</f>
        <v>103</v>
      </c>
      <c r="D419">
        <f t="shared" si="49"/>
        <v>57</v>
      </c>
      <c r="E419">
        <f t="shared" si="50"/>
        <v>0.55339805825242716</v>
      </c>
      <c r="F419">
        <f t="shared" si="51"/>
        <v>140</v>
      </c>
      <c r="G419">
        <f t="shared" si="52"/>
        <v>77.475728155339809</v>
      </c>
      <c r="H419" t="str">
        <f>_xlfn.XLOOKUP(A419,Fact_Events!$D$2:$D$20,Fact_Events!$A$2:$A$20, "")</f>
        <v/>
      </c>
      <c r="I419">
        <f t="shared" si="53"/>
        <v>0</v>
      </c>
      <c r="J419" t="str">
        <f>_xlfn.XLOOKUP(H419, Fact_Events!$A$2:$A$20, Fact_Events!$F$2:$F$20, "")</f>
        <v/>
      </c>
      <c r="K419" t="str">
        <f t="shared" si="54"/>
        <v>Low</v>
      </c>
      <c r="L419">
        <f t="shared" si="55"/>
        <v>0.55000000000000004</v>
      </c>
      <c r="M419">
        <f>_xlfn.XLOOKUP(B419, Dim_Hotel!$A$2:$A$11, Dim_Hotel!$I$2:$I$11)
 + (IF(J419="",0,J419)
    * _xlfn.XLOOKUP(B419, Dim_Hotel!$A$2:$A$11, Dim_Hotel!$J$2:$J$11))</f>
        <v>140</v>
      </c>
    </row>
    <row r="420" spans="1:13" x14ac:dyDescent="0.25">
      <c r="A420" s="1">
        <f t="shared" si="48"/>
        <v>46064</v>
      </c>
      <c r="B420" t="str" cm="1">
        <f t="array" ref="B420">INDEX(HotelList,MOD(ROW()-2,10)+1)</f>
        <v>H009</v>
      </c>
      <c r="C420">
        <f>_xlfn.XLOOKUP(B420,Dim_Hotel!$A$2:$A$11,Dim_Hotel!$F$2:$F$11)</f>
        <v>114</v>
      </c>
      <c r="D420">
        <f t="shared" si="49"/>
        <v>63</v>
      </c>
      <c r="E420">
        <f t="shared" si="50"/>
        <v>0.55263157894736847</v>
      </c>
      <c r="F420">
        <f t="shared" si="51"/>
        <v>185</v>
      </c>
      <c r="G420">
        <f t="shared" si="52"/>
        <v>102.23684210526316</v>
      </c>
      <c r="H420" t="str">
        <f>_xlfn.XLOOKUP(A420,Fact_Events!$D$2:$D$20,Fact_Events!$A$2:$A$20, "")</f>
        <v/>
      </c>
      <c r="I420">
        <f t="shared" si="53"/>
        <v>0</v>
      </c>
      <c r="J420" t="str">
        <f>_xlfn.XLOOKUP(H420, Fact_Events!$A$2:$A$20, Fact_Events!$F$2:$F$20, "")</f>
        <v/>
      </c>
      <c r="K420" t="str">
        <f t="shared" si="54"/>
        <v>Low</v>
      </c>
      <c r="L420">
        <f t="shared" si="55"/>
        <v>0.55000000000000004</v>
      </c>
      <c r="M420">
        <f>_xlfn.XLOOKUP(B420, Dim_Hotel!$A$2:$A$11, Dim_Hotel!$I$2:$I$11)
 + (IF(J420="",0,J420)
    * _xlfn.XLOOKUP(B420, Dim_Hotel!$A$2:$A$11, Dim_Hotel!$J$2:$J$11))</f>
        <v>185</v>
      </c>
    </row>
    <row r="421" spans="1:13" x14ac:dyDescent="0.25">
      <c r="A421" s="1">
        <f t="shared" si="48"/>
        <v>46064</v>
      </c>
      <c r="B421" t="str" cm="1">
        <f t="array" ref="B421">INDEX(HotelList,MOD(ROW()-2,10)+1)</f>
        <v>H010</v>
      </c>
      <c r="C421">
        <f>_xlfn.XLOOKUP(B421,Dim_Hotel!$A$2:$A$11,Dim_Hotel!$F$2:$F$11)</f>
        <v>89</v>
      </c>
      <c r="D421">
        <f t="shared" si="49"/>
        <v>49</v>
      </c>
      <c r="E421">
        <f t="shared" si="50"/>
        <v>0.550561797752809</v>
      </c>
      <c r="F421">
        <f t="shared" si="51"/>
        <v>150</v>
      </c>
      <c r="G421">
        <f t="shared" si="52"/>
        <v>82.584269662921344</v>
      </c>
      <c r="H421" t="str">
        <f>_xlfn.XLOOKUP(A421,Fact_Events!$D$2:$D$20,Fact_Events!$A$2:$A$20, "")</f>
        <v/>
      </c>
      <c r="I421">
        <f t="shared" si="53"/>
        <v>0</v>
      </c>
      <c r="J421" t="str">
        <f>_xlfn.XLOOKUP(H421, Fact_Events!$A$2:$A$20, Fact_Events!$F$2:$F$20, "")</f>
        <v/>
      </c>
      <c r="K421" t="str">
        <f t="shared" si="54"/>
        <v>Low</v>
      </c>
      <c r="L421">
        <f t="shared" si="55"/>
        <v>0.55000000000000004</v>
      </c>
      <c r="M421">
        <f>_xlfn.XLOOKUP(B421, Dim_Hotel!$A$2:$A$11, Dim_Hotel!$I$2:$I$11)
 + (IF(J421="",0,J421)
    * _xlfn.XLOOKUP(B421, Dim_Hotel!$A$2:$A$11, Dim_Hotel!$J$2:$J$11))</f>
        <v>150</v>
      </c>
    </row>
    <row r="422" spans="1:13" x14ac:dyDescent="0.25">
      <c r="A422" s="1">
        <f t="shared" si="48"/>
        <v>46065</v>
      </c>
      <c r="B422" t="str" cm="1">
        <f t="array" ref="B422">INDEX(HotelList,MOD(ROW()-2,10)+1)</f>
        <v>H001</v>
      </c>
      <c r="C422">
        <f>_xlfn.XLOOKUP(B422,Dim_Hotel!$A$2:$A$11,Dim_Hotel!$F$2:$F$11)</f>
        <v>888</v>
      </c>
      <c r="D422">
        <f t="shared" si="49"/>
        <v>488</v>
      </c>
      <c r="E422">
        <f t="shared" si="50"/>
        <v>0.5495495495495496</v>
      </c>
      <c r="F422">
        <f t="shared" si="51"/>
        <v>260</v>
      </c>
      <c r="G422">
        <f t="shared" si="52"/>
        <v>142.88288288288288</v>
      </c>
      <c r="H422" t="str">
        <f>_xlfn.XLOOKUP(A422,Fact_Events!$D$2:$D$20,Fact_Events!$A$2:$A$20, "")</f>
        <v/>
      </c>
      <c r="I422">
        <f t="shared" si="53"/>
        <v>0</v>
      </c>
      <c r="J422" t="str">
        <f>_xlfn.XLOOKUP(H422, Fact_Events!$A$2:$A$20, Fact_Events!$F$2:$F$20, "")</f>
        <v/>
      </c>
      <c r="K422" t="str">
        <f t="shared" si="54"/>
        <v>Low</v>
      </c>
      <c r="L422">
        <f t="shared" si="55"/>
        <v>0.55000000000000004</v>
      </c>
      <c r="M422">
        <f>_xlfn.XLOOKUP(B422, Dim_Hotel!$A$2:$A$11, Dim_Hotel!$I$2:$I$11)
 + (IF(J422="",0,J422)
    * _xlfn.XLOOKUP(B422, Dim_Hotel!$A$2:$A$11, Dim_Hotel!$J$2:$J$11))</f>
        <v>260</v>
      </c>
    </row>
    <row r="423" spans="1:13" x14ac:dyDescent="0.25">
      <c r="A423" s="1">
        <f t="shared" si="48"/>
        <v>46065</v>
      </c>
      <c r="B423" t="str" cm="1">
        <f t="array" ref="B423">INDEX(HotelList,MOD(ROW()-2,10)+1)</f>
        <v>H002</v>
      </c>
      <c r="C423">
        <f>_xlfn.XLOOKUP(B423,Dim_Hotel!$A$2:$A$11,Dim_Hotel!$F$2:$F$11)</f>
        <v>147</v>
      </c>
      <c r="D423">
        <f t="shared" si="49"/>
        <v>81</v>
      </c>
      <c r="E423">
        <f t="shared" si="50"/>
        <v>0.55102040816326525</v>
      </c>
      <c r="F423">
        <f t="shared" si="51"/>
        <v>175</v>
      </c>
      <c r="G423">
        <f t="shared" si="52"/>
        <v>96.428571428571416</v>
      </c>
      <c r="H423" t="str">
        <f>_xlfn.XLOOKUP(A423,Fact_Events!$D$2:$D$20,Fact_Events!$A$2:$A$20, "")</f>
        <v/>
      </c>
      <c r="I423">
        <f t="shared" si="53"/>
        <v>0</v>
      </c>
      <c r="J423" t="str">
        <f>_xlfn.XLOOKUP(H423, Fact_Events!$A$2:$A$20, Fact_Events!$F$2:$F$20, "")</f>
        <v/>
      </c>
      <c r="K423" t="str">
        <f t="shared" si="54"/>
        <v>Low</v>
      </c>
      <c r="L423">
        <f t="shared" si="55"/>
        <v>0.55000000000000004</v>
      </c>
      <c r="M423">
        <f>_xlfn.XLOOKUP(B423, Dim_Hotel!$A$2:$A$11, Dim_Hotel!$I$2:$I$11)
 + (IF(J423="",0,J423)
    * _xlfn.XLOOKUP(B423, Dim_Hotel!$A$2:$A$11, Dim_Hotel!$J$2:$J$11))</f>
        <v>175</v>
      </c>
    </row>
    <row r="424" spans="1:13" x14ac:dyDescent="0.25">
      <c r="A424" s="1">
        <f t="shared" si="48"/>
        <v>46065</v>
      </c>
      <c r="B424" t="str" cm="1">
        <f t="array" ref="B424">INDEX(HotelList,MOD(ROW()-2,10)+1)</f>
        <v>H003</v>
      </c>
      <c r="C424">
        <f>_xlfn.XLOOKUP(B424,Dim_Hotel!$A$2:$A$11,Dim_Hotel!$F$2:$F$11)</f>
        <v>121</v>
      </c>
      <c r="D424">
        <f t="shared" si="49"/>
        <v>67</v>
      </c>
      <c r="E424">
        <f t="shared" si="50"/>
        <v>0.55371900826446285</v>
      </c>
      <c r="F424">
        <f t="shared" si="51"/>
        <v>145</v>
      </c>
      <c r="G424">
        <f t="shared" si="52"/>
        <v>80.289256198347118</v>
      </c>
      <c r="H424" t="str">
        <f>_xlfn.XLOOKUP(A424,Fact_Events!$D$2:$D$20,Fact_Events!$A$2:$A$20, "")</f>
        <v/>
      </c>
      <c r="I424">
        <f t="shared" si="53"/>
        <v>0</v>
      </c>
      <c r="J424" t="str">
        <f>_xlfn.XLOOKUP(H424, Fact_Events!$A$2:$A$20, Fact_Events!$F$2:$F$20, "")</f>
        <v/>
      </c>
      <c r="K424" t="str">
        <f t="shared" si="54"/>
        <v>Low</v>
      </c>
      <c r="L424">
        <f t="shared" si="55"/>
        <v>0.55000000000000004</v>
      </c>
      <c r="M424">
        <f>_xlfn.XLOOKUP(B424, Dim_Hotel!$A$2:$A$11, Dim_Hotel!$I$2:$I$11)
 + (IF(J424="",0,J424)
    * _xlfn.XLOOKUP(B424, Dim_Hotel!$A$2:$A$11, Dim_Hotel!$J$2:$J$11))</f>
        <v>145</v>
      </c>
    </row>
    <row r="425" spans="1:13" x14ac:dyDescent="0.25">
      <c r="A425" s="1">
        <f t="shared" si="48"/>
        <v>46065</v>
      </c>
      <c r="B425" t="str" cm="1">
        <f t="array" ref="B425">INDEX(HotelList,MOD(ROW()-2,10)+1)</f>
        <v>H004</v>
      </c>
      <c r="C425">
        <f>_xlfn.XLOOKUP(B425,Dim_Hotel!$A$2:$A$11,Dim_Hotel!$F$2:$F$11)</f>
        <v>108</v>
      </c>
      <c r="D425">
        <f t="shared" si="49"/>
        <v>59</v>
      </c>
      <c r="E425">
        <f t="shared" si="50"/>
        <v>0.54629629629629628</v>
      </c>
      <c r="F425">
        <f t="shared" si="51"/>
        <v>135</v>
      </c>
      <c r="G425">
        <f t="shared" si="52"/>
        <v>73.75</v>
      </c>
      <c r="H425" t="str">
        <f>_xlfn.XLOOKUP(A425,Fact_Events!$D$2:$D$20,Fact_Events!$A$2:$A$20, "")</f>
        <v/>
      </c>
      <c r="I425">
        <f t="shared" si="53"/>
        <v>0</v>
      </c>
      <c r="J425" t="str">
        <f>_xlfn.XLOOKUP(H425, Fact_Events!$A$2:$A$20, Fact_Events!$F$2:$F$20, "")</f>
        <v/>
      </c>
      <c r="K425" t="str">
        <f t="shared" si="54"/>
        <v>Low</v>
      </c>
      <c r="L425">
        <f t="shared" si="55"/>
        <v>0.55000000000000004</v>
      </c>
      <c r="M425">
        <f>_xlfn.XLOOKUP(B425, Dim_Hotel!$A$2:$A$11, Dim_Hotel!$I$2:$I$11)
 + (IF(J425="",0,J425)
    * _xlfn.XLOOKUP(B425, Dim_Hotel!$A$2:$A$11, Dim_Hotel!$J$2:$J$11))</f>
        <v>135</v>
      </c>
    </row>
    <row r="426" spans="1:13" x14ac:dyDescent="0.25">
      <c r="A426" s="1">
        <f t="shared" si="48"/>
        <v>46065</v>
      </c>
      <c r="B426" t="str" cm="1">
        <f t="array" ref="B426">INDEX(HotelList,MOD(ROW()-2,10)+1)</f>
        <v>H005</v>
      </c>
      <c r="C426">
        <f>_xlfn.XLOOKUP(B426,Dim_Hotel!$A$2:$A$11,Dim_Hotel!$F$2:$F$11)</f>
        <v>66</v>
      </c>
      <c r="D426">
        <f t="shared" si="49"/>
        <v>36</v>
      </c>
      <c r="E426">
        <f t="shared" si="50"/>
        <v>0.54545454545454541</v>
      </c>
      <c r="F426">
        <f t="shared" si="51"/>
        <v>82</v>
      </c>
      <c r="G426">
        <f t="shared" si="52"/>
        <v>44.727272727272727</v>
      </c>
      <c r="H426" t="str">
        <f>_xlfn.XLOOKUP(A426,Fact_Events!$D$2:$D$20,Fact_Events!$A$2:$A$20, "")</f>
        <v/>
      </c>
      <c r="I426">
        <f t="shared" si="53"/>
        <v>0</v>
      </c>
      <c r="J426" t="str">
        <f>_xlfn.XLOOKUP(H426, Fact_Events!$A$2:$A$20, Fact_Events!$F$2:$F$20, "")</f>
        <v/>
      </c>
      <c r="K426" t="str">
        <f t="shared" si="54"/>
        <v>Low</v>
      </c>
      <c r="L426">
        <f t="shared" si="55"/>
        <v>0.55000000000000004</v>
      </c>
      <c r="M426">
        <f>_xlfn.XLOOKUP(B426, Dim_Hotel!$A$2:$A$11, Dim_Hotel!$I$2:$I$11)
 + (IF(J426="",0,J426)
    * _xlfn.XLOOKUP(B426, Dim_Hotel!$A$2:$A$11, Dim_Hotel!$J$2:$J$11))</f>
        <v>82</v>
      </c>
    </row>
    <row r="427" spans="1:13" x14ac:dyDescent="0.25">
      <c r="A427" s="1">
        <f t="shared" si="48"/>
        <v>46065</v>
      </c>
      <c r="B427" t="str" cm="1">
        <f t="array" ref="B427">INDEX(HotelList,MOD(ROW()-2,10)+1)</f>
        <v>H006</v>
      </c>
      <c r="C427">
        <f>_xlfn.XLOOKUP(B427,Dim_Hotel!$A$2:$A$11,Dim_Hotel!$F$2:$F$11)</f>
        <v>311</v>
      </c>
      <c r="D427">
        <f t="shared" si="49"/>
        <v>171</v>
      </c>
      <c r="E427">
        <f t="shared" si="50"/>
        <v>0.54983922829581988</v>
      </c>
      <c r="F427">
        <f t="shared" si="51"/>
        <v>190</v>
      </c>
      <c r="G427">
        <f t="shared" si="52"/>
        <v>104.46945337620578</v>
      </c>
      <c r="H427" t="str">
        <f>_xlfn.XLOOKUP(A427,Fact_Events!$D$2:$D$20,Fact_Events!$A$2:$A$20, "")</f>
        <v/>
      </c>
      <c r="I427">
        <f t="shared" si="53"/>
        <v>0</v>
      </c>
      <c r="J427" t="str">
        <f>_xlfn.XLOOKUP(H427, Fact_Events!$A$2:$A$20, Fact_Events!$F$2:$F$20, "")</f>
        <v/>
      </c>
      <c r="K427" t="str">
        <f t="shared" si="54"/>
        <v>Low</v>
      </c>
      <c r="L427">
        <f t="shared" si="55"/>
        <v>0.55000000000000004</v>
      </c>
      <c r="M427">
        <f>_xlfn.XLOOKUP(B427, Dim_Hotel!$A$2:$A$11, Dim_Hotel!$I$2:$I$11)
 + (IF(J427="",0,J427)
    * _xlfn.XLOOKUP(B427, Dim_Hotel!$A$2:$A$11, Dim_Hotel!$J$2:$J$11))</f>
        <v>190</v>
      </c>
    </row>
    <row r="428" spans="1:13" x14ac:dyDescent="0.25">
      <c r="A428" s="1">
        <f t="shared" si="48"/>
        <v>46065</v>
      </c>
      <c r="B428" t="str" cm="1">
        <f t="array" ref="B428">INDEX(HotelList,MOD(ROW()-2,10)+1)</f>
        <v>H007</v>
      </c>
      <c r="C428">
        <f>_xlfn.XLOOKUP(B428,Dim_Hotel!$A$2:$A$11,Dim_Hotel!$F$2:$F$11)</f>
        <v>132</v>
      </c>
      <c r="D428">
        <f t="shared" si="49"/>
        <v>73</v>
      </c>
      <c r="E428">
        <f t="shared" si="50"/>
        <v>0.55303030303030298</v>
      </c>
      <c r="F428">
        <f t="shared" si="51"/>
        <v>165</v>
      </c>
      <c r="G428">
        <f t="shared" si="52"/>
        <v>91.249999999999986</v>
      </c>
      <c r="H428" t="str">
        <f>_xlfn.XLOOKUP(A428,Fact_Events!$D$2:$D$20,Fact_Events!$A$2:$A$20, "")</f>
        <v/>
      </c>
      <c r="I428">
        <f t="shared" si="53"/>
        <v>0</v>
      </c>
      <c r="J428" t="str">
        <f>_xlfn.XLOOKUP(H428, Fact_Events!$A$2:$A$20, Fact_Events!$F$2:$F$20, "")</f>
        <v/>
      </c>
      <c r="K428" t="str">
        <f t="shared" si="54"/>
        <v>Low</v>
      </c>
      <c r="L428">
        <f t="shared" si="55"/>
        <v>0.55000000000000004</v>
      </c>
      <c r="M428">
        <f>_xlfn.XLOOKUP(B428, Dim_Hotel!$A$2:$A$11, Dim_Hotel!$I$2:$I$11)
 + (IF(J428="",0,J428)
    * _xlfn.XLOOKUP(B428, Dim_Hotel!$A$2:$A$11, Dim_Hotel!$J$2:$J$11))</f>
        <v>165</v>
      </c>
    </row>
    <row r="429" spans="1:13" x14ac:dyDescent="0.25">
      <c r="A429" s="1">
        <f t="shared" si="48"/>
        <v>46065</v>
      </c>
      <c r="B429" t="str" cm="1">
        <f t="array" ref="B429">INDEX(HotelList,MOD(ROW()-2,10)+1)</f>
        <v>H008</v>
      </c>
      <c r="C429">
        <f>_xlfn.XLOOKUP(B429,Dim_Hotel!$A$2:$A$11,Dim_Hotel!$F$2:$F$11)</f>
        <v>103</v>
      </c>
      <c r="D429">
        <f t="shared" si="49"/>
        <v>57</v>
      </c>
      <c r="E429">
        <f t="shared" si="50"/>
        <v>0.55339805825242716</v>
      </c>
      <c r="F429">
        <f t="shared" si="51"/>
        <v>140</v>
      </c>
      <c r="G429">
        <f t="shared" si="52"/>
        <v>77.475728155339809</v>
      </c>
      <c r="H429" t="str">
        <f>_xlfn.XLOOKUP(A429,Fact_Events!$D$2:$D$20,Fact_Events!$A$2:$A$20, "")</f>
        <v/>
      </c>
      <c r="I429">
        <f t="shared" si="53"/>
        <v>0</v>
      </c>
      <c r="J429" t="str">
        <f>_xlfn.XLOOKUP(H429, Fact_Events!$A$2:$A$20, Fact_Events!$F$2:$F$20, "")</f>
        <v/>
      </c>
      <c r="K429" t="str">
        <f t="shared" si="54"/>
        <v>Low</v>
      </c>
      <c r="L429">
        <f t="shared" si="55"/>
        <v>0.55000000000000004</v>
      </c>
      <c r="M429">
        <f>_xlfn.XLOOKUP(B429, Dim_Hotel!$A$2:$A$11, Dim_Hotel!$I$2:$I$11)
 + (IF(J429="",0,J429)
    * _xlfn.XLOOKUP(B429, Dim_Hotel!$A$2:$A$11, Dim_Hotel!$J$2:$J$11))</f>
        <v>140</v>
      </c>
    </row>
    <row r="430" spans="1:13" x14ac:dyDescent="0.25">
      <c r="A430" s="1">
        <f t="shared" si="48"/>
        <v>46065</v>
      </c>
      <c r="B430" t="str" cm="1">
        <f t="array" ref="B430">INDEX(HotelList,MOD(ROW()-2,10)+1)</f>
        <v>H009</v>
      </c>
      <c r="C430">
        <f>_xlfn.XLOOKUP(B430,Dim_Hotel!$A$2:$A$11,Dim_Hotel!$F$2:$F$11)</f>
        <v>114</v>
      </c>
      <c r="D430">
        <f t="shared" si="49"/>
        <v>63</v>
      </c>
      <c r="E430">
        <f t="shared" si="50"/>
        <v>0.55263157894736847</v>
      </c>
      <c r="F430">
        <f t="shared" si="51"/>
        <v>185</v>
      </c>
      <c r="G430">
        <f t="shared" si="52"/>
        <v>102.23684210526316</v>
      </c>
      <c r="H430" t="str">
        <f>_xlfn.XLOOKUP(A430,Fact_Events!$D$2:$D$20,Fact_Events!$A$2:$A$20, "")</f>
        <v/>
      </c>
      <c r="I430">
        <f t="shared" si="53"/>
        <v>0</v>
      </c>
      <c r="J430" t="str">
        <f>_xlfn.XLOOKUP(H430, Fact_Events!$A$2:$A$20, Fact_Events!$F$2:$F$20, "")</f>
        <v/>
      </c>
      <c r="K430" t="str">
        <f t="shared" si="54"/>
        <v>Low</v>
      </c>
      <c r="L430">
        <f t="shared" si="55"/>
        <v>0.55000000000000004</v>
      </c>
      <c r="M430">
        <f>_xlfn.XLOOKUP(B430, Dim_Hotel!$A$2:$A$11, Dim_Hotel!$I$2:$I$11)
 + (IF(J430="",0,J430)
    * _xlfn.XLOOKUP(B430, Dim_Hotel!$A$2:$A$11, Dim_Hotel!$J$2:$J$11))</f>
        <v>185</v>
      </c>
    </row>
    <row r="431" spans="1:13" x14ac:dyDescent="0.25">
      <c r="A431" s="1">
        <f t="shared" si="48"/>
        <v>46065</v>
      </c>
      <c r="B431" t="str" cm="1">
        <f t="array" ref="B431">INDEX(HotelList,MOD(ROW()-2,10)+1)</f>
        <v>H010</v>
      </c>
      <c r="C431">
        <f>_xlfn.XLOOKUP(B431,Dim_Hotel!$A$2:$A$11,Dim_Hotel!$F$2:$F$11)</f>
        <v>89</v>
      </c>
      <c r="D431">
        <f t="shared" si="49"/>
        <v>49</v>
      </c>
      <c r="E431">
        <f t="shared" si="50"/>
        <v>0.550561797752809</v>
      </c>
      <c r="F431">
        <f t="shared" si="51"/>
        <v>150</v>
      </c>
      <c r="G431">
        <f t="shared" si="52"/>
        <v>82.584269662921344</v>
      </c>
      <c r="H431" t="str">
        <f>_xlfn.XLOOKUP(A431,Fact_Events!$D$2:$D$20,Fact_Events!$A$2:$A$20, "")</f>
        <v/>
      </c>
      <c r="I431">
        <f t="shared" si="53"/>
        <v>0</v>
      </c>
      <c r="J431" t="str">
        <f>_xlfn.XLOOKUP(H431, Fact_Events!$A$2:$A$20, Fact_Events!$F$2:$F$20, "")</f>
        <v/>
      </c>
      <c r="K431" t="str">
        <f t="shared" si="54"/>
        <v>Low</v>
      </c>
      <c r="L431">
        <f t="shared" si="55"/>
        <v>0.55000000000000004</v>
      </c>
      <c r="M431">
        <f>_xlfn.XLOOKUP(B431, Dim_Hotel!$A$2:$A$11, Dim_Hotel!$I$2:$I$11)
 + (IF(J431="",0,J431)
    * _xlfn.XLOOKUP(B431, Dim_Hotel!$A$2:$A$11, Dim_Hotel!$J$2:$J$11))</f>
        <v>150</v>
      </c>
    </row>
    <row r="432" spans="1:13" x14ac:dyDescent="0.25">
      <c r="A432" s="1">
        <f t="shared" si="48"/>
        <v>46066</v>
      </c>
      <c r="B432" t="str" cm="1">
        <f t="array" ref="B432">INDEX(HotelList,MOD(ROW()-2,10)+1)</f>
        <v>H001</v>
      </c>
      <c r="C432">
        <f>_xlfn.XLOOKUP(B432,Dim_Hotel!$A$2:$A$11,Dim_Hotel!$F$2:$F$11)</f>
        <v>888</v>
      </c>
      <c r="D432">
        <f t="shared" si="49"/>
        <v>488</v>
      </c>
      <c r="E432">
        <f t="shared" si="50"/>
        <v>0.5495495495495496</v>
      </c>
      <c r="F432">
        <f t="shared" si="51"/>
        <v>260</v>
      </c>
      <c r="G432">
        <f t="shared" si="52"/>
        <v>142.88288288288288</v>
      </c>
      <c r="H432" t="str">
        <f>_xlfn.XLOOKUP(A432,Fact_Events!$D$2:$D$20,Fact_Events!$A$2:$A$20, "")</f>
        <v/>
      </c>
      <c r="I432">
        <f t="shared" si="53"/>
        <v>0</v>
      </c>
      <c r="J432" t="str">
        <f>_xlfn.XLOOKUP(H432, Fact_Events!$A$2:$A$20, Fact_Events!$F$2:$F$20, "")</f>
        <v/>
      </c>
      <c r="K432" t="str">
        <f t="shared" si="54"/>
        <v>Low</v>
      </c>
      <c r="L432">
        <f t="shared" si="55"/>
        <v>0.55000000000000004</v>
      </c>
      <c r="M432">
        <f>_xlfn.XLOOKUP(B432, Dim_Hotel!$A$2:$A$11, Dim_Hotel!$I$2:$I$11)
 + (IF(J432="",0,J432)
    * _xlfn.XLOOKUP(B432, Dim_Hotel!$A$2:$A$11, Dim_Hotel!$J$2:$J$11))</f>
        <v>260</v>
      </c>
    </row>
    <row r="433" spans="1:13" x14ac:dyDescent="0.25">
      <c r="A433" s="1">
        <f t="shared" si="48"/>
        <v>46066</v>
      </c>
      <c r="B433" t="str" cm="1">
        <f t="array" ref="B433">INDEX(HotelList,MOD(ROW()-2,10)+1)</f>
        <v>H002</v>
      </c>
      <c r="C433">
        <f>_xlfn.XLOOKUP(B433,Dim_Hotel!$A$2:$A$11,Dim_Hotel!$F$2:$F$11)</f>
        <v>147</v>
      </c>
      <c r="D433">
        <f t="shared" si="49"/>
        <v>81</v>
      </c>
      <c r="E433">
        <f t="shared" si="50"/>
        <v>0.55102040816326525</v>
      </c>
      <c r="F433">
        <f t="shared" si="51"/>
        <v>175</v>
      </c>
      <c r="G433">
        <f t="shared" si="52"/>
        <v>96.428571428571416</v>
      </c>
      <c r="H433" t="str">
        <f>_xlfn.XLOOKUP(A433,Fact_Events!$D$2:$D$20,Fact_Events!$A$2:$A$20, "")</f>
        <v/>
      </c>
      <c r="I433">
        <f t="shared" si="53"/>
        <v>0</v>
      </c>
      <c r="J433" t="str">
        <f>_xlfn.XLOOKUP(H433, Fact_Events!$A$2:$A$20, Fact_Events!$F$2:$F$20, "")</f>
        <v/>
      </c>
      <c r="K433" t="str">
        <f t="shared" si="54"/>
        <v>Low</v>
      </c>
      <c r="L433">
        <f t="shared" si="55"/>
        <v>0.55000000000000004</v>
      </c>
      <c r="M433">
        <f>_xlfn.XLOOKUP(B433, Dim_Hotel!$A$2:$A$11, Dim_Hotel!$I$2:$I$11)
 + (IF(J433="",0,J433)
    * _xlfn.XLOOKUP(B433, Dim_Hotel!$A$2:$A$11, Dim_Hotel!$J$2:$J$11))</f>
        <v>175</v>
      </c>
    </row>
    <row r="434" spans="1:13" x14ac:dyDescent="0.25">
      <c r="A434" s="1">
        <f t="shared" si="48"/>
        <v>46066</v>
      </c>
      <c r="B434" t="str" cm="1">
        <f t="array" ref="B434">INDEX(HotelList,MOD(ROW()-2,10)+1)</f>
        <v>H003</v>
      </c>
      <c r="C434">
        <f>_xlfn.XLOOKUP(B434,Dim_Hotel!$A$2:$A$11,Dim_Hotel!$F$2:$F$11)</f>
        <v>121</v>
      </c>
      <c r="D434">
        <f t="shared" si="49"/>
        <v>67</v>
      </c>
      <c r="E434">
        <f t="shared" si="50"/>
        <v>0.55371900826446285</v>
      </c>
      <c r="F434">
        <f t="shared" si="51"/>
        <v>145</v>
      </c>
      <c r="G434">
        <f t="shared" si="52"/>
        <v>80.289256198347118</v>
      </c>
      <c r="H434" t="str">
        <f>_xlfn.XLOOKUP(A434,Fact_Events!$D$2:$D$20,Fact_Events!$A$2:$A$20, "")</f>
        <v/>
      </c>
      <c r="I434">
        <f t="shared" si="53"/>
        <v>0</v>
      </c>
      <c r="J434" t="str">
        <f>_xlfn.XLOOKUP(H434, Fact_Events!$A$2:$A$20, Fact_Events!$F$2:$F$20, "")</f>
        <v/>
      </c>
      <c r="K434" t="str">
        <f t="shared" si="54"/>
        <v>Low</v>
      </c>
      <c r="L434">
        <f t="shared" si="55"/>
        <v>0.55000000000000004</v>
      </c>
      <c r="M434">
        <f>_xlfn.XLOOKUP(B434, Dim_Hotel!$A$2:$A$11, Dim_Hotel!$I$2:$I$11)
 + (IF(J434="",0,J434)
    * _xlfn.XLOOKUP(B434, Dim_Hotel!$A$2:$A$11, Dim_Hotel!$J$2:$J$11))</f>
        <v>145</v>
      </c>
    </row>
    <row r="435" spans="1:13" x14ac:dyDescent="0.25">
      <c r="A435" s="1">
        <f t="shared" si="48"/>
        <v>46066</v>
      </c>
      <c r="B435" t="str" cm="1">
        <f t="array" ref="B435">INDEX(HotelList,MOD(ROW()-2,10)+1)</f>
        <v>H004</v>
      </c>
      <c r="C435">
        <f>_xlfn.XLOOKUP(B435,Dim_Hotel!$A$2:$A$11,Dim_Hotel!$F$2:$F$11)</f>
        <v>108</v>
      </c>
      <c r="D435">
        <f t="shared" si="49"/>
        <v>59</v>
      </c>
      <c r="E435">
        <f t="shared" si="50"/>
        <v>0.54629629629629628</v>
      </c>
      <c r="F435">
        <f t="shared" si="51"/>
        <v>135</v>
      </c>
      <c r="G435">
        <f t="shared" si="52"/>
        <v>73.75</v>
      </c>
      <c r="H435" t="str">
        <f>_xlfn.XLOOKUP(A435,Fact_Events!$D$2:$D$20,Fact_Events!$A$2:$A$20, "")</f>
        <v/>
      </c>
      <c r="I435">
        <f t="shared" si="53"/>
        <v>0</v>
      </c>
      <c r="J435" t="str">
        <f>_xlfn.XLOOKUP(H435, Fact_Events!$A$2:$A$20, Fact_Events!$F$2:$F$20, "")</f>
        <v/>
      </c>
      <c r="K435" t="str">
        <f t="shared" si="54"/>
        <v>Low</v>
      </c>
      <c r="L435">
        <f t="shared" si="55"/>
        <v>0.55000000000000004</v>
      </c>
      <c r="M435">
        <f>_xlfn.XLOOKUP(B435, Dim_Hotel!$A$2:$A$11, Dim_Hotel!$I$2:$I$11)
 + (IF(J435="",0,J435)
    * _xlfn.XLOOKUP(B435, Dim_Hotel!$A$2:$A$11, Dim_Hotel!$J$2:$J$11))</f>
        <v>135</v>
      </c>
    </row>
    <row r="436" spans="1:13" x14ac:dyDescent="0.25">
      <c r="A436" s="1">
        <f t="shared" si="48"/>
        <v>46066</v>
      </c>
      <c r="B436" t="str" cm="1">
        <f t="array" ref="B436">INDEX(HotelList,MOD(ROW()-2,10)+1)</f>
        <v>H005</v>
      </c>
      <c r="C436">
        <f>_xlfn.XLOOKUP(B436,Dim_Hotel!$A$2:$A$11,Dim_Hotel!$F$2:$F$11)</f>
        <v>66</v>
      </c>
      <c r="D436">
        <f t="shared" si="49"/>
        <v>36</v>
      </c>
      <c r="E436">
        <f t="shared" si="50"/>
        <v>0.54545454545454541</v>
      </c>
      <c r="F436">
        <f t="shared" si="51"/>
        <v>82</v>
      </c>
      <c r="G436">
        <f t="shared" si="52"/>
        <v>44.727272727272727</v>
      </c>
      <c r="H436" t="str">
        <f>_xlfn.XLOOKUP(A436,Fact_Events!$D$2:$D$20,Fact_Events!$A$2:$A$20, "")</f>
        <v/>
      </c>
      <c r="I436">
        <f t="shared" si="53"/>
        <v>0</v>
      </c>
      <c r="J436" t="str">
        <f>_xlfn.XLOOKUP(H436, Fact_Events!$A$2:$A$20, Fact_Events!$F$2:$F$20, "")</f>
        <v/>
      </c>
      <c r="K436" t="str">
        <f t="shared" si="54"/>
        <v>Low</v>
      </c>
      <c r="L436">
        <f t="shared" si="55"/>
        <v>0.55000000000000004</v>
      </c>
      <c r="M436">
        <f>_xlfn.XLOOKUP(B436, Dim_Hotel!$A$2:$A$11, Dim_Hotel!$I$2:$I$11)
 + (IF(J436="",0,J436)
    * _xlfn.XLOOKUP(B436, Dim_Hotel!$A$2:$A$11, Dim_Hotel!$J$2:$J$11))</f>
        <v>82</v>
      </c>
    </row>
    <row r="437" spans="1:13" x14ac:dyDescent="0.25">
      <c r="A437" s="1">
        <f t="shared" si="48"/>
        <v>46066</v>
      </c>
      <c r="B437" t="str" cm="1">
        <f t="array" ref="B437">INDEX(HotelList,MOD(ROW()-2,10)+1)</f>
        <v>H006</v>
      </c>
      <c r="C437">
        <f>_xlfn.XLOOKUP(B437,Dim_Hotel!$A$2:$A$11,Dim_Hotel!$F$2:$F$11)</f>
        <v>311</v>
      </c>
      <c r="D437">
        <f t="shared" si="49"/>
        <v>171</v>
      </c>
      <c r="E437">
        <f t="shared" si="50"/>
        <v>0.54983922829581988</v>
      </c>
      <c r="F437">
        <f t="shared" si="51"/>
        <v>190</v>
      </c>
      <c r="G437">
        <f t="shared" si="52"/>
        <v>104.46945337620578</v>
      </c>
      <c r="H437" t="str">
        <f>_xlfn.XLOOKUP(A437,Fact_Events!$D$2:$D$20,Fact_Events!$A$2:$A$20, "")</f>
        <v/>
      </c>
      <c r="I437">
        <f t="shared" si="53"/>
        <v>0</v>
      </c>
      <c r="J437" t="str">
        <f>_xlfn.XLOOKUP(H437, Fact_Events!$A$2:$A$20, Fact_Events!$F$2:$F$20, "")</f>
        <v/>
      </c>
      <c r="K437" t="str">
        <f t="shared" si="54"/>
        <v>Low</v>
      </c>
      <c r="L437">
        <f t="shared" si="55"/>
        <v>0.55000000000000004</v>
      </c>
      <c r="M437">
        <f>_xlfn.XLOOKUP(B437, Dim_Hotel!$A$2:$A$11, Dim_Hotel!$I$2:$I$11)
 + (IF(J437="",0,J437)
    * _xlfn.XLOOKUP(B437, Dim_Hotel!$A$2:$A$11, Dim_Hotel!$J$2:$J$11))</f>
        <v>190</v>
      </c>
    </row>
    <row r="438" spans="1:13" x14ac:dyDescent="0.25">
      <c r="A438" s="1">
        <f t="shared" si="48"/>
        <v>46066</v>
      </c>
      <c r="B438" t="str" cm="1">
        <f t="array" ref="B438">INDEX(HotelList,MOD(ROW()-2,10)+1)</f>
        <v>H007</v>
      </c>
      <c r="C438">
        <f>_xlfn.XLOOKUP(B438,Dim_Hotel!$A$2:$A$11,Dim_Hotel!$F$2:$F$11)</f>
        <v>132</v>
      </c>
      <c r="D438">
        <f t="shared" si="49"/>
        <v>73</v>
      </c>
      <c r="E438">
        <f t="shared" si="50"/>
        <v>0.55303030303030298</v>
      </c>
      <c r="F438">
        <f t="shared" si="51"/>
        <v>165</v>
      </c>
      <c r="G438">
        <f t="shared" si="52"/>
        <v>91.249999999999986</v>
      </c>
      <c r="H438" t="str">
        <f>_xlfn.XLOOKUP(A438,Fact_Events!$D$2:$D$20,Fact_Events!$A$2:$A$20, "")</f>
        <v/>
      </c>
      <c r="I438">
        <f t="shared" si="53"/>
        <v>0</v>
      </c>
      <c r="J438" t="str">
        <f>_xlfn.XLOOKUP(H438, Fact_Events!$A$2:$A$20, Fact_Events!$F$2:$F$20, "")</f>
        <v/>
      </c>
      <c r="K438" t="str">
        <f t="shared" si="54"/>
        <v>Low</v>
      </c>
      <c r="L438">
        <f t="shared" si="55"/>
        <v>0.55000000000000004</v>
      </c>
      <c r="M438">
        <f>_xlfn.XLOOKUP(B438, Dim_Hotel!$A$2:$A$11, Dim_Hotel!$I$2:$I$11)
 + (IF(J438="",0,J438)
    * _xlfn.XLOOKUP(B438, Dim_Hotel!$A$2:$A$11, Dim_Hotel!$J$2:$J$11))</f>
        <v>165</v>
      </c>
    </row>
    <row r="439" spans="1:13" x14ac:dyDescent="0.25">
      <c r="A439" s="1">
        <f t="shared" si="48"/>
        <v>46066</v>
      </c>
      <c r="B439" t="str" cm="1">
        <f t="array" ref="B439">INDEX(HotelList,MOD(ROW()-2,10)+1)</f>
        <v>H008</v>
      </c>
      <c r="C439">
        <f>_xlfn.XLOOKUP(B439,Dim_Hotel!$A$2:$A$11,Dim_Hotel!$F$2:$F$11)</f>
        <v>103</v>
      </c>
      <c r="D439">
        <f t="shared" si="49"/>
        <v>57</v>
      </c>
      <c r="E439">
        <f t="shared" si="50"/>
        <v>0.55339805825242716</v>
      </c>
      <c r="F439">
        <f t="shared" si="51"/>
        <v>140</v>
      </c>
      <c r="G439">
        <f t="shared" si="52"/>
        <v>77.475728155339809</v>
      </c>
      <c r="H439" t="str">
        <f>_xlfn.XLOOKUP(A439,Fact_Events!$D$2:$D$20,Fact_Events!$A$2:$A$20, "")</f>
        <v/>
      </c>
      <c r="I439">
        <f t="shared" si="53"/>
        <v>0</v>
      </c>
      <c r="J439" t="str">
        <f>_xlfn.XLOOKUP(H439, Fact_Events!$A$2:$A$20, Fact_Events!$F$2:$F$20, "")</f>
        <v/>
      </c>
      <c r="K439" t="str">
        <f t="shared" si="54"/>
        <v>Low</v>
      </c>
      <c r="L439">
        <f t="shared" si="55"/>
        <v>0.55000000000000004</v>
      </c>
      <c r="M439">
        <f>_xlfn.XLOOKUP(B439, Dim_Hotel!$A$2:$A$11, Dim_Hotel!$I$2:$I$11)
 + (IF(J439="",0,J439)
    * _xlfn.XLOOKUP(B439, Dim_Hotel!$A$2:$A$11, Dim_Hotel!$J$2:$J$11))</f>
        <v>140</v>
      </c>
    </row>
    <row r="440" spans="1:13" x14ac:dyDescent="0.25">
      <c r="A440" s="1">
        <f t="shared" si="48"/>
        <v>46066</v>
      </c>
      <c r="B440" t="str" cm="1">
        <f t="array" ref="B440">INDEX(HotelList,MOD(ROW()-2,10)+1)</f>
        <v>H009</v>
      </c>
      <c r="C440">
        <f>_xlfn.XLOOKUP(B440,Dim_Hotel!$A$2:$A$11,Dim_Hotel!$F$2:$F$11)</f>
        <v>114</v>
      </c>
      <c r="D440">
        <f t="shared" si="49"/>
        <v>63</v>
      </c>
      <c r="E440">
        <f t="shared" si="50"/>
        <v>0.55263157894736847</v>
      </c>
      <c r="F440">
        <f t="shared" si="51"/>
        <v>185</v>
      </c>
      <c r="G440">
        <f t="shared" si="52"/>
        <v>102.23684210526316</v>
      </c>
      <c r="H440" t="str">
        <f>_xlfn.XLOOKUP(A440,Fact_Events!$D$2:$D$20,Fact_Events!$A$2:$A$20, "")</f>
        <v/>
      </c>
      <c r="I440">
        <f t="shared" si="53"/>
        <v>0</v>
      </c>
      <c r="J440" t="str">
        <f>_xlfn.XLOOKUP(H440, Fact_Events!$A$2:$A$20, Fact_Events!$F$2:$F$20, "")</f>
        <v/>
      </c>
      <c r="K440" t="str">
        <f t="shared" si="54"/>
        <v>Low</v>
      </c>
      <c r="L440">
        <f t="shared" si="55"/>
        <v>0.55000000000000004</v>
      </c>
      <c r="M440">
        <f>_xlfn.XLOOKUP(B440, Dim_Hotel!$A$2:$A$11, Dim_Hotel!$I$2:$I$11)
 + (IF(J440="",0,J440)
    * _xlfn.XLOOKUP(B440, Dim_Hotel!$A$2:$A$11, Dim_Hotel!$J$2:$J$11))</f>
        <v>185</v>
      </c>
    </row>
    <row r="441" spans="1:13" x14ac:dyDescent="0.25">
      <c r="A441" s="1">
        <f t="shared" si="48"/>
        <v>46066</v>
      </c>
      <c r="B441" t="str" cm="1">
        <f t="array" ref="B441">INDEX(HotelList,MOD(ROW()-2,10)+1)</f>
        <v>H010</v>
      </c>
      <c r="C441">
        <f>_xlfn.XLOOKUP(B441,Dim_Hotel!$A$2:$A$11,Dim_Hotel!$F$2:$F$11)</f>
        <v>89</v>
      </c>
      <c r="D441">
        <f t="shared" si="49"/>
        <v>49</v>
      </c>
      <c r="E441">
        <f t="shared" si="50"/>
        <v>0.550561797752809</v>
      </c>
      <c r="F441">
        <f t="shared" si="51"/>
        <v>150</v>
      </c>
      <c r="G441">
        <f t="shared" si="52"/>
        <v>82.584269662921344</v>
      </c>
      <c r="H441" t="str">
        <f>_xlfn.XLOOKUP(A441,Fact_Events!$D$2:$D$20,Fact_Events!$A$2:$A$20, "")</f>
        <v/>
      </c>
      <c r="I441">
        <f t="shared" si="53"/>
        <v>0</v>
      </c>
      <c r="J441" t="str">
        <f>_xlfn.XLOOKUP(H441, Fact_Events!$A$2:$A$20, Fact_Events!$F$2:$F$20, "")</f>
        <v/>
      </c>
      <c r="K441" t="str">
        <f t="shared" si="54"/>
        <v>Low</v>
      </c>
      <c r="L441">
        <f t="shared" si="55"/>
        <v>0.55000000000000004</v>
      </c>
      <c r="M441">
        <f>_xlfn.XLOOKUP(B441, Dim_Hotel!$A$2:$A$11, Dim_Hotel!$I$2:$I$11)
 + (IF(J441="",0,J441)
    * _xlfn.XLOOKUP(B441, Dim_Hotel!$A$2:$A$11, Dim_Hotel!$J$2:$J$11))</f>
        <v>150</v>
      </c>
    </row>
    <row r="442" spans="1:13" x14ac:dyDescent="0.25">
      <c r="A442" s="1">
        <f t="shared" si="48"/>
        <v>46067</v>
      </c>
      <c r="B442" t="str" cm="1">
        <f t="array" ref="B442">INDEX(HotelList,MOD(ROW()-2,10)+1)</f>
        <v>H001</v>
      </c>
      <c r="C442">
        <f>_xlfn.XLOOKUP(B442,Dim_Hotel!$A$2:$A$11,Dim_Hotel!$F$2:$F$11)</f>
        <v>888</v>
      </c>
      <c r="D442">
        <f t="shared" si="49"/>
        <v>764</v>
      </c>
      <c r="E442">
        <f t="shared" si="50"/>
        <v>0.86036036036036034</v>
      </c>
      <c r="F442">
        <f t="shared" si="51"/>
        <v>368</v>
      </c>
      <c r="G442">
        <f t="shared" si="52"/>
        <v>316.61261261261262</v>
      </c>
      <c r="H442" t="str">
        <f>_xlfn.XLOOKUP(A442,Fact_Events!$D$2:$D$20,Fact_Events!$A$2:$A$20, "")</f>
        <v>E001</v>
      </c>
      <c r="I442">
        <f t="shared" si="53"/>
        <v>1</v>
      </c>
      <c r="J442">
        <f>_xlfn.XLOOKUP(H442, Fact_Events!$A$2:$A$20, Fact_Events!$F$2:$F$20, "")</f>
        <v>6</v>
      </c>
      <c r="K442" t="str">
        <f t="shared" si="54"/>
        <v>Medium</v>
      </c>
      <c r="L442">
        <f t="shared" si="55"/>
        <v>0.8600000000000001</v>
      </c>
      <c r="M442">
        <f>_xlfn.XLOOKUP(B442, Dim_Hotel!$A$2:$A$11, Dim_Hotel!$I$2:$I$11)
 + (IF(J442="",0,J442)
    * _xlfn.XLOOKUP(B442, Dim_Hotel!$A$2:$A$11, Dim_Hotel!$J$2:$J$11))</f>
        <v>368</v>
      </c>
    </row>
    <row r="443" spans="1:13" x14ac:dyDescent="0.25">
      <c r="A443" s="1">
        <f t="shared" si="48"/>
        <v>46067</v>
      </c>
      <c r="B443" t="str" cm="1">
        <f t="array" ref="B443">INDEX(HotelList,MOD(ROW()-2,10)+1)</f>
        <v>H002</v>
      </c>
      <c r="C443">
        <f>_xlfn.XLOOKUP(B443,Dim_Hotel!$A$2:$A$11,Dim_Hotel!$F$2:$F$11)</f>
        <v>147</v>
      </c>
      <c r="D443">
        <f t="shared" si="49"/>
        <v>126</v>
      </c>
      <c r="E443">
        <f t="shared" si="50"/>
        <v>0.8571428571428571</v>
      </c>
      <c r="F443">
        <f t="shared" si="51"/>
        <v>259</v>
      </c>
      <c r="G443">
        <f t="shared" si="52"/>
        <v>222</v>
      </c>
      <c r="H443" t="str">
        <f>_xlfn.XLOOKUP(A443,Fact_Events!$D$2:$D$20,Fact_Events!$A$2:$A$20, "")</f>
        <v>E001</v>
      </c>
      <c r="I443">
        <f t="shared" si="53"/>
        <v>1</v>
      </c>
      <c r="J443">
        <f>_xlfn.XLOOKUP(H443, Fact_Events!$A$2:$A$20, Fact_Events!$F$2:$F$20, "")</f>
        <v>6</v>
      </c>
      <c r="K443" t="str">
        <f t="shared" si="54"/>
        <v>Medium</v>
      </c>
      <c r="L443">
        <f t="shared" si="55"/>
        <v>0.8600000000000001</v>
      </c>
      <c r="M443">
        <f>_xlfn.XLOOKUP(B443, Dim_Hotel!$A$2:$A$11, Dim_Hotel!$I$2:$I$11)
 + (IF(J443="",0,J443)
    * _xlfn.XLOOKUP(B443, Dim_Hotel!$A$2:$A$11, Dim_Hotel!$J$2:$J$11))</f>
        <v>259</v>
      </c>
    </row>
    <row r="444" spans="1:13" x14ac:dyDescent="0.25">
      <c r="A444" s="1">
        <f t="shared" si="48"/>
        <v>46067</v>
      </c>
      <c r="B444" t="str" cm="1">
        <f t="array" ref="B444">INDEX(HotelList,MOD(ROW()-2,10)+1)</f>
        <v>H003</v>
      </c>
      <c r="C444">
        <f>_xlfn.XLOOKUP(B444,Dim_Hotel!$A$2:$A$11,Dim_Hotel!$F$2:$F$11)</f>
        <v>121</v>
      </c>
      <c r="D444">
        <f t="shared" si="49"/>
        <v>104</v>
      </c>
      <c r="E444">
        <f t="shared" si="50"/>
        <v>0.85950413223140498</v>
      </c>
      <c r="F444">
        <f t="shared" si="51"/>
        <v>217</v>
      </c>
      <c r="G444">
        <f t="shared" si="52"/>
        <v>186.51239669421489</v>
      </c>
      <c r="H444" t="str">
        <f>_xlfn.XLOOKUP(A444,Fact_Events!$D$2:$D$20,Fact_Events!$A$2:$A$20, "")</f>
        <v>E001</v>
      </c>
      <c r="I444">
        <f t="shared" si="53"/>
        <v>1</v>
      </c>
      <c r="J444">
        <f>_xlfn.XLOOKUP(H444, Fact_Events!$A$2:$A$20, Fact_Events!$F$2:$F$20, "")</f>
        <v>6</v>
      </c>
      <c r="K444" t="str">
        <f t="shared" si="54"/>
        <v>Medium</v>
      </c>
      <c r="L444">
        <f t="shared" si="55"/>
        <v>0.8600000000000001</v>
      </c>
      <c r="M444">
        <f>_xlfn.XLOOKUP(B444, Dim_Hotel!$A$2:$A$11, Dim_Hotel!$I$2:$I$11)
 + (IF(J444="",0,J444)
    * _xlfn.XLOOKUP(B444, Dim_Hotel!$A$2:$A$11, Dim_Hotel!$J$2:$J$11))</f>
        <v>217</v>
      </c>
    </row>
    <row r="445" spans="1:13" x14ac:dyDescent="0.25">
      <c r="A445" s="1">
        <f t="shared" si="48"/>
        <v>46067</v>
      </c>
      <c r="B445" t="str" cm="1">
        <f t="array" ref="B445">INDEX(HotelList,MOD(ROW()-2,10)+1)</f>
        <v>H004</v>
      </c>
      <c r="C445">
        <f>_xlfn.XLOOKUP(B445,Dim_Hotel!$A$2:$A$11,Dim_Hotel!$F$2:$F$11)</f>
        <v>108</v>
      </c>
      <c r="D445">
        <f t="shared" si="49"/>
        <v>93</v>
      </c>
      <c r="E445">
        <f t="shared" si="50"/>
        <v>0.86111111111111116</v>
      </c>
      <c r="F445">
        <f t="shared" si="51"/>
        <v>207</v>
      </c>
      <c r="G445">
        <f t="shared" si="52"/>
        <v>178.25</v>
      </c>
      <c r="H445" t="str">
        <f>_xlfn.XLOOKUP(A445,Fact_Events!$D$2:$D$20,Fact_Events!$A$2:$A$20, "")</f>
        <v>E001</v>
      </c>
      <c r="I445">
        <f t="shared" si="53"/>
        <v>1</v>
      </c>
      <c r="J445">
        <f>_xlfn.XLOOKUP(H445, Fact_Events!$A$2:$A$20, Fact_Events!$F$2:$F$20, "")</f>
        <v>6</v>
      </c>
      <c r="K445" t="str">
        <f t="shared" si="54"/>
        <v>Medium</v>
      </c>
      <c r="L445">
        <f t="shared" si="55"/>
        <v>0.8600000000000001</v>
      </c>
      <c r="M445">
        <f>_xlfn.XLOOKUP(B445, Dim_Hotel!$A$2:$A$11, Dim_Hotel!$I$2:$I$11)
 + (IF(J445="",0,J445)
    * _xlfn.XLOOKUP(B445, Dim_Hotel!$A$2:$A$11, Dim_Hotel!$J$2:$J$11))</f>
        <v>207</v>
      </c>
    </row>
    <row r="446" spans="1:13" x14ac:dyDescent="0.25">
      <c r="A446" s="1">
        <f t="shared" si="48"/>
        <v>46067</v>
      </c>
      <c r="B446" t="str" cm="1">
        <f t="array" ref="B446">INDEX(HotelList,MOD(ROW()-2,10)+1)</f>
        <v>H005</v>
      </c>
      <c r="C446">
        <f>_xlfn.XLOOKUP(B446,Dim_Hotel!$A$2:$A$11,Dim_Hotel!$F$2:$F$11)</f>
        <v>66</v>
      </c>
      <c r="D446">
        <f t="shared" si="49"/>
        <v>57</v>
      </c>
      <c r="E446">
        <f t="shared" si="50"/>
        <v>0.86363636363636365</v>
      </c>
      <c r="F446">
        <f t="shared" si="51"/>
        <v>130</v>
      </c>
      <c r="G446">
        <f t="shared" si="52"/>
        <v>112.27272727272728</v>
      </c>
      <c r="H446" t="str">
        <f>_xlfn.XLOOKUP(A446,Fact_Events!$D$2:$D$20,Fact_Events!$A$2:$A$20, "")</f>
        <v>E001</v>
      </c>
      <c r="I446">
        <f t="shared" si="53"/>
        <v>1</v>
      </c>
      <c r="J446">
        <f>_xlfn.XLOOKUP(H446, Fact_Events!$A$2:$A$20, Fact_Events!$F$2:$F$20, "")</f>
        <v>6</v>
      </c>
      <c r="K446" t="str">
        <f t="shared" si="54"/>
        <v>Medium</v>
      </c>
      <c r="L446">
        <f t="shared" si="55"/>
        <v>0.8600000000000001</v>
      </c>
      <c r="M446">
        <f>_xlfn.XLOOKUP(B446, Dim_Hotel!$A$2:$A$11, Dim_Hotel!$I$2:$I$11)
 + (IF(J446="",0,J446)
    * _xlfn.XLOOKUP(B446, Dim_Hotel!$A$2:$A$11, Dim_Hotel!$J$2:$J$11))</f>
        <v>130</v>
      </c>
    </row>
    <row r="447" spans="1:13" x14ac:dyDescent="0.25">
      <c r="A447" s="1">
        <f t="shared" si="48"/>
        <v>46067</v>
      </c>
      <c r="B447" t="str" cm="1">
        <f t="array" ref="B447">INDEX(HotelList,MOD(ROW()-2,10)+1)</f>
        <v>H006</v>
      </c>
      <c r="C447">
        <f>_xlfn.XLOOKUP(B447,Dim_Hotel!$A$2:$A$11,Dim_Hotel!$F$2:$F$11)</f>
        <v>311</v>
      </c>
      <c r="D447">
        <f t="shared" si="49"/>
        <v>267</v>
      </c>
      <c r="E447">
        <f t="shared" si="50"/>
        <v>0.85852090032154338</v>
      </c>
      <c r="F447">
        <f t="shared" si="51"/>
        <v>280</v>
      </c>
      <c r="G447">
        <f t="shared" si="52"/>
        <v>240.38585209003216</v>
      </c>
      <c r="H447" t="str">
        <f>_xlfn.XLOOKUP(A447,Fact_Events!$D$2:$D$20,Fact_Events!$A$2:$A$20, "")</f>
        <v>E001</v>
      </c>
      <c r="I447">
        <f t="shared" si="53"/>
        <v>1</v>
      </c>
      <c r="J447">
        <f>_xlfn.XLOOKUP(H447, Fact_Events!$A$2:$A$20, Fact_Events!$F$2:$F$20, "")</f>
        <v>6</v>
      </c>
      <c r="K447" t="str">
        <f t="shared" si="54"/>
        <v>Medium</v>
      </c>
      <c r="L447">
        <f t="shared" si="55"/>
        <v>0.8600000000000001</v>
      </c>
      <c r="M447">
        <f>_xlfn.XLOOKUP(B447, Dim_Hotel!$A$2:$A$11, Dim_Hotel!$I$2:$I$11)
 + (IF(J447="",0,J447)
    * _xlfn.XLOOKUP(B447, Dim_Hotel!$A$2:$A$11, Dim_Hotel!$J$2:$J$11))</f>
        <v>280</v>
      </c>
    </row>
    <row r="448" spans="1:13" x14ac:dyDescent="0.25">
      <c r="A448" s="1">
        <f t="shared" si="48"/>
        <v>46067</v>
      </c>
      <c r="B448" t="str" cm="1">
        <f t="array" ref="B448">INDEX(HotelList,MOD(ROW()-2,10)+1)</f>
        <v>H007</v>
      </c>
      <c r="C448">
        <f>_xlfn.XLOOKUP(B448,Dim_Hotel!$A$2:$A$11,Dim_Hotel!$F$2:$F$11)</f>
        <v>132</v>
      </c>
      <c r="D448">
        <f t="shared" si="49"/>
        <v>114</v>
      </c>
      <c r="E448">
        <f t="shared" si="50"/>
        <v>0.86363636363636365</v>
      </c>
      <c r="F448">
        <f t="shared" si="51"/>
        <v>243</v>
      </c>
      <c r="G448">
        <f t="shared" si="52"/>
        <v>209.86363636363637</v>
      </c>
      <c r="H448" t="str">
        <f>_xlfn.XLOOKUP(A448,Fact_Events!$D$2:$D$20,Fact_Events!$A$2:$A$20, "")</f>
        <v>E001</v>
      </c>
      <c r="I448">
        <f t="shared" si="53"/>
        <v>1</v>
      </c>
      <c r="J448">
        <f>_xlfn.XLOOKUP(H448, Fact_Events!$A$2:$A$20, Fact_Events!$F$2:$F$20, "")</f>
        <v>6</v>
      </c>
      <c r="K448" t="str">
        <f t="shared" si="54"/>
        <v>Medium</v>
      </c>
      <c r="L448">
        <f t="shared" si="55"/>
        <v>0.8600000000000001</v>
      </c>
      <c r="M448">
        <f>_xlfn.XLOOKUP(B448, Dim_Hotel!$A$2:$A$11, Dim_Hotel!$I$2:$I$11)
 + (IF(J448="",0,J448)
    * _xlfn.XLOOKUP(B448, Dim_Hotel!$A$2:$A$11, Dim_Hotel!$J$2:$J$11))</f>
        <v>243</v>
      </c>
    </row>
    <row r="449" spans="1:13" x14ac:dyDescent="0.25">
      <c r="A449" s="1">
        <f t="shared" si="48"/>
        <v>46067</v>
      </c>
      <c r="B449" t="str" cm="1">
        <f t="array" ref="B449">INDEX(HotelList,MOD(ROW()-2,10)+1)</f>
        <v>H008</v>
      </c>
      <c r="C449">
        <f>_xlfn.XLOOKUP(B449,Dim_Hotel!$A$2:$A$11,Dim_Hotel!$F$2:$F$11)</f>
        <v>103</v>
      </c>
      <c r="D449">
        <f t="shared" si="49"/>
        <v>89</v>
      </c>
      <c r="E449">
        <f t="shared" si="50"/>
        <v>0.86407766990291257</v>
      </c>
      <c r="F449">
        <f t="shared" si="51"/>
        <v>212</v>
      </c>
      <c r="G449">
        <f t="shared" si="52"/>
        <v>183.18446601941747</v>
      </c>
      <c r="H449" t="str">
        <f>_xlfn.XLOOKUP(A449,Fact_Events!$D$2:$D$20,Fact_Events!$A$2:$A$20, "")</f>
        <v>E001</v>
      </c>
      <c r="I449">
        <f t="shared" si="53"/>
        <v>1</v>
      </c>
      <c r="J449">
        <f>_xlfn.XLOOKUP(H449, Fact_Events!$A$2:$A$20, Fact_Events!$F$2:$F$20, "")</f>
        <v>6</v>
      </c>
      <c r="K449" t="str">
        <f t="shared" si="54"/>
        <v>Medium</v>
      </c>
      <c r="L449">
        <f t="shared" si="55"/>
        <v>0.8600000000000001</v>
      </c>
      <c r="M449">
        <f>_xlfn.XLOOKUP(B449, Dim_Hotel!$A$2:$A$11, Dim_Hotel!$I$2:$I$11)
 + (IF(J449="",0,J449)
    * _xlfn.XLOOKUP(B449, Dim_Hotel!$A$2:$A$11, Dim_Hotel!$J$2:$J$11))</f>
        <v>212</v>
      </c>
    </row>
    <row r="450" spans="1:13" x14ac:dyDescent="0.25">
      <c r="A450" s="1">
        <f t="shared" si="48"/>
        <v>46067</v>
      </c>
      <c r="B450" t="str" cm="1">
        <f t="array" ref="B450">INDEX(HotelList,MOD(ROW()-2,10)+1)</f>
        <v>H009</v>
      </c>
      <c r="C450">
        <f>_xlfn.XLOOKUP(B450,Dim_Hotel!$A$2:$A$11,Dim_Hotel!$F$2:$F$11)</f>
        <v>114</v>
      </c>
      <c r="D450">
        <f t="shared" si="49"/>
        <v>98</v>
      </c>
      <c r="E450">
        <f t="shared" si="50"/>
        <v>0.85964912280701755</v>
      </c>
      <c r="F450">
        <f t="shared" si="51"/>
        <v>245</v>
      </c>
      <c r="G450">
        <f t="shared" si="52"/>
        <v>210.61403508771929</v>
      </c>
      <c r="H450" t="str">
        <f>_xlfn.XLOOKUP(A450,Fact_Events!$D$2:$D$20,Fact_Events!$A$2:$A$20, "")</f>
        <v>E001</v>
      </c>
      <c r="I450">
        <f t="shared" si="53"/>
        <v>1</v>
      </c>
      <c r="J450">
        <f>_xlfn.XLOOKUP(H450, Fact_Events!$A$2:$A$20, Fact_Events!$F$2:$F$20, "")</f>
        <v>6</v>
      </c>
      <c r="K450" t="str">
        <f t="shared" si="54"/>
        <v>Medium</v>
      </c>
      <c r="L450">
        <f t="shared" si="55"/>
        <v>0.8600000000000001</v>
      </c>
      <c r="M450">
        <f>_xlfn.XLOOKUP(B450, Dim_Hotel!$A$2:$A$11, Dim_Hotel!$I$2:$I$11)
 + (IF(J450="",0,J450)
    * _xlfn.XLOOKUP(B450, Dim_Hotel!$A$2:$A$11, Dim_Hotel!$J$2:$J$11))</f>
        <v>245</v>
      </c>
    </row>
    <row r="451" spans="1:13" x14ac:dyDescent="0.25">
      <c r="A451" s="1">
        <f t="shared" ref="A451:A514" si="56">DATE(2026,1,1) + INT((ROW()-2)/10)</f>
        <v>46067</v>
      </c>
      <c r="B451" t="str" cm="1">
        <f t="array" ref="B451">INDEX(HotelList,MOD(ROW()-2,10)+1)</f>
        <v>H010</v>
      </c>
      <c r="C451">
        <f>_xlfn.XLOOKUP(B451,Dim_Hotel!$A$2:$A$11,Dim_Hotel!$F$2:$F$11)</f>
        <v>89</v>
      </c>
      <c r="D451">
        <f t="shared" ref="D451:D514" si="57">ROUND(L451 * C451, 0)</f>
        <v>77</v>
      </c>
      <c r="E451">
        <f t="shared" ref="E451:E514" si="58">D451/C451</f>
        <v>0.8651685393258427</v>
      </c>
      <c r="F451">
        <f t="shared" ref="F451:F514" si="59">M451</f>
        <v>210</v>
      </c>
      <c r="G451">
        <f t="shared" ref="G451:G514" si="60">E451*F451</f>
        <v>181.68539325842696</v>
      </c>
      <c r="H451" t="str">
        <f>_xlfn.XLOOKUP(A451,Fact_Events!$D$2:$D$20,Fact_Events!$A$2:$A$20, "")</f>
        <v>E001</v>
      </c>
      <c r="I451">
        <f t="shared" ref="I451:I514" si="61">IF(H451="",0,1)</f>
        <v>1</v>
      </c>
      <c r="J451">
        <f>_xlfn.XLOOKUP(H451, Fact_Events!$A$2:$A$20, Fact_Events!$F$2:$F$20, "")</f>
        <v>6</v>
      </c>
      <c r="K451" t="str">
        <f t="shared" ref="K451:K514" si="62">IF(I451=0,"Low",
   IF(J451&gt;=9,"High","Medium"))</f>
        <v>Medium</v>
      </c>
      <c r="L451">
        <f t="shared" ref="L451:L514" si="63">MIN(1,
  0.55
  + (I451 * 0.25)
  + (IF(J451="",0,J451) / 100)
)</f>
        <v>0.8600000000000001</v>
      </c>
      <c r="M451">
        <f>_xlfn.XLOOKUP(B451, Dim_Hotel!$A$2:$A$11, Dim_Hotel!$I$2:$I$11)
 + (IF(J451="",0,J451)
    * _xlfn.XLOOKUP(B451, Dim_Hotel!$A$2:$A$11, Dim_Hotel!$J$2:$J$11))</f>
        <v>210</v>
      </c>
    </row>
    <row r="452" spans="1:13" x14ac:dyDescent="0.25">
      <c r="A452" s="1">
        <f t="shared" si="56"/>
        <v>46068</v>
      </c>
      <c r="B452" t="str" cm="1">
        <f t="array" ref="B452">INDEX(HotelList,MOD(ROW()-2,10)+1)</f>
        <v>H001</v>
      </c>
      <c r="C452">
        <f>_xlfn.XLOOKUP(B452,Dim_Hotel!$A$2:$A$11,Dim_Hotel!$F$2:$F$11)</f>
        <v>888</v>
      </c>
      <c r="D452">
        <f t="shared" si="57"/>
        <v>488</v>
      </c>
      <c r="E452">
        <f t="shared" si="58"/>
        <v>0.5495495495495496</v>
      </c>
      <c r="F452">
        <f t="shared" si="59"/>
        <v>260</v>
      </c>
      <c r="G452">
        <f t="shared" si="60"/>
        <v>142.88288288288288</v>
      </c>
      <c r="H452" t="str">
        <f>_xlfn.XLOOKUP(A452,Fact_Events!$D$2:$D$20,Fact_Events!$A$2:$A$20, "")</f>
        <v/>
      </c>
      <c r="I452">
        <f t="shared" si="61"/>
        <v>0</v>
      </c>
      <c r="J452" t="str">
        <f>_xlfn.XLOOKUP(H452, Fact_Events!$A$2:$A$20, Fact_Events!$F$2:$F$20, "")</f>
        <v/>
      </c>
      <c r="K452" t="str">
        <f t="shared" si="62"/>
        <v>Low</v>
      </c>
      <c r="L452">
        <f t="shared" si="63"/>
        <v>0.55000000000000004</v>
      </c>
      <c r="M452">
        <f>_xlfn.XLOOKUP(B452, Dim_Hotel!$A$2:$A$11, Dim_Hotel!$I$2:$I$11)
 + (IF(J452="",0,J452)
    * _xlfn.XLOOKUP(B452, Dim_Hotel!$A$2:$A$11, Dim_Hotel!$J$2:$J$11))</f>
        <v>260</v>
      </c>
    </row>
    <row r="453" spans="1:13" x14ac:dyDescent="0.25">
      <c r="A453" s="1">
        <f t="shared" si="56"/>
        <v>46068</v>
      </c>
      <c r="B453" t="str" cm="1">
        <f t="array" ref="B453">INDEX(HotelList,MOD(ROW()-2,10)+1)</f>
        <v>H002</v>
      </c>
      <c r="C453">
        <f>_xlfn.XLOOKUP(B453,Dim_Hotel!$A$2:$A$11,Dim_Hotel!$F$2:$F$11)</f>
        <v>147</v>
      </c>
      <c r="D453">
        <f t="shared" si="57"/>
        <v>81</v>
      </c>
      <c r="E453">
        <f t="shared" si="58"/>
        <v>0.55102040816326525</v>
      </c>
      <c r="F453">
        <f t="shared" si="59"/>
        <v>175</v>
      </c>
      <c r="G453">
        <f t="shared" si="60"/>
        <v>96.428571428571416</v>
      </c>
      <c r="H453" t="str">
        <f>_xlfn.XLOOKUP(A453,Fact_Events!$D$2:$D$20,Fact_Events!$A$2:$A$20, "")</f>
        <v/>
      </c>
      <c r="I453">
        <f t="shared" si="61"/>
        <v>0</v>
      </c>
      <c r="J453" t="str">
        <f>_xlfn.XLOOKUP(H453, Fact_Events!$A$2:$A$20, Fact_Events!$F$2:$F$20, "")</f>
        <v/>
      </c>
      <c r="K453" t="str">
        <f t="shared" si="62"/>
        <v>Low</v>
      </c>
      <c r="L453">
        <f t="shared" si="63"/>
        <v>0.55000000000000004</v>
      </c>
      <c r="M453">
        <f>_xlfn.XLOOKUP(B453, Dim_Hotel!$A$2:$A$11, Dim_Hotel!$I$2:$I$11)
 + (IF(J453="",0,J453)
    * _xlfn.XLOOKUP(B453, Dim_Hotel!$A$2:$A$11, Dim_Hotel!$J$2:$J$11))</f>
        <v>175</v>
      </c>
    </row>
    <row r="454" spans="1:13" x14ac:dyDescent="0.25">
      <c r="A454" s="1">
        <f t="shared" si="56"/>
        <v>46068</v>
      </c>
      <c r="B454" t="str" cm="1">
        <f t="array" ref="B454">INDEX(HotelList,MOD(ROW()-2,10)+1)</f>
        <v>H003</v>
      </c>
      <c r="C454">
        <f>_xlfn.XLOOKUP(B454,Dim_Hotel!$A$2:$A$11,Dim_Hotel!$F$2:$F$11)</f>
        <v>121</v>
      </c>
      <c r="D454">
        <f t="shared" si="57"/>
        <v>67</v>
      </c>
      <c r="E454">
        <f t="shared" si="58"/>
        <v>0.55371900826446285</v>
      </c>
      <c r="F454">
        <f t="shared" si="59"/>
        <v>145</v>
      </c>
      <c r="G454">
        <f t="shared" si="60"/>
        <v>80.289256198347118</v>
      </c>
      <c r="H454" t="str">
        <f>_xlfn.XLOOKUP(A454,Fact_Events!$D$2:$D$20,Fact_Events!$A$2:$A$20, "")</f>
        <v/>
      </c>
      <c r="I454">
        <f t="shared" si="61"/>
        <v>0</v>
      </c>
      <c r="J454" t="str">
        <f>_xlfn.XLOOKUP(H454, Fact_Events!$A$2:$A$20, Fact_Events!$F$2:$F$20, "")</f>
        <v/>
      </c>
      <c r="K454" t="str">
        <f t="shared" si="62"/>
        <v>Low</v>
      </c>
      <c r="L454">
        <f t="shared" si="63"/>
        <v>0.55000000000000004</v>
      </c>
      <c r="M454">
        <f>_xlfn.XLOOKUP(B454, Dim_Hotel!$A$2:$A$11, Dim_Hotel!$I$2:$I$11)
 + (IF(J454="",0,J454)
    * _xlfn.XLOOKUP(B454, Dim_Hotel!$A$2:$A$11, Dim_Hotel!$J$2:$J$11))</f>
        <v>145</v>
      </c>
    </row>
    <row r="455" spans="1:13" x14ac:dyDescent="0.25">
      <c r="A455" s="1">
        <f t="shared" si="56"/>
        <v>46068</v>
      </c>
      <c r="B455" t="str" cm="1">
        <f t="array" ref="B455">INDEX(HotelList,MOD(ROW()-2,10)+1)</f>
        <v>H004</v>
      </c>
      <c r="C455">
        <f>_xlfn.XLOOKUP(B455,Dim_Hotel!$A$2:$A$11,Dim_Hotel!$F$2:$F$11)</f>
        <v>108</v>
      </c>
      <c r="D455">
        <f t="shared" si="57"/>
        <v>59</v>
      </c>
      <c r="E455">
        <f t="shared" si="58"/>
        <v>0.54629629629629628</v>
      </c>
      <c r="F455">
        <f t="shared" si="59"/>
        <v>135</v>
      </c>
      <c r="G455">
        <f t="shared" si="60"/>
        <v>73.75</v>
      </c>
      <c r="H455" t="str">
        <f>_xlfn.XLOOKUP(A455,Fact_Events!$D$2:$D$20,Fact_Events!$A$2:$A$20, "")</f>
        <v/>
      </c>
      <c r="I455">
        <f t="shared" si="61"/>
        <v>0</v>
      </c>
      <c r="J455" t="str">
        <f>_xlfn.XLOOKUP(H455, Fact_Events!$A$2:$A$20, Fact_Events!$F$2:$F$20, "")</f>
        <v/>
      </c>
      <c r="K455" t="str">
        <f t="shared" si="62"/>
        <v>Low</v>
      </c>
      <c r="L455">
        <f t="shared" si="63"/>
        <v>0.55000000000000004</v>
      </c>
      <c r="M455">
        <f>_xlfn.XLOOKUP(B455, Dim_Hotel!$A$2:$A$11, Dim_Hotel!$I$2:$I$11)
 + (IF(J455="",0,J455)
    * _xlfn.XLOOKUP(B455, Dim_Hotel!$A$2:$A$11, Dim_Hotel!$J$2:$J$11))</f>
        <v>135</v>
      </c>
    </row>
    <row r="456" spans="1:13" x14ac:dyDescent="0.25">
      <c r="A456" s="1">
        <f t="shared" si="56"/>
        <v>46068</v>
      </c>
      <c r="B456" t="str" cm="1">
        <f t="array" ref="B456">INDEX(HotelList,MOD(ROW()-2,10)+1)</f>
        <v>H005</v>
      </c>
      <c r="C456">
        <f>_xlfn.XLOOKUP(B456,Dim_Hotel!$A$2:$A$11,Dim_Hotel!$F$2:$F$11)</f>
        <v>66</v>
      </c>
      <c r="D456">
        <f t="shared" si="57"/>
        <v>36</v>
      </c>
      <c r="E456">
        <f t="shared" si="58"/>
        <v>0.54545454545454541</v>
      </c>
      <c r="F456">
        <f t="shared" si="59"/>
        <v>82</v>
      </c>
      <c r="G456">
        <f t="shared" si="60"/>
        <v>44.727272727272727</v>
      </c>
      <c r="H456" t="str">
        <f>_xlfn.XLOOKUP(A456,Fact_Events!$D$2:$D$20,Fact_Events!$A$2:$A$20, "")</f>
        <v/>
      </c>
      <c r="I456">
        <f t="shared" si="61"/>
        <v>0</v>
      </c>
      <c r="J456" t="str">
        <f>_xlfn.XLOOKUP(H456, Fact_Events!$A$2:$A$20, Fact_Events!$F$2:$F$20, "")</f>
        <v/>
      </c>
      <c r="K456" t="str">
        <f t="shared" si="62"/>
        <v>Low</v>
      </c>
      <c r="L456">
        <f t="shared" si="63"/>
        <v>0.55000000000000004</v>
      </c>
      <c r="M456">
        <f>_xlfn.XLOOKUP(B456, Dim_Hotel!$A$2:$A$11, Dim_Hotel!$I$2:$I$11)
 + (IF(J456="",0,J456)
    * _xlfn.XLOOKUP(B456, Dim_Hotel!$A$2:$A$11, Dim_Hotel!$J$2:$J$11))</f>
        <v>82</v>
      </c>
    </row>
    <row r="457" spans="1:13" x14ac:dyDescent="0.25">
      <c r="A457" s="1">
        <f t="shared" si="56"/>
        <v>46068</v>
      </c>
      <c r="B457" t="str" cm="1">
        <f t="array" ref="B457">INDEX(HotelList,MOD(ROW()-2,10)+1)</f>
        <v>H006</v>
      </c>
      <c r="C457">
        <f>_xlfn.XLOOKUP(B457,Dim_Hotel!$A$2:$A$11,Dim_Hotel!$F$2:$F$11)</f>
        <v>311</v>
      </c>
      <c r="D457">
        <f t="shared" si="57"/>
        <v>171</v>
      </c>
      <c r="E457">
        <f t="shared" si="58"/>
        <v>0.54983922829581988</v>
      </c>
      <c r="F457">
        <f t="shared" si="59"/>
        <v>190</v>
      </c>
      <c r="G457">
        <f t="shared" si="60"/>
        <v>104.46945337620578</v>
      </c>
      <c r="H457" t="str">
        <f>_xlfn.XLOOKUP(A457,Fact_Events!$D$2:$D$20,Fact_Events!$A$2:$A$20, "")</f>
        <v/>
      </c>
      <c r="I457">
        <f t="shared" si="61"/>
        <v>0</v>
      </c>
      <c r="J457" t="str">
        <f>_xlfn.XLOOKUP(H457, Fact_Events!$A$2:$A$20, Fact_Events!$F$2:$F$20, "")</f>
        <v/>
      </c>
      <c r="K457" t="str">
        <f t="shared" si="62"/>
        <v>Low</v>
      </c>
      <c r="L457">
        <f t="shared" si="63"/>
        <v>0.55000000000000004</v>
      </c>
      <c r="M457">
        <f>_xlfn.XLOOKUP(B457, Dim_Hotel!$A$2:$A$11, Dim_Hotel!$I$2:$I$11)
 + (IF(J457="",0,J457)
    * _xlfn.XLOOKUP(B457, Dim_Hotel!$A$2:$A$11, Dim_Hotel!$J$2:$J$11))</f>
        <v>190</v>
      </c>
    </row>
    <row r="458" spans="1:13" x14ac:dyDescent="0.25">
      <c r="A458" s="1">
        <f t="shared" si="56"/>
        <v>46068</v>
      </c>
      <c r="B458" t="str" cm="1">
        <f t="array" ref="B458">INDEX(HotelList,MOD(ROW()-2,10)+1)</f>
        <v>H007</v>
      </c>
      <c r="C458">
        <f>_xlfn.XLOOKUP(B458,Dim_Hotel!$A$2:$A$11,Dim_Hotel!$F$2:$F$11)</f>
        <v>132</v>
      </c>
      <c r="D458">
        <f t="shared" si="57"/>
        <v>73</v>
      </c>
      <c r="E458">
        <f t="shared" si="58"/>
        <v>0.55303030303030298</v>
      </c>
      <c r="F458">
        <f t="shared" si="59"/>
        <v>165</v>
      </c>
      <c r="G458">
        <f t="shared" si="60"/>
        <v>91.249999999999986</v>
      </c>
      <c r="H458" t="str">
        <f>_xlfn.XLOOKUP(A458,Fact_Events!$D$2:$D$20,Fact_Events!$A$2:$A$20, "")</f>
        <v/>
      </c>
      <c r="I458">
        <f t="shared" si="61"/>
        <v>0</v>
      </c>
      <c r="J458" t="str">
        <f>_xlfn.XLOOKUP(H458, Fact_Events!$A$2:$A$20, Fact_Events!$F$2:$F$20, "")</f>
        <v/>
      </c>
      <c r="K458" t="str">
        <f t="shared" si="62"/>
        <v>Low</v>
      </c>
      <c r="L458">
        <f t="shared" si="63"/>
        <v>0.55000000000000004</v>
      </c>
      <c r="M458">
        <f>_xlfn.XLOOKUP(B458, Dim_Hotel!$A$2:$A$11, Dim_Hotel!$I$2:$I$11)
 + (IF(J458="",0,J458)
    * _xlfn.XLOOKUP(B458, Dim_Hotel!$A$2:$A$11, Dim_Hotel!$J$2:$J$11))</f>
        <v>165</v>
      </c>
    </row>
    <row r="459" spans="1:13" x14ac:dyDescent="0.25">
      <c r="A459" s="1">
        <f t="shared" si="56"/>
        <v>46068</v>
      </c>
      <c r="B459" t="str" cm="1">
        <f t="array" ref="B459">INDEX(HotelList,MOD(ROW()-2,10)+1)</f>
        <v>H008</v>
      </c>
      <c r="C459">
        <f>_xlfn.XLOOKUP(B459,Dim_Hotel!$A$2:$A$11,Dim_Hotel!$F$2:$F$11)</f>
        <v>103</v>
      </c>
      <c r="D459">
        <f t="shared" si="57"/>
        <v>57</v>
      </c>
      <c r="E459">
        <f t="shared" si="58"/>
        <v>0.55339805825242716</v>
      </c>
      <c r="F459">
        <f t="shared" si="59"/>
        <v>140</v>
      </c>
      <c r="G459">
        <f t="shared" si="60"/>
        <v>77.475728155339809</v>
      </c>
      <c r="H459" t="str">
        <f>_xlfn.XLOOKUP(A459,Fact_Events!$D$2:$D$20,Fact_Events!$A$2:$A$20, "")</f>
        <v/>
      </c>
      <c r="I459">
        <f t="shared" si="61"/>
        <v>0</v>
      </c>
      <c r="J459" t="str">
        <f>_xlfn.XLOOKUP(H459, Fact_Events!$A$2:$A$20, Fact_Events!$F$2:$F$20, "")</f>
        <v/>
      </c>
      <c r="K459" t="str">
        <f t="shared" si="62"/>
        <v>Low</v>
      </c>
      <c r="L459">
        <f t="shared" si="63"/>
        <v>0.55000000000000004</v>
      </c>
      <c r="M459">
        <f>_xlfn.XLOOKUP(B459, Dim_Hotel!$A$2:$A$11, Dim_Hotel!$I$2:$I$11)
 + (IF(J459="",0,J459)
    * _xlfn.XLOOKUP(B459, Dim_Hotel!$A$2:$A$11, Dim_Hotel!$J$2:$J$11))</f>
        <v>140</v>
      </c>
    </row>
    <row r="460" spans="1:13" x14ac:dyDescent="0.25">
      <c r="A460" s="1">
        <f t="shared" si="56"/>
        <v>46068</v>
      </c>
      <c r="B460" t="str" cm="1">
        <f t="array" ref="B460">INDEX(HotelList,MOD(ROW()-2,10)+1)</f>
        <v>H009</v>
      </c>
      <c r="C460">
        <f>_xlfn.XLOOKUP(B460,Dim_Hotel!$A$2:$A$11,Dim_Hotel!$F$2:$F$11)</f>
        <v>114</v>
      </c>
      <c r="D460">
        <f t="shared" si="57"/>
        <v>63</v>
      </c>
      <c r="E460">
        <f t="shared" si="58"/>
        <v>0.55263157894736847</v>
      </c>
      <c r="F460">
        <f t="shared" si="59"/>
        <v>185</v>
      </c>
      <c r="G460">
        <f t="shared" si="60"/>
        <v>102.23684210526316</v>
      </c>
      <c r="H460" t="str">
        <f>_xlfn.XLOOKUP(A460,Fact_Events!$D$2:$D$20,Fact_Events!$A$2:$A$20, "")</f>
        <v/>
      </c>
      <c r="I460">
        <f t="shared" si="61"/>
        <v>0</v>
      </c>
      <c r="J460" t="str">
        <f>_xlfn.XLOOKUP(H460, Fact_Events!$A$2:$A$20, Fact_Events!$F$2:$F$20, "")</f>
        <v/>
      </c>
      <c r="K460" t="str">
        <f t="shared" si="62"/>
        <v>Low</v>
      </c>
      <c r="L460">
        <f t="shared" si="63"/>
        <v>0.55000000000000004</v>
      </c>
      <c r="M460">
        <f>_xlfn.XLOOKUP(B460, Dim_Hotel!$A$2:$A$11, Dim_Hotel!$I$2:$I$11)
 + (IF(J460="",0,J460)
    * _xlfn.XLOOKUP(B460, Dim_Hotel!$A$2:$A$11, Dim_Hotel!$J$2:$J$11))</f>
        <v>185</v>
      </c>
    </row>
    <row r="461" spans="1:13" x14ac:dyDescent="0.25">
      <c r="A461" s="1">
        <f t="shared" si="56"/>
        <v>46068</v>
      </c>
      <c r="B461" t="str" cm="1">
        <f t="array" ref="B461">INDEX(HotelList,MOD(ROW()-2,10)+1)</f>
        <v>H010</v>
      </c>
      <c r="C461">
        <f>_xlfn.XLOOKUP(B461,Dim_Hotel!$A$2:$A$11,Dim_Hotel!$F$2:$F$11)</f>
        <v>89</v>
      </c>
      <c r="D461">
        <f t="shared" si="57"/>
        <v>49</v>
      </c>
      <c r="E461">
        <f t="shared" si="58"/>
        <v>0.550561797752809</v>
      </c>
      <c r="F461">
        <f t="shared" si="59"/>
        <v>150</v>
      </c>
      <c r="G461">
        <f t="shared" si="60"/>
        <v>82.584269662921344</v>
      </c>
      <c r="H461" t="str">
        <f>_xlfn.XLOOKUP(A461,Fact_Events!$D$2:$D$20,Fact_Events!$A$2:$A$20, "")</f>
        <v/>
      </c>
      <c r="I461">
        <f t="shared" si="61"/>
        <v>0</v>
      </c>
      <c r="J461" t="str">
        <f>_xlfn.XLOOKUP(H461, Fact_Events!$A$2:$A$20, Fact_Events!$F$2:$F$20, "")</f>
        <v/>
      </c>
      <c r="K461" t="str">
        <f t="shared" si="62"/>
        <v>Low</v>
      </c>
      <c r="L461">
        <f t="shared" si="63"/>
        <v>0.55000000000000004</v>
      </c>
      <c r="M461">
        <f>_xlfn.XLOOKUP(B461, Dim_Hotel!$A$2:$A$11, Dim_Hotel!$I$2:$I$11)
 + (IF(J461="",0,J461)
    * _xlfn.XLOOKUP(B461, Dim_Hotel!$A$2:$A$11, Dim_Hotel!$J$2:$J$11))</f>
        <v>150</v>
      </c>
    </row>
    <row r="462" spans="1:13" x14ac:dyDescent="0.25">
      <c r="A462" s="1">
        <f t="shared" si="56"/>
        <v>46069</v>
      </c>
      <c r="B462" t="str" cm="1">
        <f t="array" ref="B462">INDEX(HotelList,MOD(ROW()-2,10)+1)</f>
        <v>H001</v>
      </c>
      <c r="C462">
        <f>_xlfn.XLOOKUP(B462,Dim_Hotel!$A$2:$A$11,Dim_Hotel!$F$2:$F$11)</f>
        <v>888</v>
      </c>
      <c r="D462">
        <f t="shared" si="57"/>
        <v>488</v>
      </c>
      <c r="E462">
        <f t="shared" si="58"/>
        <v>0.5495495495495496</v>
      </c>
      <c r="F462">
        <f t="shared" si="59"/>
        <v>260</v>
      </c>
      <c r="G462">
        <f t="shared" si="60"/>
        <v>142.88288288288288</v>
      </c>
      <c r="H462" t="str">
        <f>_xlfn.XLOOKUP(A462,Fact_Events!$D$2:$D$20,Fact_Events!$A$2:$A$20, "")</f>
        <v/>
      </c>
      <c r="I462">
        <f t="shared" si="61"/>
        <v>0</v>
      </c>
      <c r="J462" t="str">
        <f>_xlfn.XLOOKUP(H462, Fact_Events!$A$2:$A$20, Fact_Events!$F$2:$F$20, "")</f>
        <v/>
      </c>
      <c r="K462" t="str">
        <f t="shared" si="62"/>
        <v>Low</v>
      </c>
      <c r="L462">
        <f t="shared" si="63"/>
        <v>0.55000000000000004</v>
      </c>
      <c r="M462">
        <f>_xlfn.XLOOKUP(B462, Dim_Hotel!$A$2:$A$11, Dim_Hotel!$I$2:$I$11)
 + (IF(J462="",0,J462)
    * _xlfn.XLOOKUP(B462, Dim_Hotel!$A$2:$A$11, Dim_Hotel!$J$2:$J$11))</f>
        <v>260</v>
      </c>
    </row>
    <row r="463" spans="1:13" x14ac:dyDescent="0.25">
      <c r="A463" s="1">
        <f t="shared" si="56"/>
        <v>46069</v>
      </c>
      <c r="B463" t="str" cm="1">
        <f t="array" ref="B463">INDEX(HotelList,MOD(ROW()-2,10)+1)</f>
        <v>H002</v>
      </c>
      <c r="C463">
        <f>_xlfn.XLOOKUP(B463,Dim_Hotel!$A$2:$A$11,Dim_Hotel!$F$2:$F$11)</f>
        <v>147</v>
      </c>
      <c r="D463">
        <f t="shared" si="57"/>
        <v>81</v>
      </c>
      <c r="E463">
        <f t="shared" si="58"/>
        <v>0.55102040816326525</v>
      </c>
      <c r="F463">
        <f t="shared" si="59"/>
        <v>175</v>
      </c>
      <c r="G463">
        <f t="shared" si="60"/>
        <v>96.428571428571416</v>
      </c>
      <c r="H463" t="str">
        <f>_xlfn.XLOOKUP(A463,Fact_Events!$D$2:$D$20,Fact_Events!$A$2:$A$20, "")</f>
        <v/>
      </c>
      <c r="I463">
        <f t="shared" si="61"/>
        <v>0</v>
      </c>
      <c r="J463" t="str">
        <f>_xlfn.XLOOKUP(H463, Fact_Events!$A$2:$A$20, Fact_Events!$F$2:$F$20, "")</f>
        <v/>
      </c>
      <c r="K463" t="str">
        <f t="shared" si="62"/>
        <v>Low</v>
      </c>
      <c r="L463">
        <f t="shared" si="63"/>
        <v>0.55000000000000004</v>
      </c>
      <c r="M463">
        <f>_xlfn.XLOOKUP(B463, Dim_Hotel!$A$2:$A$11, Dim_Hotel!$I$2:$I$11)
 + (IF(J463="",0,J463)
    * _xlfn.XLOOKUP(B463, Dim_Hotel!$A$2:$A$11, Dim_Hotel!$J$2:$J$11))</f>
        <v>175</v>
      </c>
    </row>
    <row r="464" spans="1:13" x14ac:dyDescent="0.25">
      <c r="A464" s="1">
        <f t="shared" si="56"/>
        <v>46069</v>
      </c>
      <c r="B464" t="str" cm="1">
        <f t="array" ref="B464">INDEX(HotelList,MOD(ROW()-2,10)+1)</f>
        <v>H003</v>
      </c>
      <c r="C464">
        <f>_xlfn.XLOOKUP(B464,Dim_Hotel!$A$2:$A$11,Dim_Hotel!$F$2:$F$11)</f>
        <v>121</v>
      </c>
      <c r="D464">
        <f t="shared" si="57"/>
        <v>67</v>
      </c>
      <c r="E464">
        <f t="shared" si="58"/>
        <v>0.55371900826446285</v>
      </c>
      <c r="F464">
        <f t="shared" si="59"/>
        <v>145</v>
      </c>
      <c r="G464">
        <f t="shared" si="60"/>
        <v>80.289256198347118</v>
      </c>
      <c r="H464" t="str">
        <f>_xlfn.XLOOKUP(A464,Fact_Events!$D$2:$D$20,Fact_Events!$A$2:$A$20, "")</f>
        <v/>
      </c>
      <c r="I464">
        <f t="shared" si="61"/>
        <v>0</v>
      </c>
      <c r="J464" t="str">
        <f>_xlfn.XLOOKUP(H464, Fact_Events!$A$2:$A$20, Fact_Events!$F$2:$F$20, "")</f>
        <v/>
      </c>
      <c r="K464" t="str">
        <f t="shared" si="62"/>
        <v>Low</v>
      </c>
      <c r="L464">
        <f t="shared" si="63"/>
        <v>0.55000000000000004</v>
      </c>
      <c r="M464">
        <f>_xlfn.XLOOKUP(B464, Dim_Hotel!$A$2:$A$11, Dim_Hotel!$I$2:$I$11)
 + (IF(J464="",0,J464)
    * _xlfn.XLOOKUP(B464, Dim_Hotel!$A$2:$A$11, Dim_Hotel!$J$2:$J$11))</f>
        <v>145</v>
      </c>
    </row>
    <row r="465" spans="1:13" x14ac:dyDescent="0.25">
      <c r="A465" s="1">
        <f t="shared" si="56"/>
        <v>46069</v>
      </c>
      <c r="B465" t="str" cm="1">
        <f t="array" ref="B465">INDEX(HotelList,MOD(ROW()-2,10)+1)</f>
        <v>H004</v>
      </c>
      <c r="C465">
        <f>_xlfn.XLOOKUP(B465,Dim_Hotel!$A$2:$A$11,Dim_Hotel!$F$2:$F$11)</f>
        <v>108</v>
      </c>
      <c r="D465">
        <f t="shared" si="57"/>
        <v>59</v>
      </c>
      <c r="E465">
        <f t="shared" si="58"/>
        <v>0.54629629629629628</v>
      </c>
      <c r="F465">
        <f t="shared" si="59"/>
        <v>135</v>
      </c>
      <c r="G465">
        <f t="shared" si="60"/>
        <v>73.75</v>
      </c>
      <c r="H465" t="str">
        <f>_xlfn.XLOOKUP(A465,Fact_Events!$D$2:$D$20,Fact_Events!$A$2:$A$20, "")</f>
        <v/>
      </c>
      <c r="I465">
        <f t="shared" si="61"/>
        <v>0</v>
      </c>
      <c r="J465" t="str">
        <f>_xlfn.XLOOKUP(H465, Fact_Events!$A$2:$A$20, Fact_Events!$F$2:$F$20, "")</f>
        <v/>
      </c>
      <c r="K465" t="str">
        <f t="shared" si="62"/>
        <v>Low</v>
      </c>
      <c r="L465">
        <f t="shared" si="63"/>
        <v>0.55000000000000004</v>
      </c>
      <c r="M465">
        <f>_xlfn.XLOOKUP(B465, Dim_Hotel!$A$2:$A$11, Dim_Hotel!$I$2:$I$11)
 + (IF(J465="",0,J465)
    * _xlfn.XLOOKUP(B465, Dim_Hotel!$A$2:$A$11, Dim_Hotel!$J$2:$J$11))</f>
        <v>135</v>
      </c>
    </row>
    <row r="466" spans="1:13" x14ac:dyDescent="0.25">
      <c r="A466" s="1">
        <f t="shared" si="56"/>
        <v>46069</v>
      </c>
      <c r="B466" t="str" cm="1">
        <f t="array" ref="B466">INDEX(HotelList,MOD(ROW()-2,10)+1)</f>
        <v>H005</v>
      </c>
      <c r="C466">
        <f>_xlfn.XLOOKUP(B466,Dim_Hotel!$A$2:$A$11,Dim_Hotel!$F$2:$F$11)</f>
        <v>66</v>
      </c>
      <c r="D466">
        <f t="shared" si="57"/>
        <v>36</v>
      </c>
      <c r="E466">
        <f t="shared" si="58"/>
        <v>0.54545454545454541</v>
      </c>
      <c r="F466">
        <f t="shared" si="59"/>
        <v>82</v>
      </c>
      <c r="G466">
        <f t="shared" si="60"/>
        <v>44.727272727272727</v>
      </c>
      <c r="H466" t="str">
        <f>_xlfn.XLOOKUP(A466,Fact_Events!$D$2:$D$20,Fact_Events!$A$2:$A$20, "")</f>
        <v/>
      </c>
      <c r="I466">
        <f t="shared" si="61"/>
        <v>0</v>
      </c>
      <c r="J466" t="str">
        <f>_xlfn.XLOOKUP(H466, Fact_Events!$A$2:$A$20, Fact_Events!$F$2:$F$20, "")</f>
        <v/>
      </c>
      <c r="K466" t="str">
        <f t="shared" si="62"/>
        <v>Low</v>
      </c>
      <c r="L466">
        <f t="shared" si="63"/>
        <v>0.55000000000000004</v>
      </c>
      <c r="M466">
        <f>_xlfn.XLOOKUP(B466, Dim_Hotel!$A$2:$A$11, Dim_Hotel!$I$2:$I$11)
 + (IF(J466="",0,J466)
    * _xlfn.XLOOKUP(B466, Dim_Hotel!$A$2:$A$11, Dim_Hotel!$J$2:$J$11))</f>
        <v>82</v>
      </c>
    </row>
    <row r="467" spans="1:13" x14ac:dyDescent="0.25">
      <c r="A467" s="1">
        <f t="shared" si="56"/>
        <v>46069</v>
      </c>
      <c r="B467" t="str" cm="1">
        <f t="array" ref="B467">INDEX(HotelList,MOD(ROW()-2,10)+1)</f>
        <v>H006</v>
      </c>
      <c r="C467">
        <f>_xlfn.XLOOKUP(B467,Dim_Hotel!$A$2:$A$11,Dim_Hotel!$F$2:$F$11)</f>
        <v>311</v>
      </c>
      <c r="D467">
        <f t="shared" si="57"/>
        <v>171</v>
      </c>
      <c r="E467">
        <f t="shared" si="58"/>
        <v>0.54983922829581988</v>
      </c>
      <c r="F467">
        <f t="shared" si="59"/>
        <v>190</v>
      </c>
      <c r="G467">
        <f t="shared" si="60"/>
        <v>104.46945337620578</v>
      </c>
      <c r="H467" t="str">
        <f>_xlfn.XLOOKUP(A467,Fact_Events!$D$2:$D$20,Fact_Events!$A$2:$A$20, "")</f>
        <v/>
      </c>
      <c r="I467">
        <f t="shared" si="61"/>
        <v>0</v>
      </c>
      <c r="J467" t="str">
        <f>_xlfn.XLOOKUP(H467, Fact_Events!$A$2:$A$20, Fact_Events!$F$2:$F$20, "")</f>
        <v/>
      </c>
      <c r="K467" t="str">
        <f t="shared" si="62"/>
        <v>Low</v>
      </c>
      <c r="L467">
        <f t="shared" si="63"/>
        <v>0.55000000000000004</v>
      </c>
      <c r="M467">
        <f>_xlfn.XLOOKUP(B467, Dim_Hotel!$A$2:$A$11, Dim_Hotel!$I$2:$I$11)
 + (IF(J467="",0,J467)
    * _xlfn.XLOOKUP(B467, Dim_Hotel!$A$2:$A$11, Dim_Hotel!$J$2:$J$11))</f>
        <v>190</v>
      </c>
    </row>
    <row r="468" spans="1:13" x14ac:dyDescent="0.25">
      <c r="A468" s="1">
        <f t="shared" si="56"/>
        <v>46069</v>
      </c>
      <c r="B468" t="str" cm="1">
        <f t="array" ref="B468">INDEX(HotelList,MOD(ROW()-2,10)+1)</f>
        <v>H007</v>
      </c>
      <c r="C468">
        <f>_xlfn.XLOOKUP(B468,Dim_Hotel!$A$2:$A$11,Dim_Hotel!$F$2:$F$11)</f>
        <v>132</v>
      </c>
      <c r="D468">
        <f t="shared" si="57"/>
        <v>73</v>
      </c>
      <c r="E468">
        <f t="shared" si="58"/>
        <v>0.55303030303030298</v>
      </c>
      <c r="F468">
        <f t="shared" si="59"/>
        <v>165</v>
      </c>
      <c r="G468">
        <f t="shared" si="60"/>
        <v>91.249999999999986</v>
      </c>
      <c r="H468" t="str">
        <f>_xlfn.XLOOKUP(A468,Fact_Events!$D$2:$D$20,Fact_Events!$A$2:$A$20, "")</f>
        <v/>
      </c>
      <c r="I468">
        <f t="shared" si="61"/>
        <v>0</v>
      </c>
      <c r="J468" t="str">
        <f>_xlfn.XLOOKUP(H468, Fact_Events!$A$2:$A$20, Fact_Events!$F$2:$F$20, "")</f>
        <v/>
      </c>
      <c r="K468" t="str">
        <f t="shared" si="62"/>
        <v>Low</v>
      </c>
      <c r="L468">
        <f t="shared" si="63"/>
        <v>0.55000000000000004</v>
      </c>
      <c r="M468">
        <f>_xlfn.XLOOKUP(B468, Dim_Hotel!$A$2:$A$11, Dim_Hotel!$I$2:$I$11)
 + (IF(J468="",0,J468)
    * _xlfn.XLOOKUP(B468, Dim_Hotel!$A$2:$A$11, Dim_Hotel!$J$2:$J$11))</f>
        <v>165</v>
      </c>
    </row>
    <row r="469" spans="1:13" x14ac:dyDescent="0.25">
      <c r="A469" s="1">
        <f t="shared" si="56"/>
        <v>46069</v>
      </c>
      <c r="B469" t="str" cm="1">
        <f t="array" ref="B469">INDEX(HotelList,MOD(ROW()-2,10)+1)</f>
        <v>H008</v>
      </c>
      <c r="C469">
        <f>_xlfn.XLOOKUP(B469,Dim_Hotel!$A$2:$A$11,Dim_Hotel!$F$2:$F$11)</f>
        <v>103</v>
      </c>
      <c r="D469">
        <f t="shared" si="57"/>
        <v>57</v>
      </c>
      <c r="E469">
        <f t="shared" si="58"/>
        <v>0.55339805825242716</v>
      </c>
      <c r="F469">
        <f t="shared" si="59"/>
        <v>140</v>
      </c>
      <c r="G469">
        <f t="shared" si="60"/>
        <v>77.475728155339809</v>
      </c>
      <c r="H469" t="str">
        <f>_xlfn.XLOOKUP(A469,Fact_Events!$D$2:$D$20,Fact_Events!$A$2:$A$20, "")</f>
        <v/>
      </c>
      <c r="I469">
        <f t="shared" si="61"/>
        <v>0</v>
      </c>
      <c r="J469" t="str">
        <f>_xlfn.XLOOKUP(H469, Fact_Events!$A$2:$A$20, Fact_Events!$F$2:$F$20, "")</f>
        <v/>
      </c>
      <c r="K469" t="str">
        <f t="shared" si="62"/>
        <v>Low</v>
      </c>
      <c r="L469">
        <f t="shared" si="63"/>
        <v>0.55000000000000004</v>
      </c>
      <c r="M469">
        <f>_xlfn.XLOOKUP(B469, Dim_Hotel!$A$2:$A$11, Dim_Hotel!$I$2:$I$11)
 + (IF(J469="",0,J469)
    * _xlfn.XLOOKUP(B469, Dim_Hotel!$A$2:$A$11, Dim_Hotel!$J$2:$J$11))</f>
        <v>140</v>
      </c>
    </row>
    <row r="470" spans="1:13" x14ac:dyDescent="0.25">
      <c r="A470" s="1">
        <f t="shared" si="56"/>
        <v>46069</v>
      </c>
      <c r="B470" t="str" cm="1">
        <f t="array" ref="B470">INDEX(HotelList,MOD(ROW()-2,10)+1)</f>
        <v>H009</v>
      </c>
      <c r="C470">
        <f>_xlfn.XLOOKUP(B470,Dim_Hotel!$A$2:$A$11,Dim_Hotel!$F$2:$F$11)</f>
        <v>114</v>
      </c>
      <c r="D470">
        <f t="shared" si="57"/>
        <v>63</v>
      </c>
      <c r="E470">
        <f t="shared" si="58"/>
        <v>0.55263157894736847</v>
      </c>
      <c r="F470">
        <f t="shared" si="59"/>
        <v>185</v>
      </c>
      <c r="G470">
        <f t="shared" si="60"/>
        <v>102.23684210526316</v>
      </c>
      <c r="H470" t="str">
        <f>_xlfn.XLOOKUP(A470,Fact_Events!$D$2:$D$20,Fact_Events!$A$2:$A$20, "")</f>
        <v/>
      </c>
      <c r="I470">
        <f t="shared" si="61"/>
        <v>0</v>
      </c>
      <c r="J470" t="str">
        <f>_xlfn.XLOOKUP(H470, Fact_Events!$A$2:$A$20, Fact_Events!$F$2:$F$20, "")</f>
        <v/>
      </c>
      <c r="K470" t="str">
        <f t="shared" si="62"/>
        <v>Low</v>
      </c>
      <c r="L470">
        <f t="shared" si="63"/>
        <v>0.55000000000000004</v>
      </c>
      <c r="M470">
        <f>_xlfn.XLOOKUP(B470, Dim_Hotel!$A$2:$A$11, Dim_Hotel!$I$2:$I$11)
 + (IF(J470="",0,J470)
    * _xlfn.XLOOKUP(B470, Dim_Hotel!$A$2:$A$11, Dim_Hotel!$J$2:$J$11))</f>
        <v>185</v>
      </c>
    </row>
    <row r="471" spans="1:13" x14ac:dyDescent="0.25">
      <c r="A471" s="1">
        <f t="shared" si="56"/>
        <v>46069</v>
      </c>
      <c r="B471" t="str" cm="1">
        <f t="array" ref="B471">INDEX(HotelList,MOD(ROW()-2,10)+1)</f>
        <v>H010</v>
      </c>
      <c r="C471">
        <f>_xlfn.XLOOKUP(B471,Dim_Hotel!$A$2:$A$11,Dim_Hotel!$F$2:$F$11)</f>
        <v>89</v>
      </c>
      <c r="D471">
        <f t="shared" si="57"/>
        <v>49</v>
      </c>
      <c r="E471">
        <f t="shared" si="58"/>
        <v>0.550561797752809</v>
      </c>
      <c r="F471">
        <f t="shared" si="59"/>
        <v>150</v>
      </c>
      <c r="G471">
        <f t="shared" si="60"/>
        <v>82.584269662921344</v>
      </c>
      <c r="H471" t="str">
        <f>_xlfn.XLOOKUP(A471,Fact_Events!$D$2:$D$20,Fact_Events!$A$2:$A$20, "")</f>
        <v/>
      </c>
      <c r="I471">
        <f t="shared" si="61"/>
        <v>0</v>
      </c>
      <c r="J471" t="str">
        <f>_xlfn.XLOOKUP(H471, Fact_Events!$A$2:$A$20, Fact_Events!$F$2:$F$20, "")</f>
        <v/>
      </c>
      <c r="K471" t="str">
        <f t="shared" si="62"/>
        <v>Low</v>
      </c>
      <c r="L471">
        <f t="shared" si="63"/>
        <v>0.55000000000000004</v>
      </c>
      <c r="M471">
        <f>_xlfn.XLOOKUP(B471, Dim_Hotel!$A$2:$A$11, Dim_Hotel!$I$2:$I$11)
 + (IF(J471="",0,J471)
    * _xlfn.XLOOKUP(B471, Dim_Hotel!$A$2:$A$11, Dim_Hotel!$J$2:$J$11))</f>
        <v>150</v>
      </c>
    </row>
    <row r="472" spans="1:13" x14ac:dyDescent="0.25">
      <c r="A472" s="1">
        <f t="shared" si="56"/>
        <v>46070</v>
      </c>
      <c r="B472" t="str" cm="1">
        <f t="array" ref="B472">INDEX(HotelList,MOD(ROW()-2,10)+1)</f>
        <v>H001</v>
      </c>
      <c r="C472">
        <f>_xlfn.XLOOKUP(B472,Dim_Hotel!$A$2:$A$11,Dim_Hotel!$F$2:$F$11)</f>
        <v>888</v>
      </c>
      <c r="D472">
        <f t="shared" si="57"/>
        <v>488</v>
      </c>
      <c r="E472">
        <f t="shared" si="58"/>
        <v>0.5495495495495496</v>
      </c>
      <c r="F472">
        <f t="shared" si="59"/>
        <v>260</v>
      </c>
      <c r="G472">
        <f t="shared" si="60"/>
        <v>142.88288288288288</v>
      </c>
      <c r="H472" t="str">
        <f>_xlfn.XLOOKUP(A472,Fact_Events!$D$2:$D$20,Fact_Events!$A$2:$A$20, "")</f>
        <v/>
      </c>
      <c r="I472">
        <f t="shared" si="61"/>
        <v>0</v>
      </c>
      <c r="J472" t="str">
        <f>_xlfn.XLOOKUP(H472, Fact_Events!$A$2:$A$20, Fact_Events!$F$2:$F$20, "")</f>
        <v/>
      </c>
      <c r="K472" t="str">
        <f t="shared" si="62"/>
        <v>Low</v>
      </c>
      <c r="L472">
        <f t="shared" si="63"/>
        <v>0.55000000000000004</v>
      </c>
      <c r="M472">
        <f>_xlfn.XLOOKUP(B472, Dim_Hotel!$A$2:$A$11, Dim_Hotel!$I$2:$I$11)
 + (IF(J472="",0,J472)
    * _xlfn.XLOOKUP(B472, Dim_Hotel!$A$2:$A$11, Dim_Hotel!$J$2:$J$11))</f>
        <v>260</v>
      </c>
    </row>
    <row r="473" spans="1:13" x14ac:dyDescent="0.25">
      <c r="A473" s="1">
        <f t="shared" si="56"/>
        <v>46070</v>
      </c>
      <c r="B473" t="str" cm="1">
        <f t="array" ref="B473">INDEX(HotelList,MOD(ROW()-2,10)+1)</f>
        <v>H002</v>
      </c>
      <c r="C473">
        <f>_xlfn.XLOOKUP(B473,Dim_Hotel!$A$2:$A$11,Dim_Hotel!$F$2:$F$11)</f>
        <v>147</v>
      </c>
      <c r="D473">
        <f t="shared" si="57"/>
        <v>81</v>
      </c>
      <c r="E473">
        <f t="shared" si="58"/>
        <v>0.55102040816326525</v>
      </c>
      <c r="F473">
        <f t="shared" si="59"/>
        <v>175</v>
      </c>
      <c r="G473">
        <f t="shared" si="60"/>
        <v>96.428571428571416</v>
      </c>
      <c r="H473" t="str">
        <f>_xlfn.XLOOKUP(A473,Fact_Events!$D$2:$D$20,Fact_Events!$A$2:$A$20, "")</f>
        <v/>
      </c>
      <c r="I473">
        <f t="shared" si="61"/>
        <v>0</v>
      </c>
      <c r="J473" t="str">
        <f>_xlfn.XLOOKUP(H473, Fact_Events!$A$2:$A$20, Fact_Events!$F$2:$F$20, "")</f>
        <v/>
      </c>
      <c r="K473" t="str">
        <f t="shared" si="62"/>
        <v>Low</v>
      </c>
      <c r="L473">
        <f t="shared" si="63"/>
        <v>0.55000000000000004</v>
      </c>
      <c r="M473">
        <f>_xlfn.XLOOKUP(B473, Dim_Hotel!$A$2:$A$11, Dim_Hotel!$I$2:$I$11)
 + (IF(J473="",0,J473)
    * _xlfn.XLOOKUP(B473, Dim_Hotel!$A$2:$A$11, Dim_Hotel!$J$2:$J$11))</f>
        <v>175</v>
      </c>
    </row>
    <row r="474" spans="1:13" x14ac:dyDescent="0.25">
      <c r="A474" s="1">
        <f t="shared" si="56"/>
        <v>46070</v>
      </c>
      <c r="B474" t="str" cm="1">
        <f t="array" ref="B474">INDEX(HotelList,MOD(ROW()-2,10)+1)</f>
        <v>H003</v>
      </c>
      <c r="C474">
        <f>_xlfn.XLOOKUP(B474,Dim_Hotel!$A$2:$A$11,Dim_Hotel!$F$2:$F$11)</f>
        <v>121</v>
      </c>
      <c r="D474">
        <f t="shared" si="57"/>
        <v>67</v>
      </c>
      <c r="E474">
        <f t="shared" si="58"/>
        <v>0.55371900826446285</v>
      </c>
      <c r="F474">
        <f t="shared" si="59"/>
        <v>145</v>
      </c>
      <c r="G474">
        <f t="shared" si="60"/>
        <v>80.289256198347118</v>
      </c>
      <c r="H474" t="str">
        <f>_xlfn.XLOOKUP(A474,Fact_Events!$D$2:$D$20,Fact_Events!$A$2:$A$20, "")</f>
        <v/>
      </c>
      <c r="I474">
        <f t="shared" si="61"/>
        <v>0</v>
      </c>
      <c r="J474" t="str">
        <f>_xlfn.XLOOKUP(H474, Fact_Events!$A$2:$A$20, Fact_Events!$F$2:$F$20, "")</f>
        <v/>
      </c>
      <c r="K474" t="str">
        <f t="shared" si="62"/>
        <v>Low</v>
      </c>
      <c r="L474">
        <f t="shared" si="63"/>
        <v>0.55000000000000004</v>
      </c>
      <c r="M474">
        <f>_xlfn.XLOOKUP(B474, Dim_Hotel!$A$2:$A$11, Dim_Hotel!$I$2:$I$11)
 + (IF(J474="",0,J474)
    * _xlfn.XLOOKUP(B474, Dim_Hotel!$A$2:$A$11, Dim_Hotel!$J$2:$J$11))</f>
        <v>145</v>
      </c>
    </row>
    <row r="475" spans="1:13" x14ac:dyDescent="0.25">
      <c r="A475" s="1">
        <f t="shared" si="56"/>
        <v>46070</v>
      </c>
      <c r="B475" t="str" cm="1">
        <f t="array" ref="B475">INDEX(HotelList,MOD(ROW()-2,10)+1)</f>
        <v>H004</v>
      </c>
      <c r="C475">
        <f>_xlfn.XLOOKUP(B475,Dim_Hotel!$A$2:$A$11,Dim_Hotel!$F$2:$F$11)</f>
        <v>108</v>
      </c>
      <c r="D475">
        <f t="shared" si="57"/>
        <v>59</v>
      </c>
      <c r="E475">
        <f t="shared" si="58"/>
        <v>0.54629629629629628</v>
      </c>
      <c r="F475">
        <f t="shared" si="59"/>
        <v>135</v>
      </c>
      <c r="G475">
        <f t="shared" si="60"/>
        <v>73.75</v>
      </c>
      <c r="H475" t="str">
        <f>_xlfn.XLOOKUP(A475,Fact_Events!$D$2:$D$20,Fact_Events!$A$2:$A$20, "")</f>
        <v/>
      </c>
      <c r="I475">
        <f t="shared" si="61"/>
        <v>0</v>
      </c>
      <c r="J475" t="str">
        <f>_xlfn.XLOOKUP(H475, Fact_Events!$A$2:$A$20, Fact_Events!$F$2:$F$20, "")</f>
        <v/>
      </c>
      <c r="K475" t="str">
        <f t="shared" si="62"/>
        <v>Low</v>
      </c>
      <c r="L475">
        <f t="shared" si="63"/>
        <v>0.55000000000000004</v>
      </c>
      <c r="M475">
        <f>_xlfn.XLOOKUP(B475, Dim_Hotel!$A$2:$A$11, Dim_Hotel!$I$2:$I$11)
 + (IF(J475="",0,J475)
    * _xlfn.XLOOKUP(B475, Dim_Hotel!$A$2:$A$11, Dim_Hotel!$J$2:$J$11))</f>
        <v>135</v>
      </c>
    </row>
    <row r="476" spans="1:13" x14ac:dyDescent="0.25">
      <c r="A476" s="1">
        <f t="shared" si="56"/>
        <v>46070</v>
      </c>
      <c r="B476" t="str" cm="1">
        <f t="array" ref="B476">INDEX(HotelList,MOD(ROW()-2,10)+1)</f>
        <v>H005</v>
      </c>
      <c r="C476">
        <f>_xlfn.XLOOKUP(B476,Dim_Hotel!$A$2:$A$11,Dim_Hotel!$F$2:$F$11)</f>
        <v>66</v>
      </c>
      <c r="D476">
        <f t="shared" si="57"/>
        <v>36</v>
      </c>
      <c r="E476">
        <f t="shared" si="58"/>
        <v>0.54545454545454541</v>
      </c>
      <c r="F476">
        <f t="shared" si="59"/>
        <v>82</v>
      </c>
      <c r="G476">
        <f t="shared" si="60"/>
        <v>44.727272727272727</v>
      </c>
      <c r="H476" t="str">
        <f>_xlfn.XLOOKUP(A476,Fact_Events!$D$2:$D$20,Fact_Events!$A$2:$A$20, "")</f>
        <v/>
      </c>
      <c r="I476">
        <f t="shared" si="61"/>
        <v>0</v>
      </c>
      <c r="J476" t="str">
        <f>_xlfn.XLOOKUP(H476, Fact_Events!$A$2:$A$20, Fact_Events!$F$2:$F$20, "")</f>
        <v/>
      </c>
      <c r="K476" t="str">
        <f t="shared" si="62"/>
        <v>Low</v>
      </c>
      <c r="L476">
        <f t="shared" si="63"/>
        <v>0.55000000000000004</v>
      </c>
      <c r="M476">
        <f>_xlfn.XLOOKUP(B476, Dim_Hotel!$A$2:$A$11, Dim_Hotel!$I$2:$I$11)
 + (IF(J476="",0,J476)
    * _xlfn.XLOOKUP(B476, Dim_Hotel!$A$2:$A$11, Dim_Hotel!$J$2:$J$11))</f>
        <v>82</v>
      </c>
    </row>
    <row r="477" spans="1:13" x14ac:dyDescent="0.25">
      <c r="A477" s="1">
        <f t="shared" si="56"/>
        <v>46070</v>
      </c>
      <c r="B477" t="str" cm="1">
        <f t="array" ref="B477">INDEX(HotelList,MOD(ROW()-2,10)+1)</f>
        <v>H006</v>
      </c>
      <c r="C477">
        <f>_xlfn.XLOOKUP(B477,Dim_Hotel!$A$2:$A$11,Dim_Hotel!$F$2:$F$11)</f>
        <v>311</v>
      </c>
      <c r="D477">
        <f t="shared" si="57"/>
        <v>171</v>
      </c>
      <c r="E477">
        <f t="shared" si="58"/>
        <v>0.54983922829581988</v>
      </c>
      <c r="F477">
        <f t="shared" si="59"/>
        <v>190</v>
      </c>
      <c r="G477">
        <f t="shared" si="60"/>
        <v>104.46945337620578</v>
      </c>
      <c r="H477" t="str">
        <f>_xlfn.XLOOKUP(A477,Fact_Events!$D$2:$D$20,Fact_Events!$A$2:$A$20, "")</f>
        <v/>
      </c>
      <c r="I477">
        <f t="shared" si="61"/>
        <v>0</v>
      </c>
      <c r="J477" t="str">
        <f>_xlfn.XLOOKUP(H477, Fact_Events!$A$2:$A$20, Fact_Events!$F$2:$F$20, "")</f>
        <v/>
      </c>
      <c r="K477" t="str">
        <f t="shared" si="62"/>
        <v>Low</v>
      </c>
      <c r="L477">
        <f t="shared" si="63"/>
        <v>0.55000000000000004</v>
      </c>
      <c r="M477">
        <f>_xlfn.XLOOKUP(B477, Dim_Hotel!$A$2:$A$11, Dim_Hotel!$I$2:$I$11)
 + (IF(J477="",0,J477)
    * _xlfn.XLOOKUP(B477, Dim_Hotel!$A$2:$A$11, Dim_Hotel!$J$2:$J$11))</f>
        <v>190</v>
      </c>
    </row>
    <row r="478" spans="1:13" x14ac:dyDescent="0.25">
      <c r="A478" s="1">
        <f t="shared" si="56"/>
        <v>46070</v>
      </c>
      <c r="B478" t="str" cm="1">
        <f t="array" ref="B478">INDEX(HotelList,MOD(ROW()-2,10)+1)</f>
        <v>H007</v>
      </c>
      <c r="C478">
        <f>_xlfn.XLOOKUP(B478,Dim_Hotel!$A$2:$A$11,Dim_Hotel!$F$2:$F$11)</f>
        <v>132</v>
      </c>
      <c r="D478">
        <f t="shared" si="57"/>
        <v>73</v>
      </c>
      <c r="E478">
        <f t="shared" si="58"/>
        <v>0.55303030303030298</v>
      </c>
      <c r="F478">
        <f t="shared" si="59"/>
        <v>165</v>
      </c>
      <c r="G478">
        <f t="shared" si="60"/>
        <v>91.249999999999986</v>
      </c>
      <c r="H478" t="str">
        <f>_xlfn.XLOOKUP(A478,Fact_Events!$D$2:$D$20,Fact_Events!$A$2:$A$20, "")</f>
        <v/>
      </c>
      <c r="I478">
        <f t="shared" si="61"/>
        <v>0</v>
      </c>
      <c r="J478" t="str">
        <f>_xlfn.XLOOKUP(H478, Fact_Events!$A$2:$A$20, Fact_Events!$F$2:$F$20, "")</f>
        <v/>
      </c>
      <c r="K478" t="str">
        <f t="shared" si="62"/>
        <v>Low</v>
      </c>
      <c r="L478">
        <f t="shared" si="63"/>
        <v>0.55000000000000004</v>
      </c>
      <c r="M478">
        <f>_xlfn.XLOOKUP(B478, Dim_Hotel!$A$2:$A$11, Dim_Hotel!$I$2:$I$11)
 + (IF(J478="",0,J478)
    * _xlfn.XLOOKUP(B478, Dim_Hotel!$A$2:$A$11, Dim_Hotel!$J$2:$J$11))</f>
        <v>165</v>
      </c>
    </row>
    <row r="479" spans="1:13" x14ac:dyDescent="0.25">
      <c r="A479" s="1">
        <f t="shared" si="56"/>
        <v>46070</v>
      </c>
      <c r="B479" t="str" cm="1">
        <f t="array" ref="B479">INDEX(HotelList,MOD(ROW()-2,10)+1)</f>
        <v>H008</v>
      </c>
      <c r="C479">
        <f>_xlfn.XLOOKUP(B479,Dim_Hotel!$A$2:$A$11,Dim_Hotel!$F$2:$F$11)</f>
        <v>103</v>
      </c>
      <c r="D479">
        <f t="shared" si="57"/>
        <v>57</v>
      </c>
      <c r="E479">
        <f t="shared" si="58"/>
        <v>0.55339805825242716</v>
      </c>
      <c r="F479">
        <f t="shared" si="59"/>
        <v>140</v>
      </c>
      <c r="G479">
        <f t="shared" si="60"/>
        <v>77.475728155339809</v>
      </c>
      <c r="H479" t="str">
        <f>_xlfn.XLOOKUP(A479,Fact_Events!$D$2:$D$20,Fact_Events!$A$2:$A$20, "")</f>
        <v/>
      </c>
      <c r="I479">
        <f t="shared" si="61"/>
        <v>0</v>
      </c>
      <c r="J479" t="str">
        <f>_xlfn.XLOOKUP(H479, Fact_Events!$A$2:$A$20, Fact_Events!$F$2:$F$20, "")</f>
        <v/>
      </c>
      <c r="K479" t="str">
        <f t="shared" si="62"/>
        <v>Low</v>
      </c>
      <c r="L479">
        <f t="shared" si="63"/>
        <v>0.55000000000000004</v>
      </c>
      <c r="M479">
        <f>_xlfn.XLOOKUP(B479, Dim_Hotel!$A$2:$A$11, Dim_Hotel!$I$2:$I$11)
 + (IF(J479="",0,J479)
    * _xlfn.XLOOKUP(B479, Dim_Hotel!$A$2:$A$11, Dim_Hotel!$J$2:$J$11))</f>
        <v>140</v>
      </c>
    </row>
    <row r="480" spans="1:13" x14ac:dyDescent="0.25">
      <c r="A480" s="1">
        <f t="shared" si="56"/>
        <v>46070</v>
      </c>
      <c r="B480" t="str" cm="1">
        <f t="array" ref="B480">INDEX(HotelList,MOD(ROW()-2,10)+1)</f>
        <v>H009</v>
      </c>
      <c r="C480">
        <f>_xlfn.XLOOKUP(B480,Dim_Hotel!$A$2:$A$11,Dim_Hotel!$F$2:$F$11)</f>
        <v>114</v>
      </c>
      <c r="D480">
        <f t="shared" si="57"/>
        <v>63</v>
      </c>
      <c r="E480">
        <f t="shared" si="58"/>
        <v>0.55263157894736847</v>
      </c>
      <c r="F480">
        <f t="shared" si="59"/>
        <v>185</v>
      </c>
      <c r="G480">
        <f t="shared" si="60"/>
        <v>102.23684210526316</v>
      </c>
      <c r="H480" t="str">
        <f>_xlfn.XLOOKUP(A480,Fact_Events!$D$2:$D$20,Fact_Events!$A$2:$A$20, "")</f>
        <v/>
      </c>
      <c r="I480">
        <f t="shared" si="61"/>
        <v>0</v>
      </c>
      <c r="J480" t="str">
        <f>_xlfn.XLOOKUP(H480, Fact_Events!$A$2:$A$20, Fact_Events!$F$2:$F$20, "")</f>
        <v/>
      </c>
      <c r="K480" t="str">
        <f t="shared" si="62"/>
        <v>Low</v>
      </c>
      <c r="L480">
        <f t="shared" si="63"/>
        <v>0.55000000000000004</v>
      </c>
      <c r="M480">
        <f>_xlfn.XLOOKUP(B480, Dim_Hotel!$A$2:$A$11, Dim_Hotel!$I$2:$I$11)
 + (IF(J480="",0,J480)
    * _xlfn.XLOOKUP(B480, Dim_Hotel!$A$2:$A$11, Dim_Hotel!$J$2:$J$11))</f>
        <v>185</v>
      </c>
    </row>
    <row r="481" spans="1:13" x14ac:dyDescent="0.25">
      <c r="A481" s="1">
        <f t="shared" si="56"/>
        <v>46070</v>
      </c>
      <c r="B481" t="str" cm="1">
        <f t="array" ref="B481">INDEX(HotelList,MOD(ROW()-2,10)+1)</f>
        <v>H010</v>
      </c>
      <c r="C481">
        <f>_xlfn.XLOOKUP(B481,Dim_Hotel!$A$2:$A$11,Dim_Hotel!$F$2:$F$11)</f>
        <v>89</v>
      </c>
      <c r="D481">
        <f t="shared" si="57"/>
        <v>49</v>
      </c>
      <c r="E481">
        <f t="shared" si="58"/>
        <v>0.550561797752809</v>
      </c>
      <c r="F481">
        <f t="shared" si="59"/>
        <v>150</v>
      </c>
      <c r="G481">
        <f t="shared" si="60"/>
        <v>82.584269662921344</v>
      </c>
      <c r="H481" t="str">
        <f>_xlfn.XLOOKUP(A481,Fact_Events!$D$2:$D$20,Fact_Events!$A$2:$A$20, "")</f>
        <v/>
      </c>
      <c r="I481">
        <f t="shared" si="61"/>
        <v>0</v>
      </c>
      <c r="J481" t="str">
        <f>_xlfn.XLOOKUP(H481, Fact_Events!$A$2:$A$20, Fact_Events!$F$2:$F$20, "")</f>
        <v/>
      </c>
      <c r="K481" t="str">
        <f t="shared" si="62"/>
        <v>Low</v>
      </c>
      <c r="L481">
        <f t="shared" si="63"/>
        <v>0.55000000000000004</v>
      </c>
      <c r="M481">
        <f>_xlfn.XLOOKUP(B481, Dim_Hotel!$A$2:$A$11, Dim_Hotel!$I$2:$I$11)
 + (IF(J481="",0,J481)
    * _xlfn.XLOOKUP(B481, Dim_Hotel!$A$2:$A$11, Dim_Hotel!$J$2:$J$11))</f>
        <v>150</v>
      </c>
    </row>
    <row r="482" spans="1:13" x14ac:dyDescent="0.25">
      <c r="A482" s="1">
        <f t="shared" si="56"/>
        <v>46071</v>
      </c>
      <c r="B482" t="str" cm="1">
        <f t="array" ref="B482">INDEX(HotelList,MOD(ROW()-2,10)+1)</f>
        <v>H001</v>
      </c>
      <c r="C482">
        <f>_xlfn.XLOOKUP(B482,Dim_Hotel!$A$2:$A$11,Dim_Hotel!$F$2:$F$11)</f>
        <v>888</v>
      </c>
      <c r="D482">
        <f t="shared" si="57"/>
        <v>488</v>
      </c>
      <c r="E482">
        <f t="shared" si="58"/>
        <v>0.5495495495495496</v>
      </c>
      <c r="F482">
        <f t="shared" si="59"/>
        <v>260</v>
      </c>
      <c r="G482">
        <f t="shared" si="60"/>
        <v>142.88288288288288</v>
      </c>
      <c r="H482" t="str">
        <f>_xlfn.XLOOKUP(A482,Fact_Events!$D$2:$D$20,Fact_Events!$A$2:$A$20, "")</f>
        <v/>
      </c>
      <c r="I482">
        <f t="shared" si="61"/>
        <v>0</v>
      </c>
      <c r="J482" t="str">
        <f>_xlfn.XLOOKUP(H482, Fact_Events!$A$2:$A$20, Fact_Events!$F$2:$F$20, "")</f>
        <v/>
      </c>
      <c r="K482" t="str">
        <f t="shared" si="62"/>
        <v>Low</v>
      </c>
      <c r="L482">
        <f t="shared" si="63"/>
        <v>0.55000000000000004</v>
      </c>
      <c r="M482">
        <f>_xlfn.XLOOKUP(B482, Dim_Hotel!$A$2:$A$11, Dim_Hotel!$I$2:$I$11)
 + (IF(J482="",0,J482)
    * _xlfn.XLOOKUP(B482, Dim_Hotel!$A$2:$A$11, Dim_Hotel!$J$2:$J$11))</f>
        <v>260</v>
      </c>
    </row>
    <row r="483" spans="1:13" x14ac:dyDescent="0.25">
      <c r="A483" s="1">
        <f t="shared" si="56"/>
        <v>46071</v>
      </c>
      <c r="B483" t="str" cm="1">
        <f t="array" ref="B483">INDEX(HotelList,MOD(ROW()-2,10)+1)</f>
        <v>H002</v>
      </c>
      <c r="C483">
        <f>_xlfn.XLOOKUP(B483,Dim_Hotel!$A$2:$A$11,Dim_Hotel!$F$2:$F$11)</f>
        <v>147</v>
      </c>
      <c r="D483">
        <f t="shared" si="57"/>
        <v>81</v>
      </c>
      <c r="E483">
        <f t="shared" si="58"/>
        <v>0.55102040816326525</v>
      </c>
      <c r="F483">
        <f t="shared" si="59"/>
        <v>175</v>
      </c>
      <c r="G483">
        <f t="shared" si="60"/>
        <v>96.428571428571416</v>
      </c>
      <c r="H483" t="str">
        <f>_xlfn.XLOOKUP(A483,Fact_Events!$D$2:$D$20,Fact_Events!$A$2:$A$20, "")</f>
        <v/>
      </c>
      <c r="I483">
        <f t="shared" si="61"/>
        <v>0</v>
      </c>
      <c r="J483" t="str">
        <f>_xlfn.XLOOKUP(H483, Fact_Events!$A$2:$A$20, Fact_Events!$F$2:$F$20, "")</f>
        <v/>
      </c>
      <c r="K483" t="str">
        <f t="shared" si="62"/>
        <v>Low</v>
      </c>
      <c r="L483">
        <f t="shared" si="63"/>
        <v>0.55000000000000004</v>
      </c>
      <c r="M483">
        <f>_xlfn.XLOOKUP(B483, Dim_Hotel!$A$2:$A$11, Dim_Hotel!$I$2:$I$11)
 + (IF(J483="",0,J483)
    * _xlfn.XLOOKUP(B483, Dim_Hotel!$A$2:$A$11, Dim_Hotel!$J$2:$J$11))</f>
        <v>175</v>
      </c>
    </row>
    <row r="484" spans="1:13" x14ac:dyDescent="0.25">
      <c r="A484" s="1">
        <f t="shared" si="56"/>
        <v>46071</v>
      </c>
      <c r="B484" t="str" cm="1">
        <f t="array" ref="B484">INDEX(HotelList,MOD(ROW()-2,10)+1)</f>
        <v>H003</v>
      </c>
      <c r="C484">
        <f>_xlfn.XLOOKUP(B484,Dim_Hotel!$A$2:$A$11,Dim_Hotel!$F$2:$F$11)</f>
        <v>121</v>
      </c>
      <c r="D484">
        <f t="shared" si="57"/>
        <v>67</v>
      </c>
      <c r="E484">
        <f t="shared" si="58"/>
        <v>0.55371900826446285</v>
      </c>
      <c r="F484">
        <f t="shared" si="59"/>
        <v>145</v>
      </c>
      <c r="G484">
        <f t="shared" si="60"/>
        <v>80.289256198347118</v>
      </c>
      <c r="H484" t="str">
        <f>_xlfn.XLOOKUP(A484,Fact_Events!$D$2:$D$20,Fact_Events!$A$2:$A$20, "")</f>
        <v/>
      </c>
      <c r="I484">
        <f t="shared" si="61"/>
        <v>0</v>
      </c>
      <c r="J484" t="str">
        <f>_xlfn.XLOOKUP(H484, Fact_Events!$A$2:$A$20, Fact_Events!$F$2:$F$20, "")</f>
        <v/>
      </c>
      <c r="K484" t="str">
        <f t="shared" si="62"/>
        <v>Low</v>
      </c>
      <c r="L484">
        <f t="shared" si="63"/>
        <v>0.55000000000000004</v>
      </c>
      <c r="M484">
        <f>_xlfn.XLOOKUP(B484, Dim_Hotel!$A$2:$A$11, Dim_Hotel!$I$2:$I$11)
 + (IF(J484="",0,J484)
    * _xlfn.XLOOKUP(B484, Dim_Hotel!$A$2:$A$11, Dim_Hotel!$J$2:$J$11))</f>
        <v>145</v>
      </c>
    </row>
    <row r="485" spans="1:13" x14ac:dyDescent="0.25">
      <c r="A485" s="1">
        <f t="shared" si="56"/>
        <v>46071</v>
      </c>
      <c r="B485" t="str" cm="1">
        <f t="array" ref="B485">INDEX(HotelList,MOD(ROW()-2,10)+1)</f>
        <v>H004</v>
      </c>
      <c r="C485">
        <f>_xlfn.XLOOKUP(B485,Dim_Hotel!$A$2:$A$11,Dim_Hotel!$F$2:$F$11)</f>
        <v>108</v>
      </c>
      <c r="D485">
        <f t="shared" si="57"/>
        <v>59</v>
      </c>
      <c r="E485">
        <f t="shared" si="58"/>
        <v>0.54629629629629628</v>
      </c>
      <c r="F485">
        <f t="shared" si="59"/>
        <v>135</v>
      </c>
      <c r="G485">
        <f t="shared" si="60"/>
        <v>73.75</v>
      </c>
      <c r="H485" t="str">
        <f>_xlfn.XLOOKUP(A485,Fact_Events!$D$2:$D$20,Fact_Events!$A$2:$A$20, "")</f>
        <v/>
      </c>
      <c r="I485">
        <f t="shared" si="61"/>
        <v>0</v>
      </c>
      <c r="J485" t="str">
        <f>_xlfn.XLOOKUP(H485, Fact_Events!$A$2:$A$20, Fact_Events!$F$2:$F$20, "")</f>
        <v/>
      </c>
      <c r="K485" t="str">
        <f t="shared" si="62"/>
        <v>Low</v>
      </c>
      <c r="L485">
        <f t="shared" si="63"/>
        <v>0.55000000000000004</v>
      </c>
      <c r="M485">
        <f>_xlfn.XLOOKUP(B485, Dim_Hotel!$A$2:$A$11, Dim_Hotel!$I$2:$I$11)
 + (IF(J485="",0,J485)
    * _xlfn.XLOOKUP(B485, Dim_Hotel!$A$2:$A$11, Dim_Hotel!$J$2:$J$11))</f>
        <v>135</v>
      </c>
    </row>
    <row r="486" spans="1:13" x14ac:dyDescent="0.25">
      <c r="A486" s="1">
        <f t="shared" si="56"/>
        <v>46071</v>
      </c>
      <c r="B486" t="str" cm="1">
        <f t="array" ref="B486">INDEX(HotelList,MOD(ROW()-2,10)+1)</f>
        <v>H005</v>
      </c>
      <c r="C486">
        <f>_xlfn.XLOOKUP(B486,Dim_Hotel!$A$2:$A$11,Dim_Hotel!$F$2:$F$11)</f>
        <v>66</v>
      </c>
      <c r="D486">
        <f t="shared" si="57"/>
        <v>36</v>
      </c>
      <c r="E486">
        <f t="shared" si="58"/>
        <v>0.54545454545454541</v>
      </c>
      <c r="F486">
        <f t="shared" si="59"/>
        <v>82</v>
      </c>
      <c r="G486">
        <f t="shared" si="60"/>
        <v>44.727272727272727</v>
      </c>
      <c r="H486" t="str">
        <f>_xlfn.XLOOKUP(A486,Fact_Events!$D$2:$D$20,Fact_Events!$A$2:$A$20, "")</f>
        <v/>
      </c>
      <c r="I486">
        <f t="shared" si="61"/>
        <v>0</v>
      </c>
      <c r="J486" t="str">
        <f>_xlfn.XLOOKUP(H486, Fact_Events!$A$2:$A$20, Fact_Events!$F$2:$F$20, "")</f>
        <v/>
      </c>
      <c r="K486" t="str">
        <f t="shared" si="62"/>
        <v>Low</v>
      </c>
      <c r="L486">
        <f t="shared" si="63"/>
        <v>0.55000000000000004</v>
      </c>
      <c r="M486">
        <f>_xlfn.XLOOKUP(B486, Dim_Hotel!$A$2:$A$11, Dim_Hotel!$I$2:$I$11)
 + (IF(J486="",0,J486)
    * _xlfn.XLOOKUP(B486, Dim_Hotel!$A$2:$A$11, Dim_Hotel!$J$2:$J$11))</f>
        <v>82</v>
      </c>
    </row>
    <row r="487" spans="1:13" x14ac:dyDescent="0.25">
      <c r="A487" s="1">
        <f t="shared" si="56"/>
        <v>46071</v>
      </c>
      <c r="B487" t="str" cm="1">
        <f t="array" ref="B487">INDEX(HotelList,MOD(ROW()-2,10)+1)</f>
        <v>H006</v>
      </c>
      <c r="C487">
        <f>_xlfn.XLOOKUP(B487,Dim_Hotel!$A$2:$A$11,Dim_Hotel!$F$2:$F$11)</f>
        <v>311</v>
      </c>
      <c r="D487">
        <f t="shared" si="57"/>
        <v>171</v>
      </c>
      <c r="E487">
        <f t="shared" si="58"/>
        <v>0.54983922829581988</v>
      </c>
      <c r="F487">
        <f t="shared" si="59"/>
        <v>190</v>
      </c>
      <c r="G487">
        <f t="shared" si="60"/>
        <v>104.46945337620578</v>
      </c>
      <c r="H487" t="str">
        <f>_xlfn.XLOOKUP(A487,Fact_Events!$D$2:$D$20,Fact_Events!$A$2:$A$20, "")</f>
        <v/>
      </c>
      <c r="I487">
        <f t="shared" si="61"/>
        <v>0</v>
      </c>
      <c r="J487" t="str">
        <f>_xlfn.XLOOKUP(H487, Fact_Events!$A$2:$A$20, Fact_Events!$F$2:$F$20, "")</f>
        <v/>
      </c>
      <c r="K487" t="str">
        <f t="shared" si="62"/>
        <v>Low</v>
      </c>
      <c r="L487">
        <f t="shared" si="63"/>
        <v>0.55000000000000004</v>
      </c>
      <c r="M487">
        <f>_xlfn.XLOOKUP(B487, Dim_Hotel!$A$2:$A$11, Dim_Hotel!$I$2:$I$11)
 + (IF(J487="",0,J487)
    * _xlfn.XLOOKUP(B487, Dim_Hotel!$A$2:$A$11, Dim_Hotel!$J$2:$J$11))</f>
        <v>190</v>
      </c>
    </row>
    <row r="488" spans="1:13" x14ac:dyDescent="0.25">
      <c r="A488" s="1">
        <f t="shared" si="56"/>
        <v>46071</v>
      </c>
      <c r="B488" t="str" cm="1">
        <f t="array" ref="B488">INDEX(HotelList,MOD(ROW()-2,10)+1)</f>
        <v>H007</v>
      </c>
      <c r="C488">
        <f>_xlfn.XLOOKUP(B488,Dim_Hotel!$A$2:$A$11,Dim_Hotel!$F$2:$F$11)</f>
        <v>132</v>
      </c>
      <c r="D488">
        <f t="shared" si="57"/>
        <v>73</v>
      </c>
      <c r="E488">
        <f t="shared" si="58"/>
        <v>0.55303030303030298</v>
      </c>
      <c r="F488">
        <f t="shared" si="59"/>
        <v>165</v>
      </c>
      <c r="G488">
        <f t="shared" si="60"/>
        <v>91.249999999999986</v>
      </c>
      <c r="H488" t="str">
        <f>_xlfn.XLOOKUP(A488,Fact_Events!$D$2:$D$20,Fact_Events!$A$2:$A$20, "")</f>
        <v/>
      </c>
      <c r="I488">
        <f t="shared" si="61"/>
        <v>0</v>
      </c>
      <c r="J488" t="str">
        <f>_xlfn.XLOOKUP(H488, Fact_Events!$A$2:$A$20, Fact_Events!$F$2:$F$20, "")</f>
        <v/>
      </c>
      <c r="K488" t="str">
        <f t="shared" si="62"/>
        <v>Low</v>
      </c>
      <c r="L488">
        <f t="shared" si="63"/>
        <v>0.55000000000000004</v>
      </c>
      <c r="M488">
        <f>_xlfn.XLOOKUP(B488, Dim_Hotel!$A$2:$A$11, Dim_Hotel!$I$2:$I$11)
 + (IF(J488="",0,J488)
    * _xlfn.XLOOKUP(B488, Dim_Hotel!$A$2:$A$11, Dim_Hotel!$J$2:$J$11))</f>
        <v>165</v>
      </c>
    </row>
    <row r="489" spans="1:13" x14ac:dyDescent="0.25">
      <c r="A489" s="1">
        <f t="shared" si="56"/>
        <v>46071</v>
      </c>
      <c r="B489" t="str" cm="1">
        <f t="array" ref="B489">INDEX(HotelList,MOD(ROW()-2,10)+1)</f>
        <v>H008</v>
      </c>
      <c r="C489">
        <f>_xlfn.XLOOKUP(B489,Dim_Hotel!$A$2:$A$11,Dim_Hotel!$F$2:$F$11)</f>
        <v>103</v>
      </c>
      <c r="D489">
        <f t="shared" si="57"/>
        <v>57</v>
      </c>
      <c r="E489">
        <f t="shared" si="58"/>
        <v>0.55339805825242716</v>
      </c>
      <c r="F489">
        <f t="shared" si="59"/>
        <v>140</v>
      </c>
      <c r="G489">
        <f t="shared" si="60"/>
        <v>77.475728155339809</v>
      </c>
      <c r="H489" t="str">
        <f>_xlfn.XLOOKUP(A489,Fact_Events!$D$2:$D$20,Fact_Events!$A$2:$A$20, "")</f>
        <v/>
      </c>
      <c r="I489">
        <f t="shared" si="61"/>
        <v>0</v>
      </c>
      <c r="J489" t="str">
        <f>_xlfn.XLOOKUP(H489, Fact_Events!$A$2:$A$20, Fact_Events!$F$2:$F$20, "")</f>
        <v/>
      </c>
      <c r="K489" t="str">
        <f t="shared" si="62"/>
        <v>Low</v>
      </c>
      <c r="L489">
        <f t="shared" si="63"/>
        <v>0.55000000000000004</v>
      </c>
      <c r="M489">
        <f>_xlfn.XLOOKUP(B489, Dim_Hotel!$A$2:$A$11, Dim_Hotel!$I$2:$I$11)
 + (IF(J489="",0,J489)
    * _xlfn.XLOOKUP(B489, Dim_Hotel!$A$2:$A$11, Dim_Hotel!$J$2:$J$11))</f>
        <v>140</v>
      </c>
    </row>
    <row r="490" spans="1:13" x14ac:dyDescent="0.25">
      <c r="A490" s="1">
        <f t="shared" si="56"/>
        <v>46071</v>
      </c>
      <c r="B490" t="str" cm="1">
        <f t="array" ref="B490">INDEX(HotelList,MOD(ROW()-2,10)+1)</f>
        <v>H009</v>
      </c>
      <c r="C490">
        <f>_xlfn.XLOOKUP(B490,Dim_Hotel!$A$2:$A$11,Dim_Hotel!$F$2:$F$11)</f>
        <v>114</v>
      </c>
      <c r="D490">
        <f t="shared" si="57"/>
        <v>63</v>
      </c>
      <c r="E490">
        <f t="shared" si="58"/>
        <v>0.55263157894736847</v>
      </c>
      <c r="F490">
        <f t="shared" si="59"/>
        <v>185</v>
      </c>
      <c r="G490">
        <f t="shared" si="60"/>
        <v>102.23684210526316</v>
      </c>
      <c r="H490" t="str">
        <f>_xlfn.XLOOKUP(A490,Fact_Events!$D$2:$D$20,Fact_Events!$A$2:$A$20, "")</f>
        <v/>
      </c>
      <c r="I490">
        <f t="shared" si="61"/>
        <v>0</v>
      </c>
      <c r="J490" t="str">
        <f>_xlfn.XLOOKUP(H490, Fact_Events!$A$2:$A$20, Fact_Events!$F$2:$F$20, "")</f>
        <v/>
      </c>
      <c r="K490" t="str">
        <f t="shared" si="62"/>
        <v>Low</v>
      </c>
      <c r="L490">
        <f t="shared" si="63"/>
        <v>0.55000000000000004</v>
      </c>
      <c r="M490">
        <f>_xlfn.XLOOKUP(B490, Dim_Hotel!$A$2:$A$11, Dim_Hotel!$I$2:$I$11)
 + (IF(J490="",0,J490)
    * _xlfn.XLOOKUP(B490, Dim_Hotel!$A$2:$A$11, Dim_Hotel!$J$2:$J$11))</f>
        <v>185</v>
      </c>
    </row>
    <row r="491" spans="1:13" x14ac:dyDescent="0.25">
      <c r="A491" s="1">
        <f t="shared" si="56"/>
        <v>46071</v>
      </c>
      <c r="B491" t="str" cm="1">
        <f t="array" ref="B491">INDEX(HotelList,MOD(ROW()-2,10)+1)</f>
        <v>H010</v>
      </c>
      <c r="C491">
        <f>_xlfn.XLOOKUP(B491,Dim_Hotel!$A$2:$A$11,Dim_Hotel!$F$2:$F$11)</f>
        <v>89</v>
      </c>
      <c r="D491">
        <f t="shared" si="57"/>
        <v>49</v>
      </c>
      <c r="E491">
        <f t="shared" si="58"/>
        <v>0.550561797752809</v>
      </c>
      <c r="F491">
        <f t="shared" si="59"/>
        <v>150</v>
      </c>
      <c r="G491">
        <f t="shared" si="60"/>
        <v>82.584269662921344</v>
      </c>
      <c r="H491" t="str">
        <f>_xlfn.XLOOKUP(A491,Fact_Events!$D$2:$D$20,Fact_Events!$A$2:$A$20, "")</f>
        <v/>
      </c>
      <c r="I491">
        <f t="shared" si="61"/>
        <v>0</v>
      </c>
      <c r="J491" t="str">
        <f>_xlfn.XLOOKUP(H491, Fact_Events!$A$2:$A$20, Fact_Events!$F$2:$F$20, "")</f>
        <v/>
      </c>
      <c r="K491" t="str">
        <f t="shared" si="62"/>
        <v>Low</v>
      </c>
      <c r="L491">
        <f t="shared" si="63"/>
        <v>0.55000000000000004</v>
      </c>
      <c r="M491">
        <f>_xlfn.XLOOKUP(B491, Dim_Hotel!$A$2:$A$11, Dim_Hotel!$I$2:$I$11)
 + (IF(J491="",0,J491)
    * _xlfn.XLOOKUP(B491, Dim_Hotel!$A$2:$A$11, Dim_Hotel!$J$2:$J$11))</f>
        <v>150</v>
      </c>
    </row>
    <row r="492" spans="1:13" x14ac:dyDescent="0.25">
      <c r="A492" s="1">
        <f t="shared" si="56"/>
        <v>46072</v>
      </c>
      <c r="B492" t="str" cm="1">
        <f t="array" ref="B492">INDEX(HotelList,MOD(ROW()-2,10)+1)</f>
        <v>H001</v>
      </c>
      <c r="C492">
        <f>_xlfn.XLOOKUP(B492,Dim_Hotel!$A$2:$A$11,Dim_Hotel!$F$2:$F$11)</f>
        <v>888</v>
      </c>
      <c r="D492">
        <f t="shared" si="57"/>
        <v>488</v>
      </c>
      <c r="E492">
        <f t="shared" si="58"/>
        <v>0.5495495495495496</v>
      </c>
      <c r="F492">
        <f t="shared" si="59"/>
        <v>260</v>
      </c>
      <c r="G492">
        <f t="shared" si="60"/>
        <v>142.88288288288288</v>
      </c>
      <c r="H492" t="str">
        <f>_xlfn.XLOOKUP(A492,Fact_Events!$D$2:$D$20,Fact_Events!$A$2:$A$20, "")</f>
        <v/>
      </c>
      <c r="I492">
        <f t="shared" si="61"/>
        <v>0</v>
      </c>
      <c r="J492" t="str">
        <f>_xlfn.XLOOKUP(H492, Fact_Events!$A$2:$A$20, Fact_Events!$F$2:$F$20, "")</f>
        <v/>
      </c>
      <c r="K492" t="str">
        <f t="shared" si="62"/>
        <v>Low</v>
      </c>
      <c r="L492">
        <f t="shared" si="63"/>
        <v>0.55000000000000004</v>
      </c>
      <c r="M492">
        <f>_xlfn.XLOOKUP(B492, Dim_Hotel!$A$2:$A$11, Dim_Hotel!$I$2:$I$11)
 + (IF(J492="",0,J492)
    * _xlfn.XLOOKUP(B492, Dim_Hotel!$A$2:$A$11, Dim_Hotel!$J$2:$J$11))</f>
        <v>260</v>
      </c>
    </row>
    <row r="493" spans="1:13" x14ac:dyDescent="0.25">
      <c r="A493" s="1">
        <f t="shared" si="56"/>
        <v>46072</v>
      </c>
      <c r="B493" t="str" cm="1">
        <f t="array" ref="B493">INDEX(HotelList,MOD(ROW()-2,10)+1)</f>
        <v>H002</v>
      </c>
      <c r="C493">
        <f>_xlfn.XLOOKUP(B493,Dim_Hotel!$A$2:$A$11,Dim_Hotel!$F$2:$F$11)</f>
        <v>147</v>
      </c>
      <c r="D493">
        <f t="shared" si="57"/>
        <v>81</v>
      </c>
      <c r="E493">
        <f t="shared" si="58"/>
        <v>0.55102040816326525</v>
      </c>
      <c r="F493">
        <f t="shared" si="59"/>
        <v>175</v>
      </c>
      <c r="G493">
        <f t="shared" si="60"/>
        <v>96.428571428571416</v>
      </c>
      <c r="H493" t="str">
        <f>_xlfn.XLOOKUP(A493,Fact_Events!$D$2:$D$20,Fact_Events!$A$2:$A$20, "")</f>
        <v/>
      </c>
      <c r="I493">
        <f t="shared" si="61"/>
        <v>0</v>
      </c>
      <c r="J493" t="str">
        <f>_xlfn.XLOOKUP(H493, Fact_Events!$A$2:$A$20, Fact_Events!$F$2:$F$20, "")</f>
        <v/>
      </c>
      <c r="K493" t="str">
        <f t="shared" si="62"/>
        <v>Low</v>
      </c>
      <c r="L493">
        <f t="shared" si="63"/>
        <v>0.55000000000000004</v>
      </c>
      <c r="M493">
        <f>_xlfn.XLOOKUP(B493, Dim_Hotel!$A$2:$A$11, Dim_Hotel!$I$2:$I$11)
 + (IF(J493="",0,J493)
    * _xlfn.XLOOKUP(B493, Dim_Hotel!$A$2:$A$11, Dim_Hotel!$J$2:$J$11))</f>
        <v>175</v>
      </c>
    </row>
    <row r="494" spans="1:13" x14ac:dyDescent="0.25">
      <c r="A494" s="1">
        <f t="shared" si="56"/>
        <v>46072</v>
      </c>
      <c r="B494" t="str" cm="1">
        <f t="array" ref="B494">INDEX(HotelList,MOD(ROW()-2,10)+1)</f>
        <v>H003</v>
      </c>
      <c r="C494">
        <f>_xlfn.XLOOKUP(B494,Dim_Hotel!$A$2:$A$11,Dim_Hotel!$F$2:$F$11)</f>
        <v>121</v>
      </c>
      <c r="D494">
        <f t="shared" si="57"/>
        <v>67</v>
      </c>
      <c r="E494">
        <f t="shared" si="58"/>
        <v>0.55371900826446285</v>
      </c>
      <c r="F494">
        <f t="shared" si="59"/>
        <v>145</v>
      </c>
      <c r="G494">
        <f t="shared" si="60"/>
        <v>80.289256198347118</v>
      </c>
      <c r="H494" t="str">
        <f>_xlfn.XLOOKUP(A494,Fact_Events!$D$2:$D$20,Fact_Events!$A$2:$A$20, "")</f>
        <v/>
      </c>
      <c r="I494">
        <f t="shared" si="61"/>
        <v>0</v>
      </c>
      <c r="J494" t="str">
        <f>_xlfn.XLOOKUP(H494, Fact_Events!$A$2:$A$20, Fact_Events!$F$2:$F$20, "")</f>
        <v/>
      </c>
      <c r="K494" t="str">
        <f t="shared" si="62"/>
        <v>Low</v>
      </c>
      <c r="L494">
        <f t="shared" si="63"/>
        <v>0.55000000000000004</v>
      </c>
      <c r="M494">
        <f>_xlfn.XLOOKUP(B494, Dim_Hotel!$A$2:$A$11, Dim_Hotel!$I$2:$I$11)
 + (IF(J494="",0,J494)
    * _xlfn.XLOOKUP(B494, Dim_Hotel!$A$2:$A$11, Dim_Hotel!$J$2:$J$11))</f>
        <v>145</v>
      </c>
    </row>
    <row r="495" spans="1:13" x14ac:dyDescent="0.25">
      <c r="A495" s="1">
        <f t="shared" si="56"/>
        <v>46072</v>
      </c>
      <c r="B495" t="str" cm="1">
        <f t="array" ref="B495">INDEX(HotelList,MOD(ROW()-2,10)+1)</f>
        <v>H004</v>
      </c>
      <c r="C495">
        <f>_xlfn.XLOOKUP(B495,Dim_Hotel!$A$2:$A$11,Dim_Hotel!$F$2:$F$11)</f>
        <v>108</v>
      </c>
      <c r="D495">
        <f t="shared" si="57"/>
        <v>59</v>
      </c>
      <c r="E495">
        <f t="shared" si="58"/>
        <v>0.54629629629629628</v>
      </c>
      <c r="F495">
        <f t="shared" si="59"/>
        <v>135</v>
      </c>
      <c r="G495">
        <f t="shared" si="60"/>
        <v>73.75</v>
      </c>
      <c r="H495" t="str">
        <f>_xlfn.XLOOKUP(A495,Fact_Events!$D$2:$D$20,Fact_Events!$A$2:$A$20, "")</f>
        <v/>
      </c>
      <c r="I495">
        <f t="shared" si="61"/>
        <v>0</v>
      </c>
      <c r="J495" t="str">
        <f>_xlfn.XLOOKUP(H495, Fact_Events!$A$2:$A$20, Fact_Events!$F$2:$F$20, "")</f>
        <v/>
      </c>
      <c r="K495" t="str">
        <f t="shared" si="62"/>
        <v>Low</v>
      </c>
      <c r="L495">
        <f t="shared" si="63"/>
        <v>0.55000000000000004</v>
      </c>
      <c r="M495">
        <f>_xlfn.XLOOKUP(B495, Dim_Hotel!$A$2:$A$11, Dim_Hotel!$I$2:$I$11)
 + (IF(J495="",0,J495)
    * _xlfn.XLOOKUP(B495, Dim_Hotel!$A$2:$A$11, Dim_Hotel!$J$2:$J$11))</f>
        <v>135</v>
      </c>
    </row>
    <row r="496" spans="1:13" x14ac:dyDescent="0.25">
      <c r="A496" s="1">
        <f t="shared" si="56"/>
        <v>46072</v>
      </c>
      <c r="B496" t="str" cm="1">
        <f t="array" ref="B496">INDEX(HotelList,MOD(ROW()-2,10)+1)</f>
        <v>H005</v>
      </c>
      <c r="C496">
        <f>_xlfn.XLOOKUP(B496,Dim_Hotel!$A$2:$A$11,Dim_Hotel!$F$2:$F$11)</f>
        <v>66</v>
      </c>
      <c r="D496">
        <f t="shared" si="57"/>
        <v>36</v>
      </c>
      <c r="E496">
        <f t="shared" si="58"/>
        <v>0.54545454545454541</v>
      </c>
      <c r="F496">
        <f t="shared" si="59"/>
        <v>82</v>
      </c>
      <c r="G496">
        <f t="shared" si="60"/>
        <v>44.727272727272727</v>
      </c>
      <c r="H496" t="str">
        <f>_xlfn.XLOOKUP(A496,Fact_Events!$D$2:$D$20,Fact_Events!$A$2:$A$20, "")</f>
        <v/>
      </c>
      <c r="I496">
        <f t="shared" si="61"/>
        <v>0</v>
      </c>
      <c r="J496" t="str">
        <f>_xlfn.XLOOKUP(H496, Fact_Events!$A$2:$A$20, Fact_Events!$F$2:$F$20, "")</f>
        <v/>
      </c>
      <c r="K496" t="str">
        <f t="shared" si="62"/>
        <v>Low</v>
      </c>
      <c r="L496">
        <f t="shared" si="63"/>
        <v>0.55000000000000004</v>
      </c>
      <c r="M496">
        <f>_xlfn.XLOOKUP(B496, Dim_Hotel!$A$2:$A$11, Dim_Hotel!$I$2:$I$11)
 + (IF(J496="",0,J496)
    * _xlfn.XLOOKUP(B496, Dim_Hotel!$A$2:$A$11, Dim_Hotel!$J$2:$J$11))</f>
        <v>82</v>
      </c>
    </row>
    <row r="497" spans="1:13" x14ac:dyDescent="0.25">
      <c r="A497" s="1">
        <f t="shared" si="56"/>
        <v>46072</v>
      </c>
      <c r="B497" t="str" cm="1">
        <f t="array" ref="B497">INDEX(HotelList,MOD(ROW()-2,10)+1)</f>
        <v>H006</v>
      </c>
      <c r="C497">
        <f>_xlfn.XLOOKUP(B497,Dim_Hotel!$A$2:$A$11,Dim_Hotel!$F$2:$F$11)</f>
        <v>311</v>
      </c>
      <c r="D497">
        <f t="shared" si="57"/>
        <v>171</v>
      </c>
      <c r="E497">
        <f t="shared" si="58"/>
        <v>0.54983922829581988</v>
      </c>
      <c r="F497">
        <f t="shared" si="59"/>
        <v>190</v>
      </c>
      <c r="G497">
        <f t="shared" si="60"/>
        <v>104.46945337620578</v>
      </c>
      <c r="H497" t="str">
        <f>_xlfn.XLOOKUP(A497,Fact_Events!$D$2:$D$20,Fact_Events!$A$2:$A$20, "")</f>
        <v/>
      </c>
      <c r="I497">
        <f t="shared" si="61"/>
        <v>0</v>
      </c>
      <c r="J497" t="str">
        <f>_xlfn.XLOOKUP(H497, Fact_Events!$A$2:$A$20, Fact_Events!$F$2:$F$20, "")</f>
        <v/>
      </c>
      <c r="K497" t="str">
        <f t="shared" si="62"/>
        <v>Low</v>
      </c>
      <c r="L497">
        <f t="shared" si="63"/>
        <v>0.55000000000000004</v>
      </c>
      <c r="M497">
        <f>_xlfn.XLOOKUP(B497, Dim_Hotel!$A$2:$A$11, Dim_Hotel!$I$2:$I$11)
 + (IF(J497="",0,J497)
    * _xlfn.XLOOKUP(B497, Dim_Hotel!$A$2:$A$11, Dim_Hotel!$J$2:$J$11))</f>
        <v>190</v>
      </c>
    </row>
    <row r="498" spans="1:13" x14ac:dyDescent="0.25">
      <c r="A498" s="1">
        <f t="shared" si="56"/>
        <v>46072</v>
      </c>
      <c r="B498" t="str" cm="1">
        <f t="array" ref="B498">INDEX(HotelList,MOD(ROW()-2,10)+1)</f>
        <v>H007</v>
      </c>
      <c r="C498">
        <f>_xlfn.XLOOKUP(B498,Dim_Hotel!$A$2:$A$11,Dim_Hotel!$F$2:$F$11)</f>
        <v>132</v>
      </c>
      <c r="D498">
        <f t="shared" si="57"/>
        <v>73</v>
      </c>
      <c r="E498">
        <f t="shared" si="58"/>
        <v>0.55303030303030298</v>
      </c>
      <c r="F498">
        <f t="shared" si="59"/>
        <v>165</v>
      </c>
      <c r="G498">
        <f t="shared" si="60"/>
        <v>91.249999999999986</v>
      </c>
      <c r="H498" t="str">
        <f>_xlfn.XLOOKUP(A498,Fact_Events!$D$2:$D$20,Fact_Events!$A$2:$A$20, "")</f>
        <v/>
      </c>
      <c r="I498">
        <f t="shared" si="61"/>
        <v>0</v>
      </c>
      <c r="J498" t="str">
        <f>_xlfn.XLOOKUP(H498, Fact_Events!$A$2:$A$20, Fact_Events!$F$2:$F$20, "")</f>
        <v/>
      </c>
      <c r="K498" t="str">
        <f t="shared" si="62"/>
        <v>Low</v>
      </c>
      <c r="L498">
        <f t="shared" si="63"/>
        <v>0.55000000000000004</v>
      </c>
      <c r="M498">
        <f>_xlfn.XLOOKUP(B498, Dim_Hotel!$A$2:$A$11, Dim_Hotel!$I$2:$I$11)
 + (IF(J498="",0,J498)
    * _xlfn.XLOOKUP(B498, Dim_Hotel!$A$2:$A$11, Dim_Hotel!$J$2:$J$11))</f>
        <v>165</v>
      </c>
    </row>
    <row r="499" spans="1:13" x14ac:dyDescent="0.25">
      <c r="A499" s="1">
        <f t="shared" si="56"/>
        <v>46072</v>
      </c>
      <c r="B499" t="str" cm="1">
        <f t="array" ref="B499">INDEX(HotelList,MOD(ROW()-2,10)+1)</f>
        <v>H008</v>
      </c>
      <c r="C499">
        <f>_xlfn.XLOOKUP(B499,Dim_Hotel!$A$2:$A$11,Dim_Hotel!$F$2:$F$11)</f>
        <v>103</v>
      </c>
      <c r="D499">
        <f t="shared" si="57"/>
        <v>57</v>
      </c>
      <c r="E499">
        <f t="shared" si="58"/>
        <v>0.55339805825242716</v>
      </c>
      <c r="F499">
        <f t="shared" si="59"/>
        <v>140</v>
      </c>
      <c r="G499">
        <f t="shared" si="60"/>
        <v>77.475728155339809</v>
      </c>
      <c r="H499" t="str">
        <f>_xlfn.XLOOKUP(A499,Fact_Events!$D$2:$D$20,Fact_Events!$A$2:$A$20, "")</f>
        <v/>
      </c>
      <c r="I499">
        <f t="shared" si="61"/>
        <v>0</v>
      </c>
      <c r="J499" t="str">
        <f>_xlfn.XLOOKUP(H499, Fact_Events!$A$2:$A$20, Fact_Events!$F$2:$F$20, "")</f>
        <v/>
      </c>
      <c r="K499" t="str">
        <f t="shared" si="62"/>
        <v>Low</v>
      </c>
      <c r="L499">
        <f t="shared" si="63"/>
        <v>0.55000000000000004</v>
      </c>
      <c r="M499">
        <f>_xlfn.XLOOKUP(B499, Dim_Hotel!$A$2:$A$11, Dim_Hotel!$I$2:$I$11)
 + (IF(J499="",0,J499)
    * _xlfn.XLOOKUP(B499, Dim_Hotel!$A$2:$A$11, Dim_Hotel!$J$2:$J$11))</f>
        <v>140</v>
      </c>
    </row>
    <row r="500" spans="1:13" x14ac:dyDescent="0.25">
      <c r="A500" s="1">
        <f t="shared" si="56"/>
        <v>46072</v>
      </c>
      <c r="B500" t="str" cm="1">
        <f t="array" ref="B500">INDEX(HotelList,MOD(ROW()-2,10)+1)</f>
        <v>H009</v>
      </c>
      <c r="C500">
        <f>_xlfn.XLOOKUP(B500,Dim_Hotel!$A$2:$A$11,Dim_Hotel!$F$2:$F$11)</f>
        <v>114</v>
      </c>
      <c r="D500">
        <f t="shared" si="57"/>
        <v>63</v>
      </c>
      <c r="E500">
        <f t="shared" si="58"/>
        <v>0.55263157894736847</v>
      </c>
      <c r="F500">
        <f t="shared" si="59"/>
        <v>185</v>
      </c>
      <c r="G500">
        <f t="shared" si="60"/>
        <v>102.23684210526316</v>
      </c>
      <c r="H500" t="str">
        <f>_xlfn.XLOOKUP(A500,Fact_Events!$D$2:$D$20,Fact_Events!$A$2:$A$20, "")</f>
        <v/>
      </c>
      <c r="I500">
        <f t="shared" si="61"/>
        <v>0</v>
      </c>
      <c r="J500" t="str">
        <f>_xlfn.XLOOKUP(H500, Fact_Events!$A$2:$A$20, Fact_Events!$F$2:$F$20, "")</f>
        <v/>
      </c>
      <c r="K500" t="str">
        <f t="shared" si="62"/>
        <v>Low</v>
      </c>
      <c r="L500">
        <f t="shared" si="63"/>
        <v>0.55000000000000004</v>
      </c>
      <c r="M500">
        <f>_xlfn.XLOOKUP(B500, Dim_Hotel!$A$2:$A$11, Dim_Hotel!$I$2:$I$11)
 + (IF(J500="",0,J500)
    * _xlfn.XLOOKUP(B500, Dim_Hotel!$A$2:$A$11, Dim_Hotel!$J$2:$J$11))</f>
        <v>185</v>
      </c>
    </row>
    <row r="501" spans="1:13" x14ac:dyDescent="0.25">
      <c r="A501" s="1">
        <f t="shared" si="56"/>
        <v>46072</v>
      </c>
      <c r="B501" t="str" cm="1">
        <f t="array" ref="B501">INDEX(HotelList,MOD(ROW()-2,10)+1)</f>
        <v>H010</v>
      </c>
      <c r="C501">
        <f>_xlfn.XLOOKUP(B501,Dim_Hotel!$A$2:$A$11,Dim_Hotel!$F$2:$F$11)</f>
        <v>89</v>
      </c>
      <c r="D501">
        <f t="shared" si="57"/>
        <v>49</v>
      </c>
      <c r="E501">
        <f t="shared" si="58"/>
        <v>0.550561797752809</v>
      </c>
      <c r="F501">
        <f t="shared" si="59"/>
        <v>150</v>
      </c>
      <c r="G501">
        <f t="shared" si="60"/>
        <v>82.584269662921344</v>
      </c>
      <c r="H501" t="str">
        <f>_xlfn.XLOOKUP(A501,Fact_Events!$D$2:$D$20,Fact_Events!$A$2:$A$20, "")</f>
        <v/>
      </c>
      <c r="I501">
        <f t="shared" si="61"/>
        <v>0</v>
      </c>
      <c r="J501" t="str">
        <f>_xlfn.XLOOKUP(H501, Fact_Events!$A$2:$A$20, Fact_Events!$F$2:$F$20, "")</f>
        <v/>
      </c>
      <c r="K501" t="str">
        <f t="shared" si="62"/>
        <v>Low</v>
      </c>
      <c r="L501">
        <f t="shared" si="63"/>
        <v>0.55000000000000004</v>
      </c>
      <c r="M501">
        <f>_xlfn.XLOOKUP(B501, Dim_Hotel!$A$2:$A$11, Dim_Hotel!$I$2:$I$11)
 + (IF(J501="",0,J501)
    * _xlfn.XLOOKUP(B501, Dim_Hotel!$A$2:$A$11, Dim_Hotel!$J$2:$J$11))</f>
        <v>150</v>
      </c>
    </row>
    <row r="502" spans="1:13" x14ac:dyDescent="0.25">
      <c r="A502" s="1">
        <f t="shared" si="56"/>
        <v>46073</v>
      </c>
      <c r="B502" t="str" cm="1">
        <f t="array" ref="B502">INDEX(HotelList,MOD(ROW()-2,10)+1)</f>
        <v>H001</v>
      </c>
      <c r="C502">
        <f>_xlfn.XLOOKUP(B502,Dim_Hotel!$A$2:$A$11,Dim_Hotel!$F$2:$F$11)</f>
        <v>888</v>
      </c>
      <c r="D502">
        <f t="shared" si="57"/>
        <v>488</v>
      </c>
      <c r="E502">
        <f t="shared" si="58"/>
        <v>0.5495495495495496</v>
      </c>
      <c r="F502">
        <f t="shared" si="59"/>
        <v>260</v>
      </c>
      <c r="G502">
        <f t="shared" si="60"/>
        <v>142.88288288288288</v>
      </c>
      <c r="H502" t="str">
        <f>_xlfn.XLOOKUP(A502,Fact_Events!$D$2:$D$20,Fact_Events!$A$2:$A$20, "")</f>
        <v/>
      </c>
      <c r="I502">
        <f t="shared" si="61"/>
        <v>0</v>
      </c>
      <c r="J502" t="str">
        <f>_xlfn.XLOOKUP(H502, Fact_Events!$A$2:$A$20, Fact_Events!$F$2:$F$20, "")</f>
        <v/>
      </c>
      <c r="K502" t="str">
        <f t="shared" si="62"/>
        <v>Low</v>
      </c>
      <c r="L502">
        <f t="shared" si="63"/>
        <v>0.55000000000000004</v>
      </c>
      <c r="M502">
        <f>_xlfn.XLOOKUP(B502, Dim_Hotel!$A$2:$A$11, Dim_Hotel!$I$2:$I$11)
 + (IF(J502="",0,J502)
    * _xlfn.XLOOKUP(B502, Dim_Hotel!$A$2:$A$11, Dim_Hotel!$J$2:$J$11))</f>
        <v>260</v>
      </c>
    </row>
    <row r="503" spans="1:13" x14ac:dyDescent="0.25">
      <c r="A503" s="1">
        <f t="shared" si="56"/>
        <v>46073</v>
      </c>
      <c r="B503" t="str" cm="1">
        <f t="array" ref="B503">INDEX(HotelList,MOD(ROW()-2,10)+1)</f>
        <v>H002</v>
      </c>
      <c r="C503">
        <f>_xlfn.XLOOKUP(B503,Dim_Hotel!$A$2:$A$11,Dim_Hotel!$F$2:$F$11)</f>
        <v>147</v>
      </c>
      <c r="D503">
        <f t="shared" si="57"/>
        <v>81</v>
      </c>
      <c r="E503">
        <f t="shared" si="58"/>
        <v>0.55102040816326525</v>
      </c>
      <c r="F503">
        <f t="shared" si="59"/>
        <v>175</v>
      </c>
      <c r="G503">
        <f t="shared" si="60"/>
        <v>96.428571428571416</v>
      </c>
      <c r="H503" t="str">
        <f>_xlfn.XLOOKUP(A503,Fact_Events!$D$2:$D$20,Fact_Events!$A$2:$A$20, "")</f>
        <v/>
      </c>
      <c r="I503">
        <f t="shared" si="61"/>
        <v>0</v>
      </c>
      <c r="J503" t="str">
        <f>_xlfn.XLOOKUP(H503, Fact_Events!$A$2:$A$20, Fact_Events!$F$2:$F$20, "")</f>
        <v/>
      </c>
      <c r="K503" t="str">
        <f t="shared" si="62"/>
        <v>Low</v>
      </c>
      <c r="L503">
        <f t="shared" si="63"/>
        <v>0.55000000000000004</v>
      </c>
      <c r="M503">
        <f>_xlfn.XLOOKUP(B503, Dim_Hotel!$A$2:$A$11, Dim_Hotel!$I$2:$I$11)
 + (IF(J503="",0,J503)
    * _xlfn.XLOOKUP(B503, Dim_Hotel!$A$2:$A$11, Dim_Hotel!$J$2:$J$11))</f>
        <v>175</v>
      </c>
    </row>
    <row r="504" spans="1:13" x14ac:dyDescent="0.25">
      <c r="A504" s="1">
        <f t="shared" si="56"/>
        <v>46073</v>
      </c>
      <c r="B504" t="str" cm="1">
        <f t="array" ref="B504">INDEX(HotelList,MOD(ROW()-2,10)+1)</f>
        <v>H003</v>
      </c>
      <c r="C504">
        <f>_xlfn.XLOOKUP(B504,Dim_Hotel!$A$2:$A$11,Dim_Hotel!$F$2:$F$11)</f>
        <v>121</v>
      </c>
      <c r="D504">
        <f t="shared" si="57"/>
        <v>67</v>
      </c>
      <c r="E504">
        <f t="shared" si="58"/>
        <v>0.55371900826446285</v>
      </c>
      <c r="F504">
        <f t="shared" si="59"/>
        <v>145</v>
      </c>
      <c r="G504">
        <f t="shared" si="60"/>
        <v>80.289256198347118</v>
      </c>
      <c r="H504" t="str">
        <f>_xlfn.XLOOKUP(A504,Fact_Events!$D$2:$D$20,Fact_Events!$A$2:$A$20, "")</f>
        <v/>
      </c>
      <c r="I504">
        <f t="shared" si="61"/>
        <v>0</v>
      </c>
      <c r="J504" t="str">
        <f>_xlfn.XLOOKUP(H504, Fact_Events!$A$2:$A$20, Fact_Events!$F$2:$F$20, "")</f>
        <v/>
      </c>
      <c r="K504" t="str">
        <f t="shared" si="62"/>
        <v>Low</v>
      </c>
      <c r="L504">
        <f t="shared" si="63"/>
        <v>0.55000000000000004</v>
      </c>
      <c r="M504">
        <f>_xlfn.XLOOKUP(B504, Dim_Hotel!$A$2:$A$11, Dim_Hotel!$I$2:$I$11)
 + (IF(J504="",0,J504)
    * _xlfn.XLOOKUP(B504, Dim_Hotel!$A$2:$A$11, Dim_Hotel!$J$2:$J$11))</f>
        <v>145</v>
      </c>
    </row>
    <row r="505" spans="1:13" x14ac:dyDescent="0.25">
      <c r="A505" s="1">
        <f t="shared" si="56"/>
        <v>46073</v>
      </c>
      <c r="B505" t="str" cm="1">
        <f t="array" ref="B505">INDEX(HotelList,MOD(ROW()-2,10)+1)</f>
        <v>H004</v>
      </c>
      <c r="C505">
        <f>_xlfn.XLOOKUP(B505,Dim_Hotel!$A$2:$A$11,Dim_Hotel!$F$2:$F$11)</f>
        <v>108</v>
      </c>
      <c r="D505">
        <f t="shared" si="57"/>
        <v>59</v>
      </c>
      <c r="E505">
        <f t="shared" si="58"/>
        <v>0.54629629629629628</v>
      </c>
      <c r="F505">
        <f t="shared" si="59"/>
        <v>135</v>
      </c>
      <c r="G505">
        <f t="shared" si="60"/>
        <v>73.75</v>
      </c>
      <c r="H505" t="str">
        <f>_xlfn.XLOOKUP(A505,Fact_Events!$D$2:$D$20,Fact_Events!$A$2:$A$20, "")</f>
        <v/>
      </c>
      <c r="I505">
        <f t="shared" si="61"/>
        <v>0</v>
      </c>
      <c r="J505" t="str">
        <f>_xlfn.XLOOKUP(H505, Fact_Events!$A$2:$A$20, Fact_Events!$F$2:$F$20, "")</f>
        <v/>
      </c>
      <c r="K505" t="str">
        <f t="shared" si="62"/>
        <v>Low</v>
      </c>
      <c r="L505">
        <f t="shared" si="63"/>
        <v>0.55000000000000004</v>
      </c>
      <c r="M505">
        <f>_xlfn.XLOOKUP(B505, Dim_Hotel!$A$2:$A$11, Dim_Hotel!$I$2:$I$11)
 + (IF(J505="",0,J505)
    * _xlfn.XLOOKUP(B505, Dim_Hotel!$A$2:$A$11, Dim_Hotel!$J$2:$J$11))</f>
        <v>135</v>
      </c>
    </row>
    <row r="506" spans="1:13" x14ac:dyDescent="0.25">
      <c r="A506" s="1">
        <f t="shared" si="56"/>
        <v>46073</v>
      </c>
      <c r="B506" t="str" cm="1">
        <f t="array" ref="B506">INDEX(HotelList,MOD(ROW()-2,10)+1)</f>
        <v>H005</v>
      </c>
      <c r="C506">
        <f>_xlfn.XLOOKUP(B506,Dim_Hotel!$A$2:$A$11,Dim_Hotel!$F$2:$F$11)</f>
        <v>66</v>
      </c>
      <c r="D506">
        <f t="shared" si="57"/>
        <v>36</v>
      </c>
      <c r="E506">
        <f t="shared" si="58"/>
        <v>0.54545454545454541</v>
      </c>
      <c r="F506">
        <f t="shared" si="59"/>
        <v>82</v>
      </c>
      <c r="G506">
        <f t="shared" si="60"/>
        <v>44.727272727272727</v>
      </c>
      <c r="H506" t="str">
        <f>_xlfn.XLOOKUP(A506,Fact_Events!$D$2:$D$20,Fact_Events!$A$2:$A$20, "")</f>
        <v/>
      </c>
      <c r="I506">
        <f t="shared" si="61"/>
        <v>0</v>
      </c>
      <c r="J506" t="str">
        <f>_xlfn.XLOOKUP(H506, Fact_Events!$A$2:$A$20, Fact_Events!$F$2:$F$20, "")</f>
        <v/>
      </c>
      <c r="K506" t="str">
        <f t="shared" si="62"/>
        <v>Low</v>
      </c>
      <c r="L506">
        <f t="shared" si="63"/>
        <v>0.55000000000000004</v>
      </c>
      <c r="M506">
        <f>_xlfn.XLOOKUP(B506, Dim_Hotel!$A$2:$A$11, Dim_Hotel!$I$2:$I$11)
 + (IF(J506="",0,J506)
    * _xlfn.XLOOKUP(B506, Dim_Hotel!$A$2:$A$11, Dim_Hotel!$J$2:$J$11))</f>
        <v>82</v>
      </c>
    </row>
    <row r="507" spans="1:13" x14ac:dyDescent="0.25">
      <c r="A507" s="1">
        <f t="shared" si="56"/>
        <v>46073</v>
      </c>
      <c r="B507" t="str" cm="1">
        <f t="array" ref="B507">INDEX(HotelList,MOD(ROW()-2,10)+1)</f>
        <v>H006</v>
      </c>
      <c r="C507">
        <f>_xlfn.XLOOKUP(B507,Dim_Hotel!$A$2:$A$11,Dim_Hotel!$F$2:$F$11)</f>
        <v>311</v>
      </c>
      <c r="D507">
        <f t="shared" si="57"/>
        <v>171</v>
      </c>
      <c r="E507">
        <f t="shared" si="58"/>
        <v>0.54983922829581988</v>
      </c>
      <c r="F507">
        <f t="shared" si="59"/>
        <v>190</v>
      </c>
      <c r="G507">
        <f t="shared" si="60"/>
        <v>104.46945337620578</v>
      </c>
      <c r="H507" t="str">
        <f>_xlfn.XLOOKUP(A507,Fact_Events!$D$2:$D$20,Fact_Events!$A$2:$A$20, "")</f>
        <v/>
      </c>
      <c r="I507">
        <f t="shared" si="61"/>
        <v>0</v>
      </c>
      <c r="J507" t="str">
        <f>_xlfn.XLOOKUP(H507, Fact_Events!$A$2:$A$20, Fact_Events!$F$2:$F$20, "")</f>
        <v/>
      </c>
      <c r="K507" t="str">
        <f t="shared" si="62"/>
        <v>Low</v>
      </c>
      <c r="L507">
        <f t="shared" si="63"/>
        <v>0.55000000000000004</v>
      </c>
      <c r="M507">
        <f>_xlfn.XLOOKUP(B507, Dim_Hotel!$A$2:$A$11, Dim_Hotel!$I$2:$I$11)
 + (IF(J507="",0,J507)
    * _xlfn.XLOOKUP(B507, Dim_Hotel!$A$2:$A$11, Dim_Hotel!$J$2:$J$11))</f>
        <v>190</v>
      </c>
    </row>
    <row r="508" spans="1:13" x14ac:dyDescent="0.25">
      <c r="A508" s="1">
        <f t="shared" si="56"/>
        <v>46073</v>
      </c>
      <c r="B508" t="str" cm="1">
        <f t="array" ref="B508">INDEX(HotelList,MOD(ROW()-2,10)+1)</f>
        <v>H007</v>
      </c>
      <c r="C508">
        <f>_xlfn.XLOOKUP(B508,Dim_Hotel!$A$2:$A$11,Dim_Hotel!$F$2:$F$11)</f>
        <v>132</v>
      </c>
      <c r="D508">
        <f t="shared" si="57"/>
        <v>73</v>
      </c>
      <c r="E508">
        <f t="shared" si="58"/>
        <v>0.55303030303030298</v>
      </c>
      <c r="F508">
        <f t="shared" si="59"/>
        <v>165</v>
      </c>
      <c r="G508">
        <f t="shared" si="60"/>
        <v>91.249999999999986</v>
      </c>
      <c r="H508" t="str">
        <f>_xlfn.XLOOKUP(A508,Fact_Events!$D$2:$D$20,Fact_Events!$A$2:$A$20, "")</f>
        <v/>
      </c>
      <c r="I508">
        <f t="shared" si="61"/>
        <v>0</v>
      </c>
      <c r="J508" t="str">
        <f>_xlfn.XLOOKUP(H508, Fact_Events!$A$2:$A$20, Fact_Events!$F$2:$F$20, "")</f>
        <v/>
      </c>
      <c r="K508" t="str">
        <f t="shared" si="62"/>
        <v>Low</v>
      </c>
      <c r="L508">
        <f t="shared" si="63"/>
        <v>0.55000000000000004</v>
      </c>
      <c r="M508">
        <f>_xlfn.XLOOKUP(B508, Dim_Hotel!$A$2:$A$11, Dim_Hotel!$I$2:$I$11)
 + (IF(J508="",0,J508)
    * _xlfn.XLOOKUP(B508, Dim_Hotel!$A$2:$A$11, Dim_Hotel!$J$2:$J$11))</f>
        <v>165</v>
      </c>
    </row>
    <row r="509" spans="1:13" x14ac:dyDescent="0.25">
      <c r="A509" s="1">
        <f t="shared" si="56"/>
        <v>46073</v>
      </c>
      <c r="B509" t="str" cm="1">
        <f t="array" ref="B509">INDEX(HotelList,MOD(ROW()-2,10)+1)</f>
        <v>H008</v>
      </c>
      <c r="C509">
        <f>_xlfn.XLOOKUP(B509,Dim_Hotel!$A$2:$A$11,Dim_Hotel!$F$2:$F$11)</f>
        <v>103</v>
      </c>
      <c r="D509">
        <f t="shared" si="57"/>
        <v>57</v>
      </c>
      <c r="E509">
        <f t="shared" si="58"/>
        <v>0.55339805825242716</v>
      </c>
      <c r="F509">
        <f t="shared" si="59"/>
        <v>140</v>
      </c>
      <c r="G509">
        <f t="shared" si="60"/>
        <v>77.475728155339809</v>
      </c>
      <c r="H509" t="str">
        <f>_xlfn.XLOOKUP(A509,Fact_Events!$D$2:$D$20,Fact_Events!$A$2:$A$20, "")</f>
        <v/>
      </c>
      <c r="I509">
        <f t="shared" si="61"/>
        <v>0</v>
      </c>
      <c r="J509" t="str">
        <f>_xlfn.XLOOKUP(H509, Fact_Events!$A$2:$A$20, Fact_Events!$F$2:$F$20, "")</f>
        <v/>
      </c>
      <c r="K509" t="str">
        <f t="shared" si="62"/>
        <v>Low</v>
      </c>
      <c r="L509">
        <f t="shared" si="63"/>
        <v>0.55000000000000004</v>
      </c>
      <c r="M509">
        <f>_xlfn.XLOOKUP(B509, Dim_Hotel!$A$2:$A$11, Dim_Hotel!$I$2:$I$11)
 + (IF(J509="",0,J509)
    * _xlfn.XLOOKUP(B509, Dim_Hotel!$A$2:$A$11, Dim_Hotel!$J$2:$J$11))</f>
        <v>140</v>
      </c>
    </row>
    <row r="510" spans="1:13" x14ac:dyDescent="0.25">
      <c r="A510" s="1">
        <f t="shared" si="56"/>
        <v>46073</v>
      </c>
      <c r="B510" t="str" cm="1">
        <f t="array" ref="B510">INDEX(HotelList,MOD(ROW()-2,10)+1)</f>
        <v>H009</v>
      </c>
      <c r="C510">
        <f>_xlfn.XLOOKUP(B510,Dim_Hotel!$A$2:$A$11,Dim_Hotel!$F$2:$F$11)</f>
        <v>114</v>
      </c>
      <c r="D510">
        <f t="shared" si="57"/>
        <v>63</v>
      </c>
      <c r="E510">
        <f t="shared" si="58"/>
        <v>0.55263157894736847</v>
      </c>
      <c r="F510">
        <f t="shared" si="59"/>
        <v>185</v>
      </c>
      <c r="G510">
        <f t="shared" si="60"/>
        <v>102.23684210526316</v>
      </c>
      <c r="H510" t="str">
        <f>_xlfn.XLOOKUP(A510,Fact_Events!$D$2:$D$20,Fact_Events!$A$2:$A$20, "")</f>
        <v/>
      </c>
      <c r="I510">
        <f t="shared" si="61"/>
        <v>0</v>
      </c>
      <c r="J510" t="str">
        <f>_xlfn.XLOOKUP(H510, Fact_Events!$A$2:$A$20, Fact_Events!$F$2:$F$20, "")</f>
        <v/>
      </c>
      <c r="K510" t="str">
        <f t="shared" si="62"/>
        <v>Low</v>
      </c>
      <c r="L510">
        <f t="shared" si="63"/>
        <v>0.55000000000000004</v>
      </c>
      <c r="M510">
        <f>_xlfn.XLOOKUP(B510, Dim_Hotel!$A$2:$A$11, Dim_Hotel!$I$2:$I$11)
 + (IF(J510="",0,J510)
    * _xlfn.XLOOKUP(B510, Dim_Hotel!$A$2:$A$11, Dim_Hotel!$J$2:$J$11))</f>
        <v>185</v>
      </c>
    </row>
    <row r="511" spans="1:13" x14ac:dyDescent="0.25">
      <c r="A511" s="1">
        <f t="shared" si="56"/>
        <v>46073</v>
      </c>
      <c r="B511" t="str" cm="1">
        <f t="array" ref="B511">INDEX(HotelList,MOD(ROW()-2,10)+1)</f>
        <v>H010</v>
      </c>
      <c r="C511">
        <f>_xlfn.XLOOKUP(B511,Dim_Hotel!$A$2:$A$11,Dim_Hotel!$F$2:$F$11)</f>
        <v>89</v>
      </c>
      <c r="D511">
        <f t="shared" si="57"/>
        <v>49</v>
      </c>
      <c r="E511">
        <f t="shared" si="58"/>
        <v>0.550561797752809</v>
      </c>
      <c r="F511">
        <f t="shared" si="59"/>
        <v>150</v>
      </c>
      <c r="G511">
        <f t="shared" si="60"/>
        <v>82.584269662921344</v>
      </c>
      <c r="H511" t="str">
        <f>_xlfn.XLOOKUP(A511,Fact_Events!$D$2:$D$20,Fact_Events!$A$2:$A$20, "")</f>
        <v/>
      </c>
      <c r="I511">
        <f t="shared" si="61"/>
        <v>0</v>
      </c>
      <c r="J511" t="str">
        <f>_xlfn.XLOOKUP(H511, Fact_Events!$A$2:$A$20, Fact_Events!$F$2:$F$20, "")</f>
        <v/>
      </c>
      <c r="K511" t="str">
        <f t="shared" si="62"/>
        <v>Low</v>
      </c>
      <c r="L511">
        <f t="shared" si="63"/>
        <v>0.55000000000000004</v>
      </c>
      <c r="M511">
        <f>_xlfn.XLOOKUP(B511, Dim_Hotel!$A$2:$A$11, Dim_Hotel!$I$2:$I$11)
 + (IF(J511="",0,J511)
    * _xlfn.XLOOKUP(B511, Dim_Hotel!$A$2:$A$11, Dim_Hotel!$J$2:$J$11))</f>
        <v>150</v>
      </c>
    </row>
    <row r="512" spans="1:13" x14ac:dyDescent="0.25">
      <c r="A512" s="1">
        <f t="shared" si="56"/>
        <v>46074</v>
      </c>
      <c r="B512" t="str" cm="1">
        <f t="array" ref="B512">INDEX(HotelList,MOD(ROW()-2,10)+1)</f>
        <v>H001</v>
      </c>
      <c r="C512">
        <f>_xlfn.XLOOKUP(B512,Dim_Hotel!$A$2:$A$11,Dim_Hotel!$F$2:$F$11)</f>
        <v>888</v>
      </c>
      <c r="D512">
        <f t="shared" si="57"/>
        <v>773</v>
      </c>
      <c r="E512">
        <f t="shared" si="58"/>
        <v>0.87049549549549554</v>
      </c>
      <c r="F512">
        <f t="shared" si="59"/>
        <v>386</v>
      </c>
      <c r="G512">
        <f t="shared" si="60"/>
        <v>336.01126126126127</v>
      </c>
      <c r="H512" t="str">
        <f>_xlfn.XLOOKUP(A512,Fact_Events!$D$2:$D$20,Fact_Events!$A$2:$A$20, "")</f>
        <v>E002</v>
      </c>
      <c r="I512">
        <f t="shared" si="61"/>
        <v>1</v>
      </c>
      <c r="J512">
        <f>_xlfn.XLOOKUP(H512, Fact_Events!$A$2:$A$20, Fact_Events!$F$2:$F$20, "")</f>
        <v>7</v>
      </c>
      <c r="K512" t="str">
        <f t="shared" si="62"/>
        <v>Medium</v>
      </c>
      <c r="L512">
        <f t="shared" si="63"/>
        <v>0.87000000000000011</v>
      </c>
      <c r="M512">
        <f>_xlfn.XLOOKUP(B512, Dim_Hotel!$A$2:$A$11, Dim_Hotel!$I$2:$I$11)
 + (IF(J512="",0,J512)
    * _xlfn.XLOOKUP(B512, Dim_Hotel!$A$2:$A$11, Dim_Hotel!$J$2:$J$11))</f>
        <v>386</v>
      </c>
    </row>
    <row r="513" spans="1:13" x14ac:dyDescent="0.25">
      <c r="A513" s="1">
        <f t="shared" si="56"/>
        <v>46074</v>
      </c>
      <c r="B513" t="str" cm="1">
        <f t="array" ref="B513">INDEX(HotelList,MOD(ROW()-2,10)+1)</f>
        <v>H002</v>
      </c>
      <c r="C513">
        <f>_xlfn.XLOOKUP(B513,Dim_Hotel!$A$2:$A$11,Dim_Hotel!$F$2:$F$11)</f>
        <v>147</v>
      </c>
      <c r="D513">
        <f t="shared" si="57"/>
        <v>128</v>
      </c>
      <c r="E513">
        <f t="shared" si="58"/>
        <v>0.87074829931972786</v>
      </c>
      <c r="F513">
        <f t="shared" si="59"/>
        <v>273</v>
      </c>
      <c r="G513">
        <f t="shared" si="60"/>
        <v>237.71428571428569</v>
      </c>
      <c r="H513" t="str">
        <f>_xlfn.XLOOKUP(A513,Fact_Events!$D$2:$D$20,Fact_Events!$A$2:$A$20, "")</f>
        <v>E002</v>
      </c>
      <c r="I513">
        <f t="shared" si="61"/>
        <v>1</v>
      </c>
      <c r="J513">
        <f>_xlfn.XLOOKUP(H513, Fact_Events!$A$2:$A$20, Fact_Events!$F$2:$F$20, "")</f>
        <v>7</v>
      </c>
      <c r="K513" t="str">
        <f t="shared" si="62"/>
        <v>Medium</v>
      </c>
      <c r="L513">
        <f t="shared" si="63"/>
        <v>0.87000000000000011</v>
      </c>
      <c r="M513">
        <f>_xlfn.XLOOKUP(B513, Dim_Hotel!$A$2:$A$11, Dim_Hotel!$I$2:$I$11)
 + (IF(J513="",0,J513)
    * _xlfn.XLOOKUP(B513, Dim_Hotel!$A$2:$A$11, Dim_Hotel!$J$2:$J$11))</f>
        <v>273</v>
      </c>
    </row>
    <row r="514" spans="1:13" x14ac:dyDescent="0.25">
      <c r="A514" s="1">
        <f t="shared" si="56"/>
        <v>46074</v>
      </c>
      <c r="B514" t="str" cm="1">
        <f t="array" ref="B514">INDEX(HotelList,MOD(ROW()-2,10)+1)</f>
        <v>H003</v>
      </c>
      <c r="C514">
        <f>_xlfn.XLOOKUP(B514,Dim_Hotel!$A$2:$A$11,Dim_Hotel!$F$2:$F$11)</f>
        <v>121</v>
      </c>
      <c r="D514">
        <f t="shared" si="57"/>
        <v>105</v>
      </c>
      <c r="E514">
        <f t="shared" si="58"/>
        <v>0.86776859504132231</v>
      </c>
      <c r="F514">
        <f t="shared" si="59"/>
        <v>229</v>
      </c>
      <c r="G514">
        <f t="shared" si="60"/>
        <v>198.71900826446281</v>
      </c>
      <c r="H514" t="str">
        <f>_xlfn.XLOOKUP(A514,Fact_Events!$D$2:$D$20,Fact_Events!$A$2:$A$20, "")</f>
        <v>E002</v>
      </c>
      <c r="I514">
        <f t="shared" si="61"/>
        <v>1</v>
      </c>
      <c r="J514">
        <f>_xlfn.XLOOKUP(H514, Fact_Events!$A$2:$A$20, Fact_Events!$F$2:$F$20, "")</f>
        <v>7</v>
      </c>
      <c r="K514" t="str">
        <f t="shared" si="62"/>
        <v>Medium</v>
      </c>
      <c r="L514">
        <f t="shared" si="63"/>
        <v>0.87000000000000011</v>
      </c>
      <c r="M514">
        <f>_xlfn.XLOOKUP(B514, Dim_Hotel!$A$2:$A$11, Dim_Hotel!$I$2:$I$11)
 + (IF(J514="",0,J514)
    * _xlfn.XLOOKUP(B514, Dim_Hotel!$A$2:$A$11, Dim_Hotel!$J$2:$J$11))</f>
        <v>229</v>
      </c>
    </row>
    <row r="515" spans="1:13" x14ac:dyDescent="0.25">
      <c r="A515" s="1">
        <f t="shared" ref="A515:A578" si="64">DATE(2026,1,1) + INT((ROW()-2)/10)</f>
        <v>46074</v>
      </c>
      <c r="B515" t="str" cm="1">
        <f t="array" ref="B515">INDEX(HotelList,MOD(ROW()-2,10)+1)</f>
        <v>H004</v>
      </c>
      <c r="C515">
        <f>_xlfn.XLOOKUP(B515,Dim_Hotel!$A$2:$A$11,Dim_Hotel!$F$2:$F$11)</f>
        <v>108</v>
      </c>
      <c r="D515">
        <f t="shared" ref="D515:D578" si="65">ROUND(L515 * C515, 0)</f>
        <v>94</v>
      </c>
      <c r="E515">
        <f t="shared" ref="E515:E578" si="66">D515/C515</f>
        <v>0.87037037037037035</v>
      </c>
      <c r="F515">
        <f t="shared" ref="F515:F578" si="67">M515</f>
        <v>219</v>
      </c>
      <c r="G515">
        <f t="shared" ref="G515:G578" si="68">E515*F515</f>
        <v>190.61111111111111</v>
      </c>
      <c r="H515" t="str">
        <f>_xlfn.XLOOKUP(A515,Fact_Events!$D$2:$D$20,Fact_Events!$A$2:$A$20, "")</f>
        <v>E002</v>
      </c>
      <c r="I515">
        <f t="shared" ref="I515:I578" si="69">IF(H515="",0,1)</f>
        <v>1</v>
      </c>
      <c r="J515">
        <f>_xlfn.XLOOKUP(H515, Fact_Events!$A$2:$A$20, Fact_Events!$F$2:$F$20, "")</f>
        <v>7</v>
      </c>
      <c r="K515" t="str">
        <f t="shared" ref="K515:K578" si="70">IF(I515=0,"Low",
   IF(J515&gt;=9,"High","Medium"))</f>
        <v>Medium</v>
      </c>
      <c r="L515">
        <f t="shared" ref="L515:L578" si="71">MIN(1,
  0.55
  + (I515 * 0.25)
  + (IF(J515="",0,J515) / 100)
)</f>
        <v>0.87000000000000011</v>
      </c>
      <c r="M515">
        <f>_xlfn.XLOOKUP(B515, Dim_Hotel!$A$2:$A$11, Dim_Hotel!$I$2:$I$11)
 + (IF(J515="",0,J515)
    * _xlfn.XLOOKUP(B515, Dim_Hotel!$A$2:$A$11, Dim_Hotel!$J$2:$J$11))</f>
        <v>219</v>
      </c>
    </row>
    <row r="516" spans="1:13" x14ac:dyDescent="0.25">
      <c r="A516" s="1">
        <f t="shared" si="64"/>
        <v>46074</v>
      </c>
      <c r="B516" t="str" cm="1">
        <f t="array" ref="B516">INDEX(HotelList,MOD(ROW()-2,10)+1)</f>
        <v>H005</v>
      </c>
      <c r="C516">
        <f>_xlfn.XLOOKUP(B516,Dim_Hotel!$A$2:$A$11,Dim_Hotel!$F$2:$F$11)</f>
        <v>66</v>
      </c>
      <c r="D516">
        <f t="shared" si="65"/>
        <v>57</v>
      </c>
      <c r="E516">
        <f t="shared" si="66"/>
        <v>0.86363636363636365</v>
      </c>
      <c r="F516">
        <f t="shared" si="67"/>
        <v>138</v>
      </c>
      <c r="G516">
        <f t="shared" si="68"/>
        <v>119.18181818181819</v>
      </c>
      <c r="H516" t="str">
        <f>_xlfn.XLOOKUP(A516,Fact_Events!$D$2:$D$20,Fact_Events!$A$2:$A$20, "")</f>
        <v>E002</v>
      </c>
      <c r="I516">
        <f t="shared" si="69"/>
        <v>1</v>
      </c>
      <c r="J516">
        <f>_xlfn.XLOOKUP(H516, Fact_Events!$A$2:$A$20, Fact_Events!$F$2:$F$20, "")</f>
        <v>7</v>
      </c>
      <c r="K516" t="str">
        <f t="shared" si="70"/>
        <v>Medium</v>
      </c>
      <c r="L516">
        <f t="shared" si="71"/>
        <v>0.87000000000000011</v>
      </c>
      <c r="M516">
        <f>_xlfn.XLOOKUP(B516, Dim_Hotel!$A$2:$A$11, Dim_Hotel!$I$2:$I$11)
 + (IF(J516="",0,J516)
    * _xlfn.XLOOKUP(B516, Dim_Hotel!$A$2:$A$11, Dim_Hotel!$J$2:$J$11))</f>
        <v>138</v>
      </c>
    </row>
    <row r="517" spans="1:13" x14ac:dyDescent="0.25">
      <c r="A517" s="1">
        <f t="shared" si="64"/>
        <v>46074</v>
      </c>
      <c r="B517" t="str" cm="1">
        <f t="array" ref="B517">INDEX(HotelList,MOD(ROW()-2,10)+1)</f>
        <v>H006</v>
      </c>
      <c r="C517">
        <f>_xlfn.XLOOKUP(B517,Dim_Hotel!$A$2:$A$11,Dim_Hotel!$F$2:$F$11)</f>
        <v>311</v>
      </c>
      <c r="D517">
        <f t="shared" si="65"/>
        <v>271</v>
      </c>
      <c r="E517">
        <f t="shared" si="66"/>
        <v>0.87138263665594851</v>
      </c>
      <c r="F517">
        <f t="shared" si="67"/>
        <v>295</v>
      </c>
      <c r="G517">
        <f t="shared" si="68"/>
        <v>257.05787781350483</v>
      </c>
      <c r="H517" t="str">
        <f>_xlfn.XLOOKUP(A517,Fact_Events!$D$2:$D$20,Fact_Events!$A$2:$A$20, "")</f>
        <v>E002</v>
      </c>
      <c r="I517">
        <f t="shared" si="69"/>
        <v>1</v>
      </c>
      <c r="J517">
        <f>_xlfn.XLOOKUP(H517, Fact_Events!$A$2:$A$20, Fact_Events!$F$2:$F$20, "")</f>
        <v>7</v>
      </c>
      <c r="K517" t="str">
        <f t="shared" si="70"/>
        <v>Medium</v>
      </c>
      <c r="L517">
        <f t="shared" si="71"/>
        <v>0.87000000000000011</v>
      </c>
      <c r="M517">
        <f>_xlfn.XLOOKUP(B517, Dim_Hotel!$A$2:$A$11, Dim_Hotel!$I$2:$I$11)
 + (IF(J517="",0,J517)
    * _xlfn.XLOOKUP(B517, Dim_Hotel!$A$2:$A$11, Dim_Hotel!$J$2:$J$11))</f>
        <v>295</v>
      </c>
    </row>
    <row r="518" spans="1:13" x14ac:dyDescent="0.25">
      <c r="A518" s="1">
        <f t="shared" si="64"/>
        <v>46074</v>
      </c>
      <c r="B518" t="str" cm="1">
        <f t="array" ref="B518">INDEX(HotelList,MOD(ROW()-2,10)+1)</f>
        <v>H007</v>
      </c>
      <c r="C518">
        <f>_xlfn.XLOOKUP(B518,Dim_Hotel!$A$2:$A$11,Dim_Hotel!$F$2:$F$11)</f>
        <v>132</v>
      </c>
      <c r="D518">
        <f t="shared" si="65"/>
        <v>115</v>
      </c>
      <c r="E518">
        <f t="shared" si="66"/>
        <v>0.87121212121212122</v>
      </c>
      <c r="F518">
        <f t="shared" si="67"/>
        <v>256</v>
      </c>
      <c r="G518">
        <f t="shared" si="68"/>
        <v>223.03030303030303</v>
      </c>
      <c r="H518" t="str">
        <f>_xlfn.XLOOKUP(A518,Fact_Events!$D$2:$D$20,Fact_Events!$A$2:$A$20, "")</f>
        <v>E002</v>
      </c>
      <c r="I518">
        <f t="shared" si="69"/>
        <v>1</v>
      </c>
      <c r="J518">
        <f>_xlfn.XLOOKUP(H518, Fact_Events!$A$2:$A$20, Fact_Events!$F$2:$F$20, "")</f>
        <v>7</v>
      </c>
      <c r="K518" t="str">
        <f t="shared" si="70"/>
        <v>Medium</v>
      </c>
      <c r="L518">
        <f t="shared" si="71"/>
        <v>0.87000000000000011</v>
      </c>
      <c r="M518">
        <f>_xlfn.XLOOKUP(B518, Dim_Hotel!$A$2:$A$11, Dim_Hotel!$I$2:$I$11)
 + (IF(J518="",0,J518)
    * _xlfn.XLOOKUP(B518, Dim_Hotel!$A$2:$A$11, Dim_Hotel!$J$2:$J$11))</f>
        <v>256</v>
      </c>
    </row>
    <row r="519" spans="1:13" x14ac:dyDescent="0.25">
      <c r="A519" s="1">
        <f t="shared" si="64"/>
        <v>46074</v>
      </c>
      <c r="B519" t="str" cm="1">
        <f t="array" ref="B519">INDEX(HotelList,MOD(ROW()-2,10)+1)</f>
        <v>H008</v>
      </c>
      <c r="C519">
        <f>_xlfn.XLOOKUP(B519,Dim_Hotel!$A$2:$A$11,Dim_Hotel!$F$2:$F$11)</f>
        <v>103</v>
      </c>
      <c r="D519">
        <f t="shared" si="65"/>
        <v>90</v>
      </c>
      <c r="E519">
        <f t="shared" si="66"/>
        <v>0.87378640776699024</v>
      </c>
      <c r="F519">
        <f t="shared" si="67"/>
        <v>224</v>
      </c>
      <c r="G519">
        <f t="shared" si="68"/>
        <v>195.72815533980582</v>
      </c>
      <c r="H519" t="str">
        <f>_xlfn.XLOOKUP(A519,Fact_Events!$D$2:$D$20,Fact_Events!$A$2:$A$20, "")</f>
        <v>E002</v>
      </c>
      <c r="I519">
        <f t="shared" si="69"/>
        <v>1</v>
      </c>
      <c r="J519">
        <f>_xlfn.XLOOKUP(H519, Fact_Events!$A$2:$A$20, Fact_Events!$F$2:$F$20, "")</f>
        <v>7</v>
      </c>
      <c r="K519" t="str">
        <f t="shared" si="70"/>
        <v>Medium</v>
      </c>
      <c r="L519">
        <f t="shared" si="71"/>
        <v>0.87000000000000011</v>
      </c>
      <c r="M519">
        <f>_xlfn.XLOOKUP(B519, Dim_Hotel!$A$2:$A$11, Dim_Hotel!$I$2:$I$11)
 + (IF(J519="",0,J519)
    * _xlfn.XLOOKUP(B519, Dim_Hotel!$A$2:$A$11, Dim_Hotel!$J$2:$J$11))</f>
        <v>224</v>
      </c>
    </row>
    <row r="520" spans="1:13" x14ac:dyDescent="0.25">
      <c r="A520" s="1">
        <f t="shared" si="64"/>
        <v>46074</v>
      </c>
      <c r="B520" t="str" cm="1">
        <f t="array" ref="B520">INDEX(HotelList,MOD(ROW()-2,10)+1)</f>
        <v>H009</v>
      </c>
      <c r="C520">
        <f>_xlfn.XLOOKUP(B520,Dim_Hotel!$A$2:$A$11,Dim_Hotel!$F$2:$F$11)</f>
        <v>114</v>
      </c>
      <c r="D520">
        <f t="shared" si="65"/>
        <v>99</v>
      </c>
      <c r="E520">
        <f t="shared" si="66"/>
        <v>0.86842105263157898</v>
      </c>
      <c r="F520">
        <f t="shared" si="67"/>
        <v>255</v>
      </c>
      <c r="G520">
        <f t="shared" si="68"/>
        <v>221.44736842105263</v>
      </c>
      <c r="H520" t="str">
        <f>_xlfn.XLOOKUP(A520,Fact_Events!$D$2:$D$20,Fact_Events!$A$2:$A$20, "")</f>
        <v>E002</v>
      </c>
      <c r="I520">
        <f t="shared" si="69"/>
        <v>1</v>
      </c>
      <c r="J520">
        <f>_xlfn.XLOOKUP(H520, Fact_Events!$A$2:$A$20, Fact_Events!$F$2:$F$20, "")</f>
        <v>7</v>
      </c>
      <c r="K520" t="str">
        <f t="shared" si="70"/>
        <v>Medium</v>
      </c>
      <c r="L520">
        <f t="shared" si="71"/>
        <v>0.87000000000000011</v>
      </c>
      <c r="M520">
        <f>_xlfn.XLOOKUP(B520, Dim_Hotel!$A$2:$A$11, Dim_Hotel!$I$2:$I$11)
 + (IF(J520="",0,J520)
    * _xlfn.XLOOKUP(B520, Dim_Hotel!$A$2:$A$11, Dim_Hotel!$J$2:$J$11))</f>
        <v>255</v>
      </c>
    </row>
    <row r="521" spans="1:13" x14ac:dyDescent="0.25">
      <c r="A521" s="1">
        <f t="shared" si="64"/>
        <v>46074</v>
      </c>
      <c r="B521" t="str" cm="1">
        <f t="array" ref="B521">INDEX(HotelList,MOD(ROW()-2,10)+1)</f>
        <v>H010</v>
      </c>
      <c r="C521">
        <f>_xlfn.XLOOKUP(B521,Dim_Hotel!$A$2:$A$11,Dim_Hotel!$F$2:$F$11)</f>
        <v>89</v>
      </c>
      <c r="D521">
        <f t="shared" si="65"/>
        <v>77</v>
      </c>
      <c r="E521">
        <f t="shared" si="66"/>
        <v>0.8651685393258427</v>
      </c>
      <c r="F521">
        <f t="shared" si="67"/>
        <v>220</v>
      </c>
      <c r="G521">
        <f t="shared" si="68"/>
        <v>190.3370786516854</v>
      </c>
      <c r="H521" t="str">
        <f>_xlfn.XLOOKUP(A521,Fact_Events!$D$2:$D$20,Fact_Events!$A$2:$A$20, "")</f>
        <v>E002</v>
      </c>
      <c r="I521">
        <f t="shared" si="69"/>
        <v>1</v>
      </c>
      <c r="J521">
        <f>_xlfn.XLOOKUP(H521, Fact_Events!$A$2:$A$20, Fact_Events!$F$2:$F$20, "")</f>
        <v>7</v>
      </c>
      <c r="K521" t="str">
        <f t="shared" si="70"/>
        <v>Medium</v>
      </c>
      <c r="L521">
        <f t="shared" si="71"/>
        <v>0.87000000000000011</v>
      </c>
      <c r="M521">
        <f>_xlfn.XLOOKUP(B521, Dim_Hotel!$A$2:$A$11, Dim_Hotel!$I$2:$I$11)
 + (IF(J521="",0,J521)
    * _xlfn.XLOOKUP(B521, Dim_Hotel!$A$2:$A$11, Dim_Hotel!$J$2:$J$11))</f>
        <v>220</v>
      </c>
    </row>
    <row r="522" spans="1:13" x14ac:dyDescent="0.25">
      <c r="A522" s="1">
        <f t="shared" si="64"/>
        <v>46075</v>
      </c>
      <c r="B522" t="str" cm="1">
        <f t="array" ref="B522">INDEX(HotelList,MOD(ROW()-2,10)+1)</f>
        <v>H001</v>
      </c>
      <c r="C522">
        <f>_xlfn.XLOOKUP(B522,Dim_Hotel!$A$2:$A$11,Dim_Hotel!$F$2:$F$11)</f>
        <v>888</v>
      </c>
      <c r="D522">
        <f t="shared" si="65"/>
        <v>488</v>
      </c>
      <c r="E522">
        <f t="shared" si="66"/>
        <v>0.5495495495495496</v>
      </c>
      <c r="F522">
        <f t="shared" si="67"/>
        <v>260</v>
      </c>
      <c r="G522">
        <f t="shared" si="68"/>
        <v>142.88288288288288</v>
      </c>
      <c r="H522" t="str">
        <f>_xlfn.XLOOKUP(A522,Fact_Events!$D$2:$D$20,Fact_Events!$A$2:$A$20, "")</f>
        <v/>
      </c>
      <c r="I522">
        <f t="shared" si="69"/>
        <v>0</v>
      </c>
      <c r="J522" t="str">
        <f>_xlfn.XLOOKUP(H522, Fact_Events!$A$2:$A$20, Fact_Events!$F$2:$F$20, "")</f>
        <v/>
      </c>
      <c r="K522" t="str">
        <f t="shared" si="70"/>
        <v>Low</v>
      </c>
      <c r="L522">
        <f t="shared" si="71"/>
        <v>0.55000000000000004</v>
      </c>
      <c r="M522">
        <f>_xlfn.XLOOKUP(B522, Dim_Hotel!$A$2:$A$11, Dim_Hotel!$I$2:$I$11)
 + (IF(J522="",0,J522)
    * _xlfn.XLOOKUP(B522, Dim_Hotel!$A$2:$A$11, Dim_Hotel!$J$2:$J$11))</f>
        <v>260</v>
      </c>
    </row>
    <row r="523" spans="1:13" x14ac:dyDescent="0.25">
      <c r="A523" s="1">
        <f t="shared" si="64"/>
        <v>46075</v>
      </c>
      <c r="B523" t="str" cm="1">
        <f t="array" ref="B523">INDEX(HotelList,MOD(ROW()-2,10)+1)</f>
        <v>H002</v>
      </c>
      <c r="C523">
        <f>_xlfn.XLOOKUP(B523,Dim_Hotel!$A$2:$A$11,Dim_Hotel!$F$2:$F$11)</f>
        <v>147</v>
      </c>
      <c r="D523">
        <f t="shared" si="65"/>
        <v>81</v>
      </c>
      <c r="E523">
        <f t="shared" si="66"/>
        <v>0.55102040816326525</v>
      </c>
      <c r="F523">
        <f t="shared" si="67"/>
        <v>175</v>
      </c>
      <c r="G523">
        <f t="shared" si="68"/>
        <v>96.428571428571416</v>
      </c>
      <c r="H523" t="str">
        <f>_xlfn.XLOOKUP(A523,Fact_Events!$D$2:$D$20,Fact_Events!$A$2:$A$20, "")</f>
        <v/>
      </c>
      <c r="I523">
        <f t="shared" si="69"/>
        <v>0</v>
      </c>
      <c r="J523" t="str">
        <f>_xlfn.XLOOKUP(H523, Fact_Events!$A$2:$A$20, Fact_Events!$F$2:$F$20, "")</f>
        <v/>
      </c>
      <c r="K523" t="str">
        <f t="shared" si="70"/>
        <v>Low</v>
      </c>
      <c r="L523">
        <f t="shared" si="71"/>
        <v>0.55000000000000004</v>
      </c>
      <c r="M523">
        <f>_xlfn.XLOOKUP(B523, Dim_Hotel!$A$2:$A$11, Dim_Hotel!$I$2:$I$11)
 + (IF(J523="",0,J523)
    * _xlfn.XLOOKUP(B523, Dim_Hotel!$A$2:$A$11, Dim_Hotel!$J$2:$J$11))</f>
        <v>175</v>
      </c>
    </row>
    <row r="524" spans="1:13" x14ac:dyDescent="0.25">
      <c r="A524" s="1">
        <f t="shared" si="64"/>
        <v>46075</v>
      </c>
      <c r="B524" t="str" cm="1">
        <f t="array" ref="B524">INDEX(HotelList,MOD(ROW()-2,10)+1)</f>
        <v>H003</v>
      </c>
      <c r="C524">
        <f>_xlfn.XLOOKUP(B524,Dim_Hotel!$A$2:$A$11,Dim_Hotel!$F$2:$F$11)</f>
        <v>121</v>
      </c>
      <c r="D524">
        <f t="shared" si="65"/>
        <v>67</v>
      </c>
      <c r="E524">
        <f t="shared" si="66"/>
        <v>0.55371900826446285</v>
      </c>
      <c r="F524">
        <f t="shared" si="67"/>
        <v>145</v>
      </c>
      <c r="G524">
        <f t="shared" si="68"/>
        <v>80.289256198347118</v>
      </c>
      <c r="H524" t="str">
        <f>_xlfn.XLOOKUP(A524,Fact_Events!$D$2:$D$20,Fact_Events!$A$2:$A$20, "")</f>
        <v/>
      </c>
      <c r="I524">
        <f t="shared" si="69"/>
        <v>0</v>
      </c>
      <c r="J524" t="str">
        <f>_xlfn.XLOOKUP(H524, Fact_Events!$A$2:$A$20, Fact_Events!$F$2:$F$20, "")</f>
        <v/>
      </c>
      <c r="K524" t="str">
        <f t="shared" si="70"/>
        <v>Low</v>
      </c>
      <c r="L524">
        <f t="shared" si="71"/>
        <v>0.55000000000000004</v>
      </c>
      <c r="M524">
        <f>_xlfn.XLOOKUP(B524, Dim_Hotel!$A$2:$A$11, Dim_Hotel!$I$2:$I$11)
 + (IF(J524="",0,J524)
    * _xlfn.XLOOKUP(B524, Dim_Hotel!$A$2:$A$11, Dim_Hotel!$J$2:$J$11))</f>
        <v>145</v>
      </c>
    </row>
    <row r="525" spans="1:13" x14ac:dyDescent="0.25">
      <c r="A525" s="1">
        <f t="shared" si="64"/>
        <v>46075</v>
      </c>
      <c r="B525" t="str" cm="1">
        <f t="array" ref="B525">INDEX(HotelList,MOD(ROW()-2,10)+1)</f>
        <v>H004</v>
      </c>
      <c r="C525">
        <f>_xlfn.XLOOKUP(B525,Dim_Hotel!$A$2:$A$11,Dim_Hotel!$F$2:$F$11)</f>
        <v>108</v>
      </c>
      <c r="D525">
        <f t="shared" si="65"/>
        <v>59</v>
      </c>
      <c r="E525">
        <f t="shared" si="66"/>
        <v>0.54629629629629628</v>
      </c>
      <c r="F525">
        <f t="shared" si="67"/>
        <v>135</v>
      </c>
      <c r="G525">
        <f t="shared" si="68"/>
        <v>73.75</v>
      </c>
      <c r="H525" t="str">
        <f>_xlfn.XLOOKUP(A525,Fact_Events!$D$2:$D$20,Fact_Events!$A$2:$A$20, "")</f>
        <v/>
      </c>
      <c r="I525">
        <f t="shared" si="69"/>
        <v>0</v>
      </c>
      <c r="J525" t="str">
        <f>_xlfn.XLOOKUP(H525, Fact_Events!$A$2:$A$20, Fact_Events!$F$2:$F$20, "")</f>
        <v/>
      </c>
      <c r="K525" t="str">
        <f t="shared" si="70"/>
        <v>Low</v>
      </c>
      <c r="L525">
        <f t="shared" si="71"/>
        <v>0.55000000000000004</v>
      </c>
      <c r="M525">
        <f>_xlfn.XLOOKUP(B525, Dim_Hotel!$A$2:$A$11, Dim_Hotel!$I$2:$I$11)
 + (IF(J525="",0,J525)
    * _xlfn.XLOOKUP(B525, Dim_Hotel!$A$2:$A$11, Dim_Hotel!$J$2:$J$11))</f>
        <v>135</v>
      </c>
    </row>
    <row r="526" spans="1:13" x14ac:dyDescent="0.25">
      <c r="A526" s="1">
        <f t="shared" si="64"/>
        <v>46075</v>
      </c>
      <c r="B526" t="str" cm="1">
        <f t="array" ref="B526">INDEX(HotelList,MOD(ROW()-2,10)+1)</f>
        <v>H005</v>
      </c>
      <c r="C526">
        <f>_xlfn.XLOOKUP(B526,Dim_Hotel!$A$2:$A$11,Dim_Hotel!$F$2:$F$11)</f>
        <v>66</v>
      </c>
      <c r="D526">
        <f t="shared" si="65"/>
        <v>36</v>
      </c>
      <c r="E526">
        <f t="shared" si="66"/>
        <v>0.54545454545454541</v>
      </c>
      <c r="F526">
        <f t="shared" si="67"/>
        <v>82</v>
      </c>
      <c r="G526">
        <f t="shared" si="68"/>
        <v>44.727272727272727</v>
      </c>
      <c r="H526" t="str">
        <f>_xlfn.XLOOKUP(A526,Fact_Events!$D$2:$D$20,Fact_Events!$A$2:$A$20, "")</f>
        <v/>
      </c>
      <c r="I526">
        <f t="shared" si="69"/>
        <v>0</v>
      </c>
      <c r="J526" t="str">
        <f>_xlfn.XLOOKUP(H526, Fact_Events!$A$2:$A$20, Fact_Events!$F$2:$F$20, "")</f>
        <v/>
      </c>
      <c r="K526" t="str">
        <f t="shared" si="70"/>
        <v>Low</v>
      </c>
      <c r="L526">
        <f t="shared" si="71"/>
        <v>0.55000000000000004</v>
      </c>
      <c r="M526">
        <f>_xlfn.XLOOKUP(B526, Dim_Hotel!$A$2:$A$11, Dim_Hotel!$I$2:$I$11)
 + (IF(J526="",0,J526)
    * _xlfn.XLOOKUP(B526, Dim_Hotel!$A$2:$A$11, Dim_Hotel!$J$2:$J$11))</f>
        <v>82</v>
      </c>
    </row>
    <row r="527" spans="1:13" x14ac:dyDescent="0.25">
      <c r="A527" s="1">
        <f t="shared" si="64"/>
        <v>46075</v>
      </c>
      <c r="B527" t="str" cm="1">
        <f t="array" ref="B527">INDEX(HotelList,MOD(ROW()-2,10)+1)</f>
        <v>H006</v>
      </c>
      <c r="C527">
        <f>_xlfn.XLOOKUP(B527,Dim_Hotel!$A$2:$A$11,Dim_Hotel!$F$2:$F$11)</f>
        <v>311</v>
      </c>
      <c r="D527">
        <f t="shared" si="65"/>
        <v>171</v>
      </c>
      <c r="E527">
        <f t="shared" si="66"/>
        <v>0.54983922829581988</v>
      </c>
      <c r="F527">
        <f t="shared" si="67"/>
        <v>190</v>
      </c>
      <c r="G527">
        <f t="shared" si="68"/>
        <v>104.46945337620578</v>
      </c>
      <c r="H527" t="str">
        <f>_xlfn.XLOOKUP(A527,Fact_Events!$D$2:$D$20,Fact_Events!$A$2:$A$20, "")</f>
        <v/>
      </c>
      <c r="I527">
        <f t="shared" si="69"/>
        <v>0</v>
      </c>
      <c r="J527" t="str">
        <f>_xlfn.XLOOKUP(H527, Fact_Events!$A$2:$A$20, Fact_Events!$F$2:$F$20, "")</f>
        <v/>
      </c>
      <c r="K527" t="str">
        <f t="shared" si="70"/>
        <v>Low</v>
      </c>
      <c r="L527">
        <f t="shared" si="71"/>
        <v>0.55000000000000004</v>
      </c>
      <c r="M527">
        <f>_xlfn.XLOOKUP(B527, Dim_Hotel!$A$2:$A$11, Dim_Hotel!$I$2:$I$11)
 + (IF(J527="",0,J527)
    * _xlfn.XLOOKUP(B527, Dim_Hotel!$A$2:$A$11, Dim_Hotel!$J$2:$J$11))</f>
        <v>190</v>
      </c>
    </row>
    <row r="528" spans="1:13" x14ac:dyDescent="0.25">
      <c r="A528" s="1">
        <f t="shared" si="64"/>
        <v>46075</v>
      </c>
      <c r="B528" t="str" cm="1">
        <f t="array" ref="B528">INDEX(HotelList,MOD(ROW()-2,10)+1)</f>
        <v>H007</v>
      </c>
      <c r="C528">
        <f>_xlfn.XLOOKUP(B528,Dim_Hotel!$A$2:$A$11,Dim_Hotel!$F$2:$F$11)</f>
        <v>132</v>
      </c>
      <c r="D528">
        <f t="shared" si="65"/>
        <v>73</v>
      </c>
      <c r="E528">
        <f t="shared" si="66"/>
        <v>0.55303030303030298</v>
      </c>
      <c r="F528">
        <f t="shared" si="67"/>
        <v>165</v>
      </c>
      <c r="G528">
        <f t="shared" si="68"/>
        <v>91.249999999999986</v>
      </c>
      <c r="H528" t="str">
        <f>_xlfn.XLOOKUP(A528,Fact_Events!$D$2:$D$20,Fact_Events!$A$2:$A$20, "")</f>
        <v/>
      </c>
      <c r="I528">
        <f t="shared" si="69"/>
        <v>0</v>
      </c>
      <c r="J528" t="str">
        <f>_xlfn.XLOOKUP(H528, Fact_Events!$A$2:$A$20, Fact_Events!$F$2:$F$20, "")</f>
        <v/>
      </c>
      <c r="K528" t="str">
        <f t="shared" si="70"/>
        <v>Low</v>
      </c>
      <c r="L528">
        <f t="shared" si="71"/>
        <v>0.55000000000000004</v>
      </c>
      <c r="M528">
        <f>_xlfn.XLOOKUP(B528, Dim_Hotel!$A$2:$A$11, Dim_Hotel!$I$2:$I$11)
 + (IF(J528="",0,J528)
    * _xlfn.XLOOKUP(B528, Dim_Hotel!$A$2:$A$11, Dim_Hotel!$J$2:$J$11))</f>
        <v>165</v>
      </c>
    </row>
    <row r="529" spans="1:13" x14ac:dyDescent="0.25">
      <c r="A529" s="1">
        <f t="shared" si="64"/>
        <v>46075</v>
      </c>
      <c r="B529" t="str" cm="1">
        <f t="array" ref="B529">INDEX(HotelList,MOD(ROW()-2,10)+1)</f>
        <v>H008</v>
      </c>
      <c r="C529">
        <f>_xlfn.XLOOKUP(B529,Dim_Hotel!$A$2:$A$11,Dim_Hotel!$F$2:$F$11)</f>
        <v>103</v>
      </c>
      <c r="D529">
        <f t="shared" si="65"/>
        <v>57</v>
      </c>
      <c r="E529">
        <f t="shared" si="66"/>
        <v>0.55339805825242716</v>
      </c>
      <c r="F529">
        <f t="shared" si="67"/>
        <v>140</v>
      </c>
      <c r="G529">
        <f t="shared" si="68"/>
        <v>77.475728155339809</v>
      </c>
      <c r="H529" t="str">
        <f>_xlfn.XLOOKUP(A529,Fact_Events!$D$2:$D$20,Fact_Events!$A$2:$A$20, "")</f>
        <v/>
      </c>
      <c r="I529">
        <f t="shared" si="69"/>
        <v>0</v>
      </c>
      <c r="J529" t="str">
        <f>_xlfn.XLOOKUP(H529, Fact_Events!$A$2:$A$20, Fact_Events!$F$2:$F$20, "")</f>
        <v/>
      </c>
      <c r="K529" t="str">
        <f t="shared" si="70"/>
        <v>Low</v>
      </c>
      <c r="L529">
        <f t="shared" si="71"/>
        <v>0.55000000000000004</v>
      </c>
      <c r="M529">
        <f>_xlfn.XLOOKUP(B529, Dim_Hotel!$A$2:$A$11, Dim_Hotel!$I$2:$I$11)
 + (IF(J529="",0,J529)
    * _xlfn.XLOOKUP(B529, Dim_Hotel!$A$2:$A$11, Dim_Hotel!$J$2:$J$11))</f>
        <v>140</v>
      </c>
    </row>
    <row r="530" spans="1:13" x14ac:dyDescent="0.25">
      <c r="A530" s="1">
        <f t="shared" si="64"/>
        <v>46075</v>
      </c>
      <c r="B530" t="str" cm="1">
        <f t="array" ref="B530">INDEX(HotelList,MOD(ROW()-2,10)+1)</f>
        <v>H009</v>
      </c>
      <c r="C530">
        <f>_xlfn.XLOOKUP(B530,Dim_Hotel!$A$2:$A$11,Dim_Hotel!$F$2:$F$11)</f>
        <v>114</v>
      </c>
      <c r="D530">
        <f t="shared" si="65"/>
        <v>63</v>
      </c>
      <c r="E530">
        <f t="shared" si="66"/>
        <v>0.55263157894736847</v>
      </c>
      <c r="F530">
        <f t="shared" si="67"/>
        <v>185</v>
      </c>
      <c r="G530">
        <f t="shared" si="68"/>
        <v>102.23684210526316</v>
      </c>
      <c r="H530" t="str">
        <f>_xlfn.XLOOKUP(A530,Fact_Events!$D$2:$D$20,Fact_Events!$A$2:$A$20, "")</f>
        <v/>
      </c>
      <c r="I530">
        <f t="shared" si="69"/>
        <v>0</v>
      </c>
      <c r="J530" t="str">
        <f>_xlfn.XLOOKUP(H530, Fact_Events!$A$2:$A$20, Fact_Events!$F$2:$F$20, "")</f>
        <v/>
      </c>
      <c r="K530" t="str">
        <f t="shared" si="70"/>
        <v>Low</v>
      </c>
      <c r="L530">
        <f t="shared" si="71"/>
        <v>0.55000000000000004</v>
      </c>
      <c r="M530">
        <f>_xlfn.XLOOKUP(B530, Dim_Hotel!$A$2:$A$11, Dim_Hotel!$I$2:$I$11)
 + (IF(J530="",0,J530)
    * _xlfn.XLOOKUP(B530, Dim_Hotel!$A$2:$A$11, Dim_Hotel!$J$2:$J$11))</f>
        <v>185</v>
      </c>
    </row>
    <row r="531" spans="1:13" x14ac:dyDescent="0.25">
      <c r="A531" s="1">
        <f t="shared" si="64"/>
        <v>46075</v>
      </c>
      <c r="B531" t="str" cm="1">
        <f t="array" ref="B531">INDEX(HotelList,MOD(ROW()-2,10)+1)</f>
        <v>H010</v>
      </c>
      <c r="C531">
        <f>_xlfn.XLOOKUP(B531,Dim_Hotel!$A$2:$A$11,Dim_Hotel!$F$2:$F$11)</f>
        <v>89</v>
      </c>
      <c r="D531">
        <f t="shared" si="65"/>
        <v>49</v>
      </c>
      <c r="E531">
        <f t="shared" si="66"/>
        <v>0.550561797752809</v>
      </c>
      <c r="F531">
        <f t="shared" si="67"/>
        <v>150</v>
      </c>
      <c r="G531">
        <f t="shared" si="68"/>
        <v>82.584269662921344</v>
      </c>
      <c r="H531" t="str">
        <f>_xlfn.XLOOKUP(A531,Fact_Events!$D$2:$D$20,Fact_Events!$A$2:$A$20, "")</f>
        <v/>
      </c>
      <c r="I531">
        <f t="shared" si="69"/>
        <v>0</v>
      </c>
      <c r="J531" t="str">
        <f>_xlfn.XLOOKUP(H531, Fact_Events!$A$2:$A$20, Fact_Events!$F$2:$F$20, "")</f>
        <v/>
      </c>
      <c r="K531" t="str">
        <f t="shared" si="70"/>
        <v>Low</v>
      </c>
      <c r="L531">
        <f t="shared" si="71"/>
        <v>0.55000000000000004</v>
      </c>
      <c r="M531">
        <f>_xlfn.XLOOKUP(B531, Dim_Hotel!$A$2:$A$11, Dim_Hotel!$I$2:$I$11)
 + (IF(J531="",0,J531)
    * _xlfn.XLOOKUP(B531, Dim_Hotel!$A$2:$A$11, Dim_Hotel!$J$2:$J$11))</f>
        <v>150</v>
      </c>
    </row>
    <row r="532" spans="1:13" x14ac:dyDescent="0.25">
      <c r="A532" s="1">
        <f t="shared" si="64"/>
        <v>46076</v>
      </c>
      <c r="B532" t="str" cm="1">
        <f t="array" ref="B532">INDEX(HotelList,MOD(ROW()-2,10)+1)</f>
        <v>H001</v>
      </c>
      <c r="C532">
        <f>_xlfn.XLOOKUP(B532,Dim_Hotel!$A$2:$A$11,Dim_Hotel!$F$2:$F$11)</f>
        <v>888</v>
      </c>
      <c r="D532">
        <f t="shared" si="65"/>
        <v>488</v>
      </c>
      <c r="E532">
        <f t="shared" si="66"/>
        <v>0.5495495495495496</v>
      </c>
      <c r="F532">
        <f t="shared" si="67"/>
        <v>260</v>
      </c>
      <c r="G532">
        <f t="shared" si="68"/>
        <v>142.88288288288288</v>
      </c>
      <c r="H532" t="str">
        <f>_xlfn.XLOOKUP(A532,Fact_Events!$D$2:$D$20,Fact_Events!$A$2:$A$20, "")</f>
        <v/>
      </c>
      <c r="I532">
        <f t="shared" si="69"/>
        <v>0</v>
      </c>
      <c r="J532" t="str">
        <f>_xlfn.XLOOKUP(H532, Fact_Events!$A$2:$A$20, Fact_Events!$F$2:$F$20, "")</f>
        <v/>
      </c>
      <c r="K532" t="str">
        <f t="shared" si="70"/>
        <v>Low</v>
      </c>
      <c r="L532">
        <f t="shared" si="71"/>
        <v>0.55000000000000004</v>
      </c>
      <c r="M532">
        <f>_xlfn.XLOOKUP(B532, Dim_Hotel!$A$2:$A$11, Dim_Hotel!$I$2:$I$11)
 + (IF(J532="",0,J532)
    * _xlfn.XLOOKUP(B532, Dim_Hotel!$A$2:$A$11, Dim_Hotel!$J$2:$J$11))</f>
        <v>260</v>
      </c>
    </row>
    <row r="533" spans="1:13" x14ac:dyDescent="0.25">
      <c r="A533" s="1">
        <f t="shared" si="64"/>
        <v>46076</v>
      </c>
      <c r="B533" t="str" cm="1">
        <f t="array" ref="B533">INDEX(HotelList,MOD(ROW()-2,10)+1)</f>
        <v>H002</v>
      </c>
      <c r="C533">
        <f>_xlfn.XLOOKUP(B533,Dim_Hotel!$A$2:$A$11,Dim_Hotel!$F$2:$F$11)</f>
        <v>147</v>
      </c>
      <c r="D533">
        <f t="shared" si="65"/>
        <v>81</v>
      </c>
      <c r="E533">
        <f t="shared" si="66"/>
        <v>0.55102040816326525</v>
      </c>
      <c r="F533">
        <f t="shared" si="67"/>
        <v>175</v>
      </c>
      <c r="G533">
        <f t="shared" si="68"/>
        <v>96.428571428571416</v>
      </c>
      <c r="H533" t="str">
        <f>_xlfn.XLOOKUP(A533,Fact_Events!$D$2:$D$20,Fact_Events!$A$2:$A$20, "")</f>
        <v/>
      </c>
      <c r="I533">
        <f t="shared" si="69"/>
        <v>0</v>
      </c>
      <c r="J533" t="str">
        <f>_xlfn.XLOOKUP(H533, Fact_Events!$A$2:$A$20, Fact_Events!$F$2:$F$20, "")</f>
        <v/>
      </c>
      <c r="K533" t="str">
        <f t="shared" si="70"/>
        <v>Low</v>
      </c>
      <c r="L533">
        <f t="shared" si="71"/>
        <v>0.55000000000000004</v>
      </c>
      <c r="M533">
        <f>_xlfn.XLOOKUP(B533, Dim_Hotel!$A$2:$A$11, Dim_Hotel!$I$2:$I$11)
 + (IF(J533="",0,J533)
    * _xlfn.XLOOKUP(B533, Dim_Hotel!$A$2:$A$11, Dim_Hotel!$J$2:$J$11))</f>
        <v>175</v>
      </c>
    </row>
    <row r="534" spans="1:13" x14ac:dyDescent="0.25">
      <c r="A534" s="1">
        <f t="shared" si="64"/>
        <v>46076</v>
      </c>
      <c r="B534" t="str" cm="1">
        <f t="array" ref="B534">INDEX(HotelList,MOD(ROW()-2,10)+1)</f>
        <v>H003</v>
      </c>
      <c r="C534">
        <f>_xlfn.XLOOKUP(B534,Dim_Hotel!$A$2:$A$11,Dim_Hotel!$F$2:$F$11)</f>
        <v>121</v>
      </c>
      <c r="D534">
        <f t="shared" si="65"/>
        <v>67</v>
      </c>
      <c r="E534">
        <f t="shared" si="66"/>
        <v>0.55371900826446285</v>
      </c>
      <c r="F534">
        <f t="shared" si="67"/>
        <v>145</v>
      </c>
      <c r="G534">
        <f t="shared" si="68"/>
        <v>80.289256198347118</v>
      </c>
      <c r="H534" t="str">
        <f>_xlfn.XLOOKUP(A534,Fact_Events!$D$2:$D$20,Fact_Events!$A$2:$A$20, "")</f>
        <v/>
      </c>
      <c r="I534">
        <f t="shared" si="69"/>
        <v>0</v>
      </c>
      <c r="J534" t="str">
        <f>_xlfn.XLOOKUP(H534, Fact_Events!$A$2:$A$20, Fact_Events!$F$2:$F$20, "")</f>
        <v/>
      </c>
      <c r="K534" t="str">
        <f t="shared" si="70"/>
        <v>Low</v>
      </c>
      <c r="L534">
        <f t="shared" si="71"/>
        <v>0.55000000000000004</v>
      </c>
      <c r="M534">
        <f>_xlfn.XLOOKUP(B534, Dim_Hotel!$A$2:$A$11, Dim_Hotel!$I$2:$I$11)
 + (IF(J534="",0,J534)
    * _xlfn.XLOOKUP(B534, Dim_Hotel!$A$2:$A$11, Dim_Hotel!$J$2:$J$11))</f>
        <v>145</v>
      </c>
    </row>
    <row r="535" spans="1:13" x14ac:dyDescent="0.25">
      <c r="A535" s="1">
        <f t="shared" si="64"/>
        <v>46076</v>
      </c>
      <c r="B535" t="str" cm="1">
        <f t="array" ref="B535">INDEX(HotelList,MOD(ROW()-2,10)+1)</f>
        <v>H004</v>
      </c>
      <c r="C535">
        <f>_xlfn.XLOOKUP(B535,Dim_Hotel!$A$2:$A$11,Dim_Hotel!$F$2:$F$11)</f>
        <v>108</v>
      </c>
      <c r="D535">
        <f t="shared" si="65"/>
        <v>59</v>
      </c>
      <c r="E535">
        <f t="shared" si="66"/>
        <v>0.54629629629629628</v>
      </c>
      <c r="F535">
        <f t="shared" si="67"/>
        <v>135</v>
      </c>
      <c r="G535">
        <f t="shared" si="68"/>
        <v>73.75</v>
      </c>
      <c r="H535" t="str">
        <f>_xlfn.XLOOKUP(A535,Fact_Events!$D$2:$D$20,Fact_Events!$A$2:$A$20, "")</f>
        <v/>
      </c>
      <c r="I535">
        <f t="shared" si="69"/>
        <v>0</v>
      </c>
      <c r="J535" t="str">
        <f>_xlfn.XLOOKUP(H535, Fact_Events!$A$2:$A$20, Fact_Events!$F$2:$F$20, "")</f>
        <v/>
      </c>
      <c r="K535" t="str">
        <f t="shared" si="70"/>
        <v>Low</v>
      </c>
      <c r="L535">
        <f t="shared" si="71"/>
        <v>0.55000000000000004</v>
      </c>
      <c r="M535">
        <f>_xlfn.XLOOKUP(B535, Dim_Hotel!$A$2:$A$11, Dim_Hotel!$I$2:$I$11)
 + (IF(J535="",0,J535)
    * _xlfn.XLOOKUP(B535, Dim_Hotel!$A$2:$A$11, Dim_Hotel!$J$2:$J$11))</f>
        <v>135</v>
      </c>
    </row>
    <row r="536" spans="1:13" x14ac:dyDescent="0.25">
      <c r="A536" s="1">
        <f t="shared" si="64"/>
        <v>46076</v>
      </c>
      <c r="B536" t="str" cm="1">
        <f t="array" ref="B536">INDEX(HotelList,MOD(ROW()-2,10)+1)</f>
        <v>H005</v>
      </c>
      <c r="C536">
        <f>_xlfn.XLOOKUP(B536,Dim_Hotel!$A$2:$A$11,Dim_Hotel!$F$2:$F$11)</f>
        <v>66</v>
      </c>
      <c r="D536">
        <f t="shared" si="65"/>
        <v>36</v>
      </c>
      <c r="E536">
        <f t="shared" si="66"/>
        <v>0.54545454545454541</v>
      </c>
      <c r="F536">
        <f t="shared" si="67"/>
        <v>82</v>
      </c>
      <c r="G536">
        <f t="shared" si="68"/>
        <v>44.727272727272727</v>
      </c>
      <c r="H536" t="str">
        <f>_xlfn.XLOOKUP(A536,Fact_Events!$D$2:$D$20,Fact_Events!$A$2:$A$20, "")</f>
        <v/>
      </c>
      <c r="I536">
        <f t="shared" si="69"/>
        <v>0</v>
      </c>
      <c r="J536" t="str">
        <f>_xlfn.XLOOKUP(H536, Fact_Events!$A$2:$A$20, Fact_Events!$F$2:$F$20, "")</f>
        <v/>
      </c>
      <c r="K536" t="str">
        <f t="shared" si="70"/>
        <v>Low</v>
      </c>
      <c r="L536">
        <f t="shared" si="71"/>
        <v>0.55000000000000004</v>
      </c>
      <c r="M536">
        <f>_xlfn.XLOOKUP(B536, Dim_Hotel!$A$2:$A$11, Dim_Hotel!$I$2:$I$11)
 + (IF(J536="",0,J536)
    * _xlfn.XLOOKUP(B536, Dim_Hotel!$A$2:$A$11, Dim_Hotel!$J$2:$J$11))</f>
        <v>82</v>
      </c>
    </row>
    <row r="537" spans="1:13" x14ac:dyDescent="0.25">
      <c r="A537" s="1">
        <f t="shared" si="64"/>
        <v>46076</v>
      </c>
      <c r="B537" t="str" cm="1">
        <f t="array" ref="B537">INDEX(HotelList,MOD(ROW()-2,10)+1)</f>
        <v>H006</v>
      </c>
      <c r="C537">
        <f>_xlfn.XLOOKUP(B537,Dim_Hotel!$A$2:$A$11,Dim_Hotel!$F$2:$F$11)</f>
        <v>311</v>
      </c>
      <c r="D537">
        <f t="shared" si="65"/>
        <v>171</v>
      </c>
      <c r="E537">
        <f t="shared" si="66"/>
        <v>0.54983922829581988</v>
      </c>
      <c r="F537">
        <f t="shared" si="67"/>
        <v>190</v>
      </c>
      <c r="G537">
        <f t="shared" si="68"/>
        <v>104.46945337620578</v>
      </c>
      <c r="H537" t="str">
        <f>_xlfn.XLOOKUP(A537,Fact_Events!$D$2:$D$20,Fact_Events!$A$2:$A$20, "")</f>
        <v/>
      </c>
      <c r="I537">
        <f t="shared" si="69"/>
        <v>0</v>
      </c>
      <c r="J537" t="str">
        <f>_xlfn.XLOOKUP(H537, Fact_Events!$A$2:$A$20, Fact_Events!$F$2:$F$20, "")</f>
        <v/>
      </c>
      <c r="K537" t="str">
        <f t="shared" si="70"/>
        <v>Low</v>
      </c>
      <c r="L537">
        <f t="shared" si="71"/>
        <v>0.55000000000000004</v>
      </c>
      <c r="M537">
        <f>_xlfn.XLOOKUP(B537, Dim_Hotel!$A$2:$A$11, Dim_Hotel!$I$2:$I$11)
 + (IF(J537="",0,J537)
    * _xlfn.XLOOKUP(B537, Dim_Hotel!$A$2:$A$11, Dim_Hotel!$J$2:$J$11))</f>
        <v>190</v>
      </c>
    </row>
    <row r="538" spans="1:13" x14ac:dyDescent="0.25">
      <c r="A538" s="1">
        <f t="shared" si="64"/>
        <v>46076</v>
      </c>
      <c r="B538" t="str" cm="1">
        <f t="array" ref="B538">INDEX(HotelList,MOD(ROW()-2,10)+1)</f>
        <v>H007</v>
      </c>
      <c r="C538">
        <f>_xlfn.XLOOKUP(B538,Dim_Hotel!$A$2:$A$11,Dim_Hotel!$F$2:$F$11)</f>
        <v>132</v>
      </c>
      <c r="D538">
        <f t="shared" si="65"/>
        <v>73</v>
      </c>
      <c r="E538">
        <f t="shared" si="66"/>
        <v>0.55303030303030298</v>
      </c>
      <c r="F538">
        <f t="shared" si="67"/>
        <v>165</v>
      </c>
      <c r="G538">
        <f t="shared" si="68"/>
        <v>91.249999999999986</v>
      </c>
      <c r="H538" t="str">
        <f>_xlfn.XLOOKUP(A538,Fact_Events!$D$2:$D$20,Fact_Events!$A$2:$A$20, "")</f>
        <v/>
      </c>
      <c r="I538">
        <f t="shared" si="69"/>
        <v>0</v>
      </c>
      <c r="J538" t="str">
        <f>_xlfn.XLOOKUP(H538, Fact_Events!$A$2:$A$20, Fact_Events!$F$2:$F$20, "")</f>
        <v/>
      </c>
      <c r="K538" t="str">
        <f t="shared" si="70"/>
        <v>Low</v>
      </c>
      <c r="L538">
        <f t="shared" si="71"/>
        <v>0.55000000000000004</v>
      </c>
      <c r="M538">
        <f>_xlfn.XLOOKUP(B538, Dim_Hotel!$A$2:$A$11, Dim_Hotel!$I$2:$I$11)
 + (IF(J538="",0,J538)
    * _xlfn.XLOOKUP(B538, Dim_Hotel!$A$2:$A$11, Dim_Hotel!$J$2:$J$11))</f>
        <v>165</v>
      </c>
    </row>
    <row r="539" spans="1:13" x14ac:dyDescent="0.25">
      <c r="A539" s="1">
        <f t="shared" si="64"/>
        <v>46076</v>
      </c>
      <c r="B539" t="str" cm="1">
        <f t="array" ref="B539">INDEX(HotelList,MOD(ROW()-2,10)+1)</f>
        <v>H008</v>
      </c>
      <c r="C539">
        <f>_xlfn.XLOOKUP(B539,Dim_Hotel!$A$2:$A$11,Dim_Hotel!$F$2:$F$11)</f>
        <v>103</v>
      </c>
      <c r="D539">
        <f t="shared" si="65"/>
        <v>57</v>
      </c>
      <c r="E539">
        <f t="shared" si="66"/>
        <v>0.55339805825242716</v>
      </c>
      <c r="F539">
        <f t="shared" si="67"/>
        <v>140</v>
      </c>
      <c r="G539">
        <f t="shared" si="68"/>
        <v>77.475728155339809</v>
      </c>
      <c r="H539" t="str">
        <f>_xlfn.XLOOKUP(A539,Fact_Events!$D$2:$D$20,Fact_Events!$A$2:$A$20, "")</f>
        <v/>
      </c>
      <c r="I539">
        <f t="shared" si="69"/>
        <v>0</v>
      </c>
      <c r="J539" t="str">
        <f>_xlfn.XLOOKUP(H539, Fact_Events!$A$2:$A$20, Fact_Events!$F$2:$F$20, "")</f>
        <v/>
      </c>
      <c r="K539" t="str">
        <f t="shared" si="70"/>
        <v>Low</v>
      </c>
      <c r="L539">
        <f t="shared" si="71"/>
        <v>0.55000000000000004</v>
      </c>
      <c r="M539">
        <f>_xlfn.XLOOKUP(B539, Dim_Hotel!$A$2:$A$11, Dim_Hotel!$I$2:$I$11)
 + (IF(J539="",0,J539)
    * _xlfn.XLOOKUP(B539, Dim_Hotel!$A$2:$A$11, Dim_Hotel!$J$2:$J$11))</f>
        <v>140</v>
      </c>
    </row>
    <row r="540" spans="1:13" x14ac:dyDescent="0.25">
      <c r="A540" s="1">
        <f t="shared" si="64"/>
        <v>46076</v>
      </c>
      <c r="B540" t="str" cm="1">
        <f t="array" ref="B540">INDEX(HotelList,MOD(ROW()-2,10)+1)</f>
        <v>H009</v>
      </c>
      <c r="C540">
        <f>_xlfn.XLOOKUP(B540,Dim_Hotel!$A$2:$A$11,Dim_Hotel!$F$2:$F$11)</f>
        <v>114</v>
      </c>
      <c r="D540">
        <f t="shared" si="65"/>
        <v>63</v>
      </c>
      <c r="E540">
        <f t="shared" si="66"/>
        <v>0.55263157894736847</v>
      </c>
      <c r="F540">
        <f t="shared" si="67"/>
        <v>185</v>
      </c>
      <c r="G540">
        <f t="shared" si="68"/>
        <v>102.23684210526316</v>
      </c>
      <c r="H540" t="str">
        <f>_xlfn.XLOOKUP(A540,Fact_Events!$D$2:$D$20,Fact_Events!$A$2:$A$20, "")</f>
        <v/>
      </c>
      <c r="I540">
        <f t="shared" si="69"/>
        <v>0</v>
      </c>
      <c r="J540" t="str">
        <f>_xlfn.XLOOKUP(H540, Fact_Events!$A$2:$A$20, Fact_Events!$F$2:$F$20, "")</f>
        <v/>
      </c>
      <c r="K540" t="str">
        <f t="shared" si="70"/>
        <v>Low</v>
      </c>
      <c r="L540">
        <f t="shared" si="71"/>
        <v>0.55000000000000004</v>
      </c>
      <c r="M540">
        <f>_xlfn.XLOOKUP(B540, Dim_Hotel!$A$2:$A$11, Dim_Hotel!$I$2:$I$11)
 + (IF(J540="",0,J540)
    * _xlfn.XLOOKUP(B540, Dim_Hotel!$A$2:$A$11, Dim_Hotel!$J$2:$J$11))</f>
        <v>185</v>
      </c>
    </row>
    <row r="541" spans="1:13" x14ac:dyDescent="0.25">
      <c r="A541" s="1">
        <f t="shared" si="64"/>
        <v>46076</v>
      </c>
      <c r="B541" t="str" cm="1">
        <f t="array" ref="B541">INDEX(HotelList,MOD(ROW()-2,10)+1)</f>
        <v>H010</v>
      </c>
      <c r="C541">
        <f>_xlfn.XLOOKUP(B541,Dim_Hotel!$A$2:$A$11,Dim_Hotel!$F$2:$F$11)</f>
        <v>89</v>
      </c>
      <c r="D541">
        <f t="shared" si="65"/>
        <v>49</v>
      </c>
      <c r="E541">
        <f t="shared" si="66"/>
        <v>0.550561797752809</v>
      </c>
      <c r="F541">
        <f t="shared" si="67"/>
        <v>150</v>
      </c>
      <c r="G541">
        <f t="shared" si="68"/>
        <v>82.584269662921344</v>
      </c>
      <c r="H541" t="str">
        <f>_xlfn.XLOOKUP(A541,Fact_Events!$D$2:$D$20,Fact_Events!$A$2:$A$20, "")</f>
        <v/>
      </c>
      <c r="I541">
        <f t="shared" si="69"/>
        <v>0</v>
      </c>
      <c r="J541" t="str">
        <f>_xlfn.XLOOKUP(H541, Fact_Events!$A$2:$A$20, Fact_Events!$F$2:$F$20, "")</f>
        <v/>
      </c>
      <c r="K541" t="str">
        <f t="shared" si="70"/>
        <v>Low</v>
      </c>
      <c r="L541">
        <f t="shared" si="71"/>
        <v>0.55000000000000004</v>
      </c>
      <c r="M541">
        <f>_xlfn.XLOOKUP(B541, Dim_Hotel!$A$2:$A$11, Dim_Hotel!$I$2:$I$11)
 + (IF(J541="",0,J541)
    * _xlfn.XLOOKUP(B541, Dim_Hotel!$A$2:$A$11, Dim_Hotel!$J$2:$J$11))</f>
        <v>150</v>
      </c>
    </row>
    <row r="542" spans="1:13" x14ac:dyDescent="0.25">
      <c r="A542" s="1">
        <f t="shared" si="64"/>
        <v>46077</v>
      </c>
      <c r="B542" t="str" cm="1">
        <f t="array" ref="B542">INDEX(HotelList,MOD(ROW()-2,10)+1)</f>
        <v>H001</v>
      </c>
      <c r="C542">
        <f>_xlfn.XLOOKUP(B542,Dim_Hotel!$A$2:$A$11,Dim_Hotel!$F$2:$F$11)</f>
        <v>888</v>
      </c>
      <c r="D542">
        <f t="shared" si="65"/>
        <v>488</v>
      </c>
      <c r="E542">
        <f t="shared" si="66"/>
        <v>0.5495495495495496</v>
      </c>
      <c r="F542">
        <f t="shared" si="67"/>
        <v>260</v>
      </c>
      <c r="G542">
        <f t="shared" si="68"/>
        <v>142.88288288288288</v>
      </c>
      <c r="H542" t="str">
        <f>_xlfn.XLOOKUP(A542,Fact_Events!$D$2:$D$20,Fact_Events!$A$2:$A$20, "")</f>
        <v/>
      </c>
      <c r="I542">
        <f t="shared" si="69"/>
        <v>0</v>
      </c>
      <c r="J542" t="str">
        <f>_xlfn.XLOOKUP(H542, Fact_Events!$A$2:$A$20, Fact_Events!$F$2:$F$20, "")</f>
        <v/>
      </c>
      <c r="K542" t="str">
        <f t="shared" si="70"/>
        <v>Low</v>
      </c>
      <c r="L542">
        <f t="shared" si="71"/>
        <v>0.55000000000000004</v>
      </c>
      <c r="M542">
        <f>_xlfn.XLOOKUP(B542, Dim_Hotel!$A$2:$A$11, Dim_Hotel!$I$2:$I$11)
 + (IF(J542="",0,J542)
    * _xlfn.XLOOKUP(B542, Dim_Hotel!$A$2:$A$11, Dim_Hotel!$J$2:$J$11))</f>
        <v>260</v>
      </c>
    </row>
    <row r="543" spans="1:13" x14ac:dyDescent="0.25">
      <c r="A543" s="1">
        <f t="shared" si="64"/>
        <v>46077</v>
      </c>
      <c r="B543" t="str" cm="1">
        <f t="array" ref="B543">INDEX(HotelList,MOD(ROW()-2,10)+1)</f>
        <v>H002</v>
      </c>
      <c r="C543">
        <f>_xlfn.XLOOKUP(B543,Dim_Hotel!$A$2:$A$11,Dim_Hotel!$F$2:$F$11)</f>
        <v>147</v>
      </c>
      <c r="D543">
        <f t="shared" si="65"/>
        <v>81</v>
      </c>
      <c r="E543">
        <f t="shared" si="66"/>
        <v>0.55102040816326525</v>
      </c>
      <c r="F543">
        <f t="shared" si="67"/>
        <v>175</v>
      </c>
      <c r="G543">
        <f t="shared" si="68"/>
        <v>96.428571428571416</v>
      </c>
      <c r="H543" t="str">
        <f>_xlfn.XLOOKUP(A543,Fact_Events!$D$2:$D$20,Fact_Events!$A$2:$A$20, "")</f>
        <v/>
      </c>
      <c r="I543">
        <f t="shared" si="69"/>
        <v>0</v>
      </c>
      <c r="J543" t="str">
        <f>_xlfn.XLOOKUP(H543, Fact_Events!$A$2:$A$20, Fact_Events!$F$2:$F$20, "")</f>
        <v/>
      </c>
      <c r="K543" t="str">
        <f t="shared" si="70"/>
        <v>Low</v>
      </c>
      <c r="L543">
        <f t="shared" si="71"/>
        <v>0.55000000000000004</v>
      </c>
      <c r="M543">
        <f>_xlfn.XLOOKUP(B543, Dim_Hotel!$A$2:$A$11, Dim_Hotel!$I$2:$I$11)
 + (IF(J543="",0,J543)
    * _xlfn.XLOOKUP(B543, Dim_Hotel!$A$2:$A$11, Dim_Hotel!$J$2:$J$11))</f>
        <v>175</v>
      </c>
    </row>
    <row r="544" spans="1:13" x14ac:dyDescent="0.25">
      <c r="A544" s="1">
        <f t="shared" si="64"/>
        <v>46077</v>
      </c>
      <c r="B544" t="str" cm="1">
        <f t="array" ref="B544">INDEX(HotelList,MOD(ROW()-2,10)+1)</f>
        <v>H003</v>
      </c>
      <c r="C544">
        <f>_xlfn.XLOOKUP(B544,Dim_Hotel!$A$2:$A$11,Dim_Hotel!$F$2:$F$11)</f>
        <v>121</v>
      </c>
      <c r="D544">
        <f t="shared" si="65"/>
        <v>67</v>
      </c>
      <c r="E544">
        <f t="shared" si="66"/>
        <v>0.55371900826446285</v>
      </c>
      <c r="F544">
        <f t="shared" si="67"/>
        <v>145</v>
      </c>
      <c r="G544">
        <f t="shared" si="68"/>
        <v>80.289256198347118</v>
      </c>
      <c r="H544" t="str">
        <f>_xlfn.XLOOKUP(A544,Fact_Events!$D$2:$D$20,Fact_Events!$A$2:$A$20, "")</f>
        <v/>
      </c>
      <c r="I544">
        <f t="shared" si="69"/>
        <v>0</v>
      </c>
      <c r="J544" t="str">
        <f>_xlfn.XLOOKUP(H544, Fact_Events!$A$2:$A$20, Fact_Events!$F$2:$F$20, "")</f>
        <v/>
      </c>
      <c r="K544" t="str">
        <f t="shared" si="70"/>
        <v>Low</v>
      </c>
      <c r="L544">
        <f t="shared" si="71"/>
        <v>0.55000000000000004</v>
      </c>
      <c r="M544">
        <f>_xlfn.XLOOKUP(B544, Dim_Hotel!$A$2:$A$11, Dim_Hotel!$I$2:$I$11)
 + (IF(J544="",0,J544)
    * _xlfn.XLOOKUP(B544, Dim_Hotel!$A$2:$A$11, Dim_Hotel!$J$2:$J$11))</f>
        <v>145</v>
      </c>
    </row>
    <row r="545" spans="1:13" x14ac:dyDescent="0.25">
      <c r="A545" s="1">
        <f t="shared" si="64"/>
        <v>46077</v>
      </c>
      <c r="B545" t="str" cm="1">
        <f t="array" ref="B545">INDEX(HotelList,MOD(ROW()-2,10)+1)</f>
        <v>H004</v>
      </c>
      <c r="C545">
        <f>_xlfn.XLOOKUP(B545,Dim_Hotel!$A$2:$A$11,Dim_Hotel!$F$2:$F$11)</f>
        <v>108</v>
      </c>
      <c r="D545">
        <f t="shared" si="65"/>
        <v>59</v>
      </c>
      <c r="E545">
        <f t="shared" si="66"/>
        <v>0.54629629629629628</v>
      </c>
      <c r="F545">
        <f t="shared" si="67"/>
        <v>135</v>
      </c>
      <c r="G545">
        <f t="shared" si="68"/>
        <v>73.75</v>
      </c>
      <c r="H545" t="str">
        <f>_xlfn.XLOOKUP(A545,Fact_Events!$D$2:$D$20,Fact_Events!$A$2:$A$20, "")</f>
        <v/>
      </c>
      <c r="I545">
        <f t="shared" si="69"/>
        <v>0</v>
      </c>
      <c r="J545" t="str">
        <f>_xlfn.XLOOKUP(H545, Fact_Events!$A$2:$A$20, Fact_Events!$F$2:$F$20, "")</f>
        <v/>
      </c>
      <c r="K545" t="str">
        <f t="shared" si="70"/>
        <v>Low</v>
      </c>
      <c r="L545">
        <f t="shared" si="71"/>
        <v>0.55000000000000004</v>
      </c>
      <c r="M545">
        <f>_xlfn.XLOOKUP(B545, Dim_Hotel!$A$2:$A$11, Dim_Hotel!$I$2:$I$11)
 + (IF(J545="",0,J545)
    * _xlfn.XLOOKUP(B545, Dim_Hotel!$A$2:$A$11, Dim_Hotel!$J$2:$J$11))</f>
        <v>135</v>
      </c>
    </row>
    <row r="546" spans="1:13" x14ac:dyDescent="0.25">
      <c r="A546" s="1">
        <f t="shared" si="64"/>
        <v>46077</v>
      </c>
      <c r="B546" t="str" cm="1">
        <f t="array" ref="B546">INDEX(HotelList,MOD(ROW()-2,10)+1)</f>
        <v>H005</v>
      </c>
      <c r="C546">
        <f>_xlfn.XLOOKUP(B546,Dim_Hotel!$A$2:$A$11,Dim_Hotel!$F$2:$F$11)</f>
        <v>66</v>
      </c>
      <c r="D546">
        <f t="shared" si="65"/>
        <v>36</v>
      </c>
      <c r="E546">
        <f t="shared" si="66"/>
        <v>0.54545454545454541</v>
      </c>
      <c r="F546">
        <f t="shared" si="67"/>
        <v>82</v>
      </c>
      <c r="G546">
        <f t="shared" si="68"/>
        <v>44.727272727272727</v>
      </c>
      <c r="H546" t="str">
        <f>_xlfn.XLOOKUP(A546,Fact_Events!$D$2:$D$20,Fact_Events!$A$2:$A$20, "")</f>
        <v/>
      </c>
      <c r="I546">
        <f t="shared" si="69"/>
        <v>0</v>
      </c>
      <c r="J546" t="str">
        <f>_xlfn.XLOOKUP(H546, Fact_Events!$A$2:$A$20, Fact_Events!$F$2:$F$20, "")</f>
        <v/>
      </c>
      <c r="K546" t="str">
        <f t="shared" si="70"/>
        <v>Low</v>
      </c>
      <c r="L546">
        <f t="shared" si="71"/>
        <v>0.55000000000000004</v>
      </c>
      <c r="M546">
        <f>_xlfn.XLOOKUP(B546, Dim_Hotel!$A$2:$A$11, Dim_Hotel!$I$2:$I$11)
 + (IF(J546="",0,J546)
    * _xlfn.XLOOKUP(B546, Dim_Hotel!$A$2:$A$11, Dim_Hotel!$J$2:$J$11))</f>
        <v>82</v>
      </c>
    </row>
    <row r="547" spans="1:13" x14ac:dyDescent="0.25">
      <c r="A547" s="1">
        <f t="shared" si="64"/>
        <v>46077</v>
      </c>
      <c r="B547" t="str" cm="1">
        <f t="array" ref="B547">INDEX(HotelList,MOD(ROW()-2,10)+1)</f>
        <v>H006</v>
      </c>
      <c r="C547">
        <f>_xlfn.XLOOKUP(B547,Dim_Hotel!$A$2:$A$11,Dim_Hotel!$F$2:$F$11)</f>
        <v>311</v>
      </c>
      <c r="D547">
        <f t="shared" si="65"/>
        <v>171</v>
      </c>
      <c r="E547">
        <f t="shared" si="66"/>
        <v>0.54983922829581988</v>
      </c>
      <c r="F547">
        <f t="shared" si="67"/>
        <v>190</v>
      </c>
      <c r="G547">
        <f t="shared" si="68"/>
        <v>104.46945337620578</v>
      </c>
      <c r="H547" t="str">
        <f>_xlfn.XLOOKUP(A547,Fact_Events!$D$2:$D$20,Fact_Events!$A$2:$A$20, "")</f>
        <v/>
      </c>
      <c r="I547">
        <f t="shared" si="69"/>
        <v>0</v>
      </c>
      <c r="J547" t="str">
        <f>_xlfn.XLOOKUP(H547, Fact_Events!$A$2:$A$20, Fact_Events!$F$2:$F$20, "")</f>
        <v/>
      </c>
      <c r="K547" t="str">
        <f t="shared" si="70"/>
        <v>Low</v>
      </c>
      <c r="L547">
        <f t="shared" si="71"/>
        <v>0.55000000000000004</v>
      </c>
      <c r="M547">
        <f>_xlfn.XLOOKUP(B547, Dim_Hotel!$A$2:$A$11, Dim_Hotel!$I$2:$I$11)
 + (IF(J547="",0,J547)
    * _xlfn.XLOOKUP(B547, Dim_Hotel!$A$2:$A$11, Dim_Hotel!$J$2:$J$11))</f>
        <v>190</v>
      </c>
    </row>
    <row r="548" spans="1:13" x14ac:dyDescent="0.25">
      <c r="A548" s="1">
        <f t="shared" si="64"/>
        <v>46077</v>
      </c>
      <c r="B548" t="str" cm="1">
        <f t="array" ref="B548">INDEX(HotelList,MOD(ROW()-2,10)+1)</f>
        <v>H007</v>
      </c>
      <c r="C548">
        <f>_xlfn.XLOOKUP(B548,Dim_Hotel!$A$2:$A$11,Dim_Hotel!$F$2:$F$11)</f>
        <v>132</v>
      </c>
      <c r="D548">
        <f t="shared" si="65"/>
        <v>73</v>
      </c>
      <c r="E548">
        <f t="shared" si="66"/>
        <v>0.55303030303030298</v>
      </c>
      <c r="F548">
        <f t="shared" si="67"/>
        <v>165</v>
      </c>
      <c r="G548">
        <f t="shared" si="68"/>
        <v>91.249999999999986</v>
      </c>
      <c r="H548" t="str">
        <f>_xlfn.XLOOKUP(A548,Fact_Events!$D$2:$D$20,Fact_Events!$A$2:$A$20, "")</f>
        <v/>
      </c>
      <c r="I548">
        <f t="shared" si="69"/>
        <v>0</v>
      </c>
      <c r="J548" t="str">
        <f>_xlfn.XLOOKUP(H548, Fact_Events!$A$2:$A$20, Fact_Events!$F$2:$F$20, "")</f>
        <v/>
      </c>
      <c r="K548" t="str">
        <f t="shared" si="70"/>
        <v>Low</v>
      </c>
      <c r="L548">
        <f t="shared" si="71"/>
        <v>0.55000000000000004</v>
      </c>
      <c r="M548">
        <f>_xlfn.XLOOKUP(B548, Dim_Hotel!$A$2:$A$11, Dim_Hotel!$I$2:$I$11)
 + (IF(J548="",0,J548)
    * _xlfn.XLOOKUP(B548, Dim_Hotel!$A$2:$A$11, Dim_Hotel!$J$2:$J$11))</f>
        <v>165</v>
      </c>
    </row>
    <row r="549" spans="1:13" x14ac:dyDescent="0.25">
      <c r="A549" s="1">
        <f t="shared" si="64"/>
        <v>46077</v>
      </c>
      <c r="B549" t="str" cm="1">
        <f t="array" ref="B549">INDEX(HotelList,MOD(ROW()-2,10)+1)</f>
        <v>H008</v>
      </c>
      <c r="C549">
        <f>_xlfn.XLOOKUP(B549,Dim_Hotel!$A$2:$A$11,Dim_Hotel!$F$2:$F$11)</f>
        <v>103</v>
      </c>
      <c r="D549">
        <f t="shared" si="65"/>
        <v>57</v>
      </c>
      <c r="E549">
        <f t="shared" si="66"/>
        <v>0.55339805825242716</v>
      </c>
      <c r="F549">
        <f t="shared" si="67"/>
        <v>140</v>
      </c>
      <c r="G549">
        <f t="shared" si="68"/>
        <v>77.475728155339809</v>
      </c>
      <c r="H549" t="str">
        <f>_xlfn.XLOOKUP(A549,Fact_Events!$D$2:$D$20,Fact_Events!$A$2:$A$20, "")</f>
        <v/>
      </c>
      <c r="I549">
        <f t="shared" si="69"/>
        <v>0</v>
      </c>
      <c r="J549" t="str">
        <f>_xlfn.XLOOKUP(H549, Fact_Events!$A$2:$A$20, Fact_Events!$F$2:$F$20, "")</f>
        <v/>
      </c>
      <c r="K549" t="str">
        <f t="shared" si="70"/>
        <v>Low</v>
      </c>
      <c r="L549">
        <f t="shared" si="71"/>
        <v>0.55000000000000004</v>
      </c>
      <c r="M549">
        <f>_xlfn.XLOOKUP(B549, Dim_Hotel!$A$2:$A$11, Dim_Hotel!$I$2:$I$11)
 + (IF(J549="",0,J549)
    * _xlfn.XLOOKUP(B549, Dim_Hotel!$A$2:$A$11, Dim_Hotel!$J$2:$J$11))</f>
        <v>140</v>
      </c>
    </row>
    <row r="550" spans="1:13" x14ac:dyDescent="0.25">
      <c r="A550" s="1">
        <f t="shared" si="64"/>
        <v>46077</v>
      </c>
      <c r="B550" t="str" cm="1">
        <f t="array" ref="B550">INDEX(HotelList,MOD(ROW()-2,10)+1)</f>
        <v>H009</v>
      </c>
      <c r="C550">
        <f>_xlfn.XLOOKUP(B550,Dim_Hotel!$A$2:$A$11,Dim_Hotel!$F$2:$F$11)</f>
        <v>114</v>
      </c>
      <c r="D550">
        <f t="shared" si="65"/>
        <v>63</v>
      </c>
      <c r="E550">
        <f t="shared" si="66"/>
        <v>0.55263157894736847</v>
      </c>
      <c r="F550">
        <f t="shared" si="67"/>
        <v>185</v>
      </c>
      <c r="G550">
        <f t="shared" si="68"/>
        <v>102.23684210526316</v>
      </c>
      <c r="H550" t="str">
        <f>_xlfn.XLOOKUP(A550,Fact_Events!$D$2:$D$20,Fact_Events!$A$2:$A$20, "")</f>
        <v/>
      </c>
      <c r="I550">
        <f t="shared" si="69"/>
        <v>0</v>
      </c>
      <c r="J550" t="str">
        <f>_xlfn.XLOOKUP(H550, Fact_Events!$A$2:$A$20, Fact_Events!$F$2:$F$20, "")</f>
        <v/>
      </c>
      <c r="K550" t="str">
        <f t="shared" si="70"/>
        <v>Low</v>
      </c>
      <c r="L550">
        <f t="shared" si="71"/>
        <v>0.55000000000000004</v>
      </c>
      <c r="M550">
        <f>_xlfn.XLOOKUP(B550, Dim_Hotel!$A$2:$A$11, Dim_Hotel!$I$2:$I$11)
 + (IF(J550="",0,J550)
    * _xlfn.XLOOKUP(B550, Dim_Hotel!$A$2:$A$11, Dim_Hotel!$J$2:$J$11))</f>
        <v>185</v>
      </c>
    </row>
    <row r="551" spans="1:13" x14ac:dyDescent="0.25">
      <c r="A551" s="1">
        <f t="shared" si="64"/>
        <v>46077</v>
      </c>
      <c r="B551" t="str" cm="1">
        <f t="array" ref="B551">INDEX(HotelList,MOD(ROW()-2,10)+1)</f>
        <v>H010</v>
      </c>
      <c r="C551">
        <f>_xlfn.XLOOKUP(B551,Dim_Hotel!$A$2:$A$11,Dim_Hotel!$F$2:$F$11)</f>
        <v>89</v>
      </c>
      <c r="D551">
        <f t="shared" si="65"/>
        <v>49</v>
      </c>
      <c r="E551">
        <f t="shared" si="66"/>
        <v>0.550561797752809</v>
      </c>
      <c r="F551">
        <f t="shared" si="67"/>
        <v>150</v>
      </c>
      <c r="G551">
        <f t="shared" si="68"/>
        <v>82.584269662921344</v>
      </c>
      <c r="H551" t="str">
        <f>_xlfn.XLOOKUP(A551,Fact_Events!$D$2:$D$20,Fact_Events!$A$2:$A$20, "")</f>
        <v/>
      </c>
      <c r="I551">
        <f t="shared" si="69"/>
        <v>0</v>
      </c>
      <c r="J551" t="str">
        <f>_xlfn.XLOOKUP(H551, Fact_Events!$A$2:$A$20, Fact_Events!$F$2:$F$20, "")</f>
        <v/>
      </c>
      <c r="K551" t="str">
        <f t="shared" si="70"/>
        <v>Low</v>
      </c>
      <c r="L551">
        <f t="shared" si="71"/>
        <v>0.55000000000000004</v>
      </c>
      <c r="M551">
        <f>_xlfn.XLOOKUP(B551, Dim_Hotel!$A$2:$A$11, Dim_Hotel!$I$2:$I$11)
 + (IF(J551="",0,J551)
    * _xlfn.XLOOKUP(B551, Dim_Hotel!$A$2:$A$11, Dim_Hotel!$J$2:$J$11))</f>
        <v>150</v>
      </c>
    </row>
    <row r="552" spans="1:13" x14ac:dyDescent="0.25">
      <c r="A552" s="1">
        <f t="shared" si="64"/>
        <v>46078</v>
      </c>
      <c r="B552" t="str" cm="1">
        <f t="array" ref="B552">INDEX(HotelList,MOD(ROW()-2,10)+1)</f>
        <v>H001</v>
      </c>
      <c r="C552">
        <f>_xlfn.XLOOKUP(B552,Dim_Hotel!$A$2:$A$11,Dim_Hotel!$F$2:$F$11)</f>
        <v>888</v>
      </c>
      <c r="D552">
        <f t="shared" si="65"/>
        <v>488</v>
      </c>
      <c r="E552">
        <f t="shared" si="66"/>
        <v>0.5495495495495496</v>
      </c>
      <c r="F552">
        <f t="shared" si="67"/>
        <v>260</v>
      </c>
      <c r="G552">
        <f t="shared" si="68"/>
        <v>142.88288288288288</v>
      </c>
      <c r="H552" t="str">
        <f>_xlfn.XLOOKUP(A552,Fact_Events!$D$2:$D$20,Fact_Events!$A$2:$A$20, "")</f>
        <v/>
      </c>
      <c r="I552">
        <f t="shared" si="69"/>
        <v>0</v>
      </c>
      <c r="J552" t="str">
        <f>_xlfn.XLOOKUP(H552, Fact_Events!$A$2:$A$20, Fact_Events!$F$2:$F$20, "")</f>
        <v/>
      </c>
      <c r="K552" t="str">
        <f t="shared" si="70"/>
        <v>Low</v>
      </c>
      <c r="L552">
        <f t="shared" si="71"/>
        <v>0.55000000000000004</v>
      </c>
      <c r="M552">
        <f>_xlfn.XLOOKUP(B552, Dim_Hotel!$A$2:$A$11, Dim_Hotel!$I$2:$I$11)
 + (IF(J552="",0,J552)
    * _xlfn.XLOOKUP(B552, Dim_Hotel!$A$2:$A$11, Dim_Hotel!$J$2:$J$11))</f>
        <v>260</v>
      </c>
    </row>
    <row r="553" spans="1:13" x14ac:dyDescent="0.25">
      <c r="A553" s="1">
        <f t="shared" si="64"/>
        <v>46078</v>
      </c>
      <c r="B553" t="str" cm="1">
        <f t="array" ref="B553">INDEX(HotelList,MOD(ROW()-2,10)+1)</f>
        <v>H002</v>
      </c>
      <c r="C553">
        <f>_xlfn.XLOOKUP(B553,Dim_Hotel!$A$2:$A$11,Dim_Hotel!$F$2:$F$11)</f>
        <v>147</v>
      </c>
      <c r="D553">
        <f t="shared" si="65"/>
        <v>81</v>
      </c>
      <c r="E553">
        <f t="shared" si="66"/>
        <v>0.55102040816326525</v>
      </c>
      <c r="F553">
        <f t="shared" si="67"/>
        <v>175</v>
      </c>
      <c r="G553">
        <f t="shared" si="68"/>
        <v>96.428571428571416</v>
      </c>
      <c r="H553" t="str">
        <f>_xlfn.XLOOKUP(A553,Fact_Events!$D$2:$D$20,Fact_Events!$A$2:$A$20, "")</f>
        <v/>
      </c>
      <c r="I553">
        <f t="shared" si="69"/>
        <v>0</v>
      </c>
      <c r="J553" t="str">
        <f>_xlfn.XLOOKUP(H553, Fact_Events!$A$2:$A$20, Fact_Events!$F$2:$F$20, "")</f>
        <v/>
      </c>
      <c r="K553" t="str">
        <f t="shared" si="70"/>
        <v>Low</v>
      </c>
      <c r="L553">
        <f t="shared" si="71"/>
        <v>0.55000000000000004</v>
      </c>
      <c r="M553">
        <f>_xlfn.XLOOKUP(B553, Dim_Hotel!$A$2:$A$11, Dim_Hotel!$I$2:$I$11)
 + (IF(J553="",0,J553)
    * _xlfn.XLOOKUP(B553, Dim_Hotel!$A$2:$A$11, Dim_Hotel!$J$2:$J$11))</f>
        <v>175</v>
      </c>
    </row>
    <row r="554" spans="1:13" x14ac:dyDescent="0.25">
      <c r="A554" s="1">
        <f t="shared" si="64"/>
        <v>46078</v>
      </c>
      <c r="B554" t="str" cm="1">
        <f t="array" ref="B554">INDEX(HotelList,MOD(ROW()-2,10)+1)</f>
        <v>H003</v>
      </c>
      <c r="C554">
        <f>_xlfn.XLOOKUP(B554,Dim_Hotel!$A$2:$A$11,Dim_Hotel!$F$2:$F$11)</f>
        <v>121</v>
      </c>
      <c r="D554">
        <f t="shared" si="65"/>
        <v>67</v>
      </c>
      <c r="E554">
        <f t="shared" si="66"/>
        <v>0.55371900826446285</v>
      </c>
      <c r="F554">
        <f t="shared" si="67"/>
        <v>145</v>
      </c>
      <c r="G554">
        <f t="shared" si="68"/>
        <v>80.289256198347118</v>
      </c>
      <c r="H554" t="str">
        <f>_xlfn.XLOOKUP(A554,Fact_Events!$D$2:$D$20,Fact_Events!$A$2:$A$20, "")</f>
        <v/>
      </c>
      <c r="I554">
        <f t="shared" si="69"/>
        <v>0</v>
      </c>
      <c r="J554" t="str">
        <f>_xlfn.XLOOKUP(H554, Fact_Events!$A$2:$A$20, Fact_Events!$F$2:$F$20, "")</f>
        <v/>
      </c>
      <c r="K554" t="str">
        <f t="shared" si="70"/>
        <v>Low</v>
      </c>
      <c r="L554">
        <f t="shared" si="71"/>
        <v>0.55000000000000004</v>
      </c>
      <c r="M554">
        <f>_xlfn.XLOOKUP(B554, Dim_Hotel!$A$2:$A$11, Dim_Hotel!$I$2:$I$11)
 + (IF(J554="",0,J554)
    * _xlfn.XLOOKUP(B554, Dim_Hotel!$A$2:$A$11, Dim_Hotel!$J$2:$J$11))</f>
        <v>145</v>
      </c>
    </row>
    <row r="555" spans="1:13" x14ac:dyDescent="0.25">
      <c r="A555" s="1">
        <f t="shared" si="64"/>
        <v>46078</v>
      </c>
      <c r="B555" t="str" cm="1">
        <f t="array" ref="B555">INDEX(HotelList,MOD(ROW()-2,10)+1)</f>
        <v>H004</v>
      </c>
      <c r="C555">
        <f>_xlfn.XLOOKUP(B555,Dim_Hotel!$A$2:$A$11,Dim_Hotel!$F$2:$F$11)</f>
        <v>108</v>
      </c>
      <c r="D555">
        <f t="shared" si="65"/>
        <v>59</v>
      </c>
      <c r="E555">
        <f t="shared" si="66"/>
        <v>0.54629629629629628</v>
      </c>
      <c r="F555">
        <f t="shared" si="67"/>
        <v>135</v>
      </c>
      <c r="G555">
        <f t="shared" si="68"/>
        <v>73.75</v>
      </c>
      <c r="H555" t="str">
        <f>_xlfn.XLOOKUP(A555,Fact_Events!$D$2:$D$20,Fact_Events!$A$2:$A$20, "")</f>
        <v/>
      </c>
      <c r="I555">
        <f t="shared" si="69"/>
        <v>0</v>
      </c>
      <c r="J555" t="str">
        <f>_xlfn.XLOOKUP(H555, Fact_Events!$A$2:$A$20, Fact_Events!$F$2:$F$20, "")</f>
        <v/>
      </c>
      <c r="K555" t="str">
        <f t="shared" si="70"/>
        <v>Low</v>
      </c>
      <c r="L555">
        <f t="shared" si="71"/>
        <v>0.55000000000000004</v>
      </c>
      <c r="M555">
        <f>_xlfn.XLOOKUP(B555, Dim_Hotel!$A$2:$A$11, Dim_Hotel!$I$2:$I$11)
 + (IF(J555="",0,J555)
    * _xlfn.XLOOKUP(B555, Dim_Hotel!$A$2:$A$11, Dim_Hotel!$J$2:$J$11))</f>
        <v>135</v>
      </c>
    </row>
    <row r="556" spans="1:13" x14ac:dyDescent="0.25">
      <c r="A556" s="1">
        <f t="shared" si="64"/>
        <v>46078</v>
      </c>
      <c r="B556" t="str" cm="1">
        <f t="array" ref="B556">INDEX(HotelList,MOD(ROW()-2,10)+1)</f>
        <v>H005</v>
      </c>
      <c r="C556">
        <f>_xlfn.XLOOKUP(B556,Dim_Hotel!$A$2:$A$11,Dim_Hotel!$F$2:$F$11)</f>
        <v>66</v>
      </c>
      <c r="D556">
        <f t="shared" si="65"/>
        <v>36</v>
      </c>
      <c r="E556">
        <f t="shared" si="66"/>
        <v>0.54545454545454541</v>
      </c>
      <c r="F556">
        <f t="shared" si="67"/>
        <v>82</v>
      </c>
      <c r="G556">
        <f t="shared" si="68"/>
        <v>44.727272727272727</v>
      </c>
      <c r="H556" t="str">
        <f>_xlfn.XLOOKUP(A556,Fact_Events!$D$2:$D$20,Fact_Events!$A$2:$A$20, "")</f>
        <v/>
      </c>
      <c r="I556">
        <f t="shared" si="69"/>
        <v>0</v>
      </c>
      <c r="J556" t="str">
        <f>_xlfn.XLOOKUP(H556, Fact_Events!$A$2:$A$20, Fact_Events!$F$2:$F$20, "")</f>
        <v/>
      </c>
      <c r="K556" t="str">
        <f t="shared" si="70"/>
        <v>Low</v>
      </c>
      <c r="L556">
        <f t="shared" si="71"/>
        <v>0.55000000000000004</v>
      </c>
      <c r="M556">
        <f>_xlfn.XLOOKUP(B556, Dim_Hotel!$A$2:$A$11, Dim_Hotel!$I$2:$I$11)
 + (IF(J556="",0,J556)
    * _xlfn.XLOOKUP(B556, Dim_Hotel!$A$2:$A$11, Dim_Hotel!$J$2:$J$11))</f>
        <v>82</v>
      </c>
    </row>
    <row r="557" spans="1:13" x14ac:dyDescent="0.25">
      <c r="A557" s="1">
        <f t="shared" si="64"/>
        <v>46078</v>
      </c>
      <c r="B557" t="str" cm="1">
        <f t="array" ref="B557">INDEX(HotelList,MOD(ROW()-2,10)+1)</f>
        <v>H006</v>
      </c>
      <c r="C557">
        <f>_xlfn.XLOOKUP(B557,Dim_Hotel!$A$2:$A$11,Dim_Hotel!$F$2:$F$11)</f>
        <v>311</v>
      </c>
      <c r="D557">
        <f t="shared" si="65"/>
        <v>171</v>
      </c>
      <c r="E557">
        <f t="shared" si="66"/>
        <v>0.54983922829581988</v>
      </c>
      <c r="F557">
        <f t="shared" si="67"/>
        <v>190</v>
      </c>
      <c r="G557">
        <f t="shared" si="68"/>
        <v>104.46945337620578</v>
      </c>
      <c r="H557" t="str">
        <f>_xlfn.XLOOKUP(A557,Fact_Events!$D$2:$D$20,Fact_Events!$A$2:$A$20, "")</f>
        <v/>
      </c>
      <c r="I557">
        <f t="shared" si="69"/>
        <v>0</v>
      </c>
      <c r="J557" t="str">
        <f>_xlfn.XLOOKUP(H557, Fact_Events!$A$2:$A$20, Fact_Events!$F$2:$F$20, "")</f>
        <v/>
      </c>
      <c r="K557" t="str">
        <f t="shared" si="70"/>
        <v>Low</v>
      </c>
      <c r="L557">
        <f t="shared" si="71"/>
        <v>0.55000000000000004</v>
      </c>
      <c r="M557">
        <f>_xlfn.XLOOKUP(B557, Dim_Hotel!$A$2:$A$11, Dim_Hotel!$I$2:$I$11)
 + (IF(J557="",0,J557)
    * _xlfn.XLOOKUP(B557, Dim_Hotel!$A$2:$A$11, Dim_Hotel!$J$2:$J$11))</f>
        <v>190</v>
      </c>
    </row>
    <row r="558" spans="1:13" x14ac:dyDescent="0.25">
      <c r="A558" s="1">
        <f t="shared" si="64"/>
        <v>46078</v>
      </c>
      <c r="B558" t="str" cm="1">
        <f t="array" ref="B558">INDEX(HotelList,MOD(ROW()-2,10)+1)</f>
        <v>H007</v>
      </c>
      <c r="C558">
        <f>_xlfn.XLOOKUP(B558,Dim_Hotel!$A$2:$A$11,Dim_Hotel!$F$2:$F$11)</f>
        <v>132</v>
      </c>
      <c r="D558">
        <f t="shared" si="65"/>
        <v>73</v>
      </c>
      <c r="E558">
        <f t="shared" si="66"/>
        <v>0.55303030303030298</v>
      </c>
      <c r="F558">
        <f t="shared" si="67"/>
        <v>165</v>
      </c>
      <c r="G558">
        <f t="shared" si="68"/>
        <v>91.249999999999986</v>
      </c>
      <c r="H558" t="str">
        <f>_xlfn.XLOOKUP(A558,Fact_Events!$D$2:$D$20,Fact_Events!$A$2:$A$20, "")</f>
        <v/>
      </c>
      <c r="I558">
        <f t="shared" si="69"/>
        <v>0</v>
      </c>
      <c r="J558" t="str">
        <f>_xlfn.XLOOKUP(H558, Fact_Events!$A$2:$A$20, Fact_Events!$F$2:$F$20, "")</f>
        <v/>
      </c>
      <c r="K558" t="str">
        <f t="shared" si="70"/>
        <v>Low</v>
      </c>
      <c r="L558">
        <f t="shared" si="71"/>
        <v>0.55000000000000004</v>
      </c>
      <c r="M558">
        <f>_xlfn.XLOOKUP(B558, Dim_Hotel!$A$2:$A$11, Dim_Hotel!$I$2:$I$11)
 + (IF(J558="",0,J558)
    * _xlfn.XLOOKUP(B558, Dim_Hotel!$A$2:$A$11, Dim_Hotel!$J$2:$J$11))</f>
        <v>165</v>
      </c>
    </row>
    <row r="559" spans="1:13" x14ac:dyDescent="0.25">
      <c r="A559" s="1">
        <f t="shared" si="64"/>
        <v>46078</v>
      </c>
      <c r="B559" t="str" cm="1">
        <f t="array" ref="B559">INDEX(HotelList,MOD(ROW()-2,10)+1)</f>
        <v>H008</v>
      </c>
      <c r="C559">
        <f>_xlfn.XLOOKUP(B559,Dim_Hotel!$A$2:$A$11,Dim_Hotel!$F$2:$F$11)</f>
        <v>103</v>
      </c>
      <c r="D559">
        <f t="shared" si="65"/>
        <v>57</v>
      </c>
      <c r="E559">
        <f t="shared" si="66"/>
        <v>0.55339805825242716</v>
      </c>
      <c r="F559">
        <f t="shared" si="67"/>
        <v>140</v>
      </c>
      <c r="G559">
        <f t="shared" si="68"/>
        <v>77.475728155339809</v>
      </c>
      <c r="H559" t="str">
        <f>_xlfn.XLOOKUP(A559,Fact_Events!$D$2:$D$20,Fact_Events!$A$2:$A$20, "")</f>
        <v/>
      </c>
      <c r="I559">
        <f t="shared" si="69"/>
        <v>0</v>
      </c>
      <c r="J559" t="str">
        <f>_xlfn.XLOOKUP(H559, Fact_Events!$A$2:$A$20, Fact_Events!$F$2:$F$20, "")</f>
        <v/>
      </c>
      <c r="K559" t="str">
        <f t="shared" si="70"/>
        <v>Low</v>
      </c>
      <c r="L559">
        <f t="shared" si="71"/>
        <v>0.55000000000000004</v>
      </c>
      <c r="M559">
        <f>_xlfn.XLOOKUP(B559, Dim_Hotel!$A$2:$A$11, Dim_Hotel!$I$2:$I$11)
 + (IF(J559="",0,J559)
    * _xlfn.XLOOKUP(B559, Dim_Hotel!$A$2:$A$11, Dim_Hotel!$J$2:$J$11))</f>
        <v>140</v>
      </c>
    </row>
    <row r="560" spans="1:13" x14ac:dyDescent="0.25">
      <c r="A560" s="1">
        <f t="shared" si="64"/>
        <v>46078</v>
      </c>
      <c r="B560" t="str" cm="1">
        <f t="array" ref="B560">INDEX(HotelList,MOD(ROW()-2,10)+1)</f>
        <v>H009</v>
      </c>
      <c r="C560">
        <f>_xlfn.XLOOKUP(B560,Dim_Hotel!$A$2:$A$11,Dim_Hotel!$F$2:$F$11)</f>
        <v>114</v>
      </c>
      <c r="D560">
        <f t="shared" si="65"/>
        <v>63</v>
      </c>
      <c r="E560">
        <f t="shared" si="66"/>
        <v>0.55263157894736847</v>
      </c>
      <c r="F560">
        <f t="shared" si="67"/>
        <v>185</v>
      </c>
      <c r="G560">
        <f t="shared" si="68"/>
        <v>102.23684210526316</v>
      </c>
      <c r="H560" t="str">
        <f>_xlfn.XLOOKUP(A560,Fact_Events!$D$2:$D$20,Fact_Events!$A$2:$A$20, "")</f>
        <v/>
      </c>
      <c r="I560">
        <f t="shared" si="69"/>
        <v>0</v>
      </c>
      <c r="J560" t="str">
        <f>_xlfn.XLOOKUP(H560, Fact_Events!$A$2:$A$20, Fact_Events!$F$2:$F$20, "")</f>
        <v/>
      </c>
      <c r="K560" t="str">
        <f t="shared" si="70"/>
        <v>Low</v>
      </c>
      <c r="L560">
        <f t="shared" si="71"/>
        <v>0.55000000000000004</v>
      </c>
      <c r="M560">
        <f>_xlfn.XLOOKUP(B560, Dim_Hotel!$A$2:$A$11, Dim_Hotel!$I$2:$I$11)
 + (IF(J560="",0,J560)
    * _xlfn.XLOOKUP(B560, Dim_Hotel!$A$2:$A$11, Dim_Hotel!$J$2:$J$11))</f>
        <v>185</v>
      </c>
    </row>
    <row r="561" spans="1:13" x14ac:dyDescent="0.25">
      <c r="A561" s="1">
        <f t="shared" si="64"/>
        <v>46078</v>
      </c>
      <c r="B561" t="str" cm="1">
        <f t="array" ref="B561">INDEX(HotelList,MOD(ROW()-2,10)+1)</f>
        <v>H010</v>
      </c>
      <c r="C561">
        <f>_xlfn.XLOOKUP(B561,Dim_Hotel!$A$2:$A$11,Dim_Hotel!$F$2:$F$11)</f>
        <v>89</v>
      </c>
      <c r="D561">
        <f t="shared" si="65"/>
        <v>49</v>
      </c>
      <c r="E561">
        <f t="shared" si="66"/>
        <v>0.550561797752809</v>
      </c>
      <c r="F561">
        <f t="shared" si="67"/>
        <v>150</v>
      </c>
      <c r="G561">
        <f t="shared" si="68"/>
        <v>82.584269662921344</v>
      </c>
      <c r="H561" t="str">
        <f>_xlfn.XLOOKUP(A561,Fact_Events!$D$2:$D$20,Fact_Events!$A$2:$A$20, "")</f>
        <v/>
      </c>
      <c r="I561">
        <f t="shared" si="69"/>
        <v>0</v>
      </c>
      <c r="J561" t="str">
        <f>_xlfn.XLOOKUP(H561, Fact_Events!$A$2:$A$20, Fact_Events!$F$2:$F$20, "")</f>
        <v/>
      </c>
      <c r="K561" t="str">
        <f t="shared" si="70"/>
        <v>Low</v>
      </c>
      <c r="L561">
        <f t="shared" si="71"/>
        <v>0.55000000000000004</v>
      </c>
      <c r="M561">
        <f>_xlfn.XLOOKUP(B561, Dim_Hotel!$A$2:$A$11, Dim_Hotel!$I$2:$I$11)
 + (IF(J561="",0,J561)
    * _xlfn.XLOOKUP(B561, Dim_Hotel!$A$2:$A$11, Dim_Hotel!$J$2:$J$11))</f>
        <v>150</v>
      </c>
    </row>
    <row r="562" spans="1:13" x14ac:dyDescent="0.25">
      <c r="A562" s="1">
        <f t="shared" si="64"/>
        <v>46079</v>
      </c>
      <c r="B562" t="str" cm="1">
        <f t="array" ref="B562">INDEX(HotelList,MOD(ROW()-2,10)+1)</f>
        <v>H001</v>
      </c>
      <c r="C562">
        <f>_xlfn.XLOOKUP(B562,Dim_Hotel!$A$2:$A$11,Dim_Hotel!$F$2:$F$11)</f>
        <v>888</v>
      </c>
      <c r="D562">
        <f t="shared" si="65"/>
        <v>488</v>
      </c>
      <c r="E562">
        <f t="shared" si="66"/>
        <v>0.5495495495495496</v>
      </c>
      <c r="F562">
        <f t="shared" si="67"/>
        <v>260</v>
      </c>
      <c r="G562">
        <f t="shared" si="68"/>
        <v>142.88288288288288</v>
      </c>
      <c r="H562" t="str">
        <f>_xlfn.XLOOKUP(A562,Fact_Events!$D$2:$D$20,Fact_Events!$A$2:$A$20, "")</f>
        <v/>
      </c>
      <c r="I562">
        <f t="shared" si="69"/>
        <v>0</v>
      </c>
      <c r="J562" t="str">
        <f>_xlfn.XLOOKUP(H562, Fact_Events!$A$2:$A$20, Fact_Events!$F$2:$F$20, "")</f>
        <v/>
      </c>
      <c r="K562" t="str">
        <f t="shared" si="70"/>
        <v>Low</v>
      </c>
      <c r="L562">
        <f t="shared" si="71"/>
        <v>0.55000000000000004</v>
      </c>
      <c r="M562">
        <f>_xlfn.XLOOKUP(B562, Dim_Hotel!$A$2:$A$11, Dim_Hotel!$I$2:$I$11)
 + (IF(J562="",0,J562)
    * _xlfn.XLOOKUP(B562, Dim_Hotel!$A$2:$A$11, Dim_Hotel!$J$2:$J$11))</f>
        <v>260</v>
      </c>
    </row>
    <row r="563" spans="1:13" x14ac:dyDescent="0.25">
      <c r="A563" s="1">
        <f t="shared" si="64"/>
        <v>46079</v>
      </c>
      <c r="B563" t="str" cm="1">
        <f t="array" ref="B563">INDEX(HotelList,MOD(ROW()-2,10)+1)</f>
        <v>H002</v>
      </c>
      <c r="C563">
        <f>_xlfn.XLOOKUP(B563,Dim_Hotel!$A$2:$A$11,Dim_Hotel!$F$2:$F$11)</f>
        <v>147</v>
      </c>
      <c r="D563">
        <f t="shared" si="65"/>
        <v>81</v>
      </c>
      <c r="E563">
        <f t="shared" si="66"/>
        <v>0.55102040816326525</v>
      </c>
      <c r="F563">
        <f t="shared" si="67"/>
        <v>175</v>
      </c>
      <c r="G563">
        <f t="shared" si="68"/>
        <v>96.428571428571416</v>
      </c>
      <c r="H563" t="str">
        <f>_xlfn.XLOOKUP(A563,Fact_Events!$D$2:$D$20,Fact_Events!$A$2:$A$20, "")</f>
        <v/>
      </c>
      <c r="I563">
        <f t="shared" si="69"/>
        <v>0</v>
      </c>
      <c r="J563" t="str">
        <f>_xlfn.XLOOKUP(H563, Fact_Events!$A$2:$A$20, Fact_Events!$F$2:$F$20, "")</f>
        <v/>
      </c>
      <c r="K563" t="str">
        <f t="shared" si="70"/>
        <v>Low</v>
      </c>
      <c r="L563">
        <f t="shared" si="71"/>
        <v>0.55000000000000004</v>
      </c>
      <c r="M563">
        <f>_xlfn.XLOOKUP(B563, Dim_Hotel!$A$2:$A$11, Dim_Hotel!$I$2:$I$11)
 + (IF(J563="",0,J563)
    * _xlfn.XLOOKUP(B563, Dim_Hotel!$A$2:$A$11, Dim_Hotel!$J$2:$J$11))</f>
        <v>175</v>
      </c>
    </row>
    <row r="564" spans="1:13" x14ac:dyDescent="0.25">
      <c r="A564" s="1">
        <f t="shared" si="64"/>
        <v>46079</v>
      </c>
      <c r="B564" t="str" cm="1">
        <f t="array" ref="B564">INDEX(HotelList,MOD(ROW()-2,10)+1)</f>
        <v>H003</v>
      </c>
      <c r="C564">
        <f>_xlfn.XLOOKUP(B564,Dim_Hotel!$A$2:$A$11,Dim_Hotel!$F$2:$F$11)</f>
        <v>121</v>
      </c>
      <c r="D564">
        <f t="shared" si="65"/>
        <v>67</v>
      </c>
      <c r="E564">
        <f t="shared" si="66"/>
        <v>0.55371900826446285</v>
      </c>
      <c r="F564">
        <f t="shared" si="67"/>
        <v>145</v>
      </c>
      <c r="G564">
        <f t="shared" si="68"/>
        <v>80.289256198347118</v>
      </c>
      <c r="H564" t="str">
        <f>_xlfn.XLOOKUP(A564,Fact_Events!$D$2:$D$20,Fact_Events!$A$2:$A$20, "")</f>
        <v/>
      </c>
      <c r="I564">
        <f t="shared" si="69"/>
        <v>0</v>
      </c>
      <c r="J564" t="str">
        <f>_xlfn.XLOOKUP(H564, Fact_Events!$A$2:$A$20, Fact_Events!$F$2:$F$20, "")</f>
        <v/>
      </c>
      <c r="K564" t="str">
        <f t="shared" si="70"/>
        <v>Low</v>
      </c>
      <c r="L564">
        <f t="shared" si="71"/>
        <v>0.55000000000000004</v>
      </c>
      <c r="M564">
        <f>_xlfn.XLOOKUP(B564, Dim_Hotel!$A$2:$A$11, Dim_Hotel!$I$2:$I$11)
 + (IF(J564="",0,J564)
    * _xlfn.XLOOKUP(B564, Dim_Hotel!$A$2:$A$11, Dim_Hotel!$J$2:$J$11))</f>
        <v>145</v>
      </c>
    </row>
    <row r="565" spans="1:13" x14ac:dyDescent="0.25">
      <c r="A565" s="1">
        <f t="shared" si="64"/>
        <v>46079</v>
      </c>
      <c r="B565" t="str" cm="1">
        <f t="array" ref="B565">INDEX(HotelList,MOD(ROW()-2,10)+1)</f>
        <v>H004</v>
      </c>
      <c r="C565">
        <f>_xlfn.XLOOKUP(B565,Dim_Hotel!$A$2:$A$11,Dim_Hotel!$F$2:$F$11)</f>
        <v>108</v>
      </c>
      <c r="D565">
        <f t="shared" si="65"/>
        <v>59</v>
      </c>
      <c r="E565">
        <f t="shared" si="66"/>
        <v>0.54629629629629628</v>
      </c>
      <c r="F565">
        <f t="shared" si="67"/>
        <v>135</v>
      </c>
      <c r="G565">
        <f t="shared" si="68"/>
        <v>73.75</v>
      </c>
      <c r="H565" t="str">
        <f>_xlfn.XLOOKUP(A565,Fact_Events!$D$2:$D$20,Fact_Events!$A$2:$A$20, "")</f>
        <v/>
      </c>
      <c r="I565">
        <f t="shared" si="69"/>
        <v>0</v>
      </c>
      <c r="J565" t="str">
        <f>_xlfn.XLOOKUP(H565, Fact_Events!$A$2:$A$20, Fact_Events!$F$2:$F$20, "")</f>
        <v/>
      </c>
      <c r="K565" t="str">
        <f t="shared" si="70"/>
        <v>Low</v>
      </c>
      <c r="L565">
        <f t="shared" si="71"/>
        <v>0.55000000000000004</v>
      </c>
      <c r="M565">
        <f>_xlfn.XLOOKUP(B565, Dim_Hotel!$A$2:$A$11, Dim_Hotel!$I$2:$I$11)
 + (IF(J565="",0,J565)
    * _xlfn.XLOOKUP(B565, Dim_Hotel!$A$2:$A$11, Dim_Hotel!$J$2:$J$11))</f>
        <v>135</v>
      </c>
    </row>
    <row r="566" spans="1:13" x14ac:dyDescent="0.25">
      <c r="A566" s="1">
        <f t="shared" si="64"/>
        <v>46079</v>
      </c>
      <c r="B566" t="str" cm="1">
        <f t="array" ref="B566">INDEX(HotelList,MOD(ROW()-2,10)+1)</f>
        <v>H005</v>
      </c>
      <c r="C566">
        <f>_xlfn.XLOOKUP(B566,Dim_Hotel!$A$2:$A$11,Dim_Hotel!$F$2:$F$11)</f>
        <v>66</v>
      </c>
      <c r="D566">
        <f t="shared" si="65"/>
        <v>36</v>
      </c>
      <c r="E566">
        <f t="shared" si="66"/>
        <v>0.54545454545454541</v>
      </c>
      <c r="F566">
        <f t="shared" si="67"/>
        <v>82</v>
      </c>
      <c r="G566">
        <f t="shared" si="68"/>
        <v>44.727272727272727</v>
      </c>
      <c r="H566" t="str">
        <f>_xlfn.XLOOKUP(A566,Fact_Events!$D$2:$D$20,Fact_Events!$A$2:$A$20, "")</f>
        <v/>
      </c>
      <c r="I566">
        <f t="shared" si="69"/>
        <v>0</v>
      </c>
      <c r="J566" t="str">
        <f>_xlfn.XLOOKUP(H566, Fact_Events!$A$2:$A$20, Fact_Events!$F$2:$F$20, "")</f>
        <v/>
      </c>
      <c r="K566" t="str">
        <f t="shared" si="70"/>
        <v>Low</v>
      </c>
      <c r="L566">
        <f t="shared" si="71"/>
        <v>0.55000000000000004</v>
      </c>
      <c r="M566">
        <f>_xlfn.XLOOKUP(B566, Dim_Hotel!$A$2:$A$11, Dim_Hotel!$I$2:$I$11)
 + (IF(J566="",0,J566)
    * _xlfn.XLOOKUP(B566, Dim_Hotel!$A$2:$A$11, Dim_Hotel!$J$2:$J$11))</f>
        <v>82</v>
      </c>
    </row>
    <row r="567" spans="1:13" x14ac:dyDescent="0.25">
      <c r="A567" s="1">
        <f t="shared" si="64"/>
        <v>46079</v>
      </c>
      <c r="B567" t="str" cm="1">
        <f t="array" ref="B567">INDEX(HotelList,MOD(ROW()-2,10)+1)</f>
        <v>H006</v>
      </c>
      <c r="C567">
        <f>_xlfn.XLOOKUP(B567,Dim_Hotel!$A$2:$A$11,Dim_Hotel!$F$2:$F$11)</f>
        <v>311</v>
      </c>
      <c r="D567">
        <f t="shared" si="65"/>
        <v>171</v>
      </c>
      <c r="E567">
        <f t="shared" si="66"/>
        <v>0.54983922829581988</v>
      </c>
      <c r="F567">
        <f t="shared" si="67"/>
        <v>190</v>
      </c>
      <c r="G567">
        <f t="shared" si="68"/>
        <v>104.46945337620578</v>
      </c>
      <c r="H567" t="str">
        <f>_xlfn.XLOOKUP(A567,Fact_Events!$D$2:$D$20,Fact_Events!$A$2:$A$20, "")</f>
        <v/>
      </c>
      <c r="I567">
        <f t="shared" si="69"/>
        <v>0</v>
      </c>
      <c r="J567" t="str">
        <f>_xlfn.XLOOKUP(H567, Fact_Events!$A$2:$A$20, Fact_Events!$F$2:$F$20, "")</f>
        <v/>
      </c>
      <c r="K567" t="str">
        <f t="shared" si="70"/>
        <v>Low</v>
      </c>
      <c r="L567">
        <f t="shared" si="71"/>
        <v>0.55000000000000004</v>
      </c>
      <c r="M567">
        <f>_xlfn.XLOOKUP(B567, Dim_Hotel!$A$2:$A$11, Dim_Hotel!$I$2:$I$11)
 + (IF(J567="",0,J567)
    * _xlfn.XLOOKUP(B567, Dim_Hotel!$A$2:$A$11, Dim_Hotel!$J$2:$J$11))</f>
        <v>190</v>
      </c>
    </row>
    <row r="568" spans="1:13" x14ac:dyDescent="0.25">
      <c r="A568" s="1">
        <f t="shared" si="64"/>
        <v>46079</v>
      </c>
      <c r="B568" t="str" cm="1">
        <f t="array" ref="B568">INDEX(HotelList,MOD(ROW()-2,10)+1)</f>
        <v>H007</v>
      </c>
      <c r="C568">
        <f>_xlfn.XLOOKUP(B568,Dim_Hotel!$A$2:$A$11,Dim_Hotel!$F$2:$F$11)</f>
        <v>132</v>
      </c>
      <c r="D568">
        <f t="shared" si="65"/>
        <v>73</v>
      </c>
      <c r="E568">
        <f t="shared" si="66"/>
        <v>0.55303030303030298</v>
      </c>
      <c r="F568">
        <f t="shared" si="67"/>
        <v>165</v>
      </c>
      <c r="G568">
        <f t="shared" si="68"/>
        <v>91.249999999999986</v>
      </c>
      <c r="H568" t="str">
        <f>_xlfn.XLOOKUP(A568,Fact_Events!$D$2:$D$20,Fact_Events!$A$2:$A$20, "")</f>
        <v/>
      </c>
      <c r="I568">
        <f t="shared" si="69"/>
        <v>0</v>
      </c>
      <c r="J568" t="str">
        <f>_xlfn.XLOOKUP(H568, Fact_Events!$A$2:$A$20, Fact_Events!$F$2:$F$20, "")</f>
        <v/>
      </c>
      <c r="K568" t="str">
        <f t="shared" si="70"/>
        <v>Low</v>
      </c>
      <c r="L568">
        <f t="shared" si="71"/>
        <v>0.55000000000000004</v>
      </c>
      <c r="M568">
        <f>_xlfn.XLOOKUP(B568, Dim_Hotel!$A$2:$A$11, Dim_Hotel!$I$2:$I$11)
 + (IF(J568="",0,J568)
    * _xlfn.XLOOKUP(B568, Dim_Hotel!$A$2:$A$11, Dim_Hotel!$J$2:$J$11))</f>
        <v>165</v>
      </c>
    </row>
    <row r="569" spans="1:13" x14ac:dyDescent="0.25">
      <c r="A569" s="1">
        <f t="shared" si="64"/>
        <v>46079</v>
      </c>
      <c r="B569" t="str" cm="1">
        <f t="array" ref="B569">INDEX(HotelList,MOD(ROW()-2,10)+1)</f>
        <v>H008</v>
      </c>
      <c r="C569">
        <f>_xlfn.XLOOKUP(B569,Dim_Hotel!$A$2:$A$11,Dim_Hotel!$F$2:$F$11)</f>
        <v>103</v>
      </c>
      <c r="D569">
        <f t="shared" si="65"/>
        <v>57</v>
      </c>
      <c r="E569">
        <f t="shared" si="66"/>
        <v>0.55339805825242716</v>
      </c>
      <c r="F569">
        <f t="shared" si="67"/>
        <v>140</v>
      </c>
      <c r="G569">
        <f t="shared" si="68"/>
        <v>77.475728155339809</v>
      </c>
      <c r="H569" t="str">
        <f>_xlfn.XLOOKUP(A569,Fact_Events!$D$2:$D$20,Fact_Events!$A$2:$A$20, "")</f>
        <v/>
      </c>
      <c r="I569">
        <f t="shared" si="69"/>
        <v>0</v>
      </c>
      <c r="J569" t="str">
        <f>_xlfn.XLOOKUP(H569, Fact_Events!$A$2:$A$20, Fact_Events!$F$2:$F$20, "")</f>
        <v/>
      </c>
      <c r="K569" t="str">
        <f t="shared" si="70"/>
        <v>Low</v>
      </c>
      <c r="L569">
        <f t="shared" si="71"/>
        <v>0.55000000000000004</v>
      </c>
      <c r="M569">
        <f>_xlfn.XLOOKUP(B569, Dim_Hotel!$A$2:$A$11, Dim_Hotel!$I$2:$I$11)
 + (IF(J569="",0,J569)
    * _xlfn.XLOOKUP(B569, Dim_Hotel!$A$2:$A$11, Dim_Hotel!$J$2:$J$11))</f>
        <v>140</v>
      </c>
    </row>
    <row r="570" spans="1:13" x14ac:dyDescent="0.25">
      <c r="A570" s="1">
        <f t="shared" si="64"/>
        <v>46079</v>
      </c>
      <c r="B570" t="str" cm="1">
        <f t="array" ref="B570">INDEX(HotelList,MOD(ROW()-2,10)+1)</f>
        <v>H009</v>
      </c>
      <c r="C570">
        <f>_xlfn.XLOOKUP(B570,Dim_Hotel!$A$2:$A$11,Dim_Hotel!$F$2:$F$11)</f>
        <v>114</v>
      </c>
      <c r="D570">
        <f t="shared" si="65"/>
        <v>63</v>
      </c>
      <c r="E570">
        <f t="shared" si="66"/>
        <v>0.55263157894736847</v>
      </c>
      <c r="F570">
        <f t="shared" si="67"/>
        <v>185</v>
      </c>
      <c r="G570">
        <f t="shared" si="68"/>
        <v>102.23684210526316</v>
      </c>
      <c r="H570" t="str">
        <f>_xlfn.XLOOKUP(A570,Fact_Events!$D$2:$D$20,Fact_Events!$A$2:$A$20, "")</f>
        <v/>
      </c>
      <c r="I570">
        <f t="shared" si="69"/>
        <v>0</v>
      </c>
      <c r="J570" t="str">
        <f>_xlfn.XLOOKUP(H570, Fact_Events!$A$2:$A$20, Fact_Events!$F$2:$F$20, "")</f>
        <v/>
      </c>
      <c r="K570" t="str">
        <f t="shared" si="70"/>
        <v>Low</v>
      </c>
      <c r="L570">
        <f t="shared" si="71"/>
        <v>0.55000000000000004</v>
      </c>
      <c r="M570">
        <f>_xlfn.XLOOKUP(B570, Dim_Hotel!$A$2:$A$11, Dim_Hotel!$I$2:$I$11)
 + (IF(J570="",0,J570)
    * _xlfn.XLOOKUP(B570, Dim_Hotel!$A$2:$A$11, Dim_Hotel!$J$2:$J$11))</f>
        <v>185</v>
      </c>
    </row>
    <row r="571" spans="1:13" x14ac:dyDescent="0.25">
      <c r="A571" s="1">
        <f t="shared" si="64"/>
        <v>46079</v>
      </c>
      <c r="B571" t="str" cm="1">
        <f t="array" ref="B571">INDEX(HotelList,MOD(ROW()-2,10)+1)</f>
        <v>H010</v>
      </c>
      <c r="C571">
        <f>_xlfn.XLOOKUP(B571,Dim_Hotel!$A$2:$A$11,Dim_Hotel!$F$2:$F$11)</f>
        <v>89</v>
      </c>
      <c r="D571">
        <f t="shared" si="65"/>
        <v>49</v>
      </c>
      <c r="E571">
        <f t="shared" si="66"/>
        <v>0.550561797752809</v>
      </c>
      <c r="F571">
        <f t="shared" si="67"/>
        <v>150</v>
      </c>
      <c r="G571">
        <f t="shared" si="68"/>
        <v>82.584269662921344</v>
      </c>
      <c r="H571" t="str">
        <f>_xlfn.XLOOKUP(A571,Fact_Events!$D$2:$D$20,Fact_Events!$A$2:$A$20, "")</f>
        <v/>
      </c>
      <c r="I571">
        <f t="shared" si="69"/>
        <v>0</v>
      </c>
      <c r="J571" t="str">
        <f>_xlfn.XLOOKUP(H571, Fact_Events!$A$2:$A$20, Fact_Events!$F$2:$F$20, "")</f>
        <v/>
      </c>
      <c r="K571" t="str">
        <f t="shared" si="70"/>
        <v>Low</v>
      </c>
      <c r="L571">
        <f t="shared" si="71"/>
        <v>0.55000000000000004</v>
      </c>
      <c r="M571">
        <f>_xlfn.XLOOKUP(B571, Dim_Hotel!$A$2:$A$11, Dim_Hotel!$I$2:$I$11)
 + (IF(J571="",0,J571)
    * _xlfn.XLOOKUP(B571, Dim_Hotel!$A$2:$A$11, Dim_Hotel!$J$2:$J$11))</f>
        <v>150</v>
      </c>
    </row>
    <row r="572" spans="1:13" x14ac:dyDescent="0.25">
      <c r="A572" s="1">
        <f t="shared" si="64"/>
        <v>46080</v>
      </c>
      <c r="B572" t="str" cm="1">
        <f t="array" ref="B572">INDEX(HotelList,MOD(ROW()-2,10)+1)</f>
        <v>H001</v>
      </c>
      <c r="C572">
        <f>_xlfn.XLOOKUP(B572,Dim_Hotel!$A$2:$A$11,Dim_Hotel!$F$2:$F$11)</f>
        <v>888</v>
      </c>
      <c r="D572">
        <f t="shared" si="65"/>
        <v>488</v>
      </c>
      <c r="E572">
        <f t="shared" si="66"/>
        <v>0.5495495495495496</v>
      </c>
      <c r="F572">
        <f t="shared" si="67"/>
        <v>260</v>
      </c>
      <c r="G572">
        <f t="shared" si="68"/>
        <v>142.88288288288288</v>
      </c>
      <c r="H572" t="str">
        <f>_xlfn.XLOOKUP(A572,Fact_Events!$D$2:$D$20,Fact_Events!$A$2:$A$20, "")</f>
        <v/>
      </c>
      <c r="I572">
        <f t="shared" si="69"/>
        <v>0</v>
      </c>
      <c r="J572" t="str">
        <f>_xlfn.XLOOKUP(H572, Fact_Events!$A$2:$A$20, Fact_Events!$F$2:$F$20, "")</f>
        <v/>
      </c>
      <c r="K572" t="str">
        <f t="shared" si="70"/>
        <v>Low</v>
      </c>
      <c r="L572">
        <f t="shared" si="71"/>
        <v>0.55000000000000004</v>
      </c>
      <c r="M572">
        <f>_xlfn.XLOOKUP(B572, Dim_Hotel!$A$2:$A$11, Dim_Hotel!$I$2:$I$11)
 + (IF(J572="",0,J572)
    * _xlfn.XLOOKUP(B572, Dim_Hotel!$A$2:$A$11, Dim_Hotel!$J$2:$J$11))</f>
        <v>260</v>
      </c>
    </row>
    <row r="573" spans="1:13" x14ac:dyDescent="0.25">
      <c r="A573" s="1">
        <f t="shared" si="64"/>
        <v>46080</v>
      </c>
      <c r="B573" t="str" cm="1">
        <f t="array" ref="B573">INDEX(HotelList,MOD(ROW()-2,10)+1)</f>
        <v>H002</v>
      </c>
      <c r="C573">
        <f>_xlfn.XLOOKUP(B573,Dim_Hotel!$A$2:$A$11,Dim_Hotel!$F$2:$F$11)</f>
        <v>147</v>
      </c>
      <c r="D573">
        <f t="shared" si="65"/>
        <v>81</v>
      </c>
      <c r="E573">
        <f t="shared" si="66"/>
        <v>0.55102040816326525</v>
      </c>
      <c r="F573">
        <f t="shared" si="67"/>
        <v>175</v>
      </c>
      <c r="G573">
        <f t="shared" si="68"/>
        <v>96.428571428571416</v>
      </c>
      <c r="H573" t="str">
        <f>_xlfn.XLOOKUP(A573,Fact_Events!$D$2:$D$20,Fact_Events!$A$2:$A$20, "")</f>
        <v/>
      </c>
      <c r="I573">
        <f t="shared" si="69"/>
        <v>0</v>
      </c>
      <c r="J573" t="str">
        <f>_xlfn.XLOOKUP(H573, Fact_Events!$A$2:$A$20, Fact_Events!$F$2:$F$20, "")</f>
        <v/>
      </c>
      <c r="K573" t="str">
        <f t="shared" si="70"/>
        <v>Low</v>
      </c>
      <c r="L573">
        <f t="shared" si="71"/>
        <v>0.55000000000000004</v>
      </c>
      <c r="M573">
        <f>_xlfn.XLOOKUP(B573, Dim_Hotel!$A$2:$A$11, Dim_Hotel!$I$2:$I$11)
 + (IF(J573="",0,J573)
    * _xlfn.XLOOKUP(B573, Dim_Hotel!$A$2:$A$11, Dim_Hotel!$J$2:$J$11))</f>
        <v>175</v>
      </c>
    </row>
    <row r="574" spans="1:13" x14ac:dyDescent="0.25">
      <c r="A574" s="1">
        <f t="shared" si="64"/>
        <v>46080</v>
      </c>
      <c r="B574" t="str" cm="1">
        <f t="array" ref="B574">INDEX(HotelList,MOD(ROW()-2,10)+1)</f>
        <v>H003</v>
      </c>
      <c r="C574">
        <f>_xlfn.XLOOKUP(B574,Dim_Hotel!$A$2:$A$11,Dim_Hotel!$F$2:$F$11)</f>
        <v>121</v>
      </c>
      <c r="D574">
        <f t="shared" si="65"/>
        <v>67</v>
      </c>
      <c r="E574">
        <f t="shared" si="66"/>
        <v>0.55371900826446285</v>
      </c>
      <c r="F574">
        <f t="shared" si="67"/>
        <v>145</v>
      </c>
      <c r="G574">
        <f t="shared" si="68"/>
        <v>80.289256198347118</v>
      </c>
      <c r="H574" t="str">
        <f>_xlfn.XLOOKUP(A574,Fact_Events!$D$2:$D$20,Fact_Events!$A$2:$A$20, "")</f>
        <v/>
      </c>
      <c r="I574">
        <f t="shared" si="69"/>
        <v>0</v>
      </c>
      <c r="J574" t="str">
        <f>_xlfn.XLOOKUP(H574, Fact_Events!$A$2:$A$20, Fact_Events!$F$2:$F$20, "")</f>
        <v/>
      </c>
      <c r="K574" t="str">
        <f t="shared" si="70"/>
        <v>Low</v>
      </c>
      <c r="L574">
        <f t="shared" si="71"/>
        <v>0.55000000000000004</v>
      </c>
      <c r="M574">
        <f>_xlfn.XLOOKUP(B574, Dim_Hotel!$A$2:$A$11, Dim_Hotel!$I$2:$I$11)
 + (IF(J574="",0,J574)
    * _xlfn.XLOOKUP(B574, Dim_Hotel!$A$2:$A$11, Dim_Hotel!$J$2:$J$11))</f>
        <v>145</v>
      </c>
    </row>
    <row r="575" spans="1:13" x14ac:dyDescent="0.25">
      <c r="A575" s="1">
        <f t="shared" si="64"/>
        <v>46080</v>
      </c>
      <c r="B575" t="str" cm="1">
        <f t="array" ref="B575">INDEX(HotelList,MOD(ROW()-2,10)+1)</f>
        <v>H004</v>
      </c>
      <c r="C575">
        <f>_xlfn.XLOOKUP(B575,Dim_Hotel!$A$2:$A$11,Dim_Hotel!$F$2:$F$11)</f>
        <v>108</v>
      </c>
      <c r="D575">
        <f t="shared" si="65"/>
        <v>59</v>
      </c>
      <c r="E575">
        <f t="shared" si="66"/>
        <v>0.54629629629629628</v>
      </c>
      <c r="F575">
        <f t="shared" si="67"/>
        <v>135</v>
      </c>
      <c r="G575">
        <f t="shared" si="68"/>
        <v>73.75</v>
      </c>
      <c r="H575" t="str">
        <f>_xlfn.XLOOKUP(A575,Fact_Events!$D$2:$D$20,Fact_Events!$A$2:$A$20, "")</f>
        <v/>
      </c>
      <c r="I575">
        <f t="shared" si="69"/>
        <v>0</v>
      </c>
      <c r="J575" t="str">
        <f>_xlfn.XLOOKUP(H575, Fact_Events!$A$2:$A$20, Fact_Events!$F$2:$F$20, "")</f>
        <v/>
      </c>
      <c r="K575" t="str">
        <f t="shared" si="70"/>
        <v>Low</v>
      </c>
      <c r="L575">
        <f t="shared" si="71"/>
        <v>0.55000000000000004</v>
      </c>
      <c r="M575">
        <f>_xlfn.XLOOKUP(B575, Dim_Hotel!$A$2:$A$11, Dim_Hotel!$I$2:$I$11)
 + (IF(J575="",0,J575)
    * _xlfn.XLOOKUP(B575, Dim_Hotel!$A$2:$A$11, Dim_Hotel!$J$2:$J$11))</f>
        <v>135</v>
      </c>
    </row>
    <row r="576" spans="1:13" x14ac:dyDescent="0.25">
      <c r="A576" s="1">
        <f t="shared" si="64"/>
        <v>46080</v>
      </c>
      <c r="B576" t="str" cm="1">
        <f t="array" ref="B576">INDEX(HotelList,MOD(ROW()-2,10)+1)</f>
        <v>H005</v>
      </c>
      <c r="C576">
        <f>_xlfn.XLOOKUP(B576,Dim_Hotel!$A$2:$A$11,Dim_Hotel!$F$2:$F$11)</f>
        <v>66</v>
      </c>
      <c r="D576">
        <f t="shared" si="65"/>
        <v>36</v>
      </c>
      <c r="E576">
        <f t="shared" si="66"/>
        <v>0.54545454545454541</v>
      </c>
      <c r="F576">
        <f t="shared" si="67"/>
        <v>82</v>
      </c>
      <c r="G576">
        <f t="shared" si="68"/>
        <v>44.727272727272727</v>
      </c>
      <c r="H576" t="str">
        <f>_xlfn.XLOOKUP(A576,Fact_Events!$D$2:$D$20,Fact_Events!$A$2:$A$20, "")</f>
        <v/>
      </c>
      <c r="I576">
        <f t="shared" si="69"/>
        <v>0</v>
      </c>
      <c r="J576" t="str">
        <f>_xlfn.XLOOKUP(H576, Fact_Events!$A$2:$A$20, Fact_Events!$F$2:$F$20, "")</f>
        <v/>
      </c>
      <c r="K576" t="str">
        <f t="shared" si="70"/>
        <v>Low</v>
      </c>
      <c r="L576">
        <f t="shared" si="71"/>
        <v>0.55000000000000004</v>
      </c>
      <c r="M576">
        <f>_xlfn.XLOOKUP(B576, Dim_Hotel!$A$2:$A$11, Dim_Hotel!$I$2:$I$11)
 + (IF(J576="",0,J576)
    * _xlfn.XLOOKUP(B576, Dim_Hotel!$A$2:$A$11, Dim_Hotel!$J$2:$J$11))</f>
        <v>82</v>
      </c>
    </row>
    <row r="577" spans="1:13" x14ac:dyDescent="0.25">
      <c r="A577" s="1">
        <f t="shared" si="64"/>
        <v>46080</v>
      </c>
      <c r="B577" t="str" cm="1">
        <f t="array" ref="B577">INDEX(HotelList,MOD(ROW()-2,10)+1)</f>
        <v>H006</v>
      </c>
      <c r="C577">
        <f>_xlfn.XLOOKUP(B577,Dim_Hotel!$A$2:$A$11,Dim_Hotel!$F$2:$F$11)</f>
        <v>311</v>
      </c>
      <c r="D577">
        <f t="shared" si="65"/>
        <v>171</v>
      </c>
      <c r="E577">
        <f t="shared" si="66"/>
        <v>0.54983922829581988</v>
      </c>
      <c r="F577">
        <f t="shared" si="67"/>
        <v>190</v>
      </c>
      <c r="G577">
        <f t="shared" si="68"/>
        <v>104.46945337620578</v>
      </c>
      <c r="H577" t="str">
        <f>_xlfn.XLOOKUP(A577,Fact_Events!$D$2:$D$20,Fact_Events!$A$2:$A$20, "")</f>
        <v/>
      </c>
      <c r="I577">
        <f t="shared" si="69"/>
        <v>0</v>
      </c>
      <c r="J577" t="str">
        <f>_xlfn.XLOOKUP(H577, Fact_Events!$A$2:$A$20, Fact_Events!$F$2:$F$20, "")</f>
        <v/>
      </c>
      <c r="K577" t="str">
        <f t="shared" si="70"/>
        <v>Low</v>
      </c>
      <c r="L577">
        <f t="shared" si="71"/>
        <v>0.55000000000000004</v>
      </c>
      <c r="M577">
        <f>_xlfn.XLOOKUP(B577, Dim_Hotel!$A$2:$A$11, Dim_Hotel!$I$2:$I$11)
 + (IF(J577="",0,J577)
    * _xlfn.XLOOKUP(B577, Dim_Hotel!$A$2:$A$11, Dim_Hotel!$J$2:$J$11))</f>
        <v>190</v>
      </c>
    </row>
    <row r="578" spans="1:13" x14ac:dyDescent="0.25">
      <c r="A578" s="1">
        <f t="shared" si="64"/>
        <v>46080</v>
      </c>
      <c r="B578" t="str" cm="1">
        <f t="array" ref="B578">INDEX(HotelList,MOD(ROW()-2,10)+1)</f>
        <v>H007</v>
      </c>
      <c r="C578">
        <f>_xlfn.XLOOKUP(B578,Dim_Hotel!$A$2:$A$11,Dim_Hotel!$F$2:$F$11)</f>
        <v>132</v>
      </c>
      <c r="D578">
        <f t="shared" si="65"/>
        <v>73</v>
      </c>
      <c r="E578">
        <f t="shared" si="66"/>
        <v>0.55303030303030298</v>
      </c>
      <c r="F578">
        <f t="shared" si="67"/>
        <v>165</v>
      </c>
      <c r="G578">
        <f t="shared" si="68"/>
        <v>91.249999999999986</v>
      </c>
      <c r="H578" t="str">
        <f>_xlfn.XLOOKUP(A578,Fact_Events!$D$2:$D$20,Fact_Events!$A$2:$A$20, "")</f>
        <v/>
      </c>
      <c r="I578">
        <f t="shared" si="69"/>
        <v>0</v>
      </c>
      <c r="J578" t="str">
        <f>_xlfn.XLOOKUP(H578, Fact_Events!$A$2:$A$20, Fact_Events!$F$2:$F$20, "")</f>
        <v/>
      </c>
      <c r="K578" t="str">
        <f t="shared" si="70"/>
        <v>Low</v>
      </c>
      <c r="L578">
        <f t="shared" si="71"/>
        <v>0.55000000000000004</v>
      </c>
      <c r="M578">
        <f>_xlfn.XLOOKUP(B578, Dim_Hotel!$A$2:$A$11, Dim_Hotel!$I$2:$I$11)
 + (IF(J578="",0,J578)
    * _xlfn.XLOOKUP(B578, Dim_Hotel!$A$2:$A$11, Dim_Hotel!$J$2:$J$11))</f>
        <v>165</v>
      </c>
    </row>
    <row r="579" spans="1:13" x14ac:dyDescent="0.25">
      <c r="A579" s="1">
        <f t="shared" ref="A579:A642" si="72">DATE(2026,1,1) + INT((ROW()-2)/10)</f>
        <v>46080</v>
      </c>
      <c r="B579" t="str" cm="1">
        <f t="array" ref="B579">INDEX(HotelList,MOD(ROW()-2,10)+1)</f>
        <v>H008</v>
      </c>
      <c r="C579">
        <f>_xlfn.XLOOKUP(B579,Dim_Hotel!$A$2:$A$11,Dim_Hotel!$F$2:$F$11)</f>
        <v>103</v>
      </c>
      <c r="D579">
        <f t="shared" ref="D579:D642" si="73">ROUND(L579 * C579, 0)</f>
        <v>57</v>
      </c>
      <c r="E579">
        <f t="shared" ref="E579:E642" si="74">D579/C579</f>
        <v>0.55339805825242716</v>
      </c>
      <c r="F579">
        <f t="shared" ref="F579:F642" si="75">M579</f>
        <v>140</v>
      </c>
      <c r="G579">
        <f t="shared" ref="G579:G642" si="76">E579*F579</f>
        <v>77.475728155339809</v>
      </c>
      <c r="H579" t="str">
        <f>_xlfn.XLOOKUP(A579,Fact_Events!$D$2:$D$20,Fact_Events!$A$2:$A$20, "")</f>
        <v/>
      </c>
      <c r="I579">
        <f t="shared" ref="I579:I642" si="77">IF(H579="",0,1)</f>
        <v>0</v>
      </c>
      <c r="J579" t="str">
        <f>_xlfn.XLOOKUP(H579, Fact_Events!$A$2:$A$20, Fact_Events!$F$2:$F$20, "")</f>
        <v/>
      </c>
      <c r="K579" t="str">
        <f t="shared" ref="K579:K642" si="78">IF(I579=0,"Low",
   IF(J579&gt;=9,"High","Medium"))</f>
        <v>Low</v>
      </c>
      <c r="L579">
        <f t="shared" ref="L579:L642" si="79">MIN(1,
  0.55
  + (I579 * 0.25)
  + (IF(J579="",0,J579) / 100)
)</f>
        <v>0.55000000000000004</v>
      </c>
      <c r="M579">
        <f>_xlfn.XLOOKUP(B579, Dim_Hotel!$A$2:$A$11, Dim_Hotel!$I$2:$I$11)
 + (IF(J579="",0,J579)
    * _xlfn.XLOOKUP(B579, Dim_Hotel!$A$2:$A$11, Dim_Hotel!$J$2:$J$11))</f>
        <v>140</v>
      </c>
    </row>
    <row r="580" spans="1:13" x14ac:dyDescent="0.25">
      <c r="A580" s="1">
        <f t="shared" si="72"/>
        <v>46080</v>
      </c>
      <c r="B580" t="str" cm="1">
        <f t="array" ref="B580">INDEX(HotelList,MOD(ROW()-2,10)+1)</f>
        <v>H009</v>
      </c>
      <c r="C580">
        <f>_xlfn.XLOOKUP(B580,Dim_Hotel!$A$2:$A$11,Dim_Hotel!$F$2:$F$11)</f>
        <v>114</v>
      </c>
      <c r="D580">
        <f t="shared" si="73"/>
        <v>63</v>
      </c>
      <c r="E580">
        <f t="shared" si="74"/>
        <v>0.55263157894736847</v>
      </c>
      <c r="F580">
        <f t="shared" si="75"/>
        <v>185</v>
      </c>
      <c r="G580">
        <f t="shared" si="76"/>
        <v>102.23684210526316</v>
      </c>
      <c r="H580" t="str">
        <f>_xlfn.XLOOKUP(A580,Fact_Events!$D$2:$D$20,Fact_Events!$A$2:$A$20, "")</f>
        <v/>
      </c>
      <c r="I580">
        <f t="shared" si="77"/>
        <v>0</v>
      </c>
      <c r="J580" t="str">
        <f>_xlfn.XLOOKUP(H580, Fact_Events!$A$2:$A$20, Fact_Events!$F$2:$F$20, "")</f>
        <v/>
      </c>
      <c r="K580" t="str">
        <f t="shared" si="78"/>
        <v>Low</v>
      </c>
      <c r="L580">
        <f t="shared" si="79"/>
        <v>0.55000000000000004</v>
      </c>
      <c r="M580">
        <f>_xlfn.XLOOKUP(B580, Dim_Hotel!$A$2:$A$11, Dim_Hotel!$I$2:$I$11)
 + (IF(J580="",0,J580)
    * _xlfn.XLOOKUP(B580, Dim_Hotel!$A$2:$A$11, Dim_Hotel!$J$2:$J$11))</f>
        <v>185</v>
      </c>
    </row>
    <row r="581" spans="1:13" x14ac:dyDescent="0.25">
      <c r="A581" s="1">
        <f t="shared" si="72"/>
        <v>46080</v>
      </c>
      <c r="B581" t="str" cm="1">
        <f t="array" ref="B581">INDEX(HotelList,MOD(ROW()-2,10)+1)</f>
        <v>H010</v>
      </c>
      <c r="C581">
        <f>_xlfn.XLOOKUP(B581,Dim_Hotel!$A$2:$A$11,Dim_Hotel!$F$2:$F$11)</f>
        <v>89</v>
      </c>
      <c r="D581">
        <f t="shared" si="73"/>
        <v>49</v>
      </c>
      <c r="E581">
        <f t="shared" si="74"/>
        <v>0.550561797752809</v>
      </c>
      <c r="F581">
        <f t="shared" si="75"/>
        <v>150</v>
      </c>
      <c r="G581">
        <f t="shared" si="76"/>
        <v>82.584269662921344</v>
      </c>
      <c r="H581" t="str">
        <f>_xlfn.XLOOKUP(A581,Fact_Events!$D$2:$D$20,Fact_Events!$A$2:$A$20, "")</f>
        <v/>
      </c>
      <c r="I581">
        <f t="shared" si="77"/>
        <v>0</v>
      </c>
      <c r="J581" t="str">
        <f>_xlfn.XLOOKUP(H581, Fact_Events!$A$2:$A$20, Fact_Events!$F$2:$F$20, "")</f>
        <v/>
      </c>
      <c r="K581" t="str">
        <f t="shared" si="78"/>
        <v>Low</v>
      </c>
      <c r="L581">
        <f t="shared" si="79"/>
        <v>0.55000000000000004</v>
      </c>
      <c r="M581">
        <f>_xlfn.XLOOKUP(B581, Dim_Hotel!$A$2:$A$11, Dim_Hotel!$I$2:$I$11)
 + (IF(J581="",0,J581)
    * _xlfn.XLOOKUP(B581, Dim_Hotel!$A$2:$A$11, Dim_Hotel!$J$2:$J$11))</f>
        <v>150</v>
      </c>
    </row>
    <row r="582" spans="1:13" x14ac:dyDescent="0.25">
      <c r="A582" s="1">
        <f t="shared" si="72"/>
        <v>46081</v>
      </c>
      <c r="B582" t="str" cm="1">
        <f t="array" ref="B582">INDEX(HotelList,MOD(ROW()-2,10)+1)</f>
        <v>H001</v>
      </c>
      <c r="C582">
        <f>_xlfn.XLOOKUP(B582,Dim_Hotel!$A$2:$A$11,Dim_Hotel!$F$2:$F$11)</f>
        <v>888</v>
      </c>
      <c r="D582">
        <f t="shared" si="73"/>
        <v>488</v>
      </c>
      <c r="E582">
        <f t="shared" si="74"/>
        <v>0.5495495495495496</v>
      </c>
      <c r="F582">
        <f t="shared" si="75"/>
        <v>260</v>
      </c>
      <c r="G582">
        <f t="shared" si="76"/>
        <v>142.88288288288288</v>
      </c>
      <c r="H582" t="str">
        <f>_xlfn.XLOOKUP(A582,Fact_Events!$D$2:$D$20,Fact_Events!$A$2:$A$20, "")</f>
        <v/>
      </c>
      <c r="I582">
        <f t="shared" si="77"/>
        <v>0</v>
      </c>
      <c r="J582" t="str">
        <f>_xlfn.XLOOKUP(H582, Fact_Events!$A$2:$A$20, Fact_Events!$F$2:$F$20, "")</f>
        <v/>
      </c>
      <c r="K582" t="str">
        <f t="shared" si="78"/>
        <v>Low</v>
      </c>
      <c r="L582">
        <f t="shared" si="79"/>
        <v>0.55000000000000004</v>
      </c>
      <c r="M582">
        <f>_xlfn.XLOOKUP(B582, Dim_Hotel!$A$2:$A$11, Dim_Hotel!$I$2:$I$11)
 + (IF(J582="",0,J582)
    * _xlfn.XLOOKUP(B582, Dim_Hotel!$A$2:$A$11, Dim_Hotel!$J$2:$J$11))</f>
        <v>260</v>
      </c>
    </row>
    <row r="583" spans="1:13" x14ac:dyDescent="0.25">
      <c r="A583" s="1">
        <f t="shared" si="72"/>
        <v>46081</v>
      </c>
      <c r="B583" t="str" cm="1">
        <f t="array" ref="B583">INDEX(HotelList,MOD(ROW()-2,10)+1)</f>
        <v>H002</v>
      </c>
      <c r="C583">
        <f>_xlfn.XLOOKUP(B583,Dim_Hotel!$A$2:$A$11,Dim_Hotel!$F$2:$F$11)</f>
        <v>147</v>
      </c>
      <c r="D583">
        <f t="shared" si="73"/>
        <v>81</v>
      </c>
      <c r="E583">
        <f t="shared" si="74"/>
        <v>0.55102040816326525</v>
      </c>
      <c r="F583">
        <f t="shared" si="75"/>
        <v>175</v>
      </c>
      <c r="G583">
        <f t="shared" si="76"/>
        <v>96.428571428571416</v>
      </c>
      <c r="H583" t="str">
        <f>_xlfn.XLOOKUP(A583,Fact_Events!$D$2:$D$20,Fact_Events!$A$2:$A$20, "")</f>
        <v/>
      </c>
      <c r="I583">
        <f t="shared" si="77"/>
        <v>0</v>
      </c>
      <c r="J583" t="str">
        <f>_xlfn.XLOOKUP(H583, Fact_Events!$A$2:$A$20, Fact_Events!$F$2:$F$20, "")</f>
        <v/>
      </c>
      <c r="K583" t="str">
        <f t="shared" si="78"/>
        <v>Low</v>
      </c>
      <c r="L583">
        <f t="shared" si="79"/>
        <v>0.55000000000000004</v>
      </c>
      <c r="M583">
        <f>_xlfn.XLOOKUP(B583, Dim_Hotel!$A$2:$A$11, Dim_Hotel!$I$2:$I$11)
 + (IF(J583="",0,J583)
    * _xlfn.XLOOKUP(B583, Dim_Hotel!$A$2:$A$11, Dim_Hotel!$J$2:$J$11))</f>
        <v>175</v>
      </c>
    </row>
    <row r="584" spans="1:13" x14ac:dyDescent="0.25">
      <c r="A584" s="1">
        <f t="shared" si="72"/>
        <v>46081</v>
      </c>
      <c r="B584" t="str" cm="1">
        <f t="array" ref="B584">INDEX(HotelList,MOD(ROW()-2,10)+1)</f>
        <v>H003</v>
      </c>
      <c r="C584">
        <f>_xlfn.XLOOKUP(B584,Dim_Hotel!$A$2:$A$11,Dim_Hotel!$F$2:$F$11)</f>
        <v>121</v>
      </c>
      <c r="D584">
        <f t="shared" si="73"/>
        <v>67</v>
      </c>
      <c r="E584">
        <f t="shared" si="74"/>
        <v>0.55371900826446285</v>
      </c>
      <c r="F584">
        <f t="shared" si="75"/>
        <v>145</v>
      </c>
      <c r="G584">
        <f t="shared" si="76"/>
        <v>80.289256198347118</v>
      </c>
      <c r="H584" t="str">
        <f>_xlfn.XLOOKUP(A584,Fact_Events!$D$2:$D$20,Fact_Events!$A$2:$A$20, "")</f>
        <v/>
      </c>
      <c r="I584">
        <f t="shared" si="77"/>
        <v>0</v>
      </c>
      <c r="J584" t="str">
        <f>_xlfn.XLOOKUP(H584, Fact_Events!$A$2:$A$20, Fact_Events!$F$2:$F$20, "")</f>
        <v/>
      </c>
      <c r="K584" t="str">
        <f t="shared" si="78"/>
        <v>Low</v>
      </c>
      <c r="L584">
        <f t="shared" si="79"/>
        <v>0.55000000000000004</v>
      </c>
      <c r="M584">
        <f>_xlfn.XLOOKUP(B584, Dim_Hotel!$A$2:$A$11, Dim_Hotel!$I$2:$I$11)
 + (IF(J584="",0,J584)
    * _xlfn.XLOOKUP(B584, Dim_Hotel!$A$2:$A$11, Dim_Hotel!$J$2:$J$11))</f>
        <v>145</v>
      </c>
    </row>
    <row r="585" spans="1:13" x14ac:dyDescent="0.25">
      <c r="A585" s="1">
        <f t="shared" si="72"/>
        <v>46081</v>
      </c>
      <c r="B585" t="str" cm="1">
        <f t="array" ref="B585">INDEX(HotelList,MOD(ROW()-2,10)+1)</f>
        <v>H004</v>
      </c>
      <c r="C585">
        <f>_xlfn.XLOOKUP(B585,Dim_Hotel!$A$2:$A$11,Dim_Hotel!$F$2:$F$11)</f>
        <v>108</v>
      </c>
      <c r="D585">
        <f t="shared" si="73"/>
        <v>59</v>
      </c>
      <c r="E585">
        <f t="shared" si="74"/>
        <v>0.54629629629629628</v>
      </c>
      <c r="F585">
        <f t="shared" si="75"/>
        <v>135</v>
      </c>
      <c r="G585">
        <f t="shared" si="76"/>
        <v>73.75</v>
      </c>
      <c r="H585" t="str">
        <f>_xlfn.XLOOKUP(A585,Fact_Events!$D$2:$D$20,Fact_Events!$A$2:$A$20, "")</f>
        <v/>
      </c>
      <c r="I585">
        <f t="shared" si="77"/>
        <v>0</v>
      </c>
      <c r="J585" t="str">
        <f>_xlfn.XLOOKUP(H585, Fact_Events!$A$2:$A$20, Fact_Events!$F$2:$F$20, "")</f>
        <v/>
      </c>
      <c r="K585" t="str">
        <f t="shared" si="78"/>
        <v>Low</v>
      </c>
      <c r="L585">
        <f t="shared" si="79"/>
        <v>0.55000000000000004</v>
      </c>
      <c r="M585">
        <f>_xlfn.XLOOKUP(B585, Dim_Hotel!$A$2:$A$11, Dim_Hotel!$I$2:$I$11)
 + (IF(J585="",0,J585)
    * _xlfn.XLOOKUP(B585, Dim_Hotel!$A$2:$A$11, Dim_Hotel!$J$2:$J$11))</f>
        <v>135</v>
      </c>
    </row>
    <row r="586" spans="1:13" x14ac:dyDescent="0.25">
      <c r="A586" s="1">
        <f t="shared" si="72"/>
        <v>46081</v>
      </c>
      <c r="B586" t="str" cm="1">
        <f t="array" ref="B586">INDEX(HotelList,MOD(ROW()-2,10)+1)</f>
        <v>H005</v>
      </c>
      <c r="C586">
        <f>_xlfn.XLOOKUP(B586,Dim_Hotel!$A$2:$A$11,Dim_Hotel!$F$2:$F$11)</f>
        <v>66</v>
      </c>
      <c r="D586">
        <f t="shared" si="73"/>
        <v>36</v>
      </c>
      <c r="E586">
        <f t="shared" si="74"/>
        <v>0.54545454545454541</v>
      </c>
      <c r="F586">
        <f t="shared" si="75"/>
        <v>82</v>
      </c>
      <c r="G586">
        <f t="shared" si="76"/>
        <v>44.727272727272727</v>
      </c>
      <c r="H586" t="str">
        <f>_xlfn.XLOOKUP(A586,Fact_Events!$D$2:$D$20,Fact_Events!$A$2:$A$20, "")</f>
        <v/>
      </c>
      <c r="I586">
        <f t="shared" si="77"/>
        <v>0</v>
      </c>
      <c r="J586" t="str">
        <f>_xlfn.XLOOKUP(H586, Fact_Events!$A$2:$A$20, Fact_Events!$F$2:$F$20, "")</f>
        <v/>
      </c>
      <c r="K586" t="str">
        <f t="shared" si="78"/>
        <v>Low</v>
      </c>
      <c r="L586">
        <f t="shared" si="79"/>
        <v>0.55000000000000004</v>
      </c>
      <c r="M586">
        <f>_xlfn.XLOOKUP(B586, Dim_Hotel!$A$2:$A$11, Dim_Hotel!$I$2:$I$11)
 + (IF(J586="",0,J586)
    * _xlfn.XLOOKUP(B586, Dim_Hotel!$A$2:$A$11, Dim_Hotel!$J$2:$J$11))</f>
        <v>82</v>
      </c>
    </row>
    <row r="587" spans="1:13" x14ac:dyDescent="0.25">
      <c r="A587" s="1">
        <f t="shared" si="72"/>
        <v>46081</v>
      </c>
      <c r="B587" t="str" cm="1">
        <f t="array" ref="B587">INDEX(HotelList,MOD(ROW()-2,10)+1)</f>
        <v>H006</v>
      </c>
      <c r="C587">
        <f>_xlfn.XLOOKUP(B587,Dim_Hotel!$A$2:$A$11,Dim_Hotel!$F$2:$F$11)</f>
        <v>311</v>
      </c>
      <c r="D587">
        <f t="shared" si="73"/>
        <v>171</v>
      </c>
      <c r="E587">
        <f t="shared" si="74"/>
        <v>0.54983922829581988</v>
      </c>
      <c r="F587">
        <f t="shared" si="75"/>
        <v>190</v>
      </c>
      <c r="G587">
        <f t="shared" si="76"/>
        <v>104.46945337620578</v>
      </c>
      <c r="H587" t="str">
        <f>_xlfn.XLOOKUP(A587,Fact_Events!$D$2:$D$20,Fact_Events!$A$2:$A$20, "")</f>
        <v/>
      </c>
      <c r="I587">
        <f t="shared" si="77"/>
        <v>0</v>
      </c>
      <c r="J587" t="str">
        <f>_xlfn.XLOOKUP(H587, Fact_Events!$A$2:$A$20, Fact_Events!$F$2:$F$20, "")</f>
        <v/>
      </c>
      <c r="K587" t="str">
        <f t="shared" si="78"/>
        <v>Low</v>
      </c>
      <c r="L587">
        <f t="shared" si="79"/>
        <v>0.55000000000000004</v>
      </c>
      <c r="M587">
        <f>_xlfn.XLOOKUP(B587, Dim_Hotel!$A$2:$A$11, Dim_Hotel!$I$2:$I$11)
 + (IF(J587="",0,J587)
    * _xlfn.XLOOKUP(B587, Dim_Hotel!$A$2:$A$11, Dim_Hotel!$J$2:$J$11))</f>
        <v>190</v>
      </c>
    </row>
    <row r="588" spans="1:13" x14ac:dyDescent="0.25">
      <c r="A588" s="1">
        <f t="shared" si="72"/>
        <v>46081</v>
      </c>
      <c r="B588" t="str" cm="1">
        <f t="array" ref="B588">INDEX(HotelList,MOD(ROW()-2,10)+1)</f>
        <v>H007</v>
      </c>
      <c r="C588">
        <f>_xlfn.XLOOKUP(B588,Dim_Hotel!$A$2:$A$11,Dim_Hotel!$F$2:$F$11)</f>
        <v>132</v>
      </c>
      <c r="D588">
        <f t="shared" si="73"/>
        <v>73</v>
      </c>
      <c r="E588">
        <f t="shared" si="74"/>
        <v>0.55303030303030298</v>
      </c>
      <c r="F588">
        <f t="shared" si="75"/>
        <v>165</v>
      </c>
      <c r="G588">
        <f t="shared" si="76"/>
        <v>91.249999999999986</v>
      </c>
      <c r="H588" t="str">
        <f>_xlfn.XLOOKUP(A588,Fact_Events!$D$2:$D$20,Fact_Events!$A$2:$A$20, "")</f>
        <v/>
      </c>
      <c r="I588">
        <f t="shared" si="77"/>
        <v>0</v>
      </c>
      <c r="J588" t="str">
        <f>_xlfn.XLOOKUP(H588, Fact_Events!$A$2:$A$20, Fact_Events!$F$2:$F$20, "")</f>
        <v/>
      </c>
      <c r="K588" t="str">
        <f t="shared" si="78"/>
        <v>Low</v>
      </c>
      <c r="L588">
        <f t="shared" si="79"/>
        <v>0.55000000000000004</v>
      </c>
      <c r="M588">
        <f>_xlfn.XLOOKUP(B588, Dim_Hotel!$A$2:$A$11, Dim_Hotel!$I$2:$I$11)
 + (IF(J588="",0,J588)
    * _xlfn.XLOOKUP(B588, Dim_Hotel!$A$2:$A$11, Dim_Hotel!$J$2:$J$11))</f>
        <v>165</v>
      </c>
    </row>
    <row r="589" spans="1:13" x14ac:dyDescent="0.25">
      <c r="A589" s="1">
        <f t="shared" si="72"/>
        <v>46081</v>
      </c>
      <c r="B589" t="str" cm="1">
        <f t="array" ref="B589">INDEX(HotelList,MOD(ROW()-2,10)+1)</f>
        <v>H008</v>
      </c>
      <c r="C589">
        <f>_xlfn.XLOOKUP(B589,Dim_Hotel!$A$2:$A$11,Dim_Hotel!$F$2:$F$11)</f>
        <v>103</v>
      </c>
      <c r="D589">
        <f t="shared" si="73"/>
        <v>57</v>
      </c>
      <c r="E589">
        <f t="shared" si="74"/>
        <v>0.55339805825242716</v>
      </c>
      <c r="F589">
        <f t="shared" si="75"/>
        <v>140</v>
      </c>
      <c r="G589">
        <f t="shared" si="76"/>
        <v>77.475728155339809</v>
      </c>
      <c r="H589" t="str">
        <f>_xlfn.XLOOKUP(A589,Fact_Events!$D$2:$D$20,Fact_Events!$A$2:$A$20, "")</f>
        <v/>
      </c>
      <c r="I589">
        <f t="shared" si="77"/>
        <v>0</v>
      </c>
      <c r="J589" t="str">
        <f>_xlfn.XLOOKUP(H589, Fact_Events!$A$2:$A$20, Fact_Events!$F$2:$F$20, "")</f>
        <v/>
      </c>
      <c r="K589" t="str">
        <f t="shared" si="78"/>
        <v>Low</v>
      </c>
      <c r="L589">
        <f t="shared" si="79"/>
        <v>0.55000000000000004</v>
      </c>
      <c r="M589">
        <f>_xlfn.XLOOKUP(B589, Dim_Hotel!$A$2:$A$11, Dim_Hotel!$I$2:$I$11)
 + (IF(J589="",0,J589)
    * _xlfn.XLOOKUP(B589, Dim_Hotel!$A$2:$A$11, Dim_Hotel!$J$2:$J$11))</f>
        <v>140</v>
      </c>
    </row>
    <row r="590" spans="1:13" x14ac:dyDescent="0.25">
      <c r="A590" s="1">
        <f t="shared" si="72"/>
        <v>46081</v>
      </c>
      <c r="B590" t="str" cm="1">
        <f t="array" ref="B590">INDEX(HotelList,MOD(ROW()-2,10)+1)</f>
        <v>H009</v>
      </c>
      <c r="C590">
        <f>_xlfn.XLOOKUP(B590,Dim_Hotel!$A$2:$A$11,Dim_Hotel!$F$2:$F$11)</f>
        <v>114</v>
      </c>
      <c r="D590">
        <f t="shared" si="73"/>
        <v>63</v>
      </c>
      <c r="E590">
        <f t="shared" si="74"/>
        <v>0.55263157894736847</v>
      </c>
      <c r="F590">
        <f t="shared" si="75"/>
        <v>185</v>
      </c>
      <c r="G590">
        <f t="shared" si="76"/>
        <v>102.23684210526316</v>
      </c>
      <c r="H590" t="str">
        <f>_xlfn.XLOOKUP(A590,Fact_Events!$D$2:$D$20,Fact_Events!$A$2:$A$20, "")</f>
        <v/>
      </c>
      <c r="I590">
        <f t="shared" si="77"/>
        <v>0</v>
      </c>
      <c r="J590" t="str">
        <f>_xlfn.XLOOKUP(H590, Fact_Events!$A$2:$A$20, Fact_Events!$F$2:$F$20, "")</f>
        <v/>
      </c>
      <c r="K590" t="str">
        <f t="shared" si="78"/>
        <v>Low</v>
      </c>
      <c r="L590">
        <f t="shared" si="79"/>
        <v>0.55000000000000004</v>
      </c>
      <c r="M590">
        <f>_xlfn.XLOOKUP(B590, Dim_Hotel!$A$2:$A$11, Dim_Hotel!$I$2:$I$11)
 + (IF(J590="",0,J590)
    * _xlfn.XLOOKUP(B590, Dim_Hotel!$A$2:$A$11, Dim_Hotel!$J$2:$J$11))</f>
        <v>185</v>
      </c>
    </row>
    <row r="591" spans="1:13" x14ac:dyDescent="0.25">
      <c r="A591" s="1">
        <f t="shared" si="72"/>
        <v>46081</v>
      </c>
      <c r="B591" t="str" cm="1">
        <f t="array" ref="B591">INDEX(HotelList,MOD(ROW()-2,10)+1)</f>
        <v>H010</v>
      </c>
      <c r="C591">
        <f>_xlfn.XLOOKUP(B591,Dim_Hotel!$A$2:$A$11,Dim_Hotel!$F$2:$F$11)</f>
        <v>89</v>
      </c>
      <c r="D591">
        <f t="shared" si="73"/>
        <v>49</v>
      </c>
      <c r="E591">
        <f t="shared" si="74"/>
        <v>0.550561797752809</v>
      </c>
      <c r="F591">
        <f t="shared" si="75"/>
        <v>150</v>
      </c>
      <c r="G591">
        <f t="shared" si="76"/>
        <v>82.584269662921344</v>
      </c>
      <c r="H591" t="str">
        <f>_xlfn.XLOOKUP(A591,Fact_Events!$D$2:$D$20,Fact_Events!$A$2:$A$20, "")</f>
        <v/>
      </c>
      <c r="I591">
        <f t="shared" si="77"/>
        <v>0</v>
      </c>
      <c r="J591" t="str">
        <f>_xlfn.XLOOKUP(H591, Fact_Events!$A$2:$A$20, Fact_Events!$F$2:$F$20, "")</f>
        <v/>
      </c>
      <c r="K591" t="str">
        <f t="shared" si="78"/>
        <v>Low</v>
      </c>
      <c r="L591">
        <f t="shared" si="79"/>
        <v>0.55000000000000004</v>
      </c>
      <c r="M591">
        <f>_xlfn.XLOOKUP(B591, Dim_Hotel!$A$2:$A$11, Dim_Hotel!$I$2:$I$11)
 + (IF(J591="",0,J591)
    * _xlfn.XLOOKUP(B591, Dim_Hotel!$A$2:$A$11, Dim_Hotel!$J$2:$J$11))</f>
        <v>150</v>
      </c>
    </row>
    <row r="592" spans="1:13" x14ac:dyDescent="0.25">
      <c r="A592" s="1">
        <f t="shared" si="72"/>
        <v>46082</v>
      </c>
      <c r="B592" t="str" cm="1">
        <f t="array" ref="B592">INDEX(HotelList,MOD(ROW()-2,10)+1)</f>
        <v>H001</v>
      </c>
      <c r="C592">
        <f>_xlfn.XLOOKUP(B592,Dim_Hotel!$A$2:$A$11,Dim_Hotel!$F$2:$F$11)</f>
        <v>888</v>
      </c>
      <c r="D592">
        <f t="shared" si="73"/>
        <v>488</v>
      </c>
      <c r="E592">
        <f t="shared" si="74"/>
        <v>0.5495495495495496</v>
      </c>
      <c r="F592">
        <f t="shared" si="75"/>
        <v>260</v>
      </c>
      <c r="G592">
        <f t="shared" si="76"/>
        <v>142.88288288288288</v>
      </c>
      <c r="H592" t="str">
        <f>_xlfn.XLOOKUP(A592,Fact_Events!$D$2:$D$20,Fact_Events!$A$2:$A$20, "")</f>
        <v/>
      </c>
      <c r="I592">
        <f t="shared" si="77"/>
        <v>0</v>
      </c>
      <c r="J592" t="str">
        <f>_xlfn.XLOOKUP(H592, Fact_Events!$A$2:$A$20, Fact_Events!$F$2:$F$20, "")</f>
        <v/>
      </c>
      <c r="K592" t="str">
        <f t="shared" si="78"/>
        <v>Low</v>
      </c>
      <c r="L592">
        <f t="shared" si="79"/>
        <v>0.55000000000000004</v>
      </c>
      <c r="M592">
        <f>_xlfn.XLOOKUP(B592, Dim_Hotel!$A$2:$A$11, Dim_Hotel!$I$2:$I$11)
 + (IF(J592="",0,J592)
    * _xlfn.XLOOKUP(B592, Dim_Hotel!$A$2:$A$11, Dim_Hotel!$J$2:$J$11))</f>
        <v>260</v>
      </c>
    </row>
    <row r="593" spans="1:13" x14ac:dyDescent="0.25">
      <c r="A593" s="1">
        <f t="shared" si="72"/>
        <v>46082</v>
      </c>
      <c r="B593" t="str" cm="1">
        <f t="array" ref="B593">INDEX(HotelList,MOD(ROW()-2,10)+1)</f>
        <v>H002</v>
      </c>
      <c r="C593">
        <f>_xlfn.XLOOKUP(B593,Dim_Hotel!$A$2:$A$11,Dim_Hotel!$F$2:$F$11)</f>
        <v>147</v>
      </c>
      <c r="D593">
        <f t="shared" si="73"/>
        <v>81</v>
      </c>
      <c r="E593">
        <f t="shared" si="74"/>
        <v>0.55102040816326525</v>
      </c>
      <c r="F593">
        <f t="shared" si="75"/>
        <v>175</v>
      </c>
      <c r="G593">
        <f t="shared" si="76"/>
        <v>96.428571428571416</v>
      </c>
      <c r="H593" t="str">
        <f>_xlfn.XLOOKUP(A593,Fact_Events!$D$2:$D$20,Fact_Events!$A$2:$A$20, "")</f>
        <v/>
      </c>
      <c r="I593">
        <f t="shared" si="77"/>
        <v>0</v>
      </c>
      <c r="J593" t="str">
        <f>_xlfn.XLOOKUP(H593, Fact_Events!$A$2:$A$20, Fact_Events!$F$2:$F$20, "")</f>
        <v/>
      </c>
      <c r="K593" t="str">
        <f t="shared" si="78"/>
        <v>Low</v>
      </c>
      <c r="L593">
        <f t="shared" si="79"/>
        <v>0.55000000000000004</v>
      </c>
      <c r="M593">
        <f>_xlfn.XLOOKUP(B593, Dim_Hotel!$A$2:$A$11, Dim_Hotel!$I$2:$I$11)
 + (IF(J593="",0,J593)
    * _xlfn.XLOOKUP(B593, Dim_Hotel!$A$2:$A$11, Dim_Hotel!$J$2:$J$11))</f>
        <v>175</v>
      </c>
    </row>
    <row r="594" spans="1:13" x14ac:dyDescent="0.25">
      <c r="A594" s="1">
        <f t="shared" si="72"/>
        <v>46082</v>
      </c>
      <c r="B594" t="str" cm="1">
        <f t="array" ref="B594">INDEX(HotelList,MOD(ROW()-2,10)+1)</f>
        <v>H003</v>
      </c>
      <c r="C594">
        <f>_xlfn.XLOOKUP(B594,Dim_Hotel!$A$2:$A$11,Dim_Hotel!$F$2:$F$11)</f>
        <v>121</v>
      </c>
      <c r="D594">
        <f t="shared" si="73"/>
        <v>67</v>
      </c>
      <c r="E594">
        <f t="shared" si="74"/>
        <v>0.55371900826446285</v>
      </c>
      <c r="F594">
        <f t="shared" si="75"/>
        <v>145</v>
      </c>
      <c r="G594">
        <f t="shared" si="76"/>
        <v>80.289256198347118</v>
      </c>
      <c r="H594" t="str">
        <f>_xlfn.XLOOKUP(A594,Fact_Events!$D$2:$D$20,Fact_Events!$A$2:$A$20, "")</f>
        <v/>
      </c>
      <c r="I594">
        <f t="shared" si="77"/>
        <v>0</v>
      </c>
      <c r="J594" t="str">
        <f>_xlfn.XLOOKUP(H594, Fact_Events!$A$2:$A$20, Fact_Events!$F$2:$F$20, "")</f>
        <v/>
      </c>
      <c r="K594" t="str">
        <f t="shared" si="78"/>
        <v>Low</v>
      </c>
      <c r="L594">
        <f t="shared" si="79"/>
        <v>0.55000000000000004</v>
      </c>
      <c r="M594">
        <f>_xlfn.XLOOKUP(B594, Dim_Hotel!$A$2:$A$11, Dim_Hotel!$I$2:$I$11)
 + (IF(J594="",0,J594)
    * _xlfn.XLOOKUP(B594, Dim_Hotel!$A$2:$A$11, Dim_Hotel!$J$2:$J$11))</f>
        <v>145</v>
      </c>
    </row>
    <row r="595" spans="1:13" x14ac:dyDescent="0.25">
      <c r="A595" s="1">
        <f t="shared" si="72"/>
        <v>46082</v>
      </c>
      <c r="B595" t="str" cm="1">
        <f t="array" ref="B595">INDEX(HotelList,MOD(ROW()-2,10)+1)</f>
        <v>H004</v>
      </c>
      <c r="C595">
        <f>_xlfn.XLOOKUP(B595,Dim_Hotel!$A$2:$A$11,Dim_Hotel!$F$2:$F$11)</f>
        <v>108</v>
      </c>
      <c r="D595">
        <f t="shared" si="73"/>
        <v>59</v>
      </c>
      <c r="E595">
        <f t="shared" si="74"/>
        <v>0.54629629629629628</v>
      </c>
      <c r="F595">
        <f t="shared" si="75"/>
        <v>135</v>
      </c>
      <c r="G595">
        <f t="shared" si="76"/>
        <v>73.75</v>
      </c>
      <c r="H595" t="str">
        <f>_xlfn.XLOOKUP(A595,Fact_Events!$D$2:$D$20,Fact_Events!$A$2:$A$20, "")</f>
        <v/>
      </c>
      <c r="I595">
        <f t="shared" si="77"/>
        <v>0</v>
      </c>
      <c r="J595" t="str">
        <f>_xlfn.XLOOKUP(H595, Fact_Events!$A$2:$A$20, Fact_Events!$F$2:$F$20, "")</f>
        <v/>
      </c>
      <c r="K595" t="str">
        <f t="shared" si="78"/>
        <v>Low</v>
      </c>
      <c r="L595">
        <f t="shared" si="79"/>
        <v>0.55000000000000004</v>
      </c>
      <c r="M595">
        <f>_xlfn.XLOOKUP(B595, Dim_Hotel!$A$2:$A$11, Dim_Hotel!$I$2:$I$11)
 + (IF(J595="",0,J595)
    * _xlfn.XLOOKUP(B595, Dim_Hotel!$A$2:$A$11, Dim_Hotel!$J$2:$J$11))</f>
        <v>135</v>
      </c>
    </row>
    <row r="596" spans="1:13" x14ac:dyDescent="0.25">
      <c r="A596" s="1">
        <f t="shared" si="72"/>
        <v>46082</v>
      </c>
      <c r="B596" t="str" cm="1">
        <f t="array" ref="B596">INDEX(HotelList,MOD(ROW()-2,10)+1)</f>
        <v>H005</v>
      </c>
      <c r="C596">
        <f>_xlfn.XLOOKUP(B596,Dim_Hotel!$A$2:$A$11,Dim_Hotel!$F$2:$F$11)</f>
        <v>66</v>
      </c>
      <c r="D596">
        <f t="shared" si="73"/>
        <v>36</v>
      </c>
      <c r="E596">
        <f t="shared" si="74"/>
        <v>0.54545454545454541</v>
      </c>
      <c r="F596">
        <f t="shared" si="75"/>
        <v>82</v>
      </c>
      <c r="G596">
        <f t="shared" si="76"/>
        <v>44.727272727272727</v>
      </c>
      <c r="H596" t="str">
        <f>_xlfn.XLOOKUP(A596,Fact_Events!$D$2:$D$20,Fact_Events!$A$2:$A$20, "")</f>
        <v/>
      </c>
      <c r="I596">
        <f t="shared" si="77"/>
        <v>0</v>
      </c>
      <c r="J596" t="str">
        <f>_xlfn.XLOOKUP(H596, Fact_Events!$A$2:$A$20, Fact_Events!$F$2:$F$20, "")</f>
        <v/>
      </c>
      <c r="K596" t="str">
        <f t="shared" si="78"/>
        <v>Low</v>
      </c>
      <c r="L596">
        <f t="shared" si="79"/>
        <v>0.55000000000000004</v>
      </c>
      <c r="M596">
        <f>_xlfn.XLOOKUP(B596, Dim_Hotel!$A$2:$A$11, Dim_Hotel!$I$2:$I$11)
 + (IF(J596="",0,J596)
    * _xlfn.XLOOKUP(B596, Dim_Hotel!$A$2:$A$11, Dim_Hotel!$J$2:$J$11))</f>
        <v>82</v>
      </c>
    </row>
    <row r="597" spans="1:13" x14ac:dyDescent="0.25">
      <c r="A597" s="1">
        <f t="shared" si="72"/>
        <v>46082</v>
      </c>
      <c r="B597" t="str" cm="1">
        <f t="array" ref="B597">INDEX(HotelList,MOD(ROW()-2,10)+1)</f>
        <v>H006</v>
      </c>
      <c r="C597">
        <f>_xlfn.XLOOKUP(B597,Dim_Hotel!$A$2:$A$11,Dim_Hotel!$F$2:$F$11)</f>
        <v>311</v>
      </c>
      <c r="D597">
        <f t="shared" si="73"/>
        <v>171</v>
      </c>
      <c r="E597">
        <f t="shared" si="74"/>
        <v>0.54983922829581988</v>
      </c>
      <c r="F597">
        <f t="shared" si="75"/>
        <v>190</v>
      </c>
      <c r="G597">
        <f t="shared" si="76"/>
        <v>104.46945337620578</v>
      </c>
      <c r="H597" t="str">
        <f>_xlfn.XLOOKUP(A597,Fact_Events!$D$2:$D$20,Fact_Events!$A$2:$A$20, "")</f>
        <v/>
      </c>
      <c r="I597">
        <f t="shared" si="77"/>
        <v>0</v>
      </c>
      <c r="J597" t="str">
        <f>_xlfn.XLOOKUP(H597, Fact_Events!$A$2:$A$20, Fact_Events!$F$2:$F$20, "")</f>
        <v/>
      </c>
      <c r="K597" t="str">
        <f t="shared" si="78"/>
        <v>Low</v>
      </c>
      <c r="L597">
        <f t="shared" si="79"/>
        <v>0.55000000000000004</v>
      </c>
      <c r="M597">
        <f>_xlfn.XLOOKUP(B597, Dim_Hotel!$A$2:$A$11, Dim_Hotel!$I$2:$I$11)
 + (IF(J597="",0,J597)
    * _xlfn.XLOOKUP(B597, Dim_Hotel!$A$2:$A$11, Dim_Hotel!$J$2:$J$11))</f>
        <v>190</v>
      </c>
    </row>
    <row r="598" spans="1:13" x14ac:dyDescent="0.25">
      <c r="A598" s="1">
        <f t="shared" si="72"/>
        <v>46082</v>
      </c>
      <c r="B598" t="str" cm="1">
        <f t="array" ref="B598">INDEX(HotelList,MOD(ROW()-2,10)+1)</f>
        <v>H007</v>
      </c>
      <c r="C598">
        <f>_xlfn.XLOOKUP(B598,Dim_Hotel!$A$2:$A$11,Dim_Hotel!$F$2:$F$11)</f>
        <v>132</v>
      </c>
      <c r="D598">
        <f t="shared" si="73"/>
        <v>73</v>
      </c>
      <c r="E598">
        <f t="shared" si="74"/>
        <v>0.55303030303030298</v>
      </c>
      <c r="F598">
        <f t="shared" si="75"/>
        <v>165</v>
      </c>
      <c r="G598">
        <f t="shared" si="76"/>
        <v>91.249999999999986</v>
      </c>
      <c r="H598" t="str">
        <f>_xlfn.XLOOKUP(A598,Fact_Events!$D$2:$D$20,Fact_Events!$A$2:$A$20, "")</f>
        <v/>
      </c>
      <c r="I598">
        <f t="shared" si="77"/>
        <v>0</v>
      </c>
      <c r="J598" t="str">
        <f>_xlfn.XLOOKUP(H598, Fact_Events!$A$2:$A$20, Fact_Events!$F$2:$F$20, "")</f>
        <v/>
      </c>
      <c r="K598" t="str">
        <f t="shared" si="78"/>
        <v>Low</v>
      </c>
      <c r="L598">
        <f t="shared" si="79"/>
        <v>0.55000000000000004</v>
      </c>
      <c r="M598">
        <f>_xlfn.XLOOKUP(B598, Dim_Hotel!$A$2:$A$11, Dim_Hotel!$I$2:$I$11)
 + (IF(J598="",0,J598)
    * _xlfn.XLOOKUP(B598, Dim_Hotel!$A$2:$A$11, Dim_Hotel!$J$2:$J$11))</f>
        <v>165</v>
      </c>
    </row>
    <row r="599" spans="1:13" x14ac:dyDescent="0.25">
      <c r="A599" s="1">
        <f t="shared" si="72"/>
        <v>46082</v>
      </c>
      <c r="B599" t="str" cm="1">
        <f t="array" ref="B599">INDEX(HotelList,MOD(ROW()-2,10)+1)</f>
        <v>H008</v>
      </c>
      <c r="C599">
        <f>_xlfn.XLOOKUP(B599,Dim_Hotel!$A$2:$A$11,Dim_Hotel!$F$2:$F$11)</f>
        <v>103</v>
      </c>
      <c r="D599">
        <f t="shared" si="73"/>
        <v>57</v>
      </c>
      <c r="E599">
        <f t="shared" si="74"/>
        <v>0.55339805825242716</v>
      </c>
      <c r="F599">
        <f t="shared" si="75"/>
        <v>140</v>
      </c>
      <c r="G599">
        <f t="shared" si="76"/>
        <v>77.475728155339809</v>
      </c>
      <c r="H599" t="str">
        <f>_xlfn.XLOOKUP(A599,Fact_Events!$D$2:$D$20,Fact_Events!$A$2:$A$20, "")</f>
        <v/>
      </c>
      <c r="I599">
        <f t="shared" si="77"/>
        <v>0</v>
      </c>
      <c r="J599" t="str">
        <f>_xlfn.XLOOKUP(H599, Fact_Events!$A$2:$A$20, Fact_Events!$F$2:$F$20, "")</f>
        <v/>
      </c>
      <c r="K599" t="str">
        <f t="shared" si="78"/>
        <v>Low</v>
      </c>
      <c r="L599">
        <f t="shared" si="79"/>
        <v>0.55000000000000004</v>
      </c>
      <c r="M599">
        <f>_xlfn.XLOOKUP(B599, Dim_Hotel!$A$2:$A$11, Dim_Hotel!$I$2:$I$11)
 + (IF(J599="",0,J599)
    * _xlfn.XLOOKUP(B599, Dim_Hotel!$A$2:$A$11, Dim_Hotel!$J$2:$J$11))</f>
        <v>140</v>
      </c>
    </row>
    <row r="600" spans="1:13" x14ac:dyDescent="0.25">
      <c r="A600" s="1">
        <f t="shared" si="72"/>
        <v>46082</v>
      </c>
      <c r="B600" t="str" cm="1">
        <f t="array" ref="B600">INDEX(HotelList,MOD(ROW()-2,10)+1)</f>
        <v>H009</v>
      </c>
      <c r="C600">
        <f>_xlfn.XLOOKUP(B600,Dim_Hotel!$A$2:$A$11,Dim_Hotel!$F$2:$F$11)</f>
        <v>114</v>
      </c>
      <c r="D600">
        <f t="shared" si="73"/>
        <v>63</v>
      </c>
      <c r="E600">
        <f t="shared" si="74"/>
        <v>0.55263157894736847</v>
      </c>
      <c r="F600">
        <f t="shared" si="75"/>
        <v>185</v>
      </c>
      <c r="G600">
        <f t="shared" si="76"/>
        <v>102.23684210526316</v>
      </c>
      <c r="H600" t="str">
        <f>_xlfn.XLOOKUP(A600,Fact_Events!$D$2:$D$20,Fact_Events!$A$2:$A$20, "")</f>
        <v/>
      </c>
      <c r="I600">
        <f t="shared" si="77"/>
        <v>0</v>
      </c>
      <c r="J600" t="str">
        <f>_xlfn.XLOOKUP(H600, Fact_Events!$A$2:$A$20, Fact_Events!$F$2:$F$20, "")</f>
        <v/>
      </c>
      <c r="K600" t="str">
        <f t="shared" si="78"/>
        <v>Low</v>
      </c>
      <c r="L600">
        <f t="shared" si="79"/>
        <v>0.55000000000000004</v>
      </c>
      <c r="M600">
        <f>_xlfn.XLOOKUP(B600, Dim_Hotel!$A$2:$A$11, Dim_Hotel!$I$2:$I$11)
 + (IF(J600="",0,J600)
    * _xlfn.XLOOKUP(B600, Dim_Hotel!$A$2:$A$11, Dim_Hotel!$J$2:$J$11))</f>
        <v>185</v>
      </c>
    </row>
    <row r="601" spans="1:13" x14ac:dyDescent="0.25">
      <c r="A601" s="1">
        <f t="shared" si="72"/>
        <v>46082</v>
      </c>
      <c r="B601" t="str" cm="1">
        <f t="array" ref="B601">INDEX(HotelList,MOD(ROW()-2,10)+1)</f>
        <v>H010</v>
      </c>
      <c r="C601">
        <f>_xlfn.XLOOKUP(B601,Dim_Hotel!$A$2:$A$11,Dim_Hotel!$F$2:$F$11)</f>
        <v>89</v>
      </c>
      <c r="D601">
        <f t="shared" si="73"/>
        <v>49</v>
      </c>
      <c r="E601">
        <f t="shared" si="74"/>
        <v>0.550561797752809</v>
      </c>
      <c r="F601">
        <f t="shared" si="75"/>
        <v>150</v>
      </c>
      <c r="G601">
        <f t="shared" si="76"/>
        <v>82.584269662921344</v>
      </c>
      <c r="H601" t="str">
        <f>_xlfn.XLOOKUP(A601,Fact_Events!$D$2:$D$20,Fact_Events!$A$2:$A$20, "")</f>
        <v/>
      </c>
      <c r="I601">
        <f t="shared" si="77"/>
        <v>0</v>
      </c>
      <c r="J601" t="str">
        <f>_xlfn.XLOOKUP(H601, Fact_Events!$A$2:$A$20, Fact_Events!$F$2:$F$20, "")</f>
        <v/>
      </c>
      <c r="K601" t="str">
        <f t="shared" si="78"/>
        <v>Low</v>
      </c>
      <c r="L601">
        <f t="shared" si="79"/>
        <v>0.55000000000000004</v>
      </c>
      <c r="M601">
        <f>_xlfn.XLOOKUP(B601, Dim_Hotel!$A$2:$A$11, Dim_Hotel!$I$2:$I$11)
 + (IF(J601="",0,J601)
    * _xlfn.XLOOKUP(B601, Dim_Hotel!$A$2:$A$11, Dim_Hotel!$J$2:$J$11))</f>
        <v>150</v>
      </c>
    </row>
    <row r="602" spans="1:13" x14ac:dyDescent="0.25">
      <c r="A602" s="1">
        <f t="shared" si="72"/>
        <v>46083</v>
      </c>
      <c r="B602" t="str" cm="1">
        <f t="array" ref="B602">INDEX(HotelList,MOD(ROW()-2,10)+1)</f>
        <v>H001</v>
      </c>
      <c r="C602">
        <f>_xlfn.XLOOKUP(B602,Dim_Hotel!$A$2:$A$11,Dim_Hotel!$F$2:$F$11)</f>
        <v>888</v>
      </c>
      <c r="D602">
        <f t="shared" si="73"/>
        <v>488</v>
      </c>
      <c r="E602">
        <f t="shared" si="74"/>
        <v>0.5495495495495496</v>
      </c>
      <c r="F602">
        <f t="shared" si="75"/>
        <v>260</v>
      </c>
      <c r="G602">
        <f t="shared" si="76"/>
        <v>142.88288288288288</v>
      </c>
      <c r="H602" t="str">
        <f>_xlfn.XLOOKUP(A602,Fact_Events!$D$2:$D$20,Fact_Events!$A$2:$A$20, "")</f>
        <v/>
      </c>
      <c r="I602">
        <f t="shared" si="77"/>
        <v>0</v>
      </c>
      <c r="J602" t="str">
        <f>_xlfn.XLOOKUP(H602, Fact_Events!$A$2:$A$20, Fact_Events!$F$2:$F$20, "")</f>
        <v/>
      </c>
      <c r="K602" t="str">
        <f t="shared" si="78"/>
        <v>Low</v>
      </c>
      <c r="L602">
        <f t="shared" si="79"/>
        <v>0.55000000000000004</v>
      </c>
      <c r="M602">
        <f>_xlfn.XLOOKUP(B602, Dim_Hotel!$A$2:$A$11, Dim_Hotel!$I$2:$I$11)
 + (IF(J602="",0,J602)
    * _xlfn.XLOOKUP(B602, Dim_Hotel!$A$2:$A$11, Dim_Hotel!$J$2:$J$11))</f>
        <v>260</v>
      </c>
    </row>
    <row r="603" spans="1:13" x14ac:dyDescent="0.25">
      <c r="A603" s="1">
        <f t="shared" si="72"/>
        <v>46083</v>
      </c>
      <c r="B603" t="str" cm="1">
        <f t="array" ref="B603">INDEX(HotelList,MOD(ROW()-2,10)+1)</f>
        <v>H002</v>
      </c>
      <c r="C603">
        <f>_xlfn.XLOOKUP(B603,Dim_Hotel!$A$2:$A$11,Dim_Hotel!$F$2:$F$11)</f>
        <v>147</v>
      </c>
      <c r="D603">
        <f t="shared" si="73"/>
        <v>81</v>
      </c>
      <c r="E603">
        <f t="shared" si="74"/>
        <v>0.55102040816326525</v>
      </c>
      <c r="F603">
        <f t="shared" si="75"/>
        <v>175</v>
      </c>
      <c r="G603">
        <f t="shared" si="76"/>
        <v>96.428571428571416</v>
      </c>
      <c r="H603" t="str">
        <f>_xlfn.XLOOKUP(A603,Fact_Events!$D$2:$D$20,Fact_Events!$A$2:$A$20, "")</f>
        <v/>
      </c>
      <c r="I603">
        <f t="shared" si="77"/>
        <v>0</v>
      </c>
      <c r="J603" t="str">
        <f>_xlfn.XLOOKUP(H603, Fact_Events!$A$2:$A$20, Fact_Events!$F$2:$F$20, "")</f>
        <v/>
      </c>
      <c r="K603" t="str">
        <f t="shared" si="78"/>
        <v>Low</v>
      </c>
      <c r="L603">
        <f t="shared" si="79"/>
        <v>0.55000000000000004</v>
      </c>
      <c r="M603">
        <f>_xlfn.XLOOKUP(B603, Dim_Hotel!$A$2:$A$11, Dim_Hotel!$I$2:$I$11)
 + (IF(J603="",0,J603)
    * _xlfn.XLOOKUP(B603, Dim_Hotel!$A$2:$A$11, Dim_Hotel!$J$2:$J$11))</f>
        <v>175</v>
      </c>
    </row>
    <row r="604" spans="1:13" x14ac:dyDescent="0.25">
      <c r="A604" s="1">
        <f t="shared" si="72"/>
        <v>46083</v>
      </c>
      <c r="B604" t="str" cm="1">
        <f t="array" ref="B604">INDEX(HotelList,MOD(ROW()-2,10)+1)</f>
        <v>H003</v>
      </c>
      <c r="C604">
        <f>_xlfn.XLOOKUP(B604,Dim_Hotel!$A$2:$A$11,Dim_Hotel!$F$2:$F$11)</f>
        <v>121</v>
      </c>
      <c r="D604">
        <f t="shared" si="73"/>
        <v>67</v>
      </c>
      <c r="E604">
        <f t="shared" si="74"/>
        <v>0.55371900826446285</v>
      </c>
      <c r="F604">
        <f t="shared" si="75"/>
        <v>145</v>
      </c>
      <c r="G604">
        <f t="shared" si="76"/>
        <v>80.289256198347118</v>
      </c>
      <c r="H604" t="str">
        <f>_xlfn.XLOOKUP(A604,Fact_Events!$D$2:$D$20,Fact_Events!$A$2:$A$20, "")</f>
        <v/>
      </c>
      <c r="I604">
        <f t="shared" si="77"/>
        <v>0</v>
      </c>
      <c r="J604" t="str">
        <f>_xlfn.XLOOKUP(H604, Fact_Events!$A$2:$A$20, Fact_Events!$F$2:$F$20, "")</f>
        <v/>
      </c>
      <c r="K604" t="str">
        <f t="shared" si="78"/>
        <v>Low</v>
      </c>
      <c r="L604">
        <f t="shared" si="79"/>
        <v>0.55000000000000004</v>
      </c>
      <c r="M604">
        <f>_xlfn.XLOOKUP(B604, Dim_Hotel!$A$2:$A$11, Dim_Hotel!$I$2:$I$11)
 + (IF(J604="",0,J604)
    * _xlfn.XLOOKUP(B604, Dim_Hotel!$A$2:$A$11, Dim_Hotel!$J$2:$J$11))</f>
        <v>145</v>
      </c>
    </row>
    <row r="605" spans="1:13" x14ac:dyDescent="0.25">
      <c r="A605" s="1">
        <f t="shared" si="72"/>
        <v>46083</v>
      </c>
      <c r="B605" t="str" cm="1">
        <f t="array" ref="B605">INDEX(HotelList,MOD(ROW()-2,10)+1)</f>
        <v>H004</v>
      </c>
      <c r="C605">
        <f>_xlfn.XLOOKUP(B605,Dim_Hotel!$A$2:$A$11,Dim_Hotel!$F$2:$F$11)</f>
        <v>108</v>
      </c>
      <c r="D605">
        <f t="shared" si="73"/>
        <v>59</v>
      </c>
      <c r="E605">
        <f t="shared" si="74"/>
        <v>0.54629629629629628</v>
      </c>
      <c r="F605">
        <f t="shared" si="75"/>
        <v>135</v>
      </c>
      <c r="G605">
        <f t="shared" si="76"/>
        <v>73.75</v>
      </c>
      <c r="H605" t="str">
        <f>_xlfn.XLOOKUP(A605,Fact_Events!$D$2:$D$20,Fact_Events!$A$2:$A$20, "")</f>
        <v/>
      </c>
      <c r="I605">
        <f t="shared" si="77"/>
        <v>0</v>
      </c>
      <c r="J605" t="str">
        <f>_xlfn.XLOOKUP(H605, Fact_Events!$A$2:$A$20, Fact_Events!$F$2:$F$20, "")</f>
        <v/>
      </c>
      <c r="K605" t="str">
        <f t="shared" si="78"/>
        <v>Low</v>
      </c>
      <c r="L605">
        <f t="shared" si="79"/>
        <v>0.55000000000000004</v>
      </c>
      <c r="M605">
        <f>_xlfn.XLOOKUP(B605, Dim_Hotel!$A$2:$A$11, Dim_Hotel!$I$2:$I$11)
 + (IF(J605="",0,J605)
    * _xlfn.XLOOKUP(B605, Dim_Hotel!$A$2:$A$11, Dim_Hotel!$J$2:$J$11))</f>
        <v>135</v>
      </c>
    </row>
    <row r="606" spans="1:13" x14ac:dyDescent="0.25">
      <c r="A606" s="1">
        <f t="shared" si="72"/>
        <v>46083</v>
      </c>
      <c r="B606" t="str" cm="1">
        <f t="array" ref="B606">INDEX(HotelList,MOD(ROW()-2,10)+1)</f>
        <v>H005</v>
      </c>
      <c r="C606">
        <f>_xlfn.XLOOKUP(B606,Dim_Hotel!$A$2:$A$11,Dim_Hotel!$F$2:$F$11)</f>
        <v>66</v>
      </c>
      <c r="D606">
        <f t="shared" si="73"/>
        <v>36</v>
      </c>
      <c r="E606">
        <f t="shared" si="74"/>
        <v>0.54545454545454541</v>
      </c>
      <c r="F606">
        <f t="shared" si="75"/>
        <v>82</v>
      </c>
      <c r="G606">
        <f t="shared" si="76"/>
        <v>44.727272727272727</v>
      </c>
      <c r="H606" t="str">
        <f>_xlfn.XLOOKUP(A606,Fact_Events!$D$2:$D$20,Fact_Events!$A$2:$A$20, "")</f>
        <v/>
      </c>
      <c r="I606">
        <f t="shared" si="77"/>
        <v>0</v>
      </c>
      <c r="J606" t="str">
        <f>_xlfn.XLOOKUP(H606, Fact_Events!$A$2:$A$20, Fact_Events!$F$2:$F$20, "")</f>
        <v/>
      </c>
      <c r="K606" t="str">
        <f t="shared" si="78"/>
        <v>Low</v>
      </c>
      <c r="L606">
        <f t="shared" si="79"/>
        <v>0.55000000000000004</v>
      </c>
      <c r="M606">
        <f>_xlfn.XLOOKUP(B606, Dim_Hotel!$A$2:$A$11, Dim_Hotel!$I$2:$I$11)
 + (IF(J606="",0,J606)
    * _xlfn.XLOOKUP(B606, Dim_Hotel!$A$2:$A$11, Dim_Hotel!$J$2:$J$11))</f>
        <v>82</v>
      </c>
    </row>
    <row r="607" spans="1:13" x14ac:dyDescent="0.25">
      <c r="A607" s="1">
        <f t="shared" si="72"/>
        <v>46083</v>
      </c>
      <c r="B607" t="str" cm="1">
        <f t="array" ref="B607">INDEX(HotelList,MOD(ROW()-2,10)+1)</f>
        <v>H006</v>
      </c>
      <c r="C607">
        <f>_xlfn.XLOOKUP(B607,Dim_Hotel!$A$2:$A$11,Dim_Hotel!$F$2:$F$11)</f>
        <v>311</v>
      </c>
      <c r="D607">
        <f t="shared" si="73"/>
        <v>171</v>
      </c>
      <c r="E607">
        <f t="shared" si="74"/>
        <v>0.54983922829581988</v>
      </c>
      <c r="F607">
        <f t="shared" si="75"/>
        <v>190</v>
      </c>
      <c r="G607">
        <f t="shared" si="76"/>
        <v>104.46945337620578</v>
      </c>
      <c r="H607" t="str">
        <f>_xlfn.XLOOKUP(A607,Fact_Events!$D$2:$D$20,Fact_Events!$A$2:$A$20, "")</f>
        <v/>
      </c>
      <c r="I607">
        <f t="shared" si="77"/>
        <v>0</v>
      </c>
      <c r="J607" t="str">
        <f>_xlfn.XLOOKUP(H607, Fact_Events!$A$2:$A$20, Fact_Events!$F$2:$F$20, "")</f>
        <v/>
      </c>
      <c r="K607" t="str">
        <f t="shared" si="78"/>
        <v>Low</v>
      </c>
      <c r="L607">
        <f t="shared" si="79"/>
        <v>0.55000000000000004</v>
      </c>
      <c r="M607">
        <f>_xlfn.XLOOKUP(B607, Dim_Hotel!$A$2:$A$11, Dim_Hotel!$I$2:$I$11)
 + (IF(J607="",0,J607)
    * _xlfn.XLOOKUP(B607, Dim_Hotel!$A$2:$A$11, Dim_Hotel!$J$2:$J$11))</f>
        <v>190</v>
      </c>
    </row>
    <row r="608" spans="1:13" x14ac:dyDescent="0.25">
      <c r="A608" s="1">
        <f t="shared" si="72"/>
        <v>46083</v>
      </c>
      <c r="B608" t="str" cm="1">
        <f t="array" ref="B608">INDEX(HotelList,MOD(ROW()-2,10)+1)</f>
        <v>H007</v>
      </c>
      <c r="C608">
        <f>_xlfn.XLOOKUP(B608,Dim_Hotel!$A$2:$A$11,Dim_Hotel!$F$2:$F$11)</f>
        <v>132</v>
      </c>
      <c r="D608">
        <f t="shared" si="73"/>
        <v>73</v>
      </c>
      <c r="E608">
        <f t="shared" si="74"/>
        <v>0.55303030303030298</v>
      </c>
      <c r="F608">
        <f t="shared" si="75"/>
        <v>165</v>
      </c>
      <c r="G608">
        <f t="shared" si="76"/>
        <v>91.249999999999986</v>
      </c>
      <c r="H608" t="str">
        <f>_xlfn.XLOOKUP(A608,Fact_Events!$D$2:$D$20,Fact_Events!$A$2:$A$20, "")</f>
        <v/>
      </c>
      <c r="I608">
        <f t="shared" si="77"/>
        <v>0</v>
      </c>
      <c r="J608" t="str">
        <f>_xlfn.XLOOKUP(H608, Fact_Events!$A$2:$A$20, Fact_Events!$F$2:$F$20, "")</f>
        <v/>
      </c>
      <c r="K608" t="str">
        <f t="shared" si="78"/>
        <v>Low</v>
      </c>
      <c r="L608">
        <f t="shared" si="79"/>
        <v>0.55000000000000004</v>
      </c>
      <c r="M608">
        <f>_xlfn.XLOOKUP(B608, Dim_Hotel!$A$2:$A$11, Dim_Hotel!$I$2:$I$11)
 + (IF(J608="",0,J608)
    * _xlfn.XLOOKUP(B608, Dim_Hotel!$A$2:$A$11, Dim_Hotel!$J$2:$J$11))</f>
        <v>165</v>
      </c>
    </row>
    <row r="609" spans="1:13" x14ac:dyDescent="0.25">
      <c r="A609" s="1">
        <f t="shared" si="72"/>
        <v>46083</v>
      </c>
      <c r="B609" t="str" cm="1">
        <f t="array" ref="B609">INDEX(HotelList,MOD(ROW()-2,10)+1)</f>
        <v>H008</v>
      </c>
      <c r="C609">
        <f>_xlfn.XLOOKUP(B609,Dim_Hotel!$A$2:$A$11,Dim_Hotel!$F$2:$F$11)</f>
        <v>103</v>
      </c>
      <c r="D609">
        <f t="shared" si="73"/>
        <v>57</v>
      </c>
      <c r="E609">
        <f t="shared" si="74"/>
        <v>0.55339805825242716</v>
      </c>
      <c r="F609">
        <f t="shared" si="75"/>
        <v>140</v>
      </c>
      <c r="G609">
        <f t="shared" si="76"/>
        <v>77.475728155339809</v>
      </c>
      <c r="H609" t="str">
        <f>_xlfn.XLOOKUP(A609,Fact_Events!$D$2:$D$20,Fact_Events!$A$2:$A$20, "")</f>
        <v/>
      </c>
      <c r="I609">
        <f t="shared" si="77"/>
        <v>0</v>
      </c>
      <c r="J609" t="str">
        <f>_xlfn.XLOOKUP(H609, Fact_Events!$A$2:$A$20, Fact_Events!$F$2:$F$20, "")</f>
        <v/>
      </c>
      <c r="K609" t="str">
        <f t="shared" si="78"/>
        <v>Low</v>
      </c>
      <c r="L609">
        <f t="shared" si="79"/>
        <v>0.55000000000000004</v>
      </c>
      <c r="M609">
        <f>_xlfn.XLOOKUP(B609, Dim_Hotel!$A$2:$A$11, Dim_Hotel!$I$2:$I$11)
 + (IF(J609="",0,J609)
    * _xlfn.XLOOKUP(B609, Dim_Hotel!$A$2:$A$11, Dim_Hotel!$J$2:$J$11))</f>
        <v>140</v>
      </c>
    </row>
    <row r="610" spans="1:13" x14ac:dyDescent="0.25">
      <c r="A610" s="1">
        <f t="shared" si="72"/>
        <v>46083</v>
      </c>
      <c r="B610" t="str" cm="1">
        <f t="array" ref="B610">INDEX(HotelList,MOD(ROW()-2,10)+1)</f>
        <v>H009</v>
      </c>
      <c r="C610">
        <f>_xlfn.XLOOKUP(B610,Dim_Hotel!$A$2:$A$11,Dim_Hotel!$F$2:$F$11)</f>
        <v>114</v>
      </c>
      <c r="D610">
        <f t="shared" si="73"/>
        <v>63</v>
      </c>
      <c r="E610">
        <f t="shared" si="74"/>
        <v>0.55263157894736847</v>
      </c>
      <c r="F610">
        <f t="shared" si="75"/>
        <v>185</v>
      </c>
      <c r="G610">
        <f t="shared" si="76"/>
        <v>102.23684210526316</v>
      </c>
      <c r="H610" t="str">
        <f>_xlfn.XLOOKUP(A610,Fact_Events!$D$2:$D$20,Fact_Events!$A$2:$A$20, "")</f>
        <v/>
      </c>
      <c r="I610">
        <f t="shared" si="77"/>
        <v>0</v>
      </c>
      <c r="J610" t="str">
        <f>_xlfn.XLOOKUP(H610, Fact_Events!$A$2:$A$20, Fact_Events!$F$2:$F$20, "")</f>
        <v/>
      </c>
      <c r="K610" t="str">
        <f t="shared" si="78"/>
        <v>Low</v>
      </c>
      <c r="L610">
        <f t="shared" si="79"/>
        <v>0.55000000000000004</v>
      </c>
      <c r="M610">
        <f>_xlfn.XLOOKUP(B610, Dim_Hotel!$A$2:$A$11, Dim_Hotel!$I$2:$I$11)
 + (IF(J610="",0,J610)
    * _xlfn.XLOOKUP(B610, Dim_Hotel!$A$2:$A$11, Dim_Hotel!$J$2:$J$11))</f>
        <v>185</v>
      </c>
    </row>
    <row r="611" spans="1:13" x14ac:dyDescent="0.25">
      <c r="A611" s="1">
        <f t="shared" si="72"/>
        <v>46083</v>
      </c>
      <c r="B611" t="str" cm="1">
        <f t="array" ref="B611">INDEX(HotelList,MOD(ROW()-2,10)+1)</f>
        <v>H010</v>
      </c>
      <c r="C611">
        <f>_xlfn.XLOOKUP(B611,Dim_Hotel!$A$2:$A$11,Dim_Hotel!$F$2:$F$11)</f>
        <v>89</v>
      </c>
      <c r="D611">
        <f t="shared" si="73"/>
        <v>49</v>
      </c>
      <c r="E611">
        <f t="shared" si="74"/>
        <v>0.550561797752809</v>
      </c>
      <c r="F611">
        <f t="shared" si="75"/>
        <v>150</v>
      </c>
      <c r="G611">
        <f t="shared" si="76"/>
        <v>82.584269662921344</v>
      </c>
      <c r="H611" t="str">
        <f>_xlfn.XLOOKUP(A611,Fact_Events!$D$2:$D$20,Fact_Events!$A$2:$A$20, "")</f>
        <v/>
      </c>
      <c r="I611">
        <f t="shared" si="77"/>
        <v>0</v>
      </c>
      <c r="J611" t="str">
        <f>_xlfn.XLOOKUP(H611, Fact_Events!$A$2:$A$20, Fact_Events!$F$2:$F$20, "")</f>
        <v/>
      </c>
      <c r="K611" t="str">
        <f t="shared" si="78"/>
        <v>Low</v>
      </c>
      <c r="L611">
        <f t="shared" si="79"/>
        <v>0.55000000000000004</v>
      </c>
      <c r="M611">
        <f>_xlfn.XLOOKUP(B611, Dim_Hotel!$A$2:$A$11, Dim_Hotel!$I$2:$I$11)
 + (IF(J611="",0,J611)
    * _xlfn.XLOOKUP(B611, Dim_Hotel!$A$2:$A$11, Dim_Hotel!$J$2:$J$11))</f>
        <v>150</v>
      </c>
    </row>
    <row r="612" spans="1:13" x14ac:dyDescent="0.25">
      <c r="A612" s="1">
        <f t="shared" si="72"/>
        <v>46084</v>
      </c>
      <c r="B612" t="str" cm="1">
        <f t="array" ref="B612">INDEX(HotelList,MOD(ROW()-2,10)+1)</f>
        <v>H001</v>
      </c>
      <c r="C612">
        <f>_xlfn.XLOOKUP(B612,Dim_Hotel!$A$2:$A$11,Dim_Hotel!$F$2:$F$11)</f>
        <v>888</v>
      </c>
      <c r="D612">
        <f t="shared" si="73"/>
        <v>488</v>
      </c>
      <c r="E612">
        <f t="shared" si="74"/>
        <v>0.5495495495495496</v>
      </c>
      <c r="F612">
        <f t="shared" si="75"/>
        <v>260</v>
      </c>
      <c r="G612">
        <f t="shared" si="76"/>
        <v>142.88288288288288</v>
      </c>
      <c r="H612" t="str">
        <f>_xlfn.XLOOKUP(A612,Fact_Events!$D$2:$D$20,Fact_Events!$A$2:$A$20, "")</f>
        <v/>
      </c>
      <c r="I612">
        <f t="shared" si="77"/>
        <v>0</v>
      </c>
      <c r="J612" t="str">
        <f>_xlfn.XLOOKUP(H612, Fact_Events!$A$2:$A$20, Fact_Events!$F$2:$F$20, "")</f>
        <v/>
      </c>
      <c r="K612" t="str">
        <f t="shared" si="78"/>
        <v>Low</v>
      </c>
      <c r="L612">
        <f t="shared" si="79"/>
        <v>0.55000000000000004</v>
      </c>
      <c r="M612">
        <f>_xlfn.XLOOKUP(B612, Dim_Hotel!$A$2:$A$11, Dim_Hotel!$I$2:$I$11)
 + (IF(J612="",0,J612)
    * _xlfn.XLOOKUP(B612, Dim_Hotel!$A$2:$A$11, Dim_Hotel!$J$2:$J$11))</f>
        <v>260</v>
      </c>
    </row>
    <row r="613" spans="1:13" x14ac:dyDescent="0.25">
      <c r="A613" s="1">
        <f t="shared" si="72"/>
        <v>46084</v>
      </c>
      <c r="B613" t="str" cm="1">
        <f t="array" ref="B613">INDEX(HotelList,MOD(ROW()-2,10)+1)</f>
        <v>H002</v>
      </c>
      <c r="C613">
        <f>_xlfn.XLOOKUP(B613,Dim_Hotel!$A$2:$A$11,Dim_Hotel!$F$2:$F$11)</f>
        <v>147</v>
      </c>
      <c r="D613">
        <f t="shared" si="73"/>
        <v>81</v>
      </c>
      <c r="E613">
        <f t="shared" si="74"/>
        <v>0.55102040816326525</v>
      </c>
      <c r="F613">
        <f t="shared" si="75"/>
        <v>175</v>
      </c>
      <c r="G613">
        <f t="shared" si="76"/>
        <v>96.428571428571416</v>
      </c>
      <c r="H613" t="str">
        <f>_xlfn.XLOOKUP(A613,Fact_Events!$D$2:$D$20,Fact_Events!$A$2:$A$20, "")</f>
        <v/>
      </c>
      <c r="I613">
        <f t="shared" si="77"/>
        <v>0</v>
      </c>
      <c r="J613" t="str">
        <f>_xlfn.XLOOKUP(H613, Fact_Events!$A$2:$A$20, Fact_Events!$F$2:$F$20, "")</f>
        <v/>
      </c>
      <c r="K613" t="str">
        <f t="shared" si="78"/>
        <v>Low</v>
      </c>
      <c r="L613">
        <f t="shared" si="79"/>
        <v>0.55000000000000004</v>
      </c>
      <c r="M613">
        <f>_xlfn.XLOOKUP(B613, Dim_Hotel!$A$2:$A$11, Dim_Hotel!$I$2:$I$11)
 + (IF(J613="",0,J613)
    * _xlfn.XLOOKUP(B613, Dim_Hotel!$A$2:$A$11, Dim_Hotel!$J$2:$J$11))</f>
        <v>175</v>
      </c>
    </row>
    <row r="614" spans="1:13" x14ac:dyDescent="0.25">
      <c r="A614" s="1">
        <f t="shared" si="72"/>
        <v>46084</v>
      </c>
      <c r="B614" t="str" cm="1">
        <f t="array" ref="B614">INDEX(HotelList,MOD(ROW()-2,10)+1)</f>
        <v>H003</v>
      </c>
      <c r="C614">
        <f>_xlfn.XLOOKUP(B614,Dim_Hotel!$A$2:$A$11,Dim_Hotel!$F$2:$F$11)</f>
        <v>121</v>
      </c>
      <c r="D614">
        <f t="shared" si="73"/>
        <v>67</v>
      </c>
      <c r="E614">
        <f t="shared" si="74"/>
        <v>0.55371900826446285</v>
      </c>
      <c r="F614">
        <f t="shared" si="75"/>
        <v>145</v>
      </c>
      <c r="G614">
        <f t="shared" si="76"/>
        <v>80.289256198347118</v>
      </c>
      <c r="H614" t="str">
        <f>_xlfn.XLOOKUP(A614,Fact_Events!$D$2:$D$20,Fact_Events!$A$2:$A$20, "")</f>
        <v/>
      </c>
      <c r="I614">
        <f t="shared" si="77"/>
        <v>0</v>
      </c>
      <c r="J614" t="str">
        <f>_xlfn.XLOOKUP(H614, Fact_Events!$A$2:$A$20, Fact_Events!$F$2:$F$20, "")</f>
        <v/>
      </c>
      <c r="K614" t="str">
        <f t="shared" si="78"/>
        <v>Low</v>
      </c>
      <c r="L614">
        <f t="shared" si="79"/>
        <v>0.55000000000000004</v>
      </c>
      <c r="M614">
        <f>_xlfn.XLOOKUP(B614, Dim_Hotel!$A$2:$A$11, Dim_Hotel!$I$2:$I$11)
 + (IF(J614="",0,J614)
    * _xlfn.XLOOKUP(B614, Dim_Hotel!$A$2:$A$11, Dim_Hotel!$J$2:$J$11))</f>
        <v>145</v>
      </c>
    </row>
    <row r="615" spans="1:13" x14ac:dyDescent="0.25">
      <c r="A615" s="1">
        <f t="shared" si="72"/>
        <v>46084</v>
      </c>
      <c r="B615" t="str" cm="1">
        <f t="array" ref="B615">INDEX(HotelList,MOD(ROW()-2,10)+1)</f>
        <v>H004</v>
      </c>
      <c r="C615">
        <f>_xlfn.XLOOKUP(B615,Dim_Hotel!$A$2:$A$11,Dim_Hotel!$F$2:$F$11)</f>
        <v>108</v>
      </c>
      <c r="D615">
        <f t="shared" si="73"/>
        <v>59</v>
      </c>
      <c r="E615">
        <f t="shared" si="74"/>
        <v>0.54629629629629628</v>
      </c>
      <c r="F615">
        <f t="shared" si="75"/>
        <v>135</v>
      </c>
      <c r="G615">
        <f t="shared" si="76"/>
        <v>73.75</v>
      </c>
      <c r="H615" t="str">
        <f>_xlfn.XLOOKUP(A615,Fact_Events!$D$2:$D$20,Fact_Events!$A$2:$A$20, "")</f>
        <v/>
      </c>
      <c r="I615">
        <f t="shared" si="77"/>
        <v>0</v>
      </c>
      <c r="J615" t="str">
        <f>_xlfn.XLOOKUP(H615, Fact_Events!$A$2:$A$20, Fact_Events!$F$2:$F$20, "")</f>
        <v/>
      </c>
      <c r="K615" t="str">
        <f t="shared" si="78"/>
        <v>Low</v>
      </c>
      <c r="L615">
        <f t="shared" si="79"/>
        <v>0.55000000000000004</v>
      </c>
      <c r="M615">
        <f>_xlfn.XLOOKUP(B615, Dim_Hotel!$A$2:$A$11, Dim_Hotel!$I$2:$I$11)
 + (IF(J615="",0,J615)
    * _xlfn.XLOOKUP(B615, Dim_Hotel!$A$2:$A$11, Dim_Hotel!$J$2:$J$11))</f>
        <v>135</v>
      </c>
    </row>
    <row r="616" spans="1:13" x14ac:dyDescent="0.25">
      <c r="A616" s="1">
        <f t="shared" si="72"/>
        <v>46084</v>
      </c>
      <c r="B616" t="str" cm="1">
        <f t="array" ref="B616">INDEX(HotelList,MOD(ROW()-2,10)+1)</f>
        <v>H005</v>
      </c>
      <c r="C616">
        <f>_xlfn.XLOOKUP(B616,Dim_Hotel!$A$2:$A$11,Dim_Hotel!$F$2:$F$11)</f>
        <v>66</v>
      </c>
      <c r="D616">
        <f t="shared" si="73"/>
        <v>36</v>
      </c>
      <c r="E616">
        <f t="shared" si="74"/>
        <v>0.54545454545454541</v>
      </c>
      <c r="F616">
        <f t="shared" si="75"/>
        <v>82</v>
      </c>
      <c r="G616">
        <f t="shared" si="76"/>
        <v>44.727272727272727</v>
      </c>
      <c r="H616" t="str">
        <f>_xlfn.XLOOKUP(A616,Fact_Events!$D$2:$D$20,Fact_Events!$A$2:$A$20, "")</f>
        <v/>
      </c>
      <c r="I616">
        <f t="shared" si="77"/>
        <v>0</v>
      </c>
      <c r="J616" t="str">
        <f>_xlfn.XLOOKUP(H616, Fact_Events!$A$2:$A$20, Fact_Events!$F$2:$F$20, "")</f>
        <v/>
      </c>
      <c r="K616" t="str">
        <f t="shared" si="78"/>
        <v>Low</v>
      </c>
      <c r="L616">
        <f t="shared" si="79"/>
        <v>0.55000000000000004</v>
      </c>
      <c r="M616">
        <f>_xlfn.XLOOKUP(B616, Dim_Hotel!$A$2:$A$11, Dim_Hotel!$I$2:$I$11)
 + (IF(J616="",0,J616)
    * _xlfn.XLOOKUP(B616, Dim_Hotel!$A$2:$A$11, Dim_Hotel!$J$2:$J$11))</f>
        <v>82</v>
      </c>
    </row>
    <row r="617" spans="1:13" x14ac:dyDescent="0.25">
      <c r="A617" s="1">
        <f t="shared" si="72"/>
        <v>46084</v>
      </c>
      <c r="B617" t="str" cm="1">
        <f t="array" ref="B617">INDEX(HotelList,MOD(ROW()-2,10)+1)</f>
        <v>H006</v>
      </c>
      <c r="C617">
        <f>_xlfn.XLOOKUP(B617,Dim_Hotel!$A$2:$A$11,Dim_Hotel!$F$2:$F$11)</f>
        <v>311</v>
      </c>
      <c r="D617">
        <f t="shared" si="73"/>
        <v>171</v>
      </c>
      <c r="E617">
        <f t="shared" si="74"/>
        <v>0.54983922829581988</v>
      </c>
      <c r="F617">
        <f t="shared" si="75"/>
        <v>190</v>
      </c>
      <c r="G617">
        <f t="shared" si="76"/>
        <v>104.46945337620578</v>
      </c>
      <c r="H617" t="str">
        <f>_xlfn.XLOOKUP(A617,Fact_Events!$D$2:$D$20,Fact_Events!$A$2:$A$20, "")</f>
        <v/>
      </c>
      <c r="I617">
        <f t="shared" si="77"/>
        <v>0</v>
      </c>
      <c r="J617" t="str">
        <f>_xlfn.XLOOKUP(H617, Fact_Events!$A$2:$A$20, Fact_Events!$F$2:$F$20, "")</f>
        <v/>
      </c>
      <c r="K617" t="str">
        <f t="shared" si="78"/>
        <v>Low</v>
      </c>
      <c r="L617">
        <f t="shared" si="79"/>
        <v>0.55000000000000004</v>
      </c>
      <c r="M617">
        <f>_xlfn.XLOOKUP(B617, Dim_Hotel!$A$2:$A$11, Dim_Hotel!$I$2:$I$11)
 + (IF(J617="",0,J617)
    * _xlfn.XLOOKUP(B617, Dim_Hotel!$A$2:$A$11, Dim_Hotel!$J$2:$J$11))</f>
        <v>190</v>
      </c>
    </row>
    <row r="618" spans="1:13" x14ac:dyDescent="0.25">
      <c r="A618" s="1">
        <f t="shared" si="72"/>
        <v>46084</v>
      </c>
      <c r="B618" t="str" cm="1">
        <f t="array" ref="B618">INDEX(HotelList,MOD(ROW()-2,10)+1)</f>
        <v>H007</v>
      </c>
      <c r="C618">
        <f>_xlfn.XLOOKUP(B618,Dim_Hotel!$A$2:$A$11,Dim_Hotel!$F$2:$F$11)</f>
        <v>132</v>
      </c>
      <c r="D618">
        <f t="shared" si="73"/>
        <v>73</v>
      </c>
      <c r="E618">
        <f t="shared" si="74"/>
        <v>0.55303030303030298</v>
      </c>
      <c r="F618">
        <f t="shared" si="75"/>
        <v>165</v>
      </c>
      <c r="G618">
        <f t="shared" si="76"/>
        <v>91.249999999999986</v>
      </c>
      <c r="H618" t="str">
        <f>_xlfn.XLOOKUP(A618,Fact_Events!$D$2:$D$20,Fact_Events!$A$2:$A$20, "")</f>
        <v/>
      </c>
      <c r="I618">
        <f t="shared" si="77"/>
        <v>0</v>
      </c>
      <c r="J618" t="str">
        <f>_xlfn.XLOOKUP(H618, Fact_Events!$A$2:$A$20, Fact_Events!$F$2:$F$20, "")</f>
        <v/>
      </c>
      <c r="K618" t="str">
        <f t="shared" si="78"/>
        <v>Low</v>
      </c>
      <c r="L618">
        <f t="shared" si="79"/>
        <v>0.55000000000000004</v>
      </c>
      <c r="M618">
        <f>_xlfn.XLOOKUP(B618, Dim_Hotel!$A$2:$A$11, Dim_Hotel!$I$2:$I$11)
 + (IF(J618="",0,J618)
    * _xlfn.XLOOKUP(B618, Dim_Hotel!$A$2:$A$11, Dim_Hotel!$J$2:$J$11))</f>
        <v>165</v>
      </c>
    </row>
    <row r="619" spans="1:13" x14ac:dyDescent="0.25">
      <c r="A619" s="1">
        <f t="shared" si="72"/>
        <v>46084</v>
      </c>
      <c r="B619" t="str" cm="1">
        <f t="array" ref="B619">INDEX(HotelList,MOD(ROW()-2,10)+1)</f>
        <v>H008</v>
      </c>
      <c r="C619">
        <f>_xlfn.XLOOKUP(B619,Dim_Hotel!$A$2:$A$11,Dim_Hotel!$F$2:$F$11)</f>
        <v>103</v>
      </c>
      <c r="D619">
        <f t="shared" si="73"/>
        <v>57</v>
      </c>
      <c r="E619">
        <f t="shared" si="74"/>
        <v>0.55339805825242716</v>
      </c>
      <c r="F619">
        <f t="shared" si="75"/>
        <v>140</v>
      </c>
      <c r="G619">
        <f t="shared" si="76"/>
        <v>77.475728155339809</v>
      </c>
      <c r="H619" t="str">
        <f>_xlfn.XLOOKUP(A619,Fact_Events!$D$2:$D$20,Fact_Events!$A$2:$A$20, "")</f>
        <v/>
      </c>
      <c r="I619">
        <f t="shared" si="77"/>
        <v>0</v>
      </c>
      <c r="J619" t="str">
        <f>_xlfn.XLOOKUP(H619, Fact_Events!$A$2:$A$20, Fact_Events!$F$2:$F$20, "")</f>
        <v/>
      </c>
      <c r="K619" t="str">
        <f t="shared" si="78"/>
        <v>Low</v>
      </c>
      <c r="L619">
        <f t="shared" si="79"/>
        <v>0.55000000000000004</v>
      </c>
      <c r="M619">
        <f>_xlfn.XLOOKUP(B619, Dim_Hotel!$A$2:$A$11, Dim_Hotel!$I$2:$I$11)
 + (IF(J619="",0,J619)
    * _xlfn.XLOOKUP(B619, Dim_Hotel!$A$2:$A$11, Dim_Hotel!$J$2:$J$11))</f>
        <v>140</v>
      </c>
    </row>
    <row r="620" spans="1:13" x14ac:dyDescent="0.25">
      <c r="A620" s="1">
        <f t="shared" si="72"/>
        <v>46084</v>
      </c>
      <c r="B620" t="str" cm="1">
        <f t="array" ref="B620">INDEX(HotelList,MOD(ROW()-2,10)+1)</f>
        <v>H009</v>
      </c>
      <c r="C620">
        <f>_xlfn.XLOOKUP(B620,Dim_Hotel!$A$2:$A$11,Dim_Hotel!$F$2:$F$11)</f>
        <v>114</v>
      </c>
      <c r="D620">
        <f t="shared" si="73"/>
        <v>63</v>
      </c>
      <c r="E620">
        <f t="shared" si="74"/>
        <v>0.55263157894736847</v>
      </c>
      <c r="F620">
        <f t="shared" si="75"/>
        <v>185</v>
      </c>
      <c r="G620">
        <f t="shared" si="76"/>
        <v>102.23684210526316</v>
      </c>
      <c r="H620" t="str">
        <f>_xlfn.XLOOKUP(A620,Fact_Events!$D$2:$D$20,Fact_Events!$A$2:$A$20, "")</f>
        <v/>
      </c>
      <c r="I620">
        <f t="shared" si="77"/>
        <v>0</v>
      </c>
      <c r="J620" t="str">
        <f>_xlfn.XLOOKUP(H620, Fact_Events!$A$2:$A$20, Fact_Events!$F$2:$F$20, "")</f>
        <v/>
      </c>
      <c r="K620" t="str">
        <f t="shared" si="78"/>
        <v>Low</v>
      </c>
      <c r="L620">
        <f t="shared" si="79"/>
        <v>0.55000000000000004</v>
      </c>
      <c r="M620">
        <f>_xlfn.XLOOKUP(B620, Dim_Hotel!$A$2:$A$11, Dim_Hotel!$I$2:$I$11)
 + (IF(J620="",0,J620)
    * _xlfn.XLOOKUP(B620, Dim_Hotel!$A$2:$A$11, Dim_Hotel!$J$2:$J$11))</f>
        <v>185</v>
      </c>
    </row>
    <row r="621" spans="1:13" x14ac:dyDescent="0.25">
      <c r="A621" s="1">
        <f t="shared" si="72"/>
        <v>46084</v>
      </c>
      <c r="B621" t="str" cm="1">
        <f t="array" ref="B621">INDEX(HotelList,MOD(ROW()-2,10)+1)</f>
        <v>H010</v>
      </c>
      <c r="C621">
        <f>_xlfn.XLOOKUP(B621,Dim_Hotel!$A$2:$A$11,Dim_Hotel!$F$2:$F$11)</f>
        <v>89</v>
      </c>
      <c r="D621">
        <f t="shared" si="73"/>
        <v>49</v>
      </c>
      <c r="E621">
        <f t="shared" si="74"/>
        <v>0.550561797752809</v>
      </c>
      <c r="F621">
        <f t="shared" si="75"/>
        <v>150</v>
      </c>
      <c r="G621">
        <f t="shared" si="76"/>
        <v>82.584269662921344</v>
      </c>
      <c r="H621" t="str">
        <f>_xlfn.XLOOKUP(A621,Fact_Events!$D$2:$D$20,Fact_Events!$A$2:$A$20, "")</f>
        <v/>
      </c>
      <c r="I621">
        <f t="shared" si="77"/>
        <v>0</v>
      </c>
      <c r="J621" t="str">
        <f>_xlfn.XLOOKUP(H621, Fact_Events!$A$2:$A$20, Fact_Events!$F$2:$F$20, "")</f>
        <v/>
      </c>
      <c r="K621" t="str">
        <f t="shared" si="78"/>
        <v>Low</v>
      </c>
      <c r="L621">
        <f t="shared" si="79"/>
        <v>0.55000000000000004</v>
      </c>
      <c r="M621">
        <f>_xlfn.XLOOKUP(B621, Dim_Hotel!$A$2:$A$11, Dim_Hotel!$I$2:$I$11)
 + (IF(J621="",0,J621)
    * _xlfn.XLOOKUP(B621, Dim_Hotel!$A$2:$A$11, Dim_Hotel!$J$2:$J$11))</f>
        <v>150</v>
      </c>
    </row>
    <row r="622" spans="1:13" x14ac:dyDescent="0.25">
      <c r="A622" s="1">
        <f t="shared" si="72"/>
        <v>46085</v>
      </c>
      <c r="B622" t="str" cm="1">
        <f t="array" ref="B622">INDEX(HotelList,MOD(ROW()-2,10)+1)</f>
        <v>H001</v>
      </c>
      <c r="C622">
        <f>_xlfn.XLOOKUP(B622,Dim_Hotel!$A$2:$A$11,Dim_Hotel!$F$2:$F$11)</f>
        <v>888</v>
      </c>
      <c r="D622">
        <f t="shared" si="73"/>
        <v>488</v>
      </c>
      <c r="E622">
        <f t="shared" si="74"/>
        <v>0.5495495495495496</v>
      </c>
      <c r="F622">
        <f t="shared" si="75"/>
        <v>260</v>
      </c>
      <c r="G622">
        <f t="shared" si="76"/>
        <v>142.88288288288288</v>
      </c>
      <c r="H622" t="str">
        <f>_xlfn.XLOOKUP(A622,Fact_Events!$D$2:$D$20,Fact_Events!$A$2:$A$20, "")</f>
        <v/>
      </c>
      <c r="I622">
        <f t="shared" si="77"/>
        <v>0</v>
      </c>
      <c r="J622" t="str">
        <f>_xlfn.XLOOKUP(H622, Fact_Events!$A$2:$A$20, Fact_Events!$F$2:$F$20, "")</f>
        <v/>
      </c>
      <c r="K622" t="str">
        <f t="shared" si="78"/>
        <v>Low</v>
      </c>
      <c r="L622">
        <f t="shared" si="79"/>
        <v>0.55000000000000004</v>
      </c>
      <c r="M622">
        <f>_xlfn.XLOOKUP(B622, Dim_Hotel!$A$2:$A$11, Dim_Hotel!$I$2:$I$11)
 + (IF(J622="",0,J622)
    * _xlfn.XLOOKUP(B622, Dim_Hotel!$A$2:$A$11, Dim_Hotel!$J$2:$J$11))</f>
        <v>260</v>
      </c>
    </row>
    <row r="623" spans="1:13" x14ac:dyDescent="0.25">
      <c r="A623" s="1">
        <f t="shared" si="72"/>
        <v>46085</v>
      </c>
      <c r="B623" t="str" cm="1">
        <f t="array" ref="B623">INDEX(HotelList,MOD(ROW()-2,10)+1)</f>
        <v>H002</v>
      </c>
      <c r="C623">
        <f>_xlfn.XLOOKUP(B623,Dim_Hotel!$A$2:$A$11,Dim_Hotel!$F$2:$F$11)</f>
        <v>147</v>
      </c>
      <c r="D623">
        <f t="shared" si="73"/>
        <v>81</v>
      </c>
      <c r="E623">
        <f t="shared" si="74"/>
        <v>0.55102040816326525</v>
      </c>
      <c r="F623">
        <f t="shared" si="75"/>
        <v>175</v>
      </c>
      <c r="G623">
        <f t="shared" si="76"/>
        <v>96.428571428571416</v>
      </c>
      <c r="H623" t="str">
        <f>_xlfn.XLOOKUP(A623,Fact_Events!$D$2:$D$20,Fact_Events!$A$2:$A$20, "")</f>
        <v/>
      </c>
      <c r="I623">
        <f t="shared" si="77"/>
        <v>0</v>
      </c>
      <c r="J623" t="str">
        <f>_xlfn.XLOOKUP(H623, Fact_Events!$A$2:$A$20, Fact_Events!$F$2:$F$20, "")</f>
        <v/>
      </c>
      <c r="K623" t="str">
        <f t="shared" si="78"/>
        <v>Low</v>
      </c>
      <c r="L623">
        <f t="shared" si="79"/>
        <v>0.55000000000000004</v>
      </c>
      <c r="M623">
        <f>_xlfn.XLOOKUP(B623, Dim_Hotel!$A$2:$A$11, Dim_Hotel!$I$2:$I$11)
 + (IF(J623="",0,J623)
    * _xlfn.XLOOKUP(B623, Dim_Hotel!$A$2:$A$11, Dim_Hotel!$J$2:$J$11))</f>
        <v>175</v>
      </c>
    </row>
    <row r="624" spans="1:13" x14ac:dyDescent="0.25">
      <c r="A624" s="1">
        <f t="shared" si="72"/>
        <v>46085</v>
      </c>
      <c r="B624" t="str" cm="1">
        <f t="array" ref="B624">INDEX(HotelList,MOD(ROW()-2,10)+1)</f>
        <v>H003</v>
      </c>
      <c r="C624">
        <f>_xlfn.XLOOKUP(B624,Dim_Hotel!$A$2:$A$11,Dim_Hotel!$F$2:$F$11)</f>
        <v>121</v>
      </c>
      <c r="D624">
        <f t="shared" si="73"/>
        <v>67</v>
      </c>
      <c r="E624">
        <f t="shared" si="74"/>
        <v>0.55371900826446285</v>
      </c>
      <c r="F624">
        <f t="shared" si="75"/>
        <v>145</v>
      </c>
      <c r="G624">
        <f t="shared" si="76"/>
        <v>80.289256198347118</v>
      </c>
      <c r="H624" t="str">
        <f>_xlfn.XLOOKUP(A624,Fact_Events!$D$2:$D$20,Fact_Events!$A$2:$A$20, "")</f>
        <v/>
      </c>
      <c r="I624">
        <f t="shared" si="77"/>
        <v>0</v>
      </c>
      <c r="J624" t="str">
        <f>_xlfn.XLOOKUP(H624, Fact_Events!$A$2:$A$20, Fact_Events!$F$2:$F$20, "")</f>
        <v/>
      </c>
      <c r="K624" t="str">
        <f t="shared" si="78"/>
        <v>Low</v>
      </c>
      <c r="L624">
        <f t="shared" si="79"/>
        <v>0.55000000000000004</v>
      </c>
      <c r="M624">
        <f>_xlfn.XLOOKUP(B624, Dim_Hotel!$A$2:$A$11, Dim_Hotel!$I$2:$I$11)
 + (IF(J624="",0,J624)
    * _xlfn.XLOOKUP(B624, Dim_Hotel!$A$2:$A$11, Dim_Hotel!$J$2:$J$11))</f>
        <v>145</v>
      </c>
    </row>
    <row r="625" spans="1:13" x14ac:dyDescent="0.25">
      <c r="A625" s="1">
        <f t="shared" si="72"/>
        <v>46085</v>
      </c>
      <c r="B625" t="str" cm="1">
        <f t="array" ref="B625">INDEX(HotelList,MOD(ROW()-2,10)+1)</f>
        <v>H004</v>
      </c>
      <c r="C625">
        <f>_xlfn.XLOOKUP(B625,Dim_Hotel!$A$2:$A$11,Dim_Hotel!$F$2:$F$11)</f>
        <v>108</v>
      </c>
      <c r="D625">
        <f t="shared" si="73"/>
        <v>59</v>
      </c>
      <c r="E625">
        <f t="shared" si="74"/>
        <v>0.54629629629629628</v>
      </c>
      <c r="F625">
        <f t="shared" si="75"/>
        <v>135</v>
      </c>
      <c r="G625">
        <f t="shared" si="76"/>
        <v>73.75</v>
      </c>
      <c r="H625" t="str">
        <f>_xlfn.XLOOKUP(A625,Fact_Events!$D$2:$D$20,Fact_Events!$A$2:$A$20, "")</f>
        <v/>
      </c>
      <c r="I625">
        <f t="shared" si="77"/>
        <v>0</v>
      </c>
      <c r="J625" t="str">
        <f>_xlfn.XLOOKUP(H625, Fact_Events!$A$2:$A$20, Fact_Events!$F$2:$F$20, "")</f>
        <v/>
      </c>
      <c r="K625" t="str">
        <f t="shared" si="78"/>
        <v>Low</v>
      </c>
      <c r="L625">
        <f t="shared" si="79"/>
        <v>0.55000000000000004</v>
      </c>
      <c r="M625">
        <f>_xlfn.XLOOKUP(B625, Dim_Hotel!$A$2:$A$11, Dim_Hotel!$I$2:$I$11)
 + (IF(J625="",0,J625)
    * _xlfn.XLOOKUP(B625, Dim_Hotel!$A$2:$A$11, Dim_Hotel!$J$2:$J$11))</f>
        <v>135</v>
      </c>
    </row>
    <row r="626" spans="1:13" x14ac:dyDescent="0.25">
      <c r="A626" s="1">
        <f t="shared" si="72"/>
        <v>46085</v>
      </c>
      <c r="B626" t="str" cm="1">
        <f t="array" ref="B626">INDEX(HotelList,MOD(ROW()-2,10)+1)</f>
        <v>H005</v>
      </c>
      <c r="C626">
        <f>_xlfn.XLOOKUP(B626,Dim_Hotel!$A$2:$A$11,Dim_Hotel!$F$2:$F$11)</f>
        <v>66</v>
      </c>
      <c r="D626">
        <f t="shared" si="73"/>
        <v>36</v>
      </c>
      <c r="E626">
        <f t="shared" si="74"/>
        <v>0.54545454545454541</v>
      </c>
      <c r="F626">
        <f t="shared" si="75"/>
        <v>82</v>
      </c>
      <c r="G626">
        <f t="shared" si="76"/>
        <v>44.727272727272727</v>
      </c>
      <c r="H626" t="str">
        <f>_xlfn.XLOOKUP(A626,Fact_Events!$D$2:$D$20,Fact_Events!$A$2:$A$20, "")</f>
        <v/>
      </c>
      <c r="I626">
        <f t="shared" si="77"/>
        <v>0</v>
      </c>
      <c r="J626" t="str">
        <f>_xlfn.XLOOKUP(H626, Fact_Events!$A$2:$A$20, Fact_Events!$F$2:$F$20, "")</f>
        <v/>
      </c>
      <c r="K626" t="str">
        <f t="shared" si="78"/>
        <v>Low</v>
      </c>
      <c r="L626">
        <f t="shared" si="79"/>
        <v>0.55000000000000004</v>
      </c>
      <c r="M626">
        <f>_xlfn.XLOOKUP(B626, Dim_Hotel!$A$2:$A$11, Dim_Hotel!$I$2:$I$11)
 + (IF(J626="",0,J626)
    * _xlfn.XLOOKUP(B626, Dim_Hotel!$A$2:$A$11, Dim_Hotel!$J$2:$J$11))</f>
        <v>82</v>
      </c>
    </row>
    <row r="627" spans="1:13" x14ac:dyDescent="0.25">
      <c r="A627" s="1">
        <f t="shared" si="72"/>
        <v>46085</v>
      </c>
      <c r="B627" t="str" cm="1">
        <f t="array" ref="B627">INDEX(HotelList,MOD(ROW()-2,10)+1)</f>
        <v>H006</v>
      </c>
      <c r="C627">
        <f>_xlfn.XLOOKUP(B627,Dim_Hotel!$A$2:$A$11,Dim_Hotel!$F$2:$F$11)</f>
        <v>311</v>
      </c>
      <c r="D627">
        <f t="shared" si="73"/>
        <v>171</v>
      </c>
      <c r="E627">
        <f t="shared" si="74"/>
        <v>0.54983922829581988</v>
      </c>
      <c r="F627">
        <f t="shared" si="75"/>
        <v>190</v>
      </c>
      <c r="G627">
        <f t="shared" si="76"/>
        <v>104.46945337620578</v>
      </c>
      <c r="H627" t="str">
        <f>_xlfn.XLOOKUP(A627,Fact_Events!$D$2:$D$20,Fact_Events!$A$2:$A$20, "")</f>
        <v/>
      </c>
      <c r="I627">
        <f t="shared" si="77"/>
        <v>0</v>
      </c>
      <c r="J627" t="str">
        <f>_xlfn.XLOOKUP(H627, Fact_Events!$A$2:$A$20, Fact_Events!$F$2:$F$20, "")</f>
        <v/>
      </c>
      <c r="K627" t="str">
        <f t="shared" si="78"/>
        <v>Low</v>
      </c>
      <c r="L627">
        <f t="shared" si="79"/>
        <v>0.55000000000000004</v>
      </c>
      <c r="M627">
        <f>_xlfn.XLOOKUP(B627, Dim_Hotel!$A$2:$A$11, Dim_Hotel!$I$2:$I$11)
 + (IF(J627="",0,J627)
    * _xlfn.XLOOKUP(B627, Dim_Hotel!$A$2:$A$11, Dim_Hotel!$J$2:$J$11))</f>
        <v>190</v>
      </c>
    </row>
    <row r="628" spans="1:13" x14ac:dyDescent="0.25">
      <c r="A628" s="1">
        <f t="shared" si="72"/>
        <v>46085</v>
      </c>
      <c r="B628" t="str" cm="1">
        <f t="array" ref="B628">INDEX(HotelList,MOD(ROW()-2,10)+1)</f>
        <v>H007</v>
      </c>
      <c r="C628">
        <f>_xlfn.XLOOKUP(B628,Dim_Hotel!$A$2:$A$11,Dim_Hotel!$F$2:$F$11)</f>
        <v>132</v>
      </c>
      <c r="D628">
        <f t="shared" si="73"/>
        <v>73</v>
      </c>
      <c r="E628">
        <f t="shared" si="74"/>
        <v>0.55303030303030298</v>
      </c>
      <c r="F628">
        <f t="shared" si="75"/>
        <v>165</v>
      </c>
      <c r="G628">
        <f t="shared" si="76"/>
        <v>91.249999999999986</v>
      </c>
      <c r="H628" t="str">
        <f>_xlfn.XLOOKUP(A628,Fact_Events!$D$2:$D$20,Fact_Events!$A$2:$A$20, "")</f>
        <v/>
      </c>
      <c r="I628">
        <f t="shared" si="77"/>
        <v>0</v>
      </c>
      <c r="J628" t="str">
        <f>_xlfn.XLOOKUP(H628, Fact_Events!$A$2:$A$20, Fact_Events!$F$2:$F$20, "")</f>
        <v/>
      </c>
      <c r="K628" t="str">
        <f t="shared" si="78"/>
        <v>Low</v>
      </c>
      <c r="L628">
        <f t="shared" si="79"/>
        <v>0.55000000000000004</v>
      </c>
      <c r="M628">
        <f>_xlfn.XLOOKUP(B628, Dim_Hotel!$A$2:$A$11, Dim_Hotel!$I$2:$I$11)
 + (IF(J628="",0,J628)
    * _xlfn.XLOOKUP(B628, Dim_Hotel!$A$2:$A$11, Dim_Hotel!$J$2:$J$11))</f>
        <v>165</v>
      </c>
    </row>
    <row r="629" spans="1:13" x14ac:dyDescent="0.25">
      <c r="A629" s="1">
        <f t="shared" si="72"/>
        <v>46085</v>
      </c>
      <c r="B629" t="str" cm="1">
        <f t="array" ref="B629">INDEX(HotelList,MOD(ROW()-2,10)+1)</f>
        <v>H008</v>
      </c>
      <c r="C629">
        <f>_xlfn.XLOOKUP(B629,Dim_Hotel!$A$2:$A$11,Dim_Hotel!$F$2:$F$11)</f>
        <v>103</v>
      </c>
      <c r="D629">
        <f t="shared" si="73"/>
        <v>57</v>
      </c>
      <c r="E629">
        <f t="shared" si="74"/>
        <v>0.55339805825242716</v>
      </c>
      <c r="F629">
        <f t="shared" si="75"/>
        <v>140</v>
      </c>
      <c r="G629">
        <f t="shared" si="76"/>
        <v>77.475728155339809</v>
      </c>
      <c r="H629" t="str">
        <f>_xlfn.XLOOKUP(A629,Fact_Events!$D$2:$D$20,Fact_Events!$A$2:$A$20, "")</f>
        <v/>
      </c>
      <c r="I629">
        <f t="shared" si="77"/>
        <v>0</v>
      </c>
      <c r="J629" t="str">
        <f>_xlfn.XLOOKUP(H629, Fact_Events!$A$2:$A$20, Fact_Events!$F$2:$F$20, "")</f>
        <v/>
      </c>
      <c r="K629" t="str">
        <f t="shared" si="78"/>
        <v>Low</v>
      </c>
      <c r="L629">
        <f t="shared" si="79"/>
        <v>0.55000000000000004</v>
      </c>
      <c r="M629">
        <f>_xlfn.XLOOKUP(B629, Dim_Hotel!$A$2:$A$11, Dim_Hotel!$I$2:$I$11)
 + (IF(J629="",0,J629)
    * _xlfn.XLOOKUP(B629, Dim_Hotel!$A$2:$A$11, Dim_Hotel!$J$2:$J$11))</f>
        <v>140</v>
      </c>
    </row>
    <row r="630" spans="1:13" x14ac:dyDescent="0.25">
      <c r="A630" s="1">
        <f t="shared" si="72"/>
        <v>46085</v>
      </c>
      <c r="B630" t="str" cm="1">
        <f t="array" ref="B630">INDEX(HotelList,MOD(ROW()-2,10)+1)</f>
        <v>H009</v>
      </c>
      <c r="C630">
        <f>_xlfn.XLOOKUP(B630,Dim_Hotel!$A$2:$A$11,Dim_Hotel!$F$2:$F$11)</f>
        <v>114</v>
      </c>
      <c r="D630">
        <f t="shared" si="73"/>
        <v>63</v>
      </c>
      <c r="E630">
        <f t="shared" si="74"/>
        <v>0.55263157894736847</v>
      </c>
      <c r="F630">
        <f t="shared" si="75"/>
        <v>185</v>
      </c>
      <c r="G630">
        <f t="shared" si="76"/>
        <v>102.23684210526316</v>
      </c>
      <c r="H630" t="str">
        <f>_xlfn.XLOOKUP(A630,Fact_Events!$D$2:$D$20,Fact_Events!$A$2:$A$20, "")</f>
        <v/>
      </c>
      <c r="I630">
        <f t="shared" si="77"/>
        <v>0</v>
      </c>
      <c r="J630" t="str">
        <f>_xlfn.XLOOKUP(H630, Fact_Events!$A$2:$A$20, Fact_Events!$F$2:$F$20, "")</f>
        <v/>
      </c>
      <c r="K630" t="str">
        <f t="shared" si="78"/>
        <v>Low</v>
      </c>
      <c r="L630">
        <f t="shared" si="79"/>
        <v>0.55000000000000004</v>
      </c>
      <c r="M630">
        <f>_xlfn.XLOOKUP(B630, Dim_Hotel!$A$2:$A$11, Dim_Hotel!$I$2:$I$11)
 + (IF(J630="",0,J630)
    * _xlfn.XLOOKUP(B630, Dim_Hotel!$A$2:$A$11, Dim_Hotel!$J$2:$J$11))</f>
        <v>185</v>
      </c>
    </row>
    <row r="631" spans="1:13" x14ac:dyDescent="0.25">
      <c r="A631" s="1">
        <f t="shared" si="72"/>
        <v>46085</v>
      </c>
      <c r="B631" t="str" cm="1">
        <f t="array" ref="B631">INDEX(HotelList,MOD(ROW()-2,10)+1)</f>
        <v>H010</v>
      </c>
      <c r="C631">
        <f>_xlfn.XLOOKUP(B631,Dim_Hotel!$A$2:$A$11,Dim_Hotel!$F$2:$F$11)</f>
        <v>89</v>
      </c>
      <c r="D631">
        <f t="shared" si="73"/>
        <v>49</v>
      </c>
      <c r="E631">
        <f t="shared" si="74"/>
        <v>0.550561797752809</v>
      </c>
      <c r="F631">
        <f t="shared" si="75"/>
        <v>150</v>
      </c>
      <c r="G631">
        <f t="shared" si="76"/>
        <v>82.584269662921344</v>
      </c>
      <c r="H631" t="str">
        <f>_xlfn.XLOOKUP(A631,Fact_Events!$D$2:$D$20,Fact_Events!$A$2:$A$20, "")</f>
        <v/>
      </c>
      <c r="I631">
        <f t="shared" si="77"/>
        <v>0</v>
      </c>
      <c r="J631" t="str">
        <f>_xlfn.XLOOKUP(H631, Fact_Events!$A$2:$A$20, Fact_Events!$F$2:$F$20, "")</f>
        <v/>
      </c>
      <c r="K631" t="str">
        <f t="shared" si="78"/>
        <v>Low</v>
      </c>
      <c r="L631">
        <f t="shared" si="79"/>
        <v>0.55000000000000004</v>
      </c>
      <c r="M631">
        <f>_xlfn.XLOOKUP(B631, Dim_Hotel!$A$2:$A$11, Dim_Hotel!$I$2:$I$11)
 + (IF(J631="",0,J631)
    * _xlfn.XLOOKUP(B631, Dim_Hotel!$A$2:$A$11, Dim_Hotel!$J$2:$J$11))</f>
        <v>150</v>
      </c>
    </row>
    <row r="632" spans="1:13" x14ac:dyDescent="0.25">
      <c r="A632" s="1">
        <f t="shared" si="72"/>
        <v>46086</v>
      </c>
      <c r="B632" t="str" cm="1">
        <f t="array" ref="B632">INDEX(HotelList,MOD(ROW()-2,10)+1)</f>
        <v>H001</v>
      </c>
      <c r="C632">
        <f>_xlfn.XLOOKUP(B632,Dim_Hotel!$A$2:$A$11,Dim_Hotel!$F$2:$F$11)</f>
        <v>888</v>
      </c>
      <c r="D632">
        <f t="shared" si="73"/>
        <v>488</v>
      </c>
      <c r="E632">
        <f t="shared" si="74"/>
        <v>0.5495495495495496</v>
      </c>
      <c r="F632">
        <f t="shared" si="75"/>
        <v>260</v>
      </c>
      <c r="G632">
        <f t="shared" si="76"/>
        <v>142.88288288288288</v>
      </c>
      <c r="H632" t="str">
        <f>_xlfn.XLOOKUP(A632,Fact_Events!$D$2:$D$20,Fact_Events!$A$2:$A$20, "")</f>
        <v/>
      </c>
      <c r="I632">
        <f t="shared" si="77"/>
        <v>0</v>
      </c>
      <c r="J632" t="str">
        <f>_xlfn.XLOOKUP(H632, Fact_Events!$A$2:$A$20, Fact_Events!$F$2:$F$20, "")</f>
        <v/>
      </c>
      <c r="K632" t="str">
        <f t="shared" si="78"/>
        <v>Low</v>
      </c>
      <c r="L632">
        <f t="shared" si="79"/>
        <v>0.55000000000000004</v>
      </c>
      <c r="M632">
        <f>_xlfn.XLOOKUP(B632, Dim_Hotel!$A$2:$A$11, Dim_Hotel!$I$2:$I$11)
 + (IF(J632="",0,J632)
    * _xlfn.XLOOKUP(B632, Dim_Hotel!$A$2:$A$11, Dim_Hotel!$J$2:$J$11))</f>
        <v>260</v>
      </c>
    </row>
    <row r="633" spans="1:13" x14ac:dyDescent="0.25">
      <c r="A633" s="1">
        <f t="shared" si="72"/>
        <v>46086</v>
      </c>
      <c r="B633" t="str" cm="1">
        <f t="array" ref="B633">INDEX(HotelList,MOD(ROW()-2,10)+1)</f>
        <v>H002</v>
      </c>
      <c r="C633">
        <f>_xlfn.XLOOKUP(B633,Dim_Hotel!$A$2:$A$11,Dim_Hotel!$F$2:$F$11)</f>
        <v>147</v>
      </c>
      <c r="D633">
        <f t="shared" si="73"/>
        <v>81</v>
      </c>
      <c r="E633">
        <f t="shared" si="74"/>
        <v>0.55102040816326525</v>
      </c>
      <c r="F633">
        <f t="shared" si="75"/>
        <v>175</v>
      </c>
      <c r="G633">
        <f t="shared" si="76"/>
        <v>96.428571428571416</v>
      </c>
      <c r="H633" t="str">
        <f>_xlfn.XLOOKUP(A633,Fact_Events!$D$2:$D$20,Fact_Events!$A$2:$A$20, "")</f>
        <v/>
      </c>
      <c r="I633">
        <f t="shared" si="77"/>
        <v>0</v>
      </c>
      <c r="J633" t="str">
        <f>_xlfn.XLOOKUP(H633, Fact_Events!$A$2:$A$20, Fact_Events!$F$2:$F$20, "")</f>
        <v/>
      </c>
      <c r="K633" t="str">
        <f t="shared" si="78"/>
        <v>Low</v>
      </c>
      <c r="L633">
        <f t="shared" si="79"/>
        <v>0.55000000000000004</v>
      </c>
      <c r="M633">
        <f>_xlfn.XLOOKUP(B633, Dim_Hotel!$A$2:$A$11, Dim_Hotel!$I$2:$I$11)
 + (IF(J633="",0,J633)
    * _xlfn.XLOOKUP(B633, Dim_Hotel!$A$2:$A$11, Dim_Hotel!$J$2:$J$11))</f>
        <v>175</v>
      </c>
    </row>
    <row r="634" spans="1:13" x14ac:dyDescent="0.25">
      <c r="A634" s="1">
        <f t="shared" si="72"/>
        <v>46086</v>
      </c>
      <c r="B634" t="str" cm="1">
        <f t="array" ref="B634">INDEX(HotelList,MOD(ROW()-2,10)+1)</f>
        <v>H003</v>
      </c>
      <c r="C634">
        <f>_xlfn.XLOOKUP(B634,Dim_Hotel!$A$2:$A$11,Dim_Hotel!$F$2:$F$11)</f>
        <v>121</v>
      </c>
      <c r="D634">
        <f t="shared" si="73"/>
        <v>67</v>
      </c>
      <c r="E634">
        <f t="shared" si="74"/>
        <v>0.55371900826446285</v>
      </c>
      <c r="F634">
        <f t="shared" si="75"/>
        <v>145</v>
      </c>
      <c r="G634">
        <f t="shared" si="76"/>
        <v>80.289256198347118</v>
      </c>
      <c r="H634" t="str">
        <f>_xlfn.XLOOKUP(A634,Fact_Events!$D$2:$D$20,Fact_Events!$A$2:$A$20, "")</f>
        <v/>
      </c>
      <c r="I634">
        <f t="shared" si="77"/>
        <v>0</v>
      </c>
      <c r="J634" t="str">
        <f>_xlfn.XLOOKUP(H634, Fact_Events!$A$2:$A$20, Fact_Events!$F$2:$F$20, "")</f>
        <v/>
      </c>
      <c r="K634" t="str">
        <f t="shared" si="78"/>
        <v>Low</v>
      </c>
      <c r="L634">
        <f t="shared" si="79"/>
        <v>0.55000000000000004</v>
      </c>
      <c r="M634">
        <f>_xlfn.XLOOKUP(B634, Dim_Hotel!$A$2:$A$11, Dim_Hotel!$I$2:$I$11)
 + (IF(J634="",0,J634)
    * _xlfn.XLOOKUP(B634, Dim_Hotel!$A$2:$A$11, Dim_Hotel!$J$2:$J$11))</f>
        <v>145</v>
      </c>
    </row>
    <row r="635" spans="1:13" x14ac:dyDescent="0.25">
      <c r="A635" s="1">
        <f t="shared" si="72"/>
        <v>46086</v>
      </c>
      <c r="B635" t="str" cm="1">
        <f t="array" ref="B635">INDEX(HotelList,MOD(ROW()-2,10)+1)</f>
        <v>H004</v>
      </c>
      <c r="C635">
        <f>_xlfn.XLOOKUP(B635,Dim_Hotel!$A$2:$A$11,Dim_Hotel!$F$2:$F$11)</f>
        <v>108</v>
      </c>
      <c r="D635">
        <f t="shared" si="73"/>
        <v>59</v>
      </c>
      <c r="E635">
        <f t="shared" si="74"/>
        <v>0.54629629629629628</v>
      </c>
      <c r="F635">
        <f t="shared" si="75"/>
        <v>135</v>
      </c>
      <c r="G635">
        <f t="shared" si="76"/>
        <v>73.75</v>
      </c>
      <c r="H635" t="str">
        <f>_xlfn.XLOOKUP(A635,Fact_Events!$D$2:$D$20,Fact_Events!$A$2:$A$20, "")</f>
        <v/>
      </c>
      <c r="I635">
        <f t="shared" si="77"/>
        <v>0</v>
      </c>
      <c r="J635" t="str">
        <f>_xlfn.XLOOKUP(H635, Fact_Events!$A$2:$A$20, Fact_Events!$F$2:$F$20, "")</f>
        <v/>
      </c>
      <c r="K635" t="str">
        <f t="shared" si="78"/>
        <v>Low</v>
      </c>
      <c r="L635">
        <f t="shared" si="79"/>
        <v>0.55000000000000004</v>
      </c>
      <c r="M635">
        <f>_xlfn.XLOOKUP(B635, Dim_Hotel!$A$2:$A$11, Dim_Hotel!$I$2:$I$11)
 + (IF(J635="",0,J635)
    * _xlfn.XLOOKUP(B635, Dim_Hotel!$A$2:$A$11, Dim_Hotel!$J$2:$J$11))</f>
        <v>135</v>
      </c>
    </row>
    <row r="636" spans="1:13" x14ac:dyDescent="0.25">
      <c r="A636" s="1">
        <f t="shared" si="72"/>
        <v>46086</v>
      </c>
      <c r="B636" t="str" cm="1">
        <f t="array" ref="B636">INDEX(HotelList,MOD(ROW()-2,10)+1)</f>
        <v>H005</v>
      </c>
      <c r="C636">
        <f>_xlfn.XLOOKUP(B636,Dim_Hotel!$A$2:$A$11,Dim_Hotel!$F$2:$F$11)</f>
        <v>66</v>
      </c>
      <c r="D636">
        <f t="shared" si="73"/>
        <v>36</v>
      </c>
      <c r="E636">
        <f t="shared" si="74"/>
        <v>0.54545454545454541</v>
      </c>
      <c r="F636">
        <f t="shared" si="75"/>
        <v>82</v>
      </c>
      <c r="G636">
        <f t="shared" si="76"/>
        <v>44.727272727272727</v>
      </c>
      <c r="H636" t="str">
        <f>_xlfn.XLOOKUP(A636,Fact_Events!$D$2:$D$20,Fact_Events!$A$2:$A$20, "")</f>
        <v/>
      </c>
      <c r="I636">
        <f t="shared" si="77"/>
        <v>0</v>
      </c>
      <c r="J636" t="str">
        <f>_xlfn.XLOOKUP(H636, Fact_Events!$A$2:$A$20, Fact_Events!$F$2:$F$20, "")</f>
        <v/>
      </c>
      <c r="K636" t="str">
        <f t="shared" si="78"/>
        <v>Low</v>
      </c>
      <c r="L636">
        <f t="shared" si="79"/>
        <v>0.55000000000000004</v>
      </c>
      <c r="M636">
        <f>_xlfn.XLOOKUP(B636, Dim_Hotel!$A$2:$A$11, Dim_Hotel!$I$2:$I$11)
 + (IF(J636="",0,J636)
    * _xlfn.XLOOKUP(B636, Dim_Hotel!$A$2:$A$11, Dim_Hotel!$J$2:$J$11))</f>
        <v>82</v>
      </c>
    </row>
    <row r="637" spans="1:13" x14ac:dyDescent="0.25">
      <c r="A637" s="1">
        <f t="shared" si="72"/>
        <v>46086</v>
      </c>
      <c r="B637" t="str" cm="1">
        <f t="array" ref="B637">INDEX(HotelList,MOD(ROW()-2,10)+1)</f>
        <v>H006</v>
      </c>
      <c r="C637">
        <f>_xlfn.XLOOKUP(B637,Dim_Hotel!$A$2:$A$11,Dim_Hotel!$F$2:$F$11)</f>
        <v>311</v>
      </c>
      <c r="D637">
        <f t="shared" si="73"/>
        <v>171</v>
      </c>
      <c r="E637">
        <f t="shared" si="74"/>
        <v>0.54983922829581988</v>
      </c>
      <c r="F637">
        <f t="shared" si="75"/>
        <v>190</v>
      </c>
      <c r="G637">
        <f t="shared" si="76"/>
        <v>104.46945337620578</v>
      </c>
      <c r="H637" t="str">
        <f>_xlfn.XLOOKUP(A637,Fact_Events!$D$2:$D$20,Fact_Events!$A$2:$A$20, "")</f>
        <v/>
      </c>
      <c r="I637">
        <f t="shared" si="77"/>
        <v>0</v>
      </c>
      <c r="J637" t="str">
        <f>_xlfn.XLOOKUP(H637, Fact_Events!$A$2:$A$20, Fact_Events!$F$2:$F$20, "")</f>
        <v/>
      </c>
      <c r="K637" t="str">
        <f t="shared" si="78"/>
        <v>Low</v>
      </c>
      <c r="L637">
        <f t="shared" si="79"/>
        <v>0.55000000000000004</v>
      </c>
      <c r="M637">
        <f>_xlfn.XLOOKUP(B637, Dim_Hotel!$A$2:$A$11, Dim_Hotel!$I$2:$I$11)
 + (IF(J637="",0,J637)
    * _xlfn.XLOOKUP(B637, Dim_Hotel!$A$2:$A$11, Dim_Hotel!$J$2:$J$11))</f>
        <v>190</v>
      </c>
    </row>
    <row r="638" spans="1:13" x14ac:dyDescent="0.25">
      <c r="A638" s="1">
        <f t="shared" si="72"/>
        <v>46086</v>
      </c>
      <c r="B638" t="str" cm="1">
        <f t="array" ref="B638">INDEX(HotelList,MOD(ROW()-2,10)+1)</f>
        <v>H007</v>
      </c>
      <c r="C638">
        <f>_xlfn.XLOOKUP(B638,Dim_Hotel!$A$2:$A$11,Dim_Hotel!$F$2:$F$11)</f>
        <v>132</v>
      </c>
      <c r="D638">
        <f t="shared" si="73"/>
        <v>73</v>
      </c>
      <c r="E638">
        <f t="shared" si="74"/>
        <v>0.55303030303030298</v>
      </c>
      <c r="F638">
        <f t="shared" si="75"/>
        <v>165</v>
      </c>
      <c r="G638">
        <f t="shared" si="76"/>
        <v>91.249999999999986</v>
      </c>
      <c r="H638" t="str">
        <f>_xlfn.XLOOKUP(A638,Fact_Events!$D$2:$D$20,Fact_Events!$A$2:$A$20, "")</f>
        <v/>
      </c>
      <c r="I638">
        <f t="shared" si="77"/>
        <v>0</v>
      </c>
      <c r="J638" t="str">
        <f>_xlfn.XLOOKUP(H638, Fact_Events!$A$2:$A$20, Fact_Events!$F$2:$F$20, "")</f>
        <v/>
      </c>
      <c r="K638" t="str">
        <f t="shared" si="78"/>
        <v>Low</v>
      </c>
      <c r="L638">
        <f t="shared" si="79"/>
        <v>0.55000000000000004</v>
      </c>
      <c r="M638">
        <f>_xlfn.XLOOKUP(B638, Dim_Hotel!$A$2:$A$11, Dim_Hotel!$I$2:$I$11)
 + (IF(J638="",0,J638)
    * _xlfn.XLOOKUP(B638, Dim_Hotel!$A$2:$A$11, Dim_Hotel!$J$2:$J$11))</f>
        <v>165</v>
      </c>
    </row>
    <row r="639" spans="1:13" x14ac:dyDescent="0.25">
      <c r="A639" s="1">
        <f t="shared" si="72"/>
        <v>46086</v>
      </c>
      <c r="B639" t="str" cm="1">
        <f t="array" ref="B639">INDEX(HotelList,MOD(ROW()-2,10)+1)</f>
        <v>H008</v>
      </c>
      <c r="C639">
        <f>_xlfn.XLOOKUP(B639,Dim_Hotel!$A$2:$A$11,Dim_Hotel!$F$2:$F$11)</f>
        <v>103</v>
      </c>
      <c r="D639">
        <f t="shared" si="73"/>
        <v>57</v>
      </c>
      <c r="E639">
        <f t="shared" si="74"/>
        <v>0.55339805825242716</v>
      </c>
      <c r="F639">
        <f t="shared" si="75"/>
        <v>140</v>
      </c>
      <c r="G639">
        <f t="shared" si="76"/>
        <v>77.475728155339809</v>
      </c>
      <c r="H639" t="str">
        <f>_xlfn.XLOOKUP(A639,Fact_Events!$D$2:$D$20,Fact_Events!$A$2:$A$20, "")</f>
        <v/>
      </c>
      <c r="I639">
        <f t="shared" si="77"/>
        <v>0</v>
      </c>
      <c r="J639" t="str">
        <f>_xlfn.XLOOKUP(H639, Fact_Events!$A$2:$A$20, Fact_Events!$F$2:$F$20, "")</f>
        <v/>
      </c>
      <c r="K639" t="str">
        <f t="shared" si="78"/>
        <v>Low</v>
      </c>
      <c r="L639">
        <f t="shared" si="79"/>
        <v>0.55000000000000004</v>
      </c>
      <c r="M639">
        <f>_xlfn.XLOOKUP(B639, Dim_Hotel!$A$2:$A$11, Dim_Hotel!$I$2:$I$11)
 + (IF(J639="",0,J639)
    * _xlfn.XLOOKUP(B639, Dim_Hotel!$A$2:$A$11, Dim_Hotel!$J$2:$J$11))</f>
        <v>140</v>
      </c>
    </row>
    <row r="640" spans="1:13" x14ac:dyDescent="0.25">
      <c r="A640" s="1">
        <f t="shared" si="72"/>
        <v>46086</v>
      </c>
      <c r="B640" t="str" cm="1">
        <f t="array" ref="B640">INDEX(HotelList,MOD(ROW()-2,10)+1)</f>
        <v>H009</v>
      </c>
      <c r="C640">
        <f>_xlfn.XLOOKUP(B640,Dim_Hotel!$A$2:$A$11,Dim_Hotel!$F$2:$F$11)</f>
        <v>114</v>
      </c>
      <c r="D640">
        <f t="shared" si="73"/>
        <v>63</v>
      </c>
      <c r="E640">
        <f t="shared" si="74"/>
        <v>0.55263157894736847</v>
      </c>
      <c r="F640">
        <f t="shared" si="75"/>
        <v>185</v>
      </c>
      <c r="G640">
        <f t="shared" si="76"/>
        <v>102.23684210526316</v>
      </c>
      <c r="H640" t="str">
        <f>_xlfn.XLOOKUP(A640,Fact_Events!$D$2:$D$20,Fact_Events!$A$2:$A$20, "")</f>
        <v/>
      </c>
      <c r="I640">
        <f t="shared" si="77"/>
        <v>0</v>
      </c>
      <c r="J640" t="str">
        <f>_xlfn.XLOOKUP(H640, Fact_Events!$A$2:$A$20, Fact_Events!$F$2:$F$20, "")</f>
        <v/>
      </c>
      <c r="K640" t="str">
        <f t="shared" si="78"/>
        <v>Low</v>
      </c>
      <c r="L640">
        <f t="shared" si="79"/>
        <v>0.55000000000000004</v>
      </c>
      <c r="M640">
        <f>_xlfn.XLOOKUP(B640, Dim_Hotel!$A$2:$A$11, Dim_Hotel!$I$2:$I$11)
 + (IF(J640="",0,J640)
    * _xlfn.XLOOKUP(B640, Dim_Hotel!$A$2:$A$11, Dim_Hotel!$J$2:$J$11))</f>
        <v>185</v>
      </c>
    </row>
    <row r="641" spans="1:13" x14ac:dyDescent="0.25">
      <c r="A641" s="1">
        <f t="shared" si="72"/>
        <v>46086</v>
      </c>
      <c r="B641" t="str" cm="1">
        <f t="array" ref="B641">INDEX(HotelList,MOD(ROW()-2,10)+1)</f>
        <v>H010</v>
      </c>
      <c r="C641">
        <f>_xlfn.XLOOKUP(B641,Dim_Hotel!$A$2:$A$11,Dim_Hotel!$F$2:$F$11)</f>
        <v>89</v>
      </c>
      <c r="D641">
        <f t="shared" si="73"/>
        <v>49</v>
      </c>
      <c r="E641">
        <f t="shared" si="74"/>
        <v>0.550561797752809</v>
      </c>
      <c r="F641">
        <f t="shared" si="75"/>
        <v>150</v>
      </c>
      <c r="G641">
        <f t="shared" si="76"/>
        <v>82.584269662921344</v>
      </c>
      <c r="H641" t="str">
        <f>_xlfn.XLOOKUP(A641,Fact_Events!$D$2:$D$20,Fact_Events!$A$2:$A$20, "")</f>
        <v/>
      </c>
      <c r="I641">
        <f t="shared" si="77"/>
        <v>0</v>
      </c>
      <c r="J641" t="str">
        <f>_xlfn.XLOOKUP(H641, Fact_Events!$A$2:$A$20, Fact_Events!$F$2:$F$20, "")</f>
        <v/>
      </c>
      <c r="K641" t="str">
        <f t="shared" si="78"/>
        <v>Low</v>
      </c>
      <c r="L641">
        <f t="shared" si="79"/>
        <v>0.55000000000000004</v>
      </c>
      <c r="M641">
        <f>_xlfn.XLOOKUP(B641, Dim_Hotel!$A$2:$A$11, Dim_Hotel!$I$2:$I$11)
 + (IF(J641="",0,J641)
    * _xlfn.XLOOKUP(B641, Dim_Hotel!$A$2:$A$11, Dim_Hotel!$J$2:$J$11))</f>
        <v>150</v>
      </c>
    </row>
    <row r="642" spans="1:13" x14ac:dyDescent="0.25">
      <c r="A642" s="1">
        <f t="shared" si="72"/>
        <v>46087</v>
      </c>
      <c r="B642" t="str" cm="1">
        <f t="array" ref="B642">INDEX(HotelList,MOD(ROW()-2,10)+1)</f>
        <v>H001</v>
      </c>
      <c r="C642">
        <f>_xlfn.XLOOKUP(B642,Dim_Hotel!$A$2:$A$11,Dim_Hotel!$F$2:$F$11)</f>
        <v>888</v>
      </c>
      <c r="D642">
        <f t="shared" si="73"/>
        <v>488</v>
      </c>
      <c r="E642">
        <f t="shared" si="74"/>
        <v>0.5495495495495496</v>
      </c>
      <c r="F642">
        <f t="shared" si="75"/>
        <v>260</v>
      </c>
      <c r="G642">
        <f t="shared" si="76"/>
        <v>142.88288288288288</v>
      </c>
      <c r="H642" t="str">
        <f>_xlfn.XLOOKUP(A642,Fact_Events!$D$2:$D$20,Fact_Events!$A$2:$A$20, "")</f>
        <v/>
      </c>
      <c r="I642">
        <f t="shared" si="77"/>
        <v>0</v>
      </c>
      <c r="J642" t="str">
        <f>_xlfn.XLOOKUP(H642, Fact_Events!$A$2:$A$20, Fact_Events!$F$2:$F$20, "")</f>
        <v/>
      </c>
      <c r="K642" t="str">
        <f t="shared" si="78"/>
        <v>Low</v>
      </c>
      <c r="L642">
        <f t="shared" si="79"/>
        <v>0.55000000000000004</v>
      </c>
      <c r="M642">
        <f>_xlfn.XLOOKUP(B642, Dim_Hotel!$A$2:$A$11, Dim_Hotel!$I$2:$I$11)
 + (IF(J642="",0,J642)
    * _xlfn.XLOOKUP(B642, Dim_Hotel!$A$2:$A$11, Dim_Hotel!$J$2:$J$11))</f>
        <v>260</v>
      </c>
    </row>
    <row r="643" spans="1:13" x14ac:dyDescent="0.25">
      <c r="A643" s="1">
        <f t="shared" ref="A643:A706" si="80">DATE(2026,1,1) + INT((ROW()-2)/10)</f>
        <v>46087</v>
      </c>
      <c r="B643" t="str" cm="1">
        <f t="array" ref="B643">INDEX(HotelList,MOD(ROW()-2,10)+1)</f>
        <v>H002</v>
      </c>
      <c r="C643">
        <f>_xlfn.XLOOKUP(B643,Dim_Hotel!$A$2:$A$11,Dim_Hotel!$F$2:$F$11)</f>
        <v>147</v>
      </c>
      <c r="D643">
        <f t="shared" ref="D643:D706" si="81">ROUND(L643 * C643, 0)</f>
        <v>81</v>
      </c>
      <c r="E643">
        <f t="shared" ref="E643:E706" si="82">D643/C643</f>
        <v>0.55102040816326525</v>
      </c>
      <c r="F643">
        <f t="shared" ref="F643:F706" si="83">M643</f>
        <v>175</v>
      </c>
      <c r="G643">
        <f t="shared" ref="G643:G706" si="84">E643*F643</f>
        <v>96.428571428571416</v>
      </c>
      <c r="H643" t="str">
        <f>_xlfn.XLOOKUP(A643,Fact_Events!$D$2:$D$20,Fact_Events!$A$2:$A$20, "")</f>
        <v/>
      </c>
      <c r="I643">
        <f t="shared" ref="I643:I706" si="85">IF(H643="",0,1)</f>
        <v>0</v>
      </c>
      <c r="J643" t="str">
        <f>_xlfn.XLOOKUP(H643, Fact_Events!$A$2:$A$20, Fact_Events!$F$2:$F$20, "")</f>
        <v/>
      </c>
      <c r="K643" t="str">
        <f t="shared" ref="K643:K706" si="86">IF(I643=0,"Low",
   IF(J643&gt;=9,"High","Medium"))</f>
        <v>Low</v>
      </c>
      <c r="L643">
        <f t="shared" ref="L643:L706" si="87">MIN(1,
  0.55
  + (I643 * 0.25)
  + (IF(J643="",0,J643) / 100)
)</f>
        <v>0.55000000000000004</v>
      </c>
      <c r="M643">
        <f>_xlfn.XLOOKUP(B643, Dim_Hotel!$A$2:$A$11, Dim_Hotel!$I$2:$I$11)
 + (IF(J643="",0,J643)
    * _xlfn.XLOOKUP(B643, Dim_Hotel!$A$2:$A$11, Dim_Hotel!$J$2:$J$11))</f>
        <v>175</v>
      </c>
    </row>
    <row r="644" spans="1:13" x14ac:dyDescent="0.25">
      <c r="A644" s="1">
        <f t="shared" si="80"/>
        <v>46087</v>
      </c>
      <c r="B644" t="str" cm="1">
        <f t="array" ref="B644">INDEX(HotelList,MOD(ROW()-2,10)+1)</f>
        <v>H003</v>
      </c>
      <c r="C644">
        <f>_xlfn.XLOOKUP(B644,Dim_Hotel!$A$2:$A$11,Dim_Hotel!$F$2:$F$11)</f>
        <v>121</v>
      </c>
      <c r="D644">
        <f t="shared" si="81"/>
        <v>67</v>
      </c>
      <c r="E644">
        <f t="shared" si="82"/>
        <v>0.55371900826446285</v>
      </c>
      <c r="F644">
        <f t="shared" si="83"/>
        <v>145</v>
      </c>
      <c r="G644">
        <f t="shared" si="84"/>
        <v>80.289256198347118</v>
      </c>
      <c r="H644" t="str">
        <f>_xlfn.XLOOKUP(A644,Fact_Events!$D$2:$D$20,Fact_Events!$A$2:$A$20, "")</f>
        <v/>
      </c>
      <c r="I644">
        <f t="shared" si="85"/>
        <v>0</v>
      </c>
      <c r="J644" t="str">
        <f>_xlfn.XLOOKUP(H644, Fact_Events!$A$2:$A$20, Fact_Events!$F$2:$F$20, "")</f>
        <v/>
      </c>
      <c r="K644" t="str">
        <f t="shared" si="86"/>
        <v>Low</v>
      </c>
      <c r="L644">
        <f t="shared" si="87"/>
        <v>0.55000000000000004</v>
      </c>
      <c r="M644">
        <f>_xlfn.XLOOKUP(B644, Dim_Hotel!$A$2:$A$11, Dim_Hotel!$I$2:$I$11)
 + (IF(J644="",0,J644)
    * _xlfn.XLOOKUP(B644, Dim_Hotel!$A$2:$A$11, Dim_Hotel!$J$2:$J$11))</f>
        <v>145</v>
      </c>
    </row>
    <row r="645" spans="1:13" x14ac:dyDescent="0.25">
      <c r="A645" s="1">
        <f t="shared" si="80"/>
        <v>46087</v>
      </c>
      <c r="B645" t="str" cm="1">
        <f t="array" ref="B645">INDEX(HotelList,MOD(ROW()-2,10)+1)</f>
        <v>H004</v>
      </c>
      <c r="C645">
        <f>_xlfn.XLOOKUP(B645,Dim_Hotel!$A$2:$A$11,Dim_Hotel!$F$2:$F$11)</f>
        <v>108</v>
      </c>
      <c r="D645">
        <f t="shared" si="81"/>
        <v>59</v>
      </c>
      <c r="E645">
        <f t="shared" si="82"/>
        <v>0.54629629629629628</v>
      </c>
      <c r="F645">
        <f t="shared" si="83"/>
        <v>135</v>
      </c>
      <c r="G645">
        <f t="shared" si="84"/>
        <v>73.75</v>
      </c>
      <c r="H645" t="str">
        <f>_xlfn.XLOOKUP(A645,Fact_Events!$D$2:$D$20,Fact_Events!$A$2:$A$20, "")</f>
        <v/>
      </c>
      <c r="I645">
        <f t="shared" si="85"/>
        <v>0</v>
      </c>
      <c r="J645" t="str">
        <f>_xlfn.XLOOKUP(H645, Fact_Events!$A$2:$A$20, Fact_Events!$F$2:$F$20, "")</f>
        <v/>
      </c>
      <c r="K645" t="str">
        <f t="shared" si="86"/>
        <v>Low</v>
      </c>
      <c r="L645">
        <f t="shared" si="87"/>
        <v>0.55000000000000004</v>
      </c>
      <c r="M645">
        <f>_xlfn.XLOOKUP(B645, Dim_Hotel!$A$2:$A$11, Dim_Hotel!$I$2:$I$11)
 + (IF(J645="",0,J645)
    * _xlfn.XLOOKUP(B645, Dim_Hotel!$A$2:$A$11, Dim_Hotel!$J$2:$J$11))</f>
        <v>135</v>
      </c>
    </row>
    <row r="646" spans="1:13" x14ac:dyDescent="0.25">
      <c r="A646" s="1">
        <f t="shared" si="80"/>
        <v>46087</v>
      </c>
      <c r="B646" t="str" cm="1">
        <f t="array" ref="B646">INDEX(HotelList,MOD(ROW()-2,10)+1)</f>
        <v>H005</v>
      </c>
      <c r="C646">
        <f>_xlfn.XLOOKUP(B646,Dim_Hotel!$A$2:$A$11,Dim_Hotel!$F$2:$F$11)</f>
        <v>66</v>
      </c>
      <c r="D646">
        <f t="shared" si="81"/>
        <v>36</v>
      </c>
      <c r="E646">
        <f t="shared" si="82"/>
        <v>0.54545454545454541</v>
      </c>
      <c r="F646">
        <f t="shared" si="83"/>
        <v>82</v>
      </c>
      <c r="G646">
        <f t="shared" si="84"/>
        <v>44.727272727272727</v>
      </c>
      <c r="H646" t="str">
        <f>_xlfn.XLOOKUP(A646,Fact_Events!$D$2:$D$20,Fact_Events!$A$2:$A$20, "")</f>
        <v/>
      </c>
      <c r="I646">
        <f t="shared" si="85"/>
        <v>0</v>
      </c>
      <c r="J646" t="str">
        <f>_xlfn.XLOOKUP(H646, Fact_Events!$A$2:$A$20, Fact_Events!$F$2:$F$20, "")</f>
        <v/>
      </c>
      <c r="K646" t="str">
        <f t="shared" si="86"/>
        <v>Low</v>
      </c>
      <c r="L646">
        <f t="shared" si="87"/>
        <v>0.55000000000000004</v>
      </c>
      <c r="M646">
        <f>_xlfn.XLOOKUP(B646, Dim_Hotel!$A$2:$A$11, Dim_Hotel!$I$2:$I$11)
 + (IF(J646="",0,J646)
    * _xlfn.XLOOKUP(B646, Dim_Hotel!$A$2:$A$11, Dim_Hotel!$J$2:$J$11))</f>
        <v>82</v>
      </c>
    </row>
    <row r="647" spans="1:13" x14ac:dyDescent="0.25">
      <c r="A647" s="1">
        <f t="shared" si="80"/>
        <v>46087</v>
      </c>
      <c r="B647" t="str" cm="1">
        <f t="array" ref="B647">INDEX(HotelList,MOD(ROW()-2,10)+1)</f>
        <v>H006</v>
      </c>
      <c r="C647">
        <f>_xlfn.XLOOKUP(B647,Dim_Hotel!$A$2:$A$11,Dim_Hotel!$F$2:$F$11)</f>
        <v>311</v>
      </c>
      <c r="D647">
        <f t="shared" si="81"/>
        <v>171</v>
      </c>
      <c r="E647">
        <f t="shared" si="82"/>
        <v>0.54983922829581988</v>
      </c>
      <c r="F647">
        <f t="shared" si="83"/>
        <v>190</v>
      </c>
      <c r="G647">
        <f t="shared" si="84"/>
        <v>104.46945337620578</v>
      </c>
      <c r="H647" t="str">
        <f>_xlfn.XLOOKUP(A647,Fact_Events!$D$2:$D$20,Fact_Events!$A$2:$A$20, "")</f>
        <v/>
      </c>
      <c r="I647">
        <f t="shared" si="85"/>
        <v>0</v>
      </c>
      <c r="J647" t="str">
        <f>_xlfn.XLOOKUP(H647, Fact_Events!$A$2:$A$20, Fact_Events!$F$2:$F$20, "")</f>
        <v/>
      </c>
      <c r="K647" t="str">
        <f t="shared" si="86"/>
        <v>Low</v>
      </c>
      <c r="L647">
        <f t="shared" si="87"/>
        <v>0.55000000000000004</v>
      </c>
      <c r="M647">
        <f>_xlfn.XLOOKUP(B647, Dim_Hotel!$A$2:$A$11, Dim_Hotel!$I$2:$I$11)
 + (IF(J647="",0,J647)
    * _xlfn.XLOOKUP(B647, Dim_Hotel!$A$2:$A$11, Dim_Hotel!$J$2:$J$11))</f>
        <v>190</v>
      </c>
    </row>
    <row r="648" spans="1:13" x14ac:dyDescent="0.25">
      <c r="A648" s="1">
        <f t="shared" si="80"/>
        <v>46087</v>
      </c>
      <c r="B648" t="str" cm="1">
        <f t="array" ref="B648">INDEX(HotelList,MOD(ROW()-2,10)+1)</f>
        <v>H007</v>
      </c>
      <c r="C648">
        <f>_xlfn.XLOOKUP(B648,Dim_Hotel!$A$2:$A$11,Dim_Hotel!$F$2:$F$11)</f>
        <v>132</v>
      </c>
      <c r="D648">
        <f t="shared" si="81"/>
        <v>73</v>
      </c>
      <c r="E648">
        <f t="shared" si="82"/>
        <v>0.55303030303030298</v>
      </c>
      <c r="F648">
        <f t="shared" si="83"/>
        <v>165</v>
      </c>
      <c r="G648">
        <f t="shared" si="84"/>
        <v>91.249999999999986</v>
      </c>
      <c r="H648" t="str">
        <f>_xlfn.XLOOKUP(A648,Fact_Events!$D$2:$D$20,Fact_Events!$A$2:$A$20, "")</f>
        <v/>
      </c>
      <c r="I648">
        <f t="shared" si="85"/>
        <v>0</v>
      </c>
      <c r="J648" t="str">
        <f>_xlfn.XLOOKUP(H648, Fact_Events!$A$2:$A$20, Fact_Events!$F$2:$F$20, "")</f>
        <v/>
      </c>
      <c r="K648" t="str">
        <f t="shared" si="86"/>
        <v>Low</v>
      </c>
      <c r="L648">
        <f t="shared" si="87"/>
        <v>0.55000000000000004</v>
      </c>
      <c r="M648">
        <f>_xlfn.XLOOKUP(B648, Dim_Hotel!$A$2:$A$11, Dim_Hotel!$I$2:$I$11)
 + (IF(J648="",0,J648)
    * _xlfn.XLOOKUP(B648, Dim_Hotel!$A$2:$A$11, Dim_Hotel!$J$2:$J$11))</f>
        <v>165</v>
      </c>
    </row>
    <row r="649" spans="1:13" x14ac:dyDescent="0.25">
      <c r="A649" s="1">
        <f t="shared" si="80"/>
        <v>46087</v>
      </c>
      <c r="B649" t="str" cm="1">
        <f t="array" ref="B649">INDEX(HotelList,MOD(ROW()-2,10)+1)</f>
        <v>H008</v>
      </c>
      <c r="C649">
        <f>_xlfn.XLOOKUP(B649,Dim_Hotel!$A$2:$A$11,Dim_Hotel!$F$2:$F$11)</f>
        <v>103</v>
      </c>
      <c r="D649">
        <f t="shared" si="81"/>
        <v>57</v>
      </c>
      <c r="E649">
        <f t="shared" si="82"/>
        <v>0.55339805825242716</v>
      </c>
      <c r="F649">
        <f t="shared" si="83"/>
        <v>140</v>
      </c>
      <c r="G649">
        <f t="shared" si="84"/>
        <v>77.475728155339809</v>
      </c>
      <c r="H649" t="str">
        <f>_xlfn.XLOOKUP(A649,Fact_Events!$D$2:$D$20,Fact_Events!$A$2:$A$20, "")</f>
        <v/>
      </c>
      <c r="I649">
        <f t="shared" si="85"/>
        <v>0</v>
      </c>
      <c r="J649" t="str">
        <f>_xlfn.XLOOKUP(H649, Fact_Events!$A$2:$A$20, Fact_Events!$F$2:$F$20, "")</f>
        <v/>
      </c>
      <c r="K649" t="str">
        <f t="shared" si="86"/>
        <v>Low</v>
      </c>
      <c r="L649">
        <f t="shared" si="87"/>
        <v>0.55000000000000004</v>
      </c>
      <c r="M649">
        <f>_xlfn.XLOOKUP(B649, Dim_Hotel!$A$2:$A$11, Dim_Hotel!$I$2:$I$11)
 + (IF(J649="",0,J649)
    * _xlfn.XLOOKUP(B649, Dim_Hotel!$A$2:$A$11, Dim_Hotel!$J$2:$J$11))</f>
        <v>140</v>
      </c>
    </row>
    <row r="650" spans="1:13" x14ac:dyDescent="0.25">
      <c r="A650" s="1">
        <f t="shared" si="80"/>
        <v>46087</v>
      </c>
      <c r="B650" t="str" cm="1">
        <f t="array" ref="B650">INDEX(HotelList,MOD(ROW()-2,10)+1)</f>
        <v>H009</v>
      </c>
      <c r="C650">
        <f>_xlfn.XLOOKUP(B650,Dim_Hotel!$A$2:$A$11,Dim_Hotel!$F$2:$F$11)</f>
        <v>114</v>
      </c>
      <c r="D650">
        <f t="shared" si="81"/>
        <v>63</v>
      </c>
      <c r="E650">
        <f t="shared" si="82"/>
        <v>0.55263157894736847</v>
      </c>
      <c r="F650">
        <f t="shared" si="83"/>
        <v>185</v>
      </c>
      <c r="G650">
        <f t="shared" si="84"/>
        <v>102.23684210526316</v>
      </c>
      <c r="H650" t="str">
        <f>_xlfn.XLOOKUP(A650,Fact_Events!$D$2:$D$20,Fact_Events!$A$2:$A$20, "")</f>
        <v/>
      </c>
      <c r="I650">
        <f t="shared" si="85"/>
        <v>0</v>
      </c>
      <c r="J650" t="str">
        <f>_xlfn.XLOOKUP(H650, Fact_Events!$A$2:$A$20, Fact_Events!$F$2:$F$20, "")</f>
        <v/>
      </c>
      <c r="K650" t="str">
        <f t="shared" si="86"/>
        <v>Low</v>
      </c>
      <c r="L650">
        <f t="shared" si="87"/>
        <v>0.55000000000000004</v>
      </c>
      <c r="M650">
        <f>_xlfn.XLOOKUP(B650, Dim_Hotel!$A$2:$A$11, Dim_Hotel!$I$2:$I$11)
 + (IF(J650="",0,J650)
    * _xlfn.XLOOKUP(B650, Dim_Hotel!$A$2:$A$11, Dim_Hotel!$J$2:$J$11))</f>
        <v>185</v>
      </c>
    </row>
    <row r="651" spans="1:13" x14ac:dyDescent="0.25">
      <c r="A651" s="1">
        <f t="shared" si="80"/>
        <v>46087</v>
      </c>
      <c r="B651" t="str" cm="1">
        <f t="array" ref="B651">INDEX(HotelList,MOD(ROW()-2,10)+1)</f>
        <v>H010</v>
      </c>
      <c r="C651">
        <f>_xlfn.XLOOKUP(B651,Dim_Hotel!$A$2:$A$11,Dim_Hotel!$F$2:$F$11)</f>
        <v>89</v>
      </c>
      <c r="D651">
        <f t="shared" si="81"/>
        <v>49</v>
      </c>
      <c r="E651">
        <f t="shared" si="82"/>
        <v>0.550561797752809</v>
      </c>
      <c r="F651">
        <f t="shared" si="83"/>
        <v>150</v>
      </c>
      <c r="G651">
        <f t="shared" si="84"/>
        <v>82.584269662921344</v>
      </c>
      <c r="H651" t="str">
        <f>_xlfn.XLOOKUP(A651,Fact_Events!$D$2:$D$20,Fact_Events!$A$2:$A$20, "")</f>
        <v/>
      </c>
      <c r="I651">
        <f t="shared" si="85"/>
        <v>0</v>
      </c>
      <c r="J651" t="str">
        <f>_xlfn.XLOOKUP(H651, Fact_Events!$A$2:$A$20, Fact_Events!$F$2:$F$20, "")</f>
        <v/>
      </c>
      <c r="K651" t="str">
        <f t="shared" si="86"/>
        <v>Low</v>
      </c>
      <c r="L651">
        <f t="shared" si="87"/>
        <v>0.55000000000000004</v>
      </c>
      <c r="M651">
        <f>_xlfn.XLOOKUP(B651, Dim_Hotel!$A$2:$A$11, Dim_Hotel!$I$2:$I$11)
 + (IF(J651="",0,J651)
    * _xlfn.XLOOKUP(B651, Dim_Hotel!$A$2:$A$11, Dim_Hotel!$J$2:$J$11))</f>
        <v>150</v>
      </c>
    </row>
    <row r="652" spans="1:13" x14ac:dyDescent="0.25">
      <c r="A652" s="1">
        <f t="shared" si="80"/>
        <v>46088</v>
      </c>
      <c r="B652" t="str" cm="1">
        <f t="array" ref="B652">INDEX(HotelList,MOD(ROW()-2,10)+1)</f>
        <v>H001</v>
      </c>
      <c r="C652">
        <f>_xlfn.XLOOKUP(B652,Dim_Hotel!$A$2:$A$11,Dim_Hotel!$F$2:$F$11)</f>
        <v>888</v>
      </c>
      <c r="D652">
        <f t="shared" si="81"/>
        <v>488</v>
      </c>
      <c r="E652">
        <f t="shared" si="82"/>
        <v>0.5495495495495496</v>
      </c>
      <c r="F652">
        <f t="shared" si="83"/>
        <v>260</v>
      </c>
      <c r="G652">
        <f t="shared" si="84"/>
        <v>142.88288288288288</v>
      </c>
      <c r="H652" t="str">
        <f>_xlfn.XLOOKUP(A652,Fact_Events!$D$2:$D$20,Fact_Events!$A$2:$A$20, "")</f>
        <v/>
      </c>
      <c r="I652">
        <f t="shared" si="85"/>
        <v>0</v>
      </c>
      <c r="J652" t="str">
        <f>_xlfn.XLOOKUP(H652, Fact_Events!$A$2:$A$20, Fact_Events!$F$2:$F$20, "")</f>
        <v/>
      </c>
      <c r="K652" t="str">
        <f t="shared" si="86"/>
        <v>Low</v>
      </c>
      <c r="L652">
        <f t="shared" si="87"/>
        <v>0.55000000000000004</v>
      </c>
      <c r="M652">
        <f>_xlfn.XLOOKUP(B652, Dim_Hotel!$A$2:$A$11, Dim_Hotel!$I$2:$I$11)
 + (IF(J652="",0,J652)
    * _xlfn.XLOOKUP(B652, Dim_Hotel!$A$2:$A$11, Dim_Hotel!$J$2:$J$11))</f>
        <v>260</v>
      </c>
    </row>
    <row r="653" spans="1:13" x14ac:dyDescent="0.25">
      <c r="A653" s="1">
        <f t="shared" si="80"/>
        <v>46088</v>
      </c>
      <c r="B653" t="str" cm="1">
        <f t="array" ref="B653">INDEX(HotelList,MOD(ROW()-2,10)+1)</f>
        <v>H002</v>
      </c>
      <c r="C653">
        <f>_xlfn.XLOOKUP(B653,Dim_Hotel!$A$2:$A$11,Dim_Hotel!$F$2:$F$11)</f>
        <v>147</v>
      </c>
      <c r="D653">
        <f t="shared" si="81"/>
        <v>81</v>
      </c>
      <c r="E653">
        <f t="shared" si="82"/>
        <v>0.55102040816326525</v>
      </c>
      <c r="F653">
        <f t="shared" si="83"/>
        <v>175</v>
      </c>
      <c r="G653">
        <f t="shared" si="84"/>
        <v>96.428571428571416</v>
      </c>
      <c r="H653" t="str">
        <f>_xlfn.XLOOKUP(A653,Fact_Events!$D$2:$D$20,Fact_Events!$A$2:$A$20, "")</f>
        <v/>
      </c>
      <c r="I653">
        <f t="shared" si="85"/>
        <v>0</v>
      </c>
      <c r="J653" t="str">
        <f>_xlfn.XLOOKUP(H653, Fact_Events!$A$2:$A$20, Fact_Events!$F$2:$F$20, "")</f>
        <v/>
      </c>
      <c r="K653" t="str">
        <f t="shared" si="86"/>
        <v>Low</v>
      </c>
      <c r="L653">
        <f t="shared" si="87"/>
        <v>0.55000000000000004</v>
      </c>
      <c r="M653">
        <f>_xlfn.XLOOKUP(B653, Dim_Hotel!$A$2:$A$11, Dim_Hotel!$I$2:$I$11)
 + (IF(J653="",0,J653)
    * _xlfn.XLOOKUP(B653, Dim_Hotel!$A$2:$A$11, Dim_Hotel!$J$2:$J$11))</f>
        <v>175</v>
      </c>
    </row>
    <row r="654" spans="1:13" x14ac:dyDescent="0.25">
      <c r="A654" s="1">
        <f t="shared" si="80"/>
        <v>46088</v>
      </c>
      <c r="B654" t="str" cm="1">
        <f t="array" ref="B654">INDEX(HotelList,MOD(ROW()-2,10)+1)</f>
        <v>H003</v>
      </c>
      <c r="C654">
        <f>_xlfn.XLOOKUP(B654,Dim_Hotel!$A$2:$A$11,Dim_Hotel!$F$2:$F$11)</f>
        <v>121</v>
      </c>
      <c r="D654">
        <f t="shared" si="81"/>
        <v>67</v>
      </c>
      <c r="E654">
        <f t="shared" si="82"/>
        <v>0.55371900826446285</v>
      </c>
      <c r="F654">
        <f t="shared" si="83"/>
        <v>145</v>
      </c>
      <c r="G654">
        <f t="shared" si="84"/>
        <v>80.289256198347118</v>
      </c>
      <c r="H654" t="str">
        <f>_xlfn.XLOOKUP(A654,Fact_Events!$D$2:$D$20,Fact_Events!$A$2:$A$20, "")</f>
        <v/>
      </c>
      <c r="I654">
        <f t="shared" si="85"/>
        <v>0</v>
      </c>
      <c r="J654" t="str">
        <f>_xlfn.XLOOKUP(H654, Fact_Events!$A$2:$A$20, Fact_Events!$F$2:$F$20, "")</f>
        <v/>
      </c>
      <c r="K654" t="str">
        <f t="shared" si="86"/>
        <v>Low</v>
      </c>
      <c r="L654">
        <f t="shared" si="87"/>
        <v>0.55000000000000004</v>
      </c>
      <c r="M654">
        <f>_xlfn.XLOOKUP(B654, Dim_Hotel!$A$2:$A$11, Dim_Hotel!$I$2:$I$11)
 + (IF(J654="",0,J654)
    * _xlfn.XLOOKUP(B654, Dim_Hotel!$A$2:$A$11, Dim_Hotel!$J$2:$J$11))</f>
        <v>145</v>
      </c>
    </row>
    <row r="655" spans="1:13" x14ac:dyDescent="0.25">
      <c r="A655" s="1">
        <f t="shared" si="80"/>
        <v>46088</v>
      </c>
      <c r="B655" t="str" cm="1">
        <f t="array" ref="B655">INDEX(HotelList,MOD(ROW()-2,10)+1)</f>
        <v>H004</v>
      </c>
      <c r="C655">
        <f>_xlfn.XLOOKUP(B655,Dim_Hotel!$A$2:$A$11,Dim_Hotel!$F$2:$F$11)</f>
        <v>108</v>
      </c>
      <c r="D655">
        <f t="shared" si="81"/>
        <v>59</v>
      </c>
      <c r="E655">
        <f t="shared" si="82"/>
        <v>0.54629629629629628</v>
      </c>
      <c r="F655">
        <f t="shared" si="83"/>
        <v>135</v>
      </c>
      <c r="G655">
        <f t="shared" si="84"/>
        <v>73.75</v>
      </c>
      <c r="H655" t="str">
        <f>_xlfn.XLOOKUP(A655,Fact_Events!$D$2:$D$20,Fact_Events!$A$2:$A$20, "")</f>
        <v/>
      </c>
      <c r="I655">
        <f t="shared" si="85"/>
        <v>0</v>
      </c>
      <c r="J655" t="str">
        <f>_xlfn.XLOOKUP(H655, Fact_Events!$A$2:$A$20, Fact_Events!$F$2:$F$20, "")</f>
        <v/>
      </c>
      <c r="K655" t="str">
        <f t="shared" si="86"/>
        <v>Low</v>
      </c>
      <c r="L655">
        <f t="shared" si="87"/>
        <v>0.55000000000000004</v>
      </c>
      <c r="M655">
        <f>_xlfn.XLOOKUP(B655, Dim_Hotel!$A$2:$A$11, Dim_Hotel!$I$2:$I$11)
 + (IF(J655="",0,J655)
    * _xlfn.XLOOKUP(B655, Dim_Hotel!$A$2:$A$11, Dim_Hotel!$J$2:$J$11))</f>
        <v>135</v>
      </c>
    </row>
    <row r="656" spans="1:13" x14ac:dyDescent="0.25">
      <c r="A656" s="1">
        <f t="shared" si="80"/>
        <v>46088</v>
      </c>
      <c r="B656" t="str" cm="1">
        <f t="array" ref="B656">INDEX(HotelList,MOD(ROW()-2,10)+1)</f>
        <v>H005</v>
      </c>
      <c r="C656">
        <f>_xlfn.XLOOKUP(B656,Dim_Hotel!$A$2:$A$11,Dim_Hotel!$F$2:$F$11)</f>
        <v>66</v>
      </c>
      <c r="D656">
        <f t="shared" si="81"/>
        <v>36</v>
      </c>
      <c r="E656">
        <f t="shared" si="82"/>
        <v>0.54545454545454541</v>
      </c>
      <c r="F656">
        <f t="shared" si="83"/>
        <v>82</v>
      </c>
      <c r="G656">
        <f t="shared" si="84"/>
        <v>44.727272727272727</v>
      </c>
      <c r="H656" t="str">
        <f>_xlfn.XLOOKUP(A656,Fact_Events!$D$2:$D$20,Fact_Events!$A$2:$A$20, "")</f>
        <v/>
      </c>
      <c r="I656">
        <f t="shared" si="85"/>
        <v>0</v>
      </c>
      <c r="J656" t="str">
        <f>_xlfn.XLOOKUP(H656, Fact_Events!$A$2:$A$20, Fact_Events!$F$2:$F$20, "")</f>
        <v/>
      </c>
      <c r="K656" t="str">
        <f t="shared" si="86"/>
        <v>Low</v>
      </c>
      <c r="L656">
        <f t="shared" si="87"/>
        <v>0.55000000000000004</v>
      </c>
      <c r="M656">
        <f>_xlfn.XLOOKUP(B656, Dim_Hotel!$A$2:$A$11, Dim_Hotel!$I$2:$I$11)
 + (IF(J656="",0,J656)
    * _xlfn.XLOOKUP(B656, Dim_Hotel!$A$2:$A$11, Dim_Hotel!$J$2:$J$11))</f>
        <v>82</v>
      </c>
    </row>
    <row r="657" spans="1:13" x14ac:dyDescent="0.25">
      <c r="A657" s="1">
        <f t="shared" si="80"/>
        <v>46088</v>
      </c>
      <c r="B657" t="str" cm="1">
        <f t="array" ref="B657">INDEX(HotelList,MOD(ROW()-2,10)+1)</f>
        <v>H006</v>
      </c>
      <c r="C657">
        <f>_xlfn.XLOOKUP(B657,Dim_Hotel!$A$2:$A$11,Dim_Hotel!$F$2:$F$11)</f>
        <v>311</v>
      </c>
      <c r="D657">
        <f t="shared" si="81"/>
        <v>171</v>
      </c>
      <c r="E657">
        <f t="shared" si="82"/>
        <v>0.54983922829581988</v>
      </c>
      <c r="F657">
        <f t="shared" si="83"/>
        <v>190</v>
      </c>
      <c r="G657">
        <f t="shared" si="84"/>
        <v>104.46945337620578</v>
      </c>
      <c r="H657" t="str">
        <f>_xlfn.XLOOKUP(A657,Fact_Events!$D$2:$D$20,Fact_Events!$A$2:$A$20, "")</f>
        <v/>
      </c>
      <c r="I657">
        <f t="shared" si="85"/>
        <v>0</v>
      </c>
      <c r="J657" t="str">
        <f>_xlfn.XLOOKUP(H657, Fact_Events!$A$2:$A$20, Fact_Events!$F$2:$F$20, "")</f>
        <v/>
      </c>
      <c r="K657" t="str">
        <f t="shared" si="86"/>
        <v>Low</v>
      </c>
      <c r="L657">
        <f t="shared" si="87"/>
        <v>0.55000000000000004</v>
      </c>
      <c r="M657">
        <f>_xlfn.XLOOKUP(B657, Dim_Hotel!$A$2:$A$11, Dim_Hotel!$I$2:$I$11)
 + (IF(J657="",0,J657)
    * _xlfn.XLOOKUP(B657, Dim_Hotel!$A$2:$A$11, Dim_Hotel!$J$2:$J$11))</f>
        <v>190</v>
      </c>
    </row>
    <row r="658" spans="1:13" x14ac:dyDescent="0.25">
      <c r="A658" s="1">
        <f t="shared" si="80"/>
        <v>46088</v>
      </c>
      <c r="B658" t="str" cm="1">
        <f t="array" ref="B658">INDEX(HotelList,MOD(ROW()-2,10)+1)</f>
        <v>H007</v>
      </c>
      <c r="C658">
        <f>_xlfn.XLOOKUP(B658,Dim_Hotel!$A$2:$A$11,Dim_Hotel!$F$2:$F$11)</f>
        <v>132</v>
      </c>
      <c r="D658">
        <f t="shared" si="81"/>
        <v>73</v>
      </c>
      <c r="E658">
        <f t="shared" si="82"/>
        <v>0.55303030303030298</v>
      </c>
      <c r="F658">
        <f t="shared" si="83"/>
        <v>165</v>
      </c>
      <c r="G658">
        <f t="shared" si="84"/>
        <v>91.249999999999986</v>
      </c>
      <c r="H658" t="str">
        <f>_xlfn.XLOOKUP(A658,Fact_Events!$D$2:$D$20,Fact_Events!$A$2:$A$20, "")</f>
        <v/>
      </c>
      <c r="I658">
        <f t="shared" si="85"/>
        <v>0</v>
      </c>
      <c r="J658" t="str">
        <f>_xlfn.XLOOKUP(H658, Fact_Events!$A$2:$A$20, Fact_Events!$F$2:$F$20, "")</f>
        <v/>
      </c>
      <c r="K658" t="str">
        <f t="shared" si="86"/>
        <v>Low</v>
      </c>
      <c r="L658">
        <f t="shared" si="87"/>
        <v>0.55000000000000004</v>
      </c>
      <c r="M658">
        <f>_xlfn.XLOOKUP(B658, Dim_Hotel!$A$2:$A$11, Dim_Hotel!$I$2:$I$11)
 + (IF(J658="",0,J658)
    * _xlfn.XLOOKUP(B658, Dim_Hotel!$A$2:$A$11, Dim_Hotel!$J$2:$J$11))</f>
        <v>165</v>
      </c>
    </row>
    <row r="659" spans="1:13" x14ac:dyDescent="0.25">
      <c r="A659" s="1">
        <f t="shared" si="80"/>
        <v>46088</v>
      </c>
      <c r="B659" t="str" cm="1">
        <f t="array" ref="B659">INDEX(HotelList,MOD(ROW()-2,10)+1)</f>
        <v>H008</v>
      </c>
      <c r="C659">
        <f>_xlfn.XLOOKUP(B659,Dim_Hotel!$A$2:$A$11,Dim_Hotel!$F$2:$F$11)</f>
        <v>103</v>
      </c>
      <c r="D659">
        <f t="shared" si="81"/>
        <v>57</v>
      </c>
      <c r="E659">
        <f t="shared" si="82"/>
        <v>0.55339805825242716</v>
      </c>
      <c r="F659">
        <f t="shared" si="83"/>
        <v>140</v>
      </c>
      <c r="G659">
        <f t="shared" si="84"/>
        <v>77.475728155339809</v>
      </c>
      <c r="H659" t="str">
        <f>_xlfn.XLOOKUP(A659,Fact_Events!$D$2:$D$20,Fact_Events!$A$2:$A$20, "")</f>
        <v/>
      </c>
      <c r="I659">
        <f t="shared" si="85"/>
        <v>0</v>
      </c>
      <c r="J659" t="str">
        <f>_xlfn.XLOOKUP(H659, Fact_Events!$A$2:$A$20, Fact_Events!$F$2:$F$20, "")</f>
        <v/>
      </c>
      <c r="K659" t="str">
        <f t="shared" si="86"/>
        <v>Low</v>
      </c>
      <c r="L659">
        <f t="shared" si="87"/>
        <v>0.55000000000000004</v>
      </c>
      <c r="M659">
        <f>_xlfn.XLOOKUP(B659, Dim_Hotel!$A$2:$A$11, Dim_Hotel!$I$2:$I$11)
 + (IF(J659="",0,J659)
    * _xlfn.XLOOKUP(B659, Dim_Hotel!$A$2:$A$11, Dim_Hotel!$J$2:$J$11))</f>
        <v>140</v>
      </c>
    </row>
    <row r="660" spans="1:13" x14ac:dyDescent="0.25">
      <c r="A660" s="1">
        <f t="shared" si="80"/>
        <v>46088</v>
      </c>
      <c r="B660" t="str" cm="1">
        <f t="array" ref="B660">INDEX(HotelList,MOD(ROW()-2,10)+1)</f>
        <v>H009</v>
      </c>
      <c r="C660">
        <f>_xlfn.XLOOKUP(B660,Dim_Hotel!$A$2:$A$11,Dim_Hotel!$F$2:$F$11)</f>
        <v>114</v>
      </c>
      <c r="D660">
        <f t="shared" si="81"/>
        <v>63</v>
      </c>
      <c r="E660">
        <f t="shared" si="82"/>
        <v>0.55263157894736847</v>
      </c>
      <c r="F660">
        <f t="shared" si="83"/>
        <v>185</v>
      </c>
      <c r="G660">
        <f t="shared" si="84"/>
        <v>102.23684210526316</v>
      </c>
      <c r="H660" t="str">
        <f>_xlfn.XLOOKUP(A660,Fact_Events!$D$2:$D$20,Fact_Events!$A$2:$A$20, "")</f>
        <v/>
      </c>
      <c r="I660">
        <f t="shared" si="85"/>
        <v>0</v>
      </c>
      <c r="J660" t="str">
        <f>_xlfn.XLOOKUP(H660, Fact_Events!$A$2:$A$20, Fact_Events!$F$2:$F$20, "")</f>
        <v/>
      </c>
      <c r="K660" t="str">
        <f t="shared" si="86"/>
        <v>Low</v>
      </c>
      <c r="L660">
        <f t="shared" si="87"/>
        <v>0.55000000000000004</v>
      </c>
      <c r="M660">
        <f>_xlfn.XLOOKUP(B660, Dim_Hotel!$A$2:$A$11, Dim_Hotel!$I$2:$I$11)
 + (IF(J660="",0,J660)
    * _xlfn.XLOOKUP(B660, Dim_Hotel!$A$2:$A$11, Dim_Hotel!$J$2:$J$11))</f>
        <v>185</v>
      </c>
    </row>
    <row r="661" spans="1:13" x14ac:dyDescent="0.25">
      <c r="A661" s="1">
        <f t="shared" si="80"/>
        <v>46088</v>
      </c>
      <c r="B661" t="str" cm="1">
        <f t="array" ref="B661">INDEX(HotelList,MOD(ROW()-2,10)+1)</f>
        <v>H010</v>
      </c>
      <c r="C661">
        <f>_xlfn.XLOOKUP(B661,Dim_Hotel!$A$2:$A$11,Dim_Hotel!$F$2:$F$11)</f>
        <v>89</v>
      </c>
      <c r="D661">
        <f t="shared" si="81"/>
        <v>49</v>
      </c>
      <c r="E661">
        <f t="shared" si="82"/>
        <v>0.550561797752809</v>
      </c>
      <c r="F661">
        <f t="shared" si="83"/>
        <v>150</v>
      </c>
      <c r="G661">
        <f t="shared" si="84"/>
        <v>82.584269662921344</v>
      </c>
      <c r="H661" t="str">
        <f>_xlfn.XLOOKUP(A661,Fact_Events!$D$2:$D$20,Fact_Events!$A$2:$A$20, "")</f>
        <v/>
      </c>
      <c r="I661">
        <f t="shared" si="85"/>
        <v>0</v>
      </c>
      <c r="J661" t="str">
        <f>_xlfn.XLOOKUP(H661, Fact_Events!$A$2:$A$20, Fact_Events!$F$2:$F$20, "")</f>
        <v/>
      </c>
      <c r="K661" t="str">
        <f t="shared" si="86"/>
        <v>Low</v>
      </c>
      <c r="L661">
        <f t="shared" si="87"/>
        <v>0.55000000000000004</v>
      </c>
      <c r="M661">
        <f>_xlfn.XLOOKUP(B661, Dim_Hotel!$A$2:$A$11, Dim_Hotel!$I$2:$I$11)
 + (IF(J661="",0,J661)
    * _xlfn.XLOOKUP(B661, Dim_Hotel!$A$2:$A$11, Dim_Hotel!$J$2:$J$11))</f>
        <v>150</v>
      </c>
    </row>
    <row r="662" spans="1:13" x14ac:dyDescent="0.25">
      <c r="A662" s="1">
        <f t="shared" si="80"/>
        <v>46089</v>
      </c>
      <c r="B662" t="str" cm="1">
        <f t="array" ref="B662">INDEX(HotelList,MOD(ROW()-2,10)+1)</f>
        <v>H001</v>
      </c>
      <c r="C662">
        <f>_xlfn.XLOOKUP(B662,Dim_Hotel!$A$2:$A$11,Dim_Hotel!$F$2:$F$11)</f>
        <v>888</v>
      </c>
      <c r="D662">
        <f t="shared" si="81"/>
        <v>488</v>
      </c>
      <c r="E662">
        <f t="shared" si="82"/>
        <v>0.5495495495495496</v>
      </c>
      <c r="F662">
        <f t="shared" si="83"/>
        <v>260</v>
      </c>
      <c r="G662">
        <f t="shared" si="84"/>
        <v>142.88288288288288</v>
      </c>
      <c r="H662" t="str">
        <f>_xlfn.XLOOKUP(A662,Fact_Events!$D$2:$D$20,Fact_Events!$A$2:$A$20, "")</f>
        <v/>
      </c>
      <c r="I662">
        <f t="shared" si="85"/>
        <v>0</v>
      </c>
      <c r="J662" t="str">
        <f>_xlfn.XLOOKUP(H662, Fact_Events!$A$2:$A$20, Fact_Events!$F$2:$F$20, "")</f>
        <v/>
      </c>
      <c r="K662" t="str">
        <f t="shared" si="86"/>
        <v>Low</v>
      </c>
      <c r="L662">
        <f t="shared" si="87"/>
        <v>0.55000000000000004</v>
      </c>
      <c r="M662">
        <f>_xlfn.XLOOKUP(B662, Dim_Hotel!$A$2:$A$11, Dim_Hotel!$I$2:$I$11)
 + (IF(J662="",0,J662)
    * _xlfn.XLOOKUP(B662, Dim_Hotel!$A$2:$A$11, Dim_Hotel!$J$2:$J$11))</f>
        <v>260</v>
      </c>
    </row>
    <row r="663" spans="1:13" x14ac:dyDescent="0.25">
      <c r="A663" s="1">
        <f t="shared" si="80"/>
        <v>46089</v>
      </c>
      <c r="B663" t="str" cm="1">
        <f t="array" ref="B663">INDEX(HotelList,MOD(ROW()-2,10)+1)</f>
        <v>H002</v>
      </c>
      <c r="C663">
        <f>_xlfn.XLOOKUP(B663,Dim_Hotel!$A$2:$A$11,Dim_Hotel!$F$2:$F$11)</f>
        <v>147</v>
      </c>
      <c r="D663">
        <f t="shared" si="81"/>
        <v>81</v>
      </c>
      <c r="E663">
        <f t="shared" si="82"/>
        <v>0.55102040816326525</v>
      </c>
      <c r="F663">
        <f t="shared" si="83"/>
        <v>175</v>
      </c>
      <c r="G663">
        <f t="shared" si="84"/>
        <v>96.428571428571416</v>
      </c>
      <c r="H663" t="str">
        <f>_xlfn.XLOOKUP(A663,Fact_Events!$D$2:$D$20,Fact_Events!$A$2:$A$20, "")</f>
        <v/>
      </c>
      <c r="I663">
        <f t="shared" si="85"/>
        <v>0</v>
      </c>
      <c r="J663" t="str">
        <f>_xlfn.XLOOKUP(H663, Fact_Events!$A$2:$A$20, Fact_Events!$F$2:$F$20, "")</f>
        <v/>
      </c>
      <c r="K663" t="str">
        <f t="shared" si="86"/>
        <v>Low</v>
      </c>
      <c r="L663">
        <f t="shared" si="87"/>
        <v>0.55000000000000004</v>
      </c>
      <c r="M663">
        <f>_xlfn.XLOOKUP(B663, Dim_Hotel!$A$2:$A$11, Dim_Hotel!$I$2:$I$11)
 + (IF(J663="",0,J663)
    * _xlfn.XLOOKUP(B663, Dim_Hotel!$A$2:$A$11, Dim_Hotel!$J$2:$J$11))</f>
        <v>175</v>
      </c>
    </row>
    <row r="664" spans="1:13" x14ac:dyDescent="0.25">
      <c r="A664" s="1">
        <f t="shared" si="80"/>
        <v>46089</v>
      </c>
      <c r="B664" t="str" cm="1">
        <f t="array" ref="B664">INDEX(HotelList,MOD(ROW()-2,10)+1)</f>
        <v>H003</v>
      </c>
      <c r="C664">
        <f>_xlfn.XLOOKUP(B664,Dim_Hotel!$A$2:$A$11,Dim_Hotel!$F$2:$F$11)</f>
        <v>121</v>
      </c>
      <c r="D664">
        <f t="shared" si="81"/>
        <v>67</v>
      </c>
      <c r="E664">
        <f t="shared" si="82"/>
        <v>0.55371900826446285</v>
      </c>
      <c r="F664">
        <f t="shared" si="83"/>
        <v>145</v>
      </c>
      <c r="G664">
        <f t="shared" si="84"/>
        <v>80.289256198347118</v>
      </c>
      <c r="H664" t="str">
        <f>_xlfn.XLOOKUP(A664,Fact_Events!$D$2:$D$20,Fact_Events!$A$2:$A$20, "")</f>
        <v/>
      </c>
      <c r="I664">
        <f t="shared" si="85"/>
        <v>0</v>
      </c>
      <c r="J664" t="str">
        <f>_xlfn.XLOOKUP(H664, Fact_Events!$A$2:$A$20, Fact_Events!$F$2:$F$20, "")</f>
        <v/>
      </c>
      <c r="K664" t="str">
        <f t="shared" si="86"/>
        <v>Low</v>
      </c>
      <c r="L664">
        <f t="shared" si="87"/>
        <v>0.55000000000000004</v>
      </c>
      <c r="M664">
        <f>_xlfn.XLOOKUP(B664, Dim_Hotel!$A$2:$A$11, Dim_Hotel!$I$2:$I$11)
 + (IF(J664="",0,J664)
    * _xlfn.XLOOKUP(B664, Dim_Hotel!$A$2:$A$11, Dim_Hotel!$J$2:$J$11))</f>
        <v>145</v>
      </c>
    </row>
    <row r="665" spans="1:13" x14ac:dyDescent="0.25">
      <c r="A665" s="1">
        <f t="shared" si="80"/>
        <v>46089</v>
      </c>
      <c r="B665" t="str" cm="1">
        <f t="array" ref="B665">INDEX(HotelList,MOD(ROW()-2,10)+1)</f>
        <v>H004</v>
      </c>
      <c r="C665">
        <f>_xlfn.XLOOKUP(B665,Dim_Hotel!$A$2:$A$11,Dim_Hotel!$F$2:$F$11)</f>
        <v>108</v>
      </c>
      <c r="D665">
        <f t="shared" si="81"/>
        <v>59</v>
      </c>
      <c r="E665">
        <f t="shared" si="82"/>
        <v>0.54629629629629628</v>
      </c>
      <c r="F665">
        <f t="shared" si="83"/>
        <v>135</v>
      </c>
      <c r="G665">
        <f t="shared" si="84"/>
        <v>73.75</v>
      </c>
      <c r="H665" t="str">
        <f>_xlfn.XLOOKUP(A665,Fact_Events!$D$2:$D$20,Fact_Events!$A$2:$A$20, "")</f>
        <v/>
      </c>
      <c r="I665">
        <f t="shared" si="85"/>
        <v>0</v>
      </c>
      <c r="J665" t="str">
        <f>_xlfn.XLOOKUP(H665, Fact_Events!$A$2:$A$20, Fact_Events!$F$2:$F$20, "")</f>
        <v/>
      </c>
      <c r="K665" t="str">
        <f t="shared" si="86"/>
        <v>Low</v>
      </c>
      <c r="L665">
        <f t="shared" si="87"/>
        <v>0.55000000000000004</v>
      </c>
      <c r="M665">
        <f>_xlfn.XLOOKUP(B665, Dim_Hotel!$A$2:$A$11, Dim_Hotel!$I$2:$I$11)
 + (IF(J665="",0,J665)
    * _xlfn.XLOOKUP(B665, Dim_Hotel!$A$2:$A$11, Dim_Hotel!$J$2:$J$11))</f>
        <v>135</v>
      </c>
    </row>
    <row r="666" spans="1:13" x14ac:dyDescent="0.25">
      <c r="A666" s="1">
        <f t="shared" si="80"/>
        <v>46089</v>
      </c>
      <c r="B666" t="str" cm="1">
        <f t="array" ref="B666">INDEX(HotelList,MOD(ROW()-2,10)+1)</f>
        <v>H005</v>
      </c>
      <c r="C666">
        <f>_xlfn.XLOOKUP(B666,Dim_Hotel!$A$2:$A$11,Dim_Hotel!$F$2:$F$11)</f>
        <v>66</v>
      </c>
      <c r="D666">
        <f t="shared" si="81"/>
        <v>36</v>
      </c>
      <c r="E666">
        <f t="shared" si="82"/>
        <v>0.54545454545454541</v>
      </c>
      <c r="F666">
        <f t="shared" si="83"/>
        <v>82</v>
      </c>
      <c r="G666">
        <f t="shared" si="84"/>
        <v>44.727272727272727</v>
      </c>
      <c r="H666" t="str">
        <f>_xlfn.XLOOKUP(A666,Fact_Events!$D$2:$D$20,Fact_Events!$A$2:$A$20, "")</f>
        <v/>
      </c>
      <c r="I666">
        <f t="shared" si="85"/>
        <v>0</v>
      </c>
      <c r="J666" t="str">
        <f>_xlfn.XLOOKUP(H666, Fact_Events!$A$2:$A$20, Fact_Events!$F$2:$F$20, "")</f>
        <v/>
      </c>
      <c r="K666" t="str">
        <f t="shared" si="86"/>
        <v>Low</v>
      </c>
      <c r="L666">
        <f t="shared" si="87"/>
        <v>0.55000000000000004</v>
      </c>
      <c r="M666">
        <f>_xlfn.XLOOKUP(B666, Dim_Hotel!$A$2:$A$11, Dim_Hotel!$I$2:$I$11)
 + (IF(J666="",0,J666)
    * _xlfn.XLOOKUP(B666, Dim_Hotel!$A$2:$A$11, Dim_Hotel!$J$2:$J$11))</f>
        <v>82</v>
      </c>
    </row>
    <row r="667" spans="1:13" x14ac:dyDescent="0.25">
      <c r="A667" s="1">
        <f t="shared" si="80"/>
        <v>46089</v>
      </c>
      <c r="B667" t="str" cm="1">
        <f t="array" ref="B667">INDEX(HotelList,MOD(ROW()-2,10)+1)</f>
        <v>H006</v>
      </c>
      <c r="C667">
        <f>_xlfn.XLOOKUP(B667,Dim_Hotel!$A$2:$A$11,Dim_Hotel!$F$2:$F$11)</f>
        <v>311</v>
      </c>
      <c r="D667">
        <f t="shared" si="81"/>
        <v>171</v>
      </c>
      <c r="E667">
        <f t="shared" si="82"/>
        <v>0.54983922829581988</v>
      </c>
      <c r="F667">
        <f t="shared" si="83"/>
        <v>190</v>
      </c>
      <c r="G667">
        <f t="shared" si="84"/>
        <v>104.46945337620578</v>
      </c>
      <c r="H667" t="str">
        <f>_xlfn.XLOOKUP(A667,Fact_Events!$D$2:$D$20,Fact_Events!$A$2:$A$20, "")</f>
        <v/>
      </c>
      <c r="I667">
        <f t="shared" si="85"/>
        <v>0</v>
      </c>
      <c r="J667" t="str">
        <f>_xlfn.XLOOKUP(H667, Fact_Events!$A$2:$A$20, Fact_Events!$F$2:$F$20, "")</f>
        <v/>
      </c>
      <c r="K667" t="str">
        <f t="shared" si="86"/>
        <v>Low</v>
      </c>
      <c r="L667">
        <f t="shared" si="87"/>
        <v>0.55000000000000004</v>
      </c>
      <c r="M667">
        <f>_xlfn.XLOOKUP(B667, Dim_Hotel!$A$2:$A$11, Dim_Hotel!$I$2:$I$11)
 + (IF(J667="",0,J667)
    * _xlfn.XLOOKUP(B667, Dim_Hotel!$A$2:$A$11, Dim_Hotel!$J$2:$J$11))</f>
        <v>190</v>
      </c>
    </row>
    <row r="668" spans="1:13" x14ac:dyDescent="0.25">
      <c r="A668" s="1">
        <f t="shared" si="80"/>
        <v>46089</v>
      </c>
      <c r="B668" t="str" cm="1">
        <f t="array" ref="B668">INDEX(HotelList,MOD(ROW()-2,10)+1)</f>
        <v>H007</v>
      </c>
      <c r="C668">
        <f>_xlfn.XLOOKUP(B668,Dim_Hotel!$A$2:$A$11,Dim_Hotel!$F$2:$F$11)</f>
        <v>132</v>
      </c>
      <c r="D668">
        <f t="shared" si="81"/>
        <v>73</v>
      </c>
      <c r="E668">
        <f t="shared" si="82"/>
        <v>0.55303030303030298</v>
      </c>
      <c r="F668">
        <f t="shared" si="83"/>
        <v>165</v>
      </c>
      <c r="G668">
        <f t="shared" si="84"/>
        <v>91.249999999999986</v>
      </c>
      <c r="H668" t="str">
        <f>_xlfn.XLOOKUP(A668,Fact_Events!$D$2:$D$20,Fact_Events!$A$2:$A$20, "")</f>
        <v/>
      </c>
      <c r="I668">
        <f t="shared" si="85"/>
        <v>0</v>
      </c>
      <c r="J668" t="str">
        <f>_xlfn.XLOOKUP(H668, Fact_Events!$A$2:$A$20, Fact_Events!$F$2:$F$20, "")</f>
        <v/>
      </c>
      <c r="K668" t="str">
        <f t="shared" si="86"/>
        <v>Low</v>
      </c>
      <c r="L668">
        <f t="shared" si="87"/>
        <v>0.55000000000000004</v>
      </c>
      <c r="M668">
        <f>_xlfn.XLOOKUP(B668, Dim_Hotel!$A$2:$A$11, Dim_Hotel!$I$2:$I$11)
 + (IF(J668="",0,J668)
    * _xlfn.XLOOKUP(B668, Dim_Hotel!$A$2:$A$11, Dim_Hotel!$J$2:$J$11))</f>
        <v>165</v>
      </c>
    </row>
    <row r="669" spans="1:13" x14ac:dyDescent="0.25">
      <c r="A669" s="1">
        <f t="shared" si="80"/>
        <v>46089</v>
      </c>
      <c r="B669" t="str" cm="1">
        <f t="array" ref="B669">INDEX(HotelList,MOD(ROW()-2,10)+1)</f>
        <v>H008</v>
      </c>
      <c r="C669">
        <f>_xlfn.XLOOKUP(B669,Dim_Hotel!$A$2:$A$11,Dim_Hotel!$F$2:$F$11)</f>
        <v>103</v>
      </c>
      <c r="D669">
        <f t="shared" si="81"/>
        <v>57</v>
      </c>
      <c r="E669">
        <f t="shared" si="82"/>
        <v>0.55339805825242716</v>
      </c>
      <c r="F669">
        <f t="shared" si="83"/>
        <v>140</v>
      </c>
      <c r="G669">
        <f t="shared" si="84"/>
        <v>77.475728155339809</v>
      </c>
      <c r="H669" t="str">
        <f>_xlfn.XLOOKUP(A669,Fact_Events!$D$2:$D$20,Fact_Events!$A$2:$A$20, "")</f>
        <v/>
      </c>
      <c r="I669">
        <f t="shared" si="85"/>
        <v>0</v>
      </c>
      <c r="J669" t="str">
        <f>_xlfn.XLOOKUP(H669, Fact_Events!$A$2:$A$20, Fact_Events!$F$2:$F$20, "")</f>
        <v/>
      </c>
      <c r="K669" t="str">
        <f t="shared" si="86"/>
        <v>Low</v>
      </c>
      <c r="L669">
        <f t="shared" si="87"/>
        <v>0.55000000000000004</v>
      </c>
      <c r="M669">
        <f>_xlfn.XLOOKUP(B669, Dim_Hotel!$A$2:$A$11, Dim_Hotel!$I$2:$I$11)
 + (IF(J669="",0,J669)
    * _xlfn.XLOOKUP(B669, Dim_Hotel!$A$2:$A$11, Dim_Hotel!$J$2:$J$11))</f>
        <v>140</v>
      </c>
    </row>
    <row r="670" spans="1:13" x14ac:dyDescent="0.25">
      <c r="A670" s="1">
        <f t="shared" si="80"/>
        <v>46089</v>
      </c>
      <c r="B670" t="str" cm="1">
        <f t="array" ref="B670">INDEX(HotelList,MOD(ROW()-2,10)+1)</f>
        <v>H009</v>
      </c>
      <c r="C670">
        <f>_xlfn.XLOOKUP(B670,Dim_Hotel!$A$2:$A$11,Dim_Hotel!$F$2:$F$11)</f>
        <v>114</v>
      </c>
      <c r="D670">
        <f t="shared" si="81"/>
        <v>63</v>
      </c>
      <c r="E670">
        <f t="shared" si="82"/>
        <v>0.55263157894736847</v>
      </c>
      <c r="F670">
        <f t="shared" si="83"/>
        <v>185</v>
      </c>
      <c r="G670">
        <f t="shared" si="84"/>
        <v>102.23684210526316</v>
      </c>
      <c r="H670" t="str">
        <f>_xlfn.XLOOKUP(A670,Fact_Events!$D$2:$D$20,Fact_Events!$A$2:$A$20, "")</f>
        <v/>
      </c>
      <c r="I670">
        <f t="shared" si="85"/>
        <v>0</v>
      </c>
      <c r="J670" t="str">
        <f>_xlfn.XLOOKUP(H670, Fact_Events!$A$2:$A$20, Fact_Events!$F$2:$F$20, "")</f>
        <v/>
      </c>
      <c r="K670" t="str">
        <f t="shared" si="86"/>
        <v>Low</v>
      </c>
      <c r="L670">
        <f t="shared" si="87"/>
        <v>0.55000000000000004</v>
      </c>
      <c r="M670">
        <f>_xlfn.XLOOKUP(B670, Dim_Hotel!$A$2:$A$11, Dim_Hotel!$I$2:$I$11)
 + (IF(J670="",0,J670)
    * _xlfn.XLOOKUP(B670, Dim_Hotel!$A$2:$A$11, Dim_Hotel!$J$2:$J$11))</f>
        <v>185</v>
      </c>
    </row>
    <row r="671" spans="1:13" x14ac:dyDescent="0.25">
      <c r="A671" s="1">
        <f t="shared" si="80"/>
        <v>46089</v>
      </c>
      <c r="B671" t="str" cm="1">
        <f t="array" ref="B671">INDEX(HotelList,MOD(ROW()-2,10)+1)</f>
        <v>H010</v>
      </c>
      <c r="C671">
        <f>_xlfn.XLOOKUP(B671,Dim_Hotel!$A$2:$A$11,Dim_Hotel!$F$2:$F$11)</f>
        <v>89</v>
      </c>
      <c r="D671">
        <f t="shared" si="81"/>
        <v>49</v>
      </c>
      <c r="E671">
        <f t="shared" si="82"/>
        <v>0.550561797752809</v>
      </c>
      <c r="F671">
        <f t="shared" si="83"/>
        <v>150</v>
      </c>
      <c r="G671">
        <f t="shared" si="84"/>
        <v>82.584269662921344</v>
      </c>
      <c r="H671" t="str">
        <f>_xlfn.XLOOKUP(A671,Fact_Events!$D$2:$D$20,Fact_Events!$A$2:$A$20, "")</f>
        <v/>
      </c>
      <c r="I671">
        <f t="shared" si="85"/>
        <v>0</v>
      </c>
      <c r="J671" t="str">
        <f>_xlfn.XLOOKUP(H671, Fact_Events!$A$2:$A$20, Fact_Events!$F$2:$F$20, "")</f>
        <v/>
      </c>
      <c r="K671" t="str">
        <f t="shared" si="86"/>
        <v>Low</v>
      </c>
      <c r="L671">
        <f t="shared" si="87"/>
        <v>0.55000000000000004</v>
      </c>
      <c r="M671">
        <f>_xlfn.XLOOKUP(B671, Dim_Hotel!$A$2:$A$11, Dim_Hotel!$I$2:$I$11)
 + (IF(J671="",0,J671)
    * _xlfn.XLOOKUP(B671, Dim_Hotel!$A$2:$A$11, Dim_Hotel!$J$2:$J$11))</f>
        <v>150</v>
      </c>
    </row>
    <row r="672" spans="1:13" x14ac:dyDescent="0.25">
      <c r="A672" s="1">
        <f t="shared" si="80"/>
        <v>46090</v>
      </c>
      <c r="B672" t="str" cm="1">
        <f t="array" ref="B672">INDEX(HotelList,MOD(ROW()-2,10)+1)</f>
        <v>H001</v>
      </c>
      <c r="C672">
        <f>_xlfn.XLOOKUP(B672,Dim_Hotel!$A$2:$A$11,Dim_Hotel!$F$2:$F$11)</f>
        <v>888</v>
      </c>
      <c r="D672">
        <f t="shared" si="81"/>
        <v>488</v>
      </c>
      <c r="E672">
        <f t="shared" si="82"/>
        <v>0.5495495495495496</v>
      </c>
      <c r="F672">
        <f t="shared" si="83"/>
        <v>260</v>
      </c>
      <c r="G672">
        <f t="shared" si="84"/>
        <v>142.88288288288288</v>
      </c>
      <c r="H672" t="str">
        <f>_xlfn.XLOOKUP(A672,Fact_Events!$D$2:$D$20,Fact_Events!$A$2:$A$20, "")</f>
        <v/>
      </c>
      <c r="I672">
        <f t="shared" si="85"/>
        <v>0</v>
      </c>
      <c r="J672" t="str">
        <f>_xlfn.XLOOKUP(H672, Fact_Events!$A$2:$A$20, Fact_Events!$F$2:$F$20, "")</f>
        <v/>
      </c>
      <c r="K672" t="str">
        <f t="shared" si="86"/>
        <v>Low</v>
      </c>
      <c r="L672">
        <f t="shared" si="87"/>
        <v>0.55000000000000004</v>
      </c>
      <c r="M672">
        <f>_xlfn.XLOOKUP(B672, Dim_Hotel!$A$2:$A$11, Dim_Hotel!$I$2:$I$11)
 + (IF(J672="",0,J672)
    * _xlfn.XLOOKUP(B672, Dim_Hotel!$A$2:$A$11, Dim_Hotel!$J$2:$J$11))</f>
        <v>260</v>
      </c>
    </row>
    <row r="673" spans="1:13" x14ac:dyDescent="0.25">
      <c r="A673" s="1">
        <f t="shared" si="80"/>
        <v>46090</v>
      </c>
      <c r="B673" t="str" cm="1">
        <f t="array" ref="B673">INDEX(HotelList,MOD(ROW()-2,10)+1)</f>
        <v>H002</v>
      </c>
      <c r="C673">
        <f>_xlfn.XLOOKUP(B673,Dim_Hotel!$A$2:$A$11,Dim_Hotel!$F$2:$F$11)</f>
        <v>147</v>
      </c>
      <c r="D673">
        <f t="shared" si="81"/>
        <v>81</v>
      </c>
      <c r="E673">
        <f t="shared" si="82"/>
        <v>0.55102040816326525</v>
      </c>
      <c r="F673">
        <f t="shared" si="83"/>
        <v>175</v>
      </c>
      <c r="G673">
        <f t="shared" si="84"/>
        <v>96.428571428571416</v>
      </c>
      <c r="H673" t="str">
        <f>_xlfn.XLOOKUP(A673,Fact_Events!$D$2:$D$20,Fact_Events!$A$2:$A$20, "")</f>
        <v/>
      </c>
      <c r="I673">
        <f t="shared" si="85"/>
        <v>0</v>
      </c>
      <c r="J673" t="str">
        <f>_xlfn.XLOOKUP(H673, Fact_Events!$A$2:$A$20, Fact_Events!$F$2:$F$20, "")</f>
        <v/>
      </c>
      <c r="K673" t="str">
        <f t="shared" si="86"/>
        <v>Low</v>
      </c>
      <c r="L673">
        <f t="shared" si="87"/>
        <v>0.55000000000000004</v>
      </c>
      <c r="M673">
        <f>_xlfn.XLOOKUP(B673, Dim_Hotel!$A$2:$A$11, Dim_Hotel!$I$2:$I$11)
 + (IF(J673="",0,J673)
    * _xlfn.XLOOKUP(B673, Dim_Hotel!$A$2:$A$11, Dim_Hotel!$J$2:$J$11))</f>
        <v>175</v>
      </c>
    </row>
    <row r="674" spans="1:13" x14ac:dyDescent="0.25">
      <c r="A674" s="1">
        <f t="shared" si="80"/>
        <v>46090</v>
      </c>
      <c r="B674" t="str" cm="1">
        <f t="array" ref="B674">INDEX(HotelList,MOD(ROW()-2,10)+1)</f>
        <v>H003</v>
      </c>
      <c r="C674">
        <f>_xlfn.XLOOKUP(B674,Dim_Hotel!$A$2:$A$11,Dim_Hotel!$F$2:$F$11)</f>
        <v>121</v>
      </c>
      <c r="D674">
        <f t="shared" si="81"/>
        <v>67</v>
      </c>
      <c r="E674">
        <f t="shared" si="82"/>
        <v>0.55371900826446285</v>
      </c>
      <c r="F674">
        <f t="shared" si="83"/>
        <v>145</v>
      </c>
      <c r="G674">
        <f t="shared" si="84"/>
        <v>80.289256198347118</v>
      </c>
      <c r="H674" t="str">
        <f>_xlfn.XLOOKUP(A674,Fact_Events!$D$2:$D$20,Fact_Events!$A$2:$A$20, "")</f>
        <v/>
      </c>
      <c r="I674">
        <f t="shared" si="85"/>
        <v>0</v>
      </c>
      <c r="J674" t="str">
        <f>_xlfn.XLOOKUP(H674, Fact_Events!$A$2:$A$20, Fact_Events!$F$2:$F$20, "")</f>
        <v/>
      </c>
      <c r="K674" t="str">
        <f t="shared" si="86"/>
        <v>Low</v>
      </c>
      <c r="L674">
        <f t="shared" si="87"/>
        <v>0.55000000000000004</v>
      </c>
      <c r="M674">
        <f>_xlfn.XLOOKUP(B674, Dim_Hotel!$A$2:$A$11, Dim_Hotel!$I$2:$I$11)
 + (IF(J674="",0,J674)
    * _xlfn.XLOOKUP(B674, Dim_Hotel!$A$2:$A$11, Dim_Hotel!$J$2:$J$11))</f>
        <v>145</v>
      </c>
    </row>
    <row r="675" spans="1:13" x14ac:dyDescent="0.25">
      <c r="A675" s="1">
        <f t="shared" si="80"/>
        <v>46090</v>
      </c>
      <c r="B675" t="str" cm="1">
        <f t="array" ref="B675">INDEX(HotelList,MOD(ROW()-2,10)+1)</f>
        <v>H004</v>
      </c>
      <c r="C675">
        <f>_xlfn.XLOOKUP(B675,Dim_Hotel!$A$2:$A$11,Dim_Hotel!$F$2:$F$11)</f>
        <v>108</v>
      </c>
      <c r="D675">
        <f t="shared" si="81"/>
        <v>59</v>
      </c>
      <c r="E675">
        <f t="shared" si="82"/>
        <v>0.54629629629629628</v>
      </c>
      <c r="F675">
        <f t="shared" si="83"/>
        <v>135</v>
      </c>
      <c r="G675">
        <f t="shared" si="84"/>
        <v>73.75</v>
      </c>
      <c r="H675" t="str">
        <f>_xlfn.XLOOKUP(A675,Fact_Events!$D$2:$D$20,Fact_Events!$A$2:$A$20, "")</f>
        <v/>
      </c>
      <c r="I675">
        <f t="shared" si="85"/>
        <v>0</v>
      </c>
      <c r="J675" t="str">
        <f>_xlfn.XLOOKUP(H675, Fact_Events!$A$2:$A$20, Fact_Events!$F$2:$F$20, "")</f>
        <v/>
      </c>
      <c r="K675" t="str">
        <f t="shared" si="86"/>
        <v>Low</v>
      </c>
      <c r="L675">
        <f t="shared" si="87"/>
        <v>0.55000000000000004</v>
      </c>
      <c r="M675">
        <f>_xlfn.XLOOKUP(B675, Dim_Hotel!$A$2:$A$11, Dim_Hotel!$I$2:$I$11)
 + (IF(J675="",0,J675)
    * _xlfn.XLOOKUP(B675, Dim_Hotel!$A$2:$A$11, Dim_Hotel!$J$2:$J$11))</f>
        <v>135</v>
      </c>
    </row>
    <row r="676" spans="1:13" x14ac:dyDescent="0.25">
      <c r="A676" s="1">
        <f t="shared" si="80"/>
        <v>46090</v>
      </c>
      <c r="B676" t="str" cm="1">
        <f t="array" ref="B676">INDEX(HotelList,MOD(ROW()-2,10)+1)</f>
        <v>H005</v>
      </c>
      <c r="C676">
        <f>_xlfn.XLOOKUP(B676,Dim_Hotel!$A$2:$A$11,Dim_Hotel!$F$2:$F$11)</f>
        <v>66</v>
      </c>
      <c r="D676">
        <f t="shared" si="81"/>
        <v>36</v>
      </c>
      <c r="E676">
        <f t="shared" si="82"/>
        <v>0.54545454545454541</v>
      </c>
      <c r="F676">
        <f t="shared" si="83"/>
        <v>82</v>
      </c>
      <c r="G676">
        <f t="shared" si="84"/>
        <v>44.727272727272727</v>
      </c>
      <c r="H676" t="str">
        <f>_xlfn.XLOOKUP(A676,Fact_Events!$D$2:$D$20,Fact_Events!$A$2:$A$20, "")</f>
        <v/>
      </c>
      <c r="I676">
        <f t="shared" si="85"/>
        <v>0</v>
      </c>
      <c r="J676" t="str">
        <f>_xlfn.XLOOKUP(H676, Fact_Events!$A$2:$A$20, Fact_Events!$F$2:$F$20, "")</f>
        <v/>
      </c>
      <c r="K676" t="str">
        <f t="shared" si="86"/>
        <v>Low</v>
      </c>
      <c r="L676">
        <f t="shared" si="87"/>
        <v>0.55000000000000004</v>
      </c>
      <c r="M676">
        <f>_xlfn.XLOOKUP(B676, Dim_Hotel!$A$2:$A$11, Dim_Hotel!$I$2:$I$11)
 + (IF(J676="",0,J676)
    * _xlfn.XLOOKUP(B676, Dim_Hotel!$A$2:$A$11, Dim_Hotel!$J$2:$J$11))</f>
        <v>82</v>
      </c>
    </row>
    <row r="677" spans="1:13" x14ac:dyDescent="0.25">
      <c r="A677" s="1">
        <f t="shared" si="80"/>
        <v>46090</v>
      </c>
      <c r="B677" t="str" cm="1">
        <f t="array" ref="B677">INDEX(HotelList,MOD(ROW()-2,10)+1)</f>
        <v>H006</v>
      </c>
      <c r="C677">
        <f>_xlfn.XLOOKUP(B677,Dim_Hotel!$A$2:$A$11,Dim_Hotel!$F$2:$F$11)</f>
        <v>311</v>
      </c>
      <c r="D677">
        <f t="shared" si="81"/>
        <v>171</v>
      </c>
      <c r="E677">
        <f t="shared" si="82"/>
        <v>0.54983922829581988</v>
      </c>
      <c r="F677">
        <f t="shared" si="83"/>
        <v>190</v>
      </c>
      <c r="G677">
        <f t="shared" si="84"/>
        <v>104.46945337620578</v>
      </c>
      <c r="H677" t="str">
        <f>_xlfn.XLOOKUP(A677,Fact_Events!$D$2:$D$20,Fact_Events!$A$2:$A$20, "")</f>
        <v/>
      </c>
      <c r="I677">
        <f t="shared" si="85"/>
        <v>0</v>
      </c>
      <c r="J677" t="str">
        <f>_xlfn.XLOOKUP(H677, Fact_Events!$A$2:$A$20, Fact_Events!$F$2:$F$20, "")</f>
        <v/>
      </c>
      <c r="K677" t="str">
        <f t="shared" si="86"/>
        <v>Low</v>
      </c>
      <c r="L677">
        <f t="shared" si="87"/>
        <v>0.55000000000000004</v>
      </c>
      <c r="M677">
        <f>_xlfn.XLOOKUP(B677, Dim_Hotel!$A$2:$A$11, Dim_Hotel!$I$2:$I$11)
 + (IF(J677="",0,J677)
    * _xlfn.XLOOKUP(B677, Dim_Hotel!$A$2:$A$11, Dim_Hotel!$J$2:$J$11))</f>
        <v>190</v>
      </c>
    </row>
    <row r="678" spans="1:13" x14ac:dyDescent="0.25">
      <c r="A678" s="1">
        <f t="shared" si="80"/>
        <v>46090</v>
      </c>
      <c r="B678" t="str" cm="1">
        <f t="array" ref="B678">INDEX(HotelList,MOD(ROW()-2,10)+1)</f>
        <v>H007</v>
      </c>
      <c r="C678">
        <f>_xlfn.XLOOKUP(B678,Dim_Hotel!$A$2:$A$11,Dim_Hotel!$F$2:$F$11)</f>
        <v>132</v>
      </c>
      <c r="D678">
        <f t="shared" si="81"/>
        <v>73</v>
      </c>
      <c r="E678">
        <f t="shared" si="82"/>
        <v>0.55303030303030298</v>
      </c>
      <c r="F678">
        <f t="shared" si="83"/>
        <v>165</v>
      </c>
      <c r="G678">
        <f t="shared" si="84"/>
        <v>91.249999999999986</v>
      </c>
      <c r="H678" t="str">
        <f>_xlfn.XLOOKUP(A678,Fact_Events!$D$2:$D$20,Fact_Events!$A$2:$A$20, "")</f>
        <v/>
      </c>
      <c r="I678">
        <f t="shared" si="85"/>
        <v>0</v>
      </c>
      <c r="J678" t="str">
        <f>_xlfn.XLOOKUP(H678, Fact_Events!$A$2:$A$20, Fact_Events!$F$2:$F$20, "")</f>
        <v/>
      </c>
      <c r="K678" t="str">
        <f t="shared" si="86"/>
        <v>Low</v>
      </c>
      <c r="L678">
        <f t="shared" si="87"/>
        <v>0.55000000000000004</v>
      </c>
      <c r="M678">
        <f>_xlfn.XLOOKUP(B678, Dim_Hotel!$A$2:$A$11, Dim_Hotel!$I$2:$I$11)
 + (IF(J678="",0,J678)
    * _xlfn.XLOOKUP(B678, Dim_Hotel!$A$2:$A$11, Dim_Hotel!$J$2:$J$11))</f>
        <v>165</v>
      </c>
    </row>
    <row r="679" spans="1:13" x14ac:dyDescent="0.25">
      <c r="A679" s="1">
        <f t="shared" si="80"/>
        <v>46090</v>
      </c>
      <c r="B679" t="str" cm="1">
        <f t="array" ref="B679">INDEX(HotelList,MOD(ROW()-2,10)+1)</f>
        <v>H008</v>
      </c>
      <c r="C679">
        <f>_xlfn.XLOOKUP(B679,Dim_Hotel!$A$2:$A$11,Dim_Hotel!$F$2:$F$11)</f>
        <v>103</v>
      </c>
      <c r="D679">
        <f t="shared" si="81"/>
        <v>57</v>
      </c>
      <c r="E679">
        <f t="shared" si="82"/>
        <v>0.55339805825242716</v>
      </c>
      <c r="F679">
        <f t="shared" si="83"/>
        <v>140</v>
      </c>
      <c r="G679">
        <f t="shared" si="84"/>
        <v>77.475728155339809</v>
      </c>
      <c r="H679" t="str">
        <f>_xlfn.XLOOKUP(A679,Fact_Events!$D$2:$D$20,Fact_Events!$A$2:$A$20, "")</f>
        <v/>
      </c>
      <c r="I679">
        <f t="shared" si="85"/>
        <v>0</v>
      </c>
      <c r="J679" t="str">
        <f>_xlfn.XLOOKUP(H679, Fact_Events!$A$2:$A$20, Fact_Events!$F$2:$F$20, "")</f>
        <v/>
      </c>
      <c r="K679" t="str">
        <f t="shared" si="86"/>
        <v>Low</v>
      </c>
      <c r="L679">
        <f t="shared" si="87"/>
        <v>0.55000000000000004</v>
      </c>
      <c r="M679">
        <f>_xlfn.XLOOKUP(B679, Dim_Hotel!$A$2:$A$11, Dim_Hotel!$I$2:$I$11)
 + (IF(J679="",0,J679)
    * _xlfn.XLOOKUP(B679, Dim_Hotel!$A$2:$A$11, Dim_Hotel!$J$2:$J$11))</f>
        <v>140</v>
      </c>
    </row>
    <row r="680" spans="1:13" x14ac:dyDescent="0.25">
      <c r="A680" s="1">
        <f t="shared" si="80"/>
        <v>46090</v>
      </c>
      <c r="B680" t="str" cm="1">
        <f t="array" ref="B680">INDEX(HotelList,MOD(ROW()-2,10)+1)</f>
        <v>H009</v>
      </c>
      <c r="C680">
        <f>_xlfn.XLOOKUP(B680,Dim_Hotel!$A$2:$A$11,Dim_Hotel!$F$2:$F$11)</f>
        <v>114</v>
      </c>
      <c r="D680">
        <f t="shared" si="81"/>
        <v>63</v>
      </c>
      <c r="E680">
        <f t="shared" si="82"/>
        <v>0.55263157894736847</v>
      </c>
      <c r="F680">
        <f t="shared" si="83"/>
        <v>185</v>
      </c>
      <c r="G680">
        <f t="shared" si="84"/>
        <v>102.23684210526316</v>
      </c>
      <c r="H680" t="str">
        <f>_xlfn.XLOOKUP(A680,Fact_Events!$D$2:$D$20,Fact_Events!$A$2:$A$20, "")</f>
        <v/>
      </c>
      <c r="I680">
        <f t="shared" si="85"/>
        <v>0</v>
      </c>
      <c r="J680" t="str">
        <f>_xlfn.XLOOKUP(H680, Fact_Events!$A$2:$A$20, Fact_Events!$F$2:$F$20, "")</f>
        <v/>
      </c>
      <c r="K680" t="str">
        <f t="shared" si="86"/>
        <v>Low</v>
      </c>
      <c r="L680">
        <f t="shared" si="87"/>
        <v>0.55000000000000004</v>
      </c>
      <c r="M680">
        <f>_xlfn.XLOOKUP(B680, Dim_Hotel!$A$2:$A$11, Dim_Hotel!$I$2:$I$11)
 + (IF(J680="",0,J680)
    * _xlfn.XLOOKUP(B680, Dim_Hotel!$A$2:$A$11, Dim_Hotel!$J$2:$J$11))</f>
        <v>185</v>
      </c>
    </row>
    <row r="681" spans="1:13" x14ac:dyDescent="0.25">
      <c r="A681" s="1">
        <f t="shared" si="80"/>
        <v>46090</v>
      </c>
      <c r="B681" t="str" cm="1">
        <f t="array" ref="B681">INDEX(HotelList,MOD(ROW()-2,10)+1)</f>
        <v>H010</v>
      </c>
      <c r="C681">
        <f>_xlfn.XLOOKUP(B681,Dim_Hotel!$A$2:$A$11,Dim_Hotel!$F$2:$F$11)</f>
        <v>89</v>
      </c>
      <c r="D681">
        <f t="shared" si="81"/>
        <v>49</v>
      </c>
      <c r="E681">
        <f t="shared" si="82"/>
        <v>0.550561797752809</v>
      </c>
      <c r="F681">
        <f t="shared" si="83"/>
        <v>150</v>
      </c>
      <c r="G681">
        <f t="shared" si="84"/>
        <v>82.584269662921344</v>
      </c>
      <c r="H681" t="str">
        <f>_xlfn.XLOOKUP(A681,Fact_Events!$D$2:$D$20,Fact_Events!$A$2:$A$20, "")</f>
        <v/>
      </c>
      <c r="I681">
        <f t="shared" si="85"/>
        <v>0</v>
      </c>
      <c r="J681" t="str">
        <f>_xlfn.XLOOKUP(H681, Fact_Events!$A$2:$A$20, Fact_Events!$F$2:$F$20, "")</f>
        <v/>
      </c>
      <c r="K681" t="str">
        <f t="shared" si="86"/>
        <v>Low</v>
      </c>
      <c r="L681">
        <f t="shared" si="87"/>
        <v>0.55000000000000004</v>
      </c>
      <c r="M681">
        <f>_xlfn.XLOOKUP(B681, Dim_Hotel!$A$2:$A$11, Dim_Hotel!$I$2:$I$11)
 + (IF(J681="",0,J681)
    * _xlfn.XLOOKUP(B681, Dim_Hotel!$A$2:$A$11, Dim_Hotel!$J$2:$J$11))</f>
        <v>150</v>
      </c>
    </row>
    <row r="682" spans="1:13" x14ac:dyDescent="0.25">
      <c r="A682" s="1">
        <f t="shared" si="80"/>
        <v>46091</v>
      </c>
      <c r="B682" t="str" cm="1">
        <f t="array" ref="B682">INDEX(HotelList,MOD(ROW()-2,10)+1)</f>
        <v>H001</v>
      </c>
      <c r="C682">
        <f>_xlfn.XLOOKUP(B682,Dim_Hotel!$A$2:$A$11,Dim_Hotel!$F$2:$F$11)</f>
        <v>888</v>
      </c>
      <c r="D682">
        <f t="shared" si="81"/>
        <v>488</v>
      </c>
      <c r="E682">
        <f t="shared" si="82"/>
        <v>0.5495495495495496</v>
      </c>
      <c r="F682">
        <f t="shared" si="83"/>
        <v>260</v>
      </c>
      <c r="G682">
        <f t="shared" si="84"/>
        <v>142.88288288288288</v>
      </c>
      <c r="H682" t="str">
        <f>_xlfn.XLOOKUP(A682,Fact_Events!$D$2:$D$20,Fact_Events!$A$2:$A$20, "")</f>
        <v/>
      </c>
      <c r="I682">
        <f t="shared" si="85"/>
        <v>0</v>
      </c>
      <c r="J682" t="str">
        <f>_xlfn.XLOOKUP(H682, Fact_Events!$A$2:$A$20, Fact_Events!$F$2:$F$20, "")</f>
        <v/>
      </c>
      <c r="K682" t="str">
        <f t="shared" si="86"/>
        <v>Low</v>
      </c>
      <c r="L682">
        <f t="shared" si="87"/>
        <v>0.55000000000000004</v>
      </c>
      <c r="M682">
        <f>_xlfn.XLOOKUP(B682, Dim_Hotel!$A$2:$A$11, Dim_Hotel!$I$2:$I$11)
 + (IF(J682="",0,J682)
    * _xlfn.XLOOKUP(B682, Dim_Hotel!$A$2:$A$11, Dim_Hotel!$J$2:$J$11))</f>
        <v>260</v>
      </c>
    </row>
    <row r="683" spans="1:13" x14ac:dyDescent="0.25">
      <c r="A683" s="1">
        <f t="shared" si="80"/>
        <v>46091</v>
      </c>
      <c r="B683" t="str" cm="1">
        <f t="array" ref="B683">INDEX(HotelList,MOD(ROW()-2,10)+1)</f>
        <v>H002</v>
      </c>
      <c r="C683">
        <f>_xlfn.XLOOKUP(B683,Dim_Hotel!$A$2:$A$11,Dim_Hotel!$F$2:$F$11)</f>
        <v>147</v>
      </c>
      <c r="D683">
        <f t="shared" si="81"/>
        <v>81</v>
      </c>
      <c r="E683">
        <f t="shared" si="82"/>
        <v>0.55102040816326525</v>
      </c>
      <c r="F683">
        <f t="shared" si="83"/>
        <v>175</v>
      </c>
      <c r="G683">
        <f t="shared" si="84"/>
        <v>96.428571428571416</v>
      </c>
      <c r="H683" t="str">
        <f>_xlfn.XLOOKUP(A683,Fact_Events!$D$2:$D$20,Fact_Events!$A$2:$A$20, "")</f>
        <v/>
      </c>
      <c r="I683">
        <f t="shared" si="85"/>
        <v>0</v>
      </c>
      <c r="J683" t="str">
        <f>_xlfn.XLOOKUP(H683, Fact_Events!$A$2:$A$20, Fact_Events!$F$2:$F$20, "")</f>
        <v/>
      </c>
      <c r="K683" t="str">
        <f t="shared" si="86"/>
        <v>Low</v>
      </c>
      <c r="L683">
        <f t="shared" si="87"/>
        <v>0.55000000000000004</v>
      </c>
      <c r="M683">
        <f>_xlfn.XLOOKUP(B683, Dim_Hotel!$A$2:$A$11, Dim_Hotel!$I$2:$I$11)
 + (IF(J683="",0,J683)
    * _xlfn.XLOOKUP(B683, Dim_Hotel!$A$2:$A$11, Dim_Hotel!$J$2:$J$11))</f>
        <v>175</v>
      </c>
    </row>
    <row r="684" spans="1:13" x14ac:dyDescent="0.25">
      <c r="A684" s="1">
        <f t="shared" si="80"/>
        <v>46091</v>
      </c>
      <c r="B684" t="str" cm="1">
        <f t="array" ref="B684">INDEX(HotelList,MOD(ROW()-2,10)+1)</f>
        <v>H003</v>
      </c>
      <c r="C684">
        <f>_xlfn.XLOOKUP(B684,Dim_Hotel!$A$2:$A$11,Dim_Hotel!$F$2:$F$11)</f>
        <v>121</v>
      </c>
      <c r="D684">
        <f t="shared" si="81"/>
        <v>67</v>
      </c>
      <c r="E684">
        <f t="shared" si="82"/>
        <v>0.55371900826446285</v>
      </c>
      <c r="F684">
        <f t="shared" si="83"/>
        <v>145</v>
      </c>
      <c r="G684">
        <f t="shared" si="84"/>
        <v>80.289256198347118</v>
      </c>
      <c r="H684" t="str">
        <f>_xlfn.XLOOKUP(A684,Fact_Events!$D$2:$D$20,Fact_Events!$A$2:$A$20, "")</f>
        <v/>
      </c>
      <c r="I684">
        <f t="shared" si="85"/>
        <v>0</v>
      </c>
      <c r="J684" t="str">
        <f>_xlfn.XLOOKUP(H684, Fact_Events!$A$2:$A$20, Fact_Events!$F$2:$F$20, "")</f>
        <v/>
      </c>
      <c r="K684" t="str">
        <f t="shared" si="86"/>
        <v>Low</v>
      </c>
      <c r="L684">
        <f t="shared" si="87"/>
        <v>0.55000000000000004</v>
      </c>
      <c r="M684">
        <f>_xlfn.XLOOKUP(B684, Dim_Hotel!$A$2:$A$11, Dim_Hotel!$I$2:$I$11)
 + (IF(J684="",0,J684)
    * _xlfn.XLOOKUP(B684, Dim_Hotel!$A$2:$A$11, Dim_Hotel!$J$2:$J$11))</f>
        <v>145</v>
      </c>
    </row>
    <row r="685" spans="1:13" x14ac:dyDescent="0.25">
      <c r="A685" s="1">
        <f t="shared" si="80"/>
        <v>46091</v>
      </c>
      <c r="B685" t="str" cm="1">
        <f t="array" ref="B685">INDEX(HotelList,MOD(ROW()-2,10)+1)</f>
        <v>H004</v>
      </c>
      <c r="C685">
        <f>_xlfn.XLOOKUP(B685,Dim_Hotel!$A$2:$A$11,Dim_Hotel!$F$2:$F$11)</f>
        <v>108</v>
      </c>
      <c r="D685">
        <f t="shared" si="81"/>
        <v>59</v>
      </c>
      <c r="E685">
        <f t="shared" si="82"/>
        <v>0.54629629629629628</v>
      </c>
      <c r="F685">
        <f t="shared" si="83"/>
        <v>135</v>
      </c>
      <c r="G685">
        <f t="shared" si="84"/>
        <v>73.75</v>
      </c>
      <c r="H685" t="str">
        <f>_xlfn.XLOOKUP(A685,Fact_Events!$D$2:$D$20,Fact_Events!$A$2:$A$20, "")</f>
        <v/>
      </c>
      <c r="I685">
        <f t="shared" si="85"/>
        <v>0</v>
      </c>
      <c r="J685" t="str">
        <f>_xlfn.XLOOKUP(H685, Fact_Events!$A$2:$A$20, Fact_Events!$F$2:$F$20, "")</f>
        <v/>
      </c>
      <c r="K685" t="str">
        <f t="shared" si="86"/>
        <v>Low</v>
      </c>
      <c r="L685">
        <f t="shared" si="87"/>
        <v>0.55000000000000004</v>
      </c>
      <c r="M685">
        <f>_xlfn.XLOOKUP(B685, Dim_Hotel!$A$2:$A$11, Dim_Hotel!$I$2:$I$11)
 + (IF(J685="",0,J685)
    * _xlfn.XLOOKUP(B685, Dim_Hotel!$A$2:$A$11, Dim_Hotel!$J$2:$J$11))</f>
        <v>135</v>
      </c>
    </row>
    <row r="686" spans="1:13" x14ac:dyDescent="0.25">
      <c r="A686" s="1">
        <f t="shared" si="80"/>
        <v>46091</v>
      </c>
      <c r="B686" t="str" cm="1">
        <f t="array" ref="B686">INDEX(HotelList,MOD(ROW()-2,10)+1)</f>
        <v>H005</v>
      </c>
      <c r="C686">
        <f>_xlfn.XLOOKUP(B686,Dim_Hotel!$A$2:$A$11,Dim_Hotel!$F$2:$F$11)</f>
        <v>66</v>
      </c>
      <c r="D686">
        <f t="shared" si="81"/>
        <v>36</v>
      </c>
      <c r="E686">
        <f t="shared" si="82"/>
        <v>0.54545454545454541</v>
      </c>
      <c r="F686">
        <f t="shared" si="83"/>
        <v>82</v>
      </c>
      <c r="G686">
        <f t="shared" si="84"/>
        <v>44.727272727272727</v>
      </c>
      <c r="H686" t="str">
        <f>_xlfn.XLOOKUP(A686,Fact_Events!$D$2:$D$20,Fact_Events!$A$2:$A$20, "")</f>
        <v/>
      </c>
      <c r="I686">
        <f t="shared" si="85"/>
        <v>0</v>
      </c>
      <c r="J686" t="str">
        <f>_xlfn.XLOOKUP(H686, Fact_Events!$A$2:$A$20, Fact_Events!$F$2:$F$20, "")</f>
        <v/>
      </c>
      <c r="K686" t="str">
        <f t="shared" si="86"/>
        <v>Low</v>
      </c>
      <c r="L686">
        <f t="shared" si="87"/>
        <v>0.55000000000000004</v>
      </c>
      <c r="M686">
        <f>_xlfn.XLOOKUP(B686, Dim_Hotel!$A$2:$A$11, Dim_Hotel!$I$2:$I$11)
 + (IF(J686="",0,J686)
    * _xlfn.XLOOKUP(B686, Dim_Hotel!$A$2:$A$11, Dim_Hotel!$J$2:$J$11))</f>
        <v>82</v>
      </c>
    </row>
    <row r="687" spans="1:13" x14ac:dyDescent="0.25">
      <c r="A687" s="1">
        <f t="shared" si="80"/>
        <v>46091</v>
      </c>
      <c r="B687" t="str" cm="1">
        <f t="array" ref="B687">INDEX(HotelList,MOD(ROW()-2,10)+1)</f>
        <v>H006</v>
      </c>
      <c r="C687">
        <f>_xlfn.XLOOKUP(B687,Dim_Hotel!$A$2:$A$11,Dim_Hotel!$F$2:$F$11)</f>
        <v>311</v>
      </c>
      <c r="D687">
        <f t="shared" si="81"/>
        <v>171</v>
      </c>
      <c r="E687">
        <f t="shared" si="82"/>
        <v>0.54983922829581988</v>
      </c>
      <c r="F687">
        <f t="shared" si="83"/>
        <v>190</v>
      </c>
      <c r="G687">
        <f t="shared" si="84"/>
        <v>104.46945337620578</v>
      </c>
      <c r="H687" t="str">
        <f>_xlfn.XLOOKUP(A687,Fact_Events!$D$2:$D$20,Fact_Events!$A$2:$A$20, "")</f>
        <v/>
      </c>
      <c r="I687">
        <f t="shared" si="85"/>
        <v>0</v>
      </c>
      <c r="J687" t="str">
        <f>_xlfn.XLOOKUP(H687, Fact_Events!$A$2:$A$20, Fact_Events!$F$2:$F$20, "")</f>
        <v/>
      </c>
      <c r="K687" t="str">
        <f t="shared" si="86"/>
        <v>Low</v>
      </c>
      <c r="L687">
        <f t="shared" si="87"/>
        <v>0.55000000000000004</v>
      </c>
      <c r="M687">
        <f>_xlfn.XLOOKUP(B687, Dim_Hotel!$A$2:$A$11, Dim_Hotel!$I$2:$I$11)
 + (IF(J687="",0,J687)
    * _xlfn.XLOOKUP(B687, Dim_Hotel!$A$2:$A$11, Dim_Hotel!$J$2:$J$11))</f>
        <v>190</v>
      </c>
    </row>
    <row r="688" spans="1:13" x14ac:dyDescent="0.25">
      <c r="A688" s="1">
        <f t="shared" si="80"/>
        <v>46091</v>
      </c>
      <c r="B688" t="str" cm="1">
        <f t="array" ref="B688">INDEX(HotelList,MOD(ROW()-2,10)+1)</f>
        <v>H007</v>
      </c>
      <c r="C688">
        <f>_xlfn.XLOOKUP(B688,Dim_Hotel!$A$2:$A$11,Dim_Hotel!$F$2:$F$11)</f>
        <v>132</v>
      </c>
      <c r="D688">
        <f t="shared" si="81"/>
        <v>73</v>
      </c>
      <c r="E688">
        <f t="shared" si="82"/>
        <v>0.55303030303030298</v>
      </c>
      <c r="F688">
        <f t="shared" si="83"/>
        <v>165</v>
      </c>
      <c r="G688">
        <f t="shared" si="84"/>
        <v>91.249999999999986</v>
      </c>
      <c r="H688" t="str">
        <f>_xlfn.XLOOKUP(A688,Fact_Events!$D$2:$D$20,Fact_Events!$A$2:$A$20, "")</f>
        <v/>
      </c>
      <c r="I688">
        <f t="shared" si="85"/>
        <v>0</v>
      </c>
      <c r="J688" t="str">
        <f>_xlfn.XLOOKUP(H688, Fact_Events!$A$2:$A$20, Fact_Events!$F$2:$F$20, "")</f>
        <v/>
      </c>
      <c r="K688" t="str">
        <f t="shared" si="86"/>
        <v>Low</v>
      </c>
      <c r="L688">
        <f t="shared" si="87"/>
        <v>0.55000000000000004</v>
      </c>
      <c r="M688">
        <f>_xlfn.XLOOKUP(B688, Dim_Hotel!$A$2:$A$11, Dim_Hotel!$I$2:$I$11)
 + (IF(J688="",0,J688)
    * _xlfn.XLOOKUP(B688, Dim_Hotel!$A$2:$A$11, Dim_Hotel!$J$2:$J$11))</f>
        <v>165</v>
      </c>
    </row>
    <row r="689" spans="1:13" x14ac:dyDescent="0.25">
      <c r="A689" s="1">
        <f t="shared" si="80"/>
        <v>46091</v>
      </c>
      <c r="B689" t="str" cm="1">
        <f t="array" ref="B689">INDEX(HotelList,MOD(ROW()-2,10)+1)</f>
        <v>H008</v>
      </c>
      <c r="C689">
        <f>_xlfn.XLOOKUP(B689,Dim_Hotel!$A$2:$A$11,Dim_Hotel!$F$2:$F$11)</f>
        <v>103</v>
      </c>
      <c r="D689">
        <f t="shared" si="81"/>
        <v>57</v>
      </c>
      <c r="E689">
        <f t="shared" si="82"/>
        <v>0.55339805825242716</v>
      </c>
      <c r="F689">
        <f t="shared" si="83"/>
        <v>140</v>
      </c>
      <c r="G689">
        <f t="shared" si="84"/>
        <v>77.475728155339809</v>
      </c>
      <c r="H689" t="str">
        <f>_xlfn.XLOOKUP(A689,Fact_Events!$D$2:$D$20,Fact_Events!$A$2:$A$20, "")</f>
        <v/>
      </c>
      <c r="I689">
        <f t="shared" si="85"/>
        <v>0</v>
      </c>
      <c r="J689" t="str">
        <f>_xlfn.XLOOKUP(H689, Fact_Events!$A$2:$A$20, Fact_Events!$F$2:$F$20, "")</f>
        <v/>
      </c>
      <c r="K689" t="str">
        <f t="shared" si="86"/>
        <v>Low</v>
      </c>
      <c r="L689">
        <f t="shared" si="87"/>
        <v>0.55000000000000004</v>
      </c>
      <c r="M689">
        <f>_xlfn.XLOOKUP(B689, Dim_Hotel!$A$2:$A$11, Dim_Hotel!$I$2:$I$11)
 + (IF(J689="",0,J689)
    * _xlfn.XLOOKUP(B689, Dim_Hotel!$A$2:$A$11, Dim_Hotel!$J$2:$J$11))</f>
        <v>140</v>
      </c>
    </row>
    <row r="690" spans="1:13" x14ac:dyDescent="0.25">
      <c r="A690" s="1">
        <f t="shared" si="80"/>
        <v>46091</v>
      </c>
      <c r="B690" t="str" cm="1">
        <f t="array" ref="B690">INDEX(HotelList,MOD(ROW()-2,10)+1)</f>
        <v>H009</v>
      </c>
      <c r="C690">
        <f>_xlfn.XLOOKUP(B690,Dim_Hotel!$A$2:$A$11,Dim_Hotel!$F$2:$F$11)</f>
        <v>114</v>
      </c>
      <c r="D690">
        <f t="shared" si="81"/>
        <v>63</v>
      </c>
      <c r="E690">
        <f t="shared" si="82"/>
        <v>0.55263157894736847</v>
      </c>
      <c r="F690">
        <f t="shared" si="83"/>
        <v>185</v>
      </c>
      <c r="G690">
        <f t="shared" si="84"/>
        <v>102.23684210526316</v>
      </c>
      <c r="H690" t="str">
        <f>_xlfn.XLOOKUP(A690,Fact_Events!$D$2:$D$20,Fact_Events!$A$2:$A$20, "")</f>
        <v/>
      </c>
      <c r="I690">
        <f t="shared" si="85"/>
        <v>0</v>
      </c>
      <c r="J690" t="str">
        <f>_xlfn.XLOOKUP(H690, Fact_Events!$A$2:$A$20, Fact_Events!$F$2:$F$20, "")</f>
        <v/>
      </c>
      <c r="K690" t="str">
        <f t="shared" si="86"/>
        <v>Low</v>
      </c>
      <c r="L690">
        <f t="shared" si="87"/>
        <v>0.55000000000000004</v>
      </c>
      <c r="M690">
        <f>_xlfn.XLOOKUP(B690, Dim_Hotel!$A$2:$A$11, Dim_Hotel!$I$2:$I$11)
 + (IF(J690="",0,J690)
    * _xlfn.XLOOKUP(B690, Dim_Hotel!$A$2:$A$11, Dim_Hotel!$J$2:$J$11))</f>
        <v>185</v>
      </c>
    </row>
    <row r="691" spans="1:13" x14ac:dyDescent="0.25">
      <c r="A691" s="1">
        <f t="shared" si="80"/>
        <v>46091</v>
      </c>
      <c r="B691" t="str" cm="1">
        <f t="array" ref="B691">INDEX(HotelList,MOD(ROW()-2,10)+1)</f>
        <v>H010</v>
      </c>
      <c r="C691">
        <f>_xlfn.XLOOKUP(B691,Dim_Hotel!$A$2:$A$11,Dim_Hotel!$F$2:$F$11)</f>
        <v>89</v>
      </c>
      <c r="D691">
        <f t="shared" si="81"/>
        <v>49</v>
      </c>
      <c r="E691">
        <f t="shared" si="82"/>
        <v>0.550561797752809</v>
      </c>
      <c r="F691">
        <f t="shared" si="83"/>
        <v>150</v>
      </c>
      <c r="G691">
        <f t="shared" si="84"/>
        <v>82.584269662921344</v>
      </c>
      <c r="H691" t="str">
        <f>_xlfn.XLOOKUP(A691,Fact_Events!$D$2:$D$20,Fact_Events!$A$2:$A$20, "")</f>
        <v/>
      </c>
      <c r="I691">
        <f t="shared" si="85"/>
        <v>0</v>
      </c>
      <c r="J691" t="str">
        <f>_xlfn.XLOOKUP(H691, Fact_Events!$A$2:$A$20, Fact_Events!$F$2:$F$20, "")</f>
        <v/>
      </c>
      <c r="K691" t="str">
        <f t="shared" si="86"/>
        <v>Low</v>
      </c>
      <c r="L691">
        <f t="shared" si="87"/>
        <v>0.55000000000000004</v>
      </c>
      <c r="M691">
        <f>_xlfn.XLOOKUP(B691, Dim_Hotel!$A$2:$A$11, Dim_Hotel!$I$2:$I$11)
 + (IF(J691="",0,J691)
    * _xlfn.XLOOKUP(B691, Dim_Hotel!$A$2:$A$11, Dim_Hotel!$J$2:$J$11))</f>
        <v>150</v>
      </c>
    </row>
    <row r="692" spans="1:13" x14ac:dyDescent="0.25">
      <c r="A692" s="1">
        <f t="shared" si="80"/>
        <v>46092</v>
      </c>
      <c r="B692" t="str" cm="1">
        <f t="array" ref="B692">INDEX(HotelList,MOD(ROW()-2,10)+1)</f>
        <v>H001</v>
      </c>
      <c r="C692">
        <f>_xlfn.XLOOKUP(B692,Dim_Hotel!$A$2:$A$11,Dim_Hotel!$F$2:$F$11)</f>
        <v>888</v>
      </c>
      <c r="D692">
        <f t="shared" si="81"/>
        <v>488</v>
      </c>
      <c r="E692">
        <f t="shared" si="82"/>
        <v>0.5495495495495496</v>
      </c>
      <c r="F692">
        <f t="shared" si="83"/>
        <v>260</v>
      </c>
      <c r="G692">
        <f t="shared" si="84"/>
        <v>142.88288288288288</v>
      </c>
      <c r="H692" t="str">
        <f>_xlfn.XLOOKUP(A692,Fact_Events!$D$2:$D$20,Fact_Events!$A$2:$A$20, "")</f>
        <v/>
      </c>
      <c r="I692">
        <f t="shared" si="85"/>
        <v>0</v>
      </c>
      <c r="J692" t="str">
        <f>_xlfn.XLOOKUP(H692, Fact_Events!$A$2:$A$20, Fact_Events!$F$2:$F$20, "")</f>
        <v/>
      </c>
      <c r="K692" t="str">
        <f t="shared" si="86"/>
        <v>Low</v>
      </c>
      <c r="L692">
        <f t="shared" si="87"/>
        <v>0.55000000000000004</v>
      </c>
      <c r="M692">
        <f>_xlfn.XLOOKUP(B692, Dim_Hotel!$A$2:$A$11, Dim_Hotel!$I$2:$I$11)
 + (IF(J692="",0,J692)
    * _xlfn.XLOOKUP(B692, Dim_Hotel!$A$2:$A$11, Dim_Hotel!$J$2:$J$11))</f>
        <v>260</v>
      </c>
    </row>
    <row r="693" spans="1:13" x14ac:dyDescent="0.25">
      <c r="A693" s="1">
        <f t="shared" si="80"/>
        <v>46092</v>
      </c>
      <c r="B693" t="str" cm="1">
        <f t="array" ref="B693">INDEX(HotelList,MOD(ROW()-2,10)+1)</f>
        <v>H002</v>
      </c>
      <c r="C693">
        <f>_xlfn.XLOOKUP(B693,Dim_Hotel!$A$2:$A$11,Dim_Hotel!$F$2:$F$11)</f>
        <v>147</v>
      </c>
      <c r="D693">
        <f t="shared" si="81"/>
        <v>81</v>
      </c>
      <c r="E693">
        <f t="shared" si="82"/>
        <v>0.55102040816326525</v>
      </c>
      <c r="F693">
        <f t="shared" si="83"/>
        <v>175</v>
      </c>
      <c r="G693">
        <f t="shared" si="84"/>
        <v>96.428571428571416</v>
      </c>
      <c r="H693" t="str">
        <f>_xlfn.XLOOKUP(A693,Fact_Events!$D$2:$D$20,Fact_Events!$A$2:$A$20, "")</f>
        <v/>
      </c>
      <c r="I693">
        <f t="shared" si="85"/>
        <v>0</v>
      </c>
      <c r="J693" t="str">
        <f>_xlfn.XLOOKUP(H693, Fact_Events!$A$2:$A$20, Fact_Events!$F$2:$F$20, "")</f>
        <v/>
      </c>
      <c r="K693" t="str">
        <f t="shared" si="86"/>
        <v>Low</v>
      </c>
      <c r="L693">
        <f t="shared" si="87"/>
        <v>0.55000000000000004</v>
      </c>
      <c r="M693">
        <f>_xlfn.XLOOKUP(B693, Dim_Hotel!$A$2:$A$11, Dim_Hotel!$I$2:$I$11)
 + (IF(J693="",0,J693)
    * _xlfn.XLOOKUP(B693, Dim_Hotel!$A$2:$A$11, Dim_Hotel!$J$2:$J$11))</f>
        <v>175</v>
      </c>
    </row>
    <row r="694" spans="1:13" x14ac:dyDescent="0.25">
      <c r="A694" s="1">
        <f t="shared" si="80"/>
        <v>46092</v>
      </c>
      <c r="B694" t="str" cm="1">
        <f t="array" ref="B694">INDEX(HotelList,MOD(ROW()-2,10)+1)</f>
        <v>H003</v>
      </c>
      <c r="C694">
        <f>_xlfn.XLOOKUP(B694,Dim_Hotel!$A$2:$A$11,Dim_Hotel!$F$2:$F$11)</f>
        <v>121</v>
      </c>
      <c r="D694">
        <f t="shared" si="81"/>
        <v>67</v>
      </c>
      <c r="E694">
        <f t="shared" si="82"/>
        <v>0.55371900826446285</v>
      </c>
      <c r="F694">
        <f t="shared" si="83"/>
        <v>145</v>
      </c>
      <c r="G694">
        <f t="shared" si="84"/>
        <v>80.289256198347118</v>
      </c>
      <c r="H694" t="str">
        <f>_xlfn.XLOOKUP(A694,Fact_Events!$D$2:$D$20,Fact_Events!$A$2:$A$20, "")</f>
        <v/>
      </c>
      <c r="I694">
        <f t="shared" si="85"/>
        <v>0</v>
      </c>
      <c r="J694" t="str">
        <f>_xlfn.XLOOKUP(H694, Fact_Events!$A$2:$A$20, Fact_Events!$F$2:$F$20, "")</f>
        <v/>
      </c>
      <c r="K694" t="str">
        <f t="shared" si="86"/>
        <v>Low</v>
      </c>
      <c r="L694">
        <f t="shared" si="87"/>
        <v>0.55000000000000004</v>
      </c>
      <c r="M694">
        <f>_xlfn.XLOOKUP(B694, Dim_Hotel!$A$2:$A$11, Dim_Hotel!$I$2:$I$11)
 + (IF(J694="",0,J694)
    * _xlfn.XLOOKUP(B694, Dim_Hotel!$A$2:$A$11, Dim_Hotel!$J$2:$J$11))</f>
        <v>145</v>
      </c>
    </row>
    <row r="695" spans="1:13" x14ac:dyDescent="0.25">
      <c r="A695" s="1">
        <f t="shared" si="80"/>
        <v>46092</v>
      </c>
      <c r="B695" t="str" cm="1">
        <f t="array" ref="B695">INDEX(HotelList,MOD(ROW()-2,10)+1)</f>
        <v>H004</v>
      </c>
      <c r="C695">
        <f>_xlfn.XLOOKUP(B695,Dim_Hotel!$A$2:$A$11,Dim_Hotel!$F$2:$F$11)</f>
        <v>108</v>
      </c>
      <c r="D695">
        <f t="shared" si="81"/>
        <v>59</v>
      </c>
      <c r="E695">
        <f t="shared" si="82"/>
        <v>0.54629629629629628</v>
      </c>
      <c r="F695">
        <f t="shared" si="83"/>
        <v>135</v>
      </c>
      <c r="G695">
        <f t="shared" si="84"/>
        <v>73.75</v>
      </c>
      <c r="H695" t="str">
        <f>_xlfn.XLOOKUP(A695,Fact_Events!$D$2:$D$20,Fact_Events!$A$2:$A$20, "")</f>
        <v/>
      </c>
      <c r="I695">
        <f t="shared" si="85"/>
        <v>0</v>
      </c>
      <c r="J695" t="str">
        <f>_xlfn.XLOOKUP(H695, Fact_Events!$A$2:$A$20, Fact_Events!$F$2:$F$20, "")</f>
        <v/>
      </c>
      <c r="K695" t="str">
        <f t="shared" si="86"/>
        <v>Low</v>
      </c>
      <c r="L695">
        <f t="shared" si="87"/>
        <v>0.55000000000000004</v>
      </c>
      <c r="M695">
        <f>_xlfn.XLOOKUP(B695, Dim_Hotel!$A$2:$A$11, Dim_Hotel!$I$2:$I$11)
 + (IF(J695="",0,J695)
    * _xlfn.XLOOKUP(B695, Dim_Hotel!$A$2:$A$11, Dim_Hotel!$J$2:$J$11))</f>
        <v>135</v>
      </c>
    </row>
    <row r="696" spans="1:13" x14ac:dyDescent="0.25">
      <c r="A696" s="1">
        <f t="shared" si="80"/>
        <v>46092</v>
      </c>
      <c r="B696" t="str" cm="1">
        <f t="array" ref="B696">INDEX(HotelList,MOD(ROW()-2,10)+1)</f>
        <v>H005</v>
      </c>
      <c r="C696">
        <f>_xlfn.XLOOKUP(B696,Dim_Hotel!$A$2:$A$11,Dim_Hotel!$F$2:$F$11)</f>
        <v>66</v>
      </c>
      <c r="D696">
        <f t="shared" si="81"/>
        <v>36</v>
      </c>
      <c r="E696">
        <f t="shared" si="82"/>
        <v>0.54545454545454541</v>
      </c>
      <c r="F696">
        <f t="shared" si="83"/>
        <v>82</v>
      </c>
      <c r="G696">
        <f t="shared" si="84"/>
        <v>44.727272727272727</v>
      </c>
      <c r="H696" t="str">
        <f>_xlfn.XLOOKUP(A696,Fact_Events!$D$2:$D$20,Fact_Events!$A$2:$A$20, "")</f>
        <v/>
      </c>
      <c r="I696">
        <f t="shared" si="85"/>
        <v>0</v>
      </c>
      <c r="J696" t="str">
        <f>_xlfn.XLOOKUP(H696, Fact_Events!$A$2:$A$20, Fact_Events!$F$2:$F$20, "")</f>
        <v/>
      </c>
      <c r="K696" t="str">
        <f t="shared" si="86"/>
        <v>Low</v>
      </c>
      <c r="L696">
        <f t="shared" si="87"/>
        <v>0.55000000000000004</v>
      </c>
      <c r="M696">
        <f>_xlfn.XLOOKUP(B696, Dim_Hotel!$A$2:$A$11, Dim_Hotel!$I$2:$I$11)
 + (IF(J696="",0,J696)
    * _xlfn.XLOOKUP(B696, Dim_Hotel!$A$2:$A$11, Dim_Hotel!$J$2:$J$11))</f>
        <v>82</v>
      </c>
    </row>
    <row r="697" spans="1:13" x14ac:dyDescent="0.25">
      <c r="A697" s="1">
        <f t="shared" si="80"/>
        <v>46092</v>
      </c>
      <c r="B697" t="str" cm="1">
        <f t="array" ref="B697">INDEX(HotelList,MOD(ROW()-2,10)+1)</f>
        <v>H006</v>
      </c>
      <c r="C697">
        <f>_xlfn.XLOOKUP(B697,Dim_Hotel!$A$2:$A$11,Dim_Hotel!$F$2:$F$11)</f>
        <v>311</v>
      </c>
      <c r="D697">
        <f t="shared" si="81"/>
        <v>171</v>
      </c>
      <c r="E697">
        <f t="shared" si="82"/>
        <v>0.54983922829581988</v>
      </c>
      <c r="F697">
        <f t="shared" si="83"/>
        <v>190</v>
      </c>
      <c r="G697">
        <f t="shared" si="84"/>
        <v>104.46945337620578</v>
      </c>
      <c r="H697" t="str">
        <f>_xlfn.XLOOKUP(A697,Fact_Events!$D$2:$D$20,Fact_Events!$A$2:$A$20, "")</f>
        <v/>
      </c>
      <c r="I697">
        <f t="shared" si="85"/>
        <v>0</v>
      </c>
      <c r="J697" t="str">
        <f>_xlfn.XLOOKUP(H697, Fact_Events!$A$2:$A$20, Fact_Events!$F$2:$F$20, "")</f>
        <v/>
      </c>
      <c r="K697" t="str">
        <f t="shared" si="86"/>
        <v>Low</v>
      </c>
      <c r="L697">
        <f t="shared" si="87"/>
        <v>0.55000000000000004</v>
      </c>
      <c r="M697">
        <f>_xlfn.XLOOKUP(B697, Dim_Hotel!$A$2:$A$11, Dim_Hotel!$I$2:$I$11)
 + (IF(J697="",0,J697)
    * _xlfn.XLOOKUP(B697, Dim_Hotel!$A$2:$A$11, Dim_Hotel!$J$2:$J$11))</f>
        <v>190</v>
      </c>
    </row>
    <row r="698" spans="1:13" x14ac:dyDescent="0.25">
      <c r="A698" s="1">
        <f t="shared" si="80"/>
        <v>46092</v>
      </c>
      <c r="B698" t="str" cm="1">
        <f t="array" ref="B698">INDEX(HotelList,MOD(ROW()-2,10)+1)</f>
        <v>H007</v>
      </c>
      <c r="C698">
        <f>_xlfn.XLOOKUP(B698,Dim_Hotel!$A$2:$A$11,Dim_Hotel!$F$2:$F$11)</f>
        <v>132</v>
      </c>
      <c r="D698">
        <f t="shared" si="81"/>
        <v>73</v>
      </c>
      <c r="E698">
        <f t="shared" si="82"/>
        <v>0.55303030303030298</v>
      </c>
      <c r="F698">
        <f t="shared" si="83"/>
        <v>165</v>
      </c>
      <c r="G698">
        <f t="shared" si="84"/>
        <v>91.249999999999986</v>
      </c>
      <c r="H698" t="str">
        <f>_xlfn.XLOOKUP(A698,Fact_Events!$D$2:$D$20,Fact_Events!$A$2:$A$20, "")</f>
        <v/>
      </c>
      <c r="I698">
        <f t="shared" si="85"/>
        <v>0</v>
      </c>
      <c r="J698" t="str">
        <f>_xlfn.XLOOKUP(H698, Fact_Events!$A$2:$A$20, Fact_Events!$F$2:$F$20, "")</f>
        <v/>
      </c>
      <c r="K698" t="str">
        <f t="shared" si="86"/>
        <v>Low</v>
      </c>
      <c r="L698">
        <f t="shared" si="87"/>
        <v>0.55000000000000004</v>
      </c>
      <c r="M698">
        <f>_xlfn.XLOOKUP(B698, Dim_Hotel!$A$2:$A$11, Dim_Hotel!$I$2:$I$11)
 + (IF(J698="",0,J698)
    * _xlfn.XLOOKUP(B698, Dim_Hotel!$A$2:$A$11, Dim_Hotel!$J$2:$J$11))</f>
        <v>165</v>
      </c>
    </row>
    <row r="699" spans="1:13" x14ac:dyDescent="0.25">
      <c r="A699" s="1">
        <f t="shared" si="80"/>
        <v>46092</v>
      </c>
      <c r="B699" t="str" cm="1">
        <f t="array" ref="B699">INDEX(HotelList,MOD(ROW()-2,10)+1)</f>
        <v>H008</v>
      </c>
      <c r="C699">
        <f>_xlfn.XLOOKUP(B699,Dim_Hotel!$A$2:$A$11,Dim_Hotel!$F$2:$F$11)</f>
        <v>103</v>
      </c>
      <c r="D699">
        <f t="shared" si="81"/>
        <v>57</v>
      </c>
      <c r="E699">
        <f t="shared" si="82"/>
        <v>0.55339805825242716</v>
      </c>
      <c r="F699">
        <f t="shared" si="83"/>
        <v>140</v>
      </c>
      <c r="G699">
        <f t="shared" si="84"/>
        <v>77.475728155339809</v>
      </c>
      <c r="H699" t="str">
        <f>_xlfn.XLOOKUP(A699,Fact_Events!$D$2:$D$20,Fact_Events!$A$2:$A$20, "")</f>
        <v/>
      </c>
      <c r="I699">
        <f t="shared" si="85"/>
        <v>0</v>
      </c>
      <c r="J699" t="str">
        <f>_xlfn.XLOOKUP(H699, Fact_Events!$A$2:$A$20, Fact_Events!$F$2:$F$20, "")</f>
        <v/>
      </c>
      <c r="K699" t="str">
        <f t="shared" si="86"/>
        <v>Low</v>
      </c>
      <c r="L699">
        <f t="shared" si="87"/>
        <v>0.55000000000000004</v>
      </c>
      <c r="M699">
        <f>_xlfn.XLOOKUP(B699, Dim_Hotel!$A$2:$A$11, Dim_Hotel!$I$2:$I$11)
 + (IF(J699="",0,J699)
    * _xlfn.XLOOKUP(B699, Dim_Hotel!$A$2:$A$11, Dim_Hotel!$J$2:$J$11))</f>
        <v>140</v>
      </c>
    </row>
    <row r="700" spans="1:13" x14ac:dyDescent="0.25">
      <c r="A700" s="1">
        <f t="shared" si="80"/>
        <v>46092</v>
      </c>
      <c r="B700" t="str" cm="1">
        <f t="array" ref="B700">INDEX(HotelList,MOD(ROW()-2,10)+1)</f>
        <v>H009</v>
      </c>
      <c r="C700">
        <f>_xlfn.XLOOKUP(B700,Dim_Hotel!$A$2:$A$11,Dim_Hotel!$F$2:$F$11)</f>
        <v>114</v>
      </c>
      <c r="D700">
        <f t="shared" si="81"/>
        <v>63</v>
      </c>
      <c r="E700">
        <f t="shared" si="82"/>
        <v>0.55263157894736847</v>
      </c>
      <c r="F700">
        <f t="shared" si="83"/>
        <v>185</v>
      </c>
      <c r="G700">
        <f t="shared" si="84"/>
        <v>102.23684210526316</v>
      </c>
      <c r="H700" t="str">
        <f>_xlfn.XLOOKUP(A700,Fact_Events!$D$2:$D$20,Fact_Events!$A$2:$A$20, "")</f>
        <v/>
      </c>
      <c r="I700">
        <f t="shared" si="85"/>
        <v>0</v>
      </c>
      <c r="J700" t="str">
        <f>_xlfn.XLOOKUP(H700, Fact_Events!$A$2:$A$20, Fact_Events!$F$2:$F$20, "")</f>
        <v/>
      </c>
      <c r="K700" t="str">
        <f t="shared" si="86"/>
        <v>Low</v>
      </c>
      <c r="L700">
        <f t="shared" si="87"/>
        <v>0.55000000000000004</v>
      </c>
      <c r="M700">
        <f>_xlfn.XLOOKUP(B700, Dim_Hotel!$A$2:$A$11, Dim_Hotel!$I$2:$I$11)
 + (IF(J700="",0,J700)
    * _xlfn.XLOOKUP(B700, Dim_Hotel!$A$2:$A$11, Dim_Hotel!$J$2:$J$11))</f>
        <v>185</v>
      </c>
    </row>
    <row r="701" spans="1:13" x14ac:dyDescent="0.25">
      <c r="A701" s="1">
        <f t="shared" si="80"/>
        <v>46092</v>
      </c>
      <c r="B701" t="str" cm="1">
        <f t="array" ref="B701">INDEX(HotelList,MOD(ROW()-2,10)+1)</f>
        <v>H010</v>
      </c>
      <c r="C701">
        <f>_xlfn.XLOOKUP(B701,Dim_Hotel!$A$2:$A$11,Dim_Hotel!$F$2:$F$11)</f>
        <v>89</v>
      </c>
      <c r="D701">
        <f t="shared" si="81"/>
        <v>49</v>
      </c>
      <c r="E701">
        <f t="shared" si="82"/>
        <v>0.550561797752809</v>
      </c>
      <c r="F701">
        <f t="shared" si="83"/>
        <v>150</v>
      </c>
      <c r="G701">
        <f t="shared" si="84"/>
        <v>82.584269662921344</v>
      </c>
      <c r="H701" t="str">
        <f>_xlfn.XLOOKUP(A701,Fact_Events!$D$2:$D$20,Fact_Events!$A$2:$A$20, "")</f>
        <v/>
      </c>
      <c r="I701">
        <f t="shared" si="85"/>
        <v>0</v>
      </c>
      <c r="J701" t="str">
        <f>_xlfn.XLOOKUP(H701, Fact_Events!$A$2:$A$20, Fact_Events!$F$2:$F$20, "")</f>
        <v/>
      </c>
      <c r="K701" t="str">
        <f t="shared" si="86"/>
        <v>Low</v>
      </c>
      <c r="L701">
        <f t="shared" si="87"/>
        <v>0.55000000000000004</v>
      </c>
      <c r="M701">
        <f>_xlfn.XLOOKUP(B701, Dim_Hotel!$A$2:$A$11, Dim_Hotel!$I$2:$I$11)
 + (IF(J701="",0,J701)
    * _xlfn.XLOOKUP(B701, Dim_Hotel!$A$2:$A$11, Dim_Hotel!$J$2:$J$11))</f>
        <v>150</v>
      </c>
    </row>
    <row r="702" spans="1:13" x14ac:dyDescent="0.25">
      <c r="A702" s="1">
        <f t="shared" si="80"/>
        <v>46093</v>
      </c>
      <c r="B702" t="str" cm="1">
        <f t="array" ref="B702">INDEX(HotelList,MOD(ROW()-2,10)+1)</f>
        <v>H001</v>
      </c>
      <c r="C702">
        <f>_xlfn.XLOOKUP(B702,Dim_Hotel!$A$2:$A$11,Dim_Hotel!$F$2:$F$11)</f>
        <v>888</v>
      </c>
      <c r="D702">
        <f t="shared" si="81"/>
        <v>488</v>
      </c>
      <c r="E702">
        <f t="shared" si="82"/>
        <v>0.5495495495495496</v>
      </c>
      <c r="F702">
        <f t="shared" si="83"/>
        <v>260</v>
      </c>
      <c r="G702">
        <f t="shared" si="84"/>
        <v>142.88288288288288</v>
      </c>
      <c r="H702" t="str">
        <f>_xlfn.XLOOKUP(A702,Fact_Events!$D$2:$D$20,Fact_Events!$A$2:$A$20, "")</f>
        <v/>
      </c>
      <c r="I702">
        <f t="shared" si="85"/>
        <v>0</v>
      </c>
      <c r="J702" t="str">
        <f>_xlfn.XLOOKUP(H702, Fact_Events!$A$2:$A$20, Fact_Events!$F$2:$F$20, "")</f>
        <v/>
      </c>
      <c r="K702" t="str">
        <f t="shared" si="86"/>
        <v>Low</v>
      </c>
      <c r="L702">
        <f t="shared" si="87"/>
        <v>0.55000000000000004</v>
      </c>
      <c r="M702">
        <f>_xlfn.XLOOKUP(B702, Dim_Hotel!$A$2:$A$11, Dim_Hotel!$I$2:$I$11)
 + (IF(J702="",0,J702)
    * _xlfn.XLOOKUP(B702, Dim_Hotel!$A$2:$A$11, Dim_Hotel!$J$2:$J$11))</f>
        <v>260</v>
      </c>
    </row>
    <row r="703" spans="1:13" x14ac:dyDescent="0.25">
      <c r="A703" s="1">
        <f t="shared" si="80"/>
        <v>46093</v>
      </c>
      <c r="B703" t="str" cm="1">
        <f t="array" ref="B703">INDEX(HotelList,MOD(ROW()-2,10)+1)</f>
        <v>H002</v>
      </c>
      <c r="C703">
        <f>_xlfn.XLOOKUP(B703,Dim_Hotel!$A$2:$A$11,Dim_Hotel!$F$2:$F$11)</f>
        <v>147</v>
      </c>
      <c r="D703">
        <f t="shared" si="81"/>
        <v>81</v>
      </c>
      <c r="E703">
        <f t="shared" si="82"/>
        <v>0.55102040816326525</v>
      </c>
      <c r="F703">
        <f t="shared" si="83"/>
        <v>175</v>
      </c>
      <c r="G703">
        <f t="shared" si="84"/>
        <v>96.428571428571416</v>
      </c>
      <c r="H703" t="str">
        <f>_xlfn.XLOOKUP(A703,Fact_Events!$D$2:$D$20,Fact_Events!$A$2:$A$20, "")</f>
        <v/>
      </c>
      <c r="I703">
        <f t="shared" si="85"/>
        <v>0</v>
      </c>
      <c r="J703" t="str">
        <f>_xlfn.XLOOKUP(H703, Fact_Events!$A$2:$A$20, Fact_Events!$F$2:$F$20, "")</f>
        <v/>
      </c>
      <c r="K703" t="str">
        <f t="shared" si="86"/>
        <v>Low</v>
      </c>
      <c r="L703">
        <f t="shared" si="87"/>
        <v>0.55000000000000004</v>
      </c>
      <c r="M703">
        <f>_xlfn.XLOOKUP(B703, Dim_Hotel!$A$2:$A$11, Dim_Hotel!$I$2:$I$11)
 + (IF(J703="",0,J703)
    * _xlfn.XLOOKUP(B703, Dim_Hotel!$A$2:$A$11, Dim_Hotel!$J$2:$J$11))</f>
        <v>175</v>
      </c>
    </row>
    <row r="704" spans="1:13" x14ac:dyDescent="0.25">
      <c r="A704" s="1">
        <f t="shared" si="80"/>
        <v>46093</v>
      </c>
      <c r="B704" t="str" cm="1">
        <f t="array" ref="B704">INDEX(HotelList,MOD(ROW()-2,10)+1)</f>
        <v>H003</v>
      </c>
      <c r="C704">
        <f>_xlfn.XLOOKUP(B704,Dim_Hotel!$A$2:$A$11,Dim_Hotel!$F$2:$F$11)</f>
        <v>121</v>
      </c>
      <c r="D704">
        <f t="shared" si="81"/>
        <v>67</v>
      </c>
      <c r="E704">
        <f t="shared" si="82"/>
        <v>0.55371900826446285</v>
      </c>
      <c r="F704">
        <f t="shared" si="83"/>
        <v>145</v>
      </c>
      <c r="G704">
        <f t="shared" si="84"/>
        <v>80.289256198347118</v>
      </c>
      <c r="H704" t="str">
        <f>_xlfn.XLOOKUP(A704,Fact_Events!$D$2:$D$20,Fact_Events!$A$2:$A$20, "")</f>
        <v/>
      </c>
      <c r="I704">
        <f t="shared" si="85"/>
        <v>0</v>
      </c>
      <c r="J704" t="str">
        <f>_xlfn.XLOOKUP(H704, Fact_Events!$A$2:$A$20, Fact_Events!$F$2:$F$20, "")</f>
        <v/>
      </c>
      <c r="K704" t="str">
        <f t="shared" si="86"/>
        <v>Low</v>
      </c>
      <c r="L704">
        <f t="shared" si="87"/>
        <v>0.55000000000000004</v>
      </c>
      <c r="M704">
        <f>_xlfn.XLOOKUP(B704, Dim_Hotel!$A$2:$A$11, Dim_Hotel!$I$2:$I$11)
 + (IF(J704="",0,J704)
    * _xlfn.XLOOKUP(B704, Dim_Hotel!$A$2:$A$11, Dim_Hotel!$J$2:$J$11))</f>
        <v>145</v>
      </c>
    </row>
    <row r="705" spans="1:13" x14ac:dyDescent="0.25">
      <c r="A705" s="1">
        <f t="shared" si="80"/>
        <v>46093</v>
      </c>
      <c r="B705" t="str" cm="1">
        <f t="array" ref="B705">INDEX(HotelList,MOD(ROW()-2,10)+1)</f>
        <v>H004</v>
      </c>
      <c r="C705">
        <f>_xlfn.XLOOKUP(B705,Dim_Hotel!$A$2:$A$11,Dim_Hotel!$F$2:$F$11)</f>
        <v>108</v>
      </c>
      <c r="D705">
        <f t="shared" si="81"/>
        <v>59</v>
      </c>
      <c r="E705">
        <f t="shared" si="82"/>
        <v>0.54629629629629628</v>
      </c>
      <c r="F705">
        <f t="shared" si="83"/>
        <v>135</v>
      </c>
      <c r="G705">
        <f t="shared" si="84"/>
        <v>73.75</v>
      </c>
      <c r="H705" t="str">
        <f>_xlfn.XLOOKUP(A705,Fact_Events!$D$2:$D$20,Fact_Events!$A$2:$A$20, "")</f>
        <v/>
      </c>
      <c r="I705">
        <f t="shared" si="85"/>
        <v>0</v>
      </c>
      <c r="J705" t="str">
        <f>_xlfn.XLOOKUP(H705, Fact_Events!$A$2:$A$20, Fact_Events!$F$2:$F$20, "")</f>
        <v/>
      </c>
      <c r="K705" t="str">
        <f t="shared" si="86"/>
        <v>Low</v>
      </c>
      <c r="L705">
        <f t="shared" si="87"/>
        <v>0.55000000000000004</v>
      </c>
      <c r="M705">
        <f>_xlfn.XLOOKUP(B705, Dim_Hotel!$A$2:$A$11, Dim_Hotel!$I$2:$I$11)
 + (IF(J705="",0,J705)
    * _xlfn.XLOOKUP(B705, Dim_Hotel!$A$2:$A$11, Dim_Hotel!$J$2:$J$11))</f>
        <v>135</v>
      </c>
    </row>
    <row r="706" spans="1:13" x14ac:dyDescent="0.25">
      <c r="A706" s="1">
        <f t="shared" si="80"/>
        <v>46093</v>
      </c>
      <c r="B706" t="str" cm="1">
        <f t="array" ref="B706">INDEX(HotelList,MOD(ROW()-2,10)+1)</f>
        <v>H005</v>
      </c>
      <c r="C706">
        <f>_xlfn.XLOOKUP(B706,Dim_Hotel!$A$2:$A$11,Dim_Hotel!$F$2:$F$11)</f>
        <v>66</v>
      </c>
      <c r="D706">
        <f t="shared" si="81"/>
        <v>36</v>
      </c>
      <c r="E706">
        <f t="shared" si="82"/>
        <v>0.54545454545454541</v>
      </c>
      <c r="F706">
        <f t="shared" si="83"/>
        <v>82</v>
      </c>
      <c r="G706">
        <f t="shared" si="84"/>
        <v>44.727272727272727</v>
      </c>
      <c r="H706" t="str">
        <f>_xlfn.XLOOKUP(A706,Fact_Events!$D$2:$D$20,Fact_Events!$A$2:$A$20, "")</f>
        <v/>
      </c>
      <c r="I706">
        <f t="shared" si="85"/>
        <v>0</v>
      </c>
      <c r="J706" t="str">
        <f>_xlfn.XLOOKUP(H706, Fact_Events!$A$2:$A$20, Fact_Events!$F$2:$F$20, "")</f>
        <v/>
      </c>
      <c r="K706" t="str">
        <f t="shared" si="86"/>
        <v>Low</v>
      </c>
      <c r="L706">
        <f t="shared" si="87"/>
        <v>0.55000000000000004</v>
      </c>
      <c r="M706">
        <f>_xlfn.XLOOKUP(B706, Dim_Hotel!$A$2:$A$11, Dim_Hotel!$I$2:$I$11)
 + (IF(J706="",0,J706)
    * _xlfn.XLOOKUP(B706, Dim_Hotel!$A$2:$A$11, Dim_Hotel!$J$2:$J$11))</f>
        <v>82</v>
      </c>
    </row>
    <row r="707" spans="1:13" x14ac:dyDescent="0.25">
      <c r="A707" s="1">
        <f t="shared" ref="A707:A770" si="88">DATE(2026,1,1) + INT((ROW()-2)/10)</f>
        <v>46093</v>
      </c>
      <c r="B707" t="str" cm="1">
        <f t="array" ref="B707">INDEX(HotelList,MOD(ROW()-2,10)+1)</f>
        <v>H006</v>
      </c>
      <c r="C707">
        <f>_xlfn.XLOOKUP(B707,Dim_Hotel!$A$2:$A$11,Dim_Hotel!$F$2:$F$11)</f>
        <v>311</v>
      </c>
      <c r="D707">
        <f t="shared" ref="D707:D770" si="89">ROUND(L707 * C707, 0)</f>
        <v>171</v>
      </c>
      <c r="E707">
        <f t="shared" ref="E707:E770" si="90">D707/C707</f>
        <v>0.54983922829581988</v>
      </c>
      <c r="F707">
        <f t="shared" ref="F707:F770" si="91">M707</f>
        <v>190</v>
      </c>
      <c r="G707">
        <f t="shared" ref="G707:G770" si="92">E707*F707</f>
        <v>104.46945337620578</v>
      </c>
      <c r="H707" t="str">
        <f>_xlfn.XLOOKUP(A707,Fact_Events!$D$2:$D$20,Fact_Events!$A$2:$A$20, "")</f>
        <v/>
      </c>
      <c r="I707">
        <f t="shared" ref="I707:I770" si="93">IF(H707="",0,1)</f>
        <v>0</v>
      </c>
      <c r="J707" t="str">
        <f>_xlfn.XLOOKUP(H707, Fact_Events!$A$2:$A$20, Fact_Events!$F$2:$F$20, "")</f>
        <v/>
      </c>
      <c r="K707" t="str">
        <f t="shared" ref="K707:K770" si="94">IF(I707=0,"Low",
   IF(J707&gt;=9,"High","Medium"))</f>
        <v>Low</v>
      </c>
      <c r="L707">
        <f t="shared" ref="L707:L770" si="95">MIN(1,
  0.55
  + (I707 * 0.25)
  + (IF(J707="",0,J707) / 100)
)</f>
        <v>0.55000000000000004</v>
      </c>
      <c r="M707">
        <f>_xlfn.XLOOKUP(B707, Dim_Hotel!$A$2:$A$11, Dim_Hotel!$I$2:$I$11)
 + (IF(J707="",0,J707)
    * _xlfn.XLOOKUP(B707, Dim_Hotel!$A$2:$A$11, Dim_Hotel!$J$2:$J$11))</f>
        <v>190</v>
      </c>
    </row>
    <row r="708" spans="1:13" x14ac:dyDescent="0.25">
      <c r="A708" s="1">
        <f t="shared" si="88"/>
        <v>46093</v>
      </c>
      <c r="B708" t="str" cm="1">
        <f t="array" ref="B708">INDEX(HotelList,MOD(ROW()-2,10)+1)</f>
        <v>H007</v>
      </c>
      <c r="C708">
        <f>_xlfn.XLOOKUP(B708,Dim_Hotel!$A$2:$A$11,Dim_Hotel!$F$2:$F$11)</f>
        <v>132</v>
      </c>
      <c r="D708">
        <f t="shared" si="89"/>
        <v>73</v>
      </c>
      <c r="E708">
        <f t="shared" si="90"/>
        <v>0.55303030303030298</v>
      </c>
      <c r="F708">
        <f t="shared" si="91"/>
        <v>165</v>
      </c>
      <c r="G708">
        <f t="shared" si="92"/>
        <v>91.249999999999986</v>
      </c>
      <c r="H708" t="str">
        <f>_xlfn.XLOOKUP(A708,Fact_Events!$D$2:$D$20,Fact_Events!$A$2:$A$20, "")</f>
        <v/>
      </c>
      <c r="I708">
        <f t="shared" si="93"/>
        <v>0</v>
      </c>
      <c r="J708" t="str">
        <f>_xlfn.XLOOKUP(H708, Fact_Events!$A$2:$A$20, Fact_Events!$F$2:$F$20, "")</f>
        <v/>
      </c>
      <c r="K708" t="str">
        <f t="shared" si="94"/>
        <v>Low</v>
      </c>
      <c r="L708">
        <f t="shared" si="95"/>
        <v>0.55000000000000004</v>
      </c>
      <c r="M708">
        <f>_xlfn.XLOOKUP(B708, Dim_Hotel!$A$2:$A$11, Dim_Hotel!$I$2:$I$11)
 + (IF(J708="",0,J708)
    * _xlfn.XLOOKUP(B708, Dim_Hotel!$A$2:$A$11, Dim_Hotel!$J$2:$J$11))</f>
        <v>165</v>
      </c>
    </row>
    <row r="709" spans="1:13" x14ac:dyDescent="0.25">
      <c r="A709" s="1">
        <f t="shared" si="88"/>
        <v>46093</v>
      </c>
      <c r="B709" t="str" cm="1">
        <f t="array" ref="B709">INDEX(HotelList,MOD(ROW()-2,10)+1)</f>
        <v>H008</v>
      </c>
      <c r="C709">
        <f>_xlfn.XLOOKUP(B709,Dim_Hotel!$A$2:$A$11,Dim_Hotel!$F$2:$F$11)</f>
        <v>103</v>
      </c>
      <c r="D709">
        <f t="shared" si="89"/>
        <v>57</v>
      </c>
      <c r="E709">
        <f t="shared" si="90"/>
        <v>0.55339805825242716</v>
      </c>
      <c r="F709">
        <f t="shared" si="91"/>
        <v>140</v>
      </c>
      <c r="G709">
        <f t="shared" si="92"/>
        <v>77.475728155339809</v>
      </c>
      <c r="H709" t="str">
        <f>_xlfn.XLOOKUP(A709,Fact_Events!$D$2:$D$20,Fact_Events!$A$2:$A$20, "")</f>
        <v/>
      </c>
      <c r="I709">
        <f t="shared" si="93"/>
        <v>0</v>
      </c>
      <c r="J709" t="str">
        <f>_xlfn.XLOOKUP(H709, Fact_Events!$A$2:$A$20, Fact_Events!$F$2:$F$20, "")</f>
        <v/>
      </c>
      <c r="K709" t="str">
        <f t="shared" si="94"/>
        <v>Low</v>
      </c>
      <c r="L709">
        <f t="shared" si="95"/>
        <v>0.55000000000000004</v>
      </c>
      <c r="M709">
        <f>_xlfn.XLOOKUP(B709, Dim_Hotel!$A$2:$A$11, Dim_Hotel!$I$2:$I$11)
 + (IF(J709="",0,J709)
    * _xlfn.XLOOKUP(B709, Dim_Hotel!$A$2:$A$11, Dim_Hotel!$J$2:$J$11))</f>
        <v>140</v>
      </c>
    </row>
    <row r="710" spans="1:13" x14ac:dyDescent="0.25">
      <c r="A710" s="1">
        <f t="shared" si="88"/>
        <v>46093</v>
      </c>
      <c r="B710" t="str" cm="1">
        <f t="array" ref="B710">INDEX(HotelList,MOD(ROW()-2,10)+1)</f>
        <v>H009</v>
      </c>
      <c r="C710">
        <f>_xlfn.XLOOKUP(B710,Dim_Hotel!$A$2:$A$11,Dim_Hotel!$F$2:$F$11)</f>
        <v>114</v>
      </c>
      <c r="D710">
        <f t="shared" si="89"/>
        <v>63</v>
      </c>
      <c r="E710">
        <f t="shared" si="90"/>
        <v>0.55263157894736847</v>
      </c>
      <c r="F710">
        <f t="shared" si="91"/>
        <v>185</v>
      </c>
      <c r="G710">
        <f t="shared" si="92"/>
        <v>102.23684210526316</v>
      </c>
      <c r="H710" t="str">
        <f>_xlfn.XLOOKUP(A710,Fact_Events!$D$2:$D$20,Fact_Events!$A$2:$A$20, "")</f>
        <v/>
      </c>
      <c r="I710">
        <f t="shared" si="93"/>
        <v>0</v>
      </c>
      <c r="J710" t="str">
        <f>_xlfn.XLOOKUP(H710, Fact_Events!$A$2:$A$20, Fact_Events!$F$2:$F$20, "")</f>
        <v/>
      </c>
      <c r="K710" t="str">
        <f t="shared" si="94"/>
        <v>Low</v>
      </c>
      <c r="L710">
        <f t="shared" si="95"/>
        <v>0.55000000000000004</v>
      </c>
      <c r="M710">
        <f>_xlfn.XLOOKUP(B710, Dim_Hotel!$A$2:$A$11, Dim_Hotel!$I$2:$I$11)
 + (IF(J710="",0,J710)
    * _xlfn.XLOOKUP(B710, Dim_Hotel!$A$2:$A$11, Dim_Hotel!$J$2:$J$11))</f>
        <v>185</v>
      </c>
    </row>
    <row r="711" spans="1:13" x14ac:dyDescent="0.25">
      <c r="A711" s="1">
        <f t="shared" si="88"/>
        <v>46093</v>
      </c>
      <c r="B711" t="str" cm="1">
        <f t="array" ref="B711">INDEX(HotelList,MOD(ROW()-2,10)+1)</f>
        <v>H010</v>
      </c>
      <c r="C711">
        <f>_xlfn.XLOOKUP(B711,Dim_Hotel!$A$2:$A$11,Dim_Hotel!$F$2:$F$11)</f>
        <v>89</v>
      </c>
      <c r="D711">
        <f t="shared" si="89"/>
        <v>49</v>
      </c>
      <c r="E711">
        <f t="shared" si="90"/>
        <v>0.550561797752809</v>
      </c>
      <c r="F711">
        <f t="shared" si="91"/>
        <v>150</v>
      </c>
      <c r="G711">
        <f t="shared" si="92"/>
        <v>82.584269662921344</v>
      </c>
      <c r="H711" t="str">
        <f>_xlfn.XLOOKUP(A711,Fact_Events!$D$2:$D$20,Fact_Events!$A$2:$A$20, "")</f>
        <v/>
      </c>
      <c r="I711">
        <f t="shared" si="93"/>
        <v>0</v>
      </c>
      <c r="J711" t="str">
        <f>_xlfn.XLOOKUP(H711, Fact_Events!$A$2:$A$20, Fact_Events!$F$2:$F$20, "")</f>
        <v/>
      </c>
      <c r="K711" t="str">
        <f t="shared" si="94"/>
        <v>Low</v>
      </c>
      <c r="L711">
        <f t="shared" si="95"/>
        <v>0.55000000000000004</v>
      </c>
      <c r="M711">
        <f>_xlfn.XLOOKUP(B711, Dim_Hotel!$A$2:$A$11, Dim_Hotel!$I$2:$I$11)
 + (IF(J711="",0,J711)
    * _xlfn.XLOOKUP(B711, Dim_Hotel!$A$2:$A$11, Dim_Hotel!$J$2:$J$11))</f>
        <v>150</v>
      </c>
    </row>
    <row r="712" spans="1:13" x14ac:dyDescent="0.25">
      <c r="A712" s="1">
        <f t="shared" si="88"/>
        <v>46094</v>
      </c>
      <c r="B712" t="str" cm="1">
        <f t="array" ref="B712">INDEX(HotelList,MOD(ROW()-2,10)+1)</f>
        <v>H001</v>
      </c>
      <c r="C712">
        <f>_xlfn.XLOOKUP(B712,Dim_Hotel!$A$2:$A$11,Dim_Hotel!$F$2:$F$11)</f>
        <v>888</v>
      </c>
      <c r="D712">
        <f t="shared" si="89"/>
        <v>755</v>
      </c>
      <c r="E712">
        <f t="shared" si="90"/>
        <v>0.85022522522522526</v>
      </c>
      <c r="F712">
        <f t="shared" si="91"/>
        <v>350</v>
      </c>
      <c r="G712">
        <f t="shared" si="92"/>
        <v>297.57882882882882</v>
      </c>
      <c r="H712" t="str">
        <f>_xlfn.XLOOKUP(A712,Fact_Events!$D$2:$D$20,Fact_Events!$A$2:$A$20, "")</f>
        <v>E003</v>
      </c>
      <c r="I712">
        <f t="shared" si="93"/>
        <v>1</v>
      </c>
      <c r="J712">
        <f>_xlfn.XLOOKUP(H712, Fact_Events!$A$2:$A$20, Fact_Events!$F$2:$F$20, "")</f>
        <v>5</v>
      </c>
      <c r="K712" t="str">
        <f t="shared" si="94"/>
        <v>Medium</v>
      </c>
      <c r="L712">
        <f t="shared" si="95"/>
        <v>0.85000000000000009</v>
      </c>
      <c r="M712">
        <f>_xlfn.XLOOKUP(B712, Dim_Hotel!$A$2:$A$11, Dim_Hotel!$I$2:$I$11)
 + (IF(J712="",0,J712)
    * _xlfn.XLOOKUP(B712, Dim_Hotel!$A$2:$A$11, Dim_Hotel!$J$2:$J$11))</f>
        <v>350</v>
      </c>
    </row>
    <row r="713" spans="1:13" x14ac:dyDescent="0.25">
      <c r="A713" s="1">
        <f t="shared" si="88"/>
        <v>46094</v>
      </c>
      <c r="B713" t="str" cm="1">
        <f t="array" ref="B713">INDEX(HotelList,MOD(ROW()-2,10)+1)</f>
        <v>H002</v>
      </c>
      <c r="C713">
        <f>_xlfn.XLOOKUP(B713,Dim_Hotel!$A$2:$A$11,Dim_Hotel!$F$2:$F$11)</f>
        <v>147</v>
      </c>
      <c r="D713">
        <f t="shared" si="89"/>
        <v>125</v>
      </c>
      <c r="E713">
        <f t="shared" si="90"/>
        <v>0.85034013605442171</v>
      </c>
      <c r="F713">
        <f t="shared" si="91"/>
        <v>245</v>
      </c>
      <c r="G713">
        <f t="shared" si="92"/>
        <v>208.33333333333331</v>
      </c>
      <c r="H713" t="str">
        <f>_xlfn.XLOOKUP(A713,Fact_Events!$D$2:$D$20,Fact_Events!$A$2:$A$20, "")</f>
        <v>E003</v>
      </c>
      <c r="I713">
        <f t="shared" si="93"/>
        <v>1</v>
      </c>
      <c r="J713">
        <f>_xlfn.XLOOKUP(H713, Fact_Events!$A$2:$A$20, Fact_Events!$F$2:$F$20, "")</f>
        <v>5</v>
      </c>
      <c r="K713" t="str">
        <f t="shared" si="94"/>
        <v>Medium</v>
      </c>
      <c r="L713">
        <f t="shared" si="95"/>
        <v>0.85000000000000009</v>
      </c>
      <c r="M713">
        <f>_xlfn.XLOOKUP(B713, Dim_Hotel!$A$2:$A$11, Dim_Hotel!$I$2:$I$11)
 + (IF(J713="",0,J713)
    * _xlfn.XLOOKUP(B713, Dim_Hotel!$A$2:$A$11, Dim_Hotel!$J$2:$J$11))</f>
        <v>245</v>
      </c>
    </row>
    <row r="714" spans="1:13" x14ac:dyDescent="0.25">
      <c r="A714" s="1">
        <f t="shared" si="88"/>
        <v>46094</v>
      </c>
      <c r="B714" t="str" cm="1">
        <f t="array" ref="B714">INDEX(HotelList,MOD(ROW()-2,10)+1)</f>
        <v>H003</v>
      </c>
      <c r="C714">
        <f>_xlfn.XLOOKUP(B714,Dim_Hotel!$A$2:$A$11,Dim_Hotel!$F$2:$F$11)</f>
        <v>121</v>
      </c>
      <c r="D714">
        <f t="shared" si="89"/>
        <v>103</v>
      </c>
      <c r="E714">
        <f t="shared" si="90"/>
        <v>0.85123966942148765</v>
      </c>
      <c r="F714">
        <f t="shared" si="91"/>
        <v>205</v>
      </c>
      <c r="G714">
        <f t="shared" si="92"/>
        <v>174.50413223140498</v>
      </c>
      <c r="H714" t="str">
        <f>_xlfn.XLOOKUP(A714,Fact_Events!$D$2:$D$20,Fact_Events!$A$2:$A$20, "")</f>
        <v>E003</v>
      </c>
      <c r="I714">
        <f t="shared" si="93"/>
        <v>1</v>
      </c>
      <c r="J714">
        <f>_xlfn.XLOOKUP(H714, Fact_Events!$A$2:$A$20, Fact_Events!$F$2:$F$20, "")</f>
        <v>5</v>
      </c>
      <c r="K714" t="str">
        <f t="shared" si="94"/>
        <v>Medium</v>
      </c>
      <c r="L714">
        <f t="shared" si="95"/>
        <v>0.85000000000000009</v>
      </c>
      <c r="M714">
        <f>_xlfn.XLOOKUP(B714, Dim_Hotel!$A$2:$A$11, Dim_Hotel!$I$2:$I$11)
 + (IF(J714="",0,J714)
    * _xlfn.XLOOKUP(B714, Dim_Hotel!$A$2:$A$11, Dim_Hotel!$J$2:$J$11))</f>
        <v>205</v>
      </c>
    </row>
    <row r="715" spans="1:13" x14ac:dyDescent="0.25">
      <c r="A715" s="1">
        <f t="shared" si="88"/>
        <v>46094</v>
      </c>
      <c r="B715" t="str" cm="1">
        <f t="array" ref="B715">INDEX(HotelList,MOD(ROW()-2,10)+1)</f>
        <v>H004</v>
      </c>
      <c r="C715">
        <f>_xlfn.XLOOKUP(B715,Dim_Hotel!$A$2:$A$11,Dim_Hotel!$F$2:$F$11)</f>
        <v>108</v>
      </c>
      <c r="D715">
        <f t="shared" si="89"/>
        <v>92</v>
      </c>
      <c r="E715">
        <f t="shared" si="90"/>
        <v>0.85185185185185186</v>
      </c>
      <c r="F715">
        <f t="shared" si="91"/>
        <v>195</v>
      </c>
      <c r="G715">
        <f t="shared" si="92"/>
        <v>166.11111111111111</v>
      </c>
      <c r="H715" t="str">
        <f>_xlfn.XLOOKUP(A715,Fact_Events!$D$2:$D$20,Fact_Events!$A$2:$A$20, "")</f>
        <v>E003</v>
      </c>
      <c r="I715">
        <f t="shared" si="93"/>
        <v>1</v>
      </c>
      <c r="J715">
        <f>_xlfn.XLOOKUP(H715, Fact_Events!$A$2:$A$20, Fact_Events!$F$2:$F$20, "")</f>
        <v>5</v>
      </c>
      <c r="K715" t="str">
        <f t="shared" si="94"/>
        <v>Medium</v>
      </c>
      <c r="L715">
        <f t="shared" si="95"/>
        <v>0.85000000000000009</v>
      </c>
      <c r="M715">
        <f>_xlfn.XLOOKUP(B715, Dim_Hotel!$A$2:$A$11, Dim_Hotel!$I$2:$I$11)
 + (IF(J715="",0,J715)
    * _xlfn.XLOOKUP(B715, Dim_Hotel!$A$2:$A$11, Dim_Hotel!$J$2:$J$11))</f>
        <v>195</v>
      </c>
    </row>
    <row r="716" spans="1:13" x14ac:dyDescent="0.25">
      <c r="A716" s="1">
        <f t="shared" si="88"/>
        <v>46094</v>
      </c>
      <c r="B716" t="str" cm="1">
        <f t="array" ref="B716">INDEX(HotelList,MOD(ROW()-2,10)+1)</f>
        <v>H005</v>
      </c>
      <c r="C716">
        <f>_xlfn.XLOOKUP(B716,Dim_Hotel!$A$2:$A$11,Dim_Hotel!$F$2:$F$11)</f>
        <v>66</v>
      </c>
      <c r="D716">
        <f t="shared" si="89"/>
        <v>56</v>
      </c>
      <c r="E716">
        <f t="shared" si="90"/>
        <v>0.84848484848484851</v>
      </c>
      <c r="F716">
        <f t="shared" si="91"/>
        <v>122</v>
      </c>
      <c r="G716">
        <f t="shared" si="92"/>
        <v>103.51515151515152</v>
      </c>
      <c r="H716" t="str">
        <f>_xlfn.XLOOKUP(A716,Fact_Events!$D$2:$D$20,Fact_Events!$A$2:$A$20, "")</f>
        <v>E003</v>
      </c>
      <c r="I716">
        <f t="shared" si="93"/>
        <v>1</v>
      </c>
      <c r="J716">
        <f>_xlfn.XLOOKUP(H716, Fact_Events!$A$2:$A$20, Fact_Events!$F$2:$F$20, "")</f>
        <v>5</v>
      </c>
      <c r="K716" t="str">
        <f t="shared" si="94"/>
        <v>Medium</v>
      </c>
      <c r="L716">
        <f t="shared" si="95"/>
        <v>0.85000000000000009</v>
      </c>
      <c r="M716">
        <f>_xlfn.XLOOKUP(B716, Dim_Hotel!$A$2:$A$11, Dim_Hotel!$I$2:$I$11)
 + (IF(J716="",0,J716)
    * _xlfn.XLOOKUP(B716, Dim_Hotel!$A$2:$A$11, Dim_Hotel!$J$2:$J$11))</f>
        <v>122</v>
      </c>
    </row>
    <row r="717" spans="1:13" x14ac:dyDescent="0.25">
      <c r="A717" s="1">
        <f t="shared" si="88"/>
        <v>46094</v>
      </c>
      <c r="B717" t="str" cm="1">
        <f t="array" ref="B717">INDEX(HotelList,MOD(ROW()-2,10)+1)</f>
        <v>H006</v>
      </c>
      <c r="C717">
        <f>_xlfn.XLOOKUP(B717,Dim_Hotel!$A$2:$A$11,Dim_Hotel!$F$2:$F$11)</f>
        <v>311</v>
      </c>
      <c r="D717">
        <f t="shared" si="89"/>
        <v>264</v>
      </c>
      <c r="E717">
        <f t="shared" si="90"/>
        <v>0.84887459807073951</v>
      </c>
      <c r="F717">
        <f t="shared" si="91"/>
        <v>265</v>
      </c>
      <c r="G717">
        <f t="shared" si="92"/>
        <v>224.95176848874596</v>
      </c>
      <c r="H717" t="str">
        <f>_xlfn.XLOOKUP(A717,Fact_Events!$D$2:$D$20,Fact_Events!$A$2:$A$20, "")</f>
        <v>E003</v>
      </c>
      <c r="I717">
        <f t="shared" si="93"/>
        <v>1</v>
      </c>
      <c r="J717">
        <f>_xlfn.XLOOKUP(H717, Fact_Events!$A$2:$A$20, Fact_Events!$F$2:$F$20, "")</f>
        <v>5</v>
      </c>
      <c r="K717" t="str">
        <f t="shared" si="94"/>
        <v>Medium</v>
      </c>
      <c r="L717">
        <f t="shared" si="95"/>
        <v>0.85000000000000009</v>
      </c>
      <c r="M717">
        <f>_xlfn.XLOOKUP(B717, Dim_Hotel!$A$2:$A$11, Dim_Hotel!$I$2:$I$11)
 + (IF(J717="",0,J717)
    * _xlfn.XLOOKUP(B717, Dim_Hotel!$A$2:$A$11, Dim_Hotel!$J$2:$J$11))</f>
        <v>265</v>
      </c>
    </row>
    <row r="718" spans="1:13" x14ac:dyDescent="0.25">
      <c r="A718" s="1">
        <f t="shared" si="88"/>
        <v>46094</v>
      </c>
      <c r="B718" t="str" cm="1">
        <f t="array" ref="B718">INDEX(HotelList,MOD(ROW()-2,10)+1)</f>
        <v>H007</v>
      </c>
      <c r="C718">
        <f>_xlfn.XLOOKUP(B718,Dim_Hotel!$A$2:$A$11,Dim_Hotel!$F$2:$F$11)</f>
        <v>132</v>
      </c>
      <c r="D718">
        <f t="shared" si="89"/>
        <v>112</v>
      </c>
      <c r="E718">
        <f t="shared" si="90"/>
        <v>0.84848484848484851</v>
      </c>
      <c r="F718">
        <f t="shared" si="91"/>
        <v>230</v>
      </c>
      <c r="G718">
        <f t="shared" si="92"/>
        <v>195.15151515151516</v>
      </c>
      <c r="H718" t="str">
        <f>_xlfn.XLOOKUP(A718,Fact_Events!$D$2:$D$20,Fact_Events!$A$2:$A$20, "")</f>
        <v>E003</v>
      </c>
      <c r="I718">
        <f t="shared" si="93"/>
        <v>1</v>
      </c>
      <c r="J718">
        <f>_xlfn.XLOOKUP(H718, Fact_Events!$A$2:$A$20, Fact_Events!$F$2:$F$20, "")</f>
        <v>5</v>
      </c>
      <c r="K718" t="str">
        <f t="shared" si="94"/>
        <v>Medium</v>
      </c>
      <c r="L718">
        <f t="shared" si="95"/>
        <v>0.85000000000000009</v>
      </c>
      <c r="M718">
        <f>_xlfn.XLOOKUP(B718, Dim_Hotel!$A$2:$A$11, Dim_Hotel!$I$2:$I$11)
 + (IF(J718="",0,J718)
    * _xlfn.XLOOKUP(B718, Dim_Hotel!$A$2:$A$11, Dim_Hotel!$J$2:$J$11))</f>
        <v>230</v>
      </c>
    </row>
    <row r="719" spans="1:13" x14ac:dyDescent="0.25">
      <c r="A719" s="1">
        <f t="shared" si="88"/>
        <v>46094</v>
      </c>
      <c r="B719" t="str" cm="1">
        <f t="array" ref="B719">INDEX(HotelList,MOD(ROW()-2,10)+1)</f>
        <v>H008</v>
      </c>
      <c r="C719">
        <f>_xlfn.XLOOKUP(B719,Dim_Hotel!$A$2:$A$11,Dim_Hotel!$F$2:$F$11)</f>
        <v>103</v>
      </c>
      <c r="D719">
        <f t="shared" si="89"/>
        <v>88</v>
      </c>
      <c r="E719">
        <f t="shared" si="90"/>
        <v>0.85436893203883491</v>
      </c>
      <c r="F719">
        <f t="shared" si="91"/>
        <v>200</v>
      </c>
      <c r="G719">
        <f t="shared" si="92"/>
        <v>170.87378640776697</v>
      </c>
      <c r="H719" t="str">
        <f>_xlfn.XLOOKUP(A719,Fact_Events!$D$2:$D$20,Fact_Events!$A$2:$A$20, "")</f>
        <v>E003</v>
      </c>
      <c r="I719">
        <f t="shared" si="93"/>
        <v>1</v>
      </c>
      <c r="J719">
        <f>_xlfn.XLOOKUP(H719, Fact_Events!$A$2:$A$20, Fact_Events!$F$2:$F$20, "")</f>
        <v>5</v>
      </c>
      <c r="K719" t="str">
        <f t="shared" si="94"/>
        <v>Medium</v>
      </c>
      <c r="L719">
        <f t="shared" si="95"/>
        <v>0.85000000000000009</v>
      </c>
      <c r="M719">
        <f>_xlfn.XLOOKUP(B719, Dim_Hotel!$A$2:$A$11, Dim_Hotel!$I$2:$I$11)
 + (IF(J719="",0,J719)
    * _xlfn.XLOOKUP(B719, Dim_Hotel!$A$2:$A$11, Dim_Hotel!$J$2:$J$11))</f>
        <v>200</v>
      </c>
    </row>
    <row r="720" spans="1:13" x14ac:dyDescent="0.25">
      <c r="A720" s="1">
        <f t="shared" si="88"/>
        <v>46094</v>
      </c>
      <c r="B720" t="str" cm="1">
        <f t="array" ref="B720">INDEX(HotelList,MOD(ROW()-2,10)+1)</f>
        <v>H009</v>
      </c>
      <c r="C720">
        <f>_xlfn.XLOOKUP(B720,Dim_Hotel!$A$2:$A$11,Dim_Hotel!$F$2:$F$11)</f>
        <v>114</v>
      </c>
      <c r="D720">
        <f t="shared" si="89"/>
        <v>97</v>
      </c>
      <c r="E720">
        <f t="shared" si="90"/>
        <v>0.85087719298245612</v>
      </c>
      <c r="F720">
        <f t="shared" si="91"/>
        <v>235</v>
      </c>
      <c r="G720">
        <f t="shared" si="92"/>
        <v>199.95614035087718</v>
      </c>
      <c r="H720" t="str">
        <f>_xlfn.XLOOKUP(A720,Fact_Events!$D$2:$D$20,Fact_Events!$A$2:$A$20, "")</f>
        <v>E003</v>
      </c>
      <c r="I720">
        <f t="shared" si="93"/>
        <v>1</v>
      </c>
      <c r="J720">
        <f>_xlfn.XLOOKUP(H720, Fact_Events!$A$2:$A$20, Fact_Events!$F$2:$F$20, "")</f>
        <v>5</v>
      </c>
      <c r="K720" t="str">
        <f t="shared" si="94"/>
        <v>Medium</v>
      </c>
      <c r="L720">
        <f t="shared" si="95"/>
        <v>0.85000000000000009</v>
      </c>
      <c r="M720">
        <f>_xlfn.XLOOKUP(B720, Dim_Hotel!$A$2:$A$11, Dim_Hotel!$I$2:$I$11)
 + (IF(J720="",0,J720)
    * _xlfn.XLOOKUP(B720, Dim_Hotel!$A$2:$A$11, Dim_Hotel!$J$2:$J$11))</f>
        <v>235</v>
      </c>
    </row>
    <row r="721" spans="1:13" x14ac:dyDescent="0.25">
      <c r="A721" s="1">
        <f t="shared" si="88"/>
        <v>46094</v>
      </c>
      <c r="B721" t="str" cm="1">
        <f t="array" ref="B721">INDEX(HotelList,MOD(ROW()-2,10)+1)</f>
        <v>H010</v>
      </c>
      <c r="C721">
        <f>_xlfn.XLOOKUP(B721,Dim_Hotel!$A$2:$A$11,Dim_Hotel!$F$2:$F$11)</f>
        <v>89</v>
      </c>
      <c r="D721">
        <f t="shared" si="89"/>
        <v>76</v>
      </c>
      <c r="E721">
        <f t="shared" si="90"/>
        <v>0.8539325842696629</v>
      </c>
      <c r="F721">
        <f t="shared" si="91"/>
        <v>200</v>
      </c>
      <c r="G721">
        <f t="shared" si="92"/>
        <v>170.78651685393257</v>
      </c>
      <c r="H721" t="str">
        <f>_xlfn.XLOOKUP(A721,Fact_Events!$D$2:$D$20,Fact_Events!$A$2:$A$20, "")</f>
        <v>E003</v>
      </c>
      <c r="I721">
        <f t="shared" si="93"/>
        <v>1</v>
      </c>
      <c r="J721">
        <f>_xlfn.XLOOKUP(H721, Fact_Events!$A$2:$A$20, Fact_Events!$F$2:$F$20, "")</f>
        <v>5</v>
      </c>
      <c r="K721" t="str">
        <f t="shared" si="94"/>
        <v>Medium</v>
      </c>
      <c r="L721">
        <f t="shared" si="95"/>
        <v>0.85000000000000009</v>
      </c>
      <c r="M721">
        <f>_xlfn.XLOOKUP(B721, Dim_Hotel!$A$2:$A$11, Dim_Hotel!$I$2:$I$11)
 + (IF(J721="",0,J721)
    * _xlfn.XLOOKUP(B721, Dim_Hotel!$A$2:$A$11, Dim_Hotel!$J$2:$J$11))</f>
        <v>200</v>
      </c>
    </row>
    <row r="722" spans="1:13" x14ac:dyDescent="0.25">
      <c r="A722" s="1">
        <f t="shared" si="88"/>
        <v>46095</v>
      </c>
      <c r="B722" t="str" cm="1">
        <f t="array" ref="B722">INDEX(HotelList,MOD(ROW()-2,10)+1)</f>
        <v>H001</v>
      </c>
      <c r="C722">
        <f>_xlfn.XLOOKUP(B722,Dim_Hotel!$A$2:$A$11,Dim_Hotel!$F$2:$F$11)</f>
        <v>888</v>
      </c>
      <c r="D722">
        <f t="shared" si="89"/>
        <v>755</v>
      </c>
      <c r="E722">
        <f t="shared" si="90"/>
        <v>0.85022522522522526</v>
      </c>
      <c r="F722">
        <f t="shared" si="91"/>
        <v>350</v>
      </c>
      <c r="G722">
        <f t="shared" si="92"/>
        <v>297.57882882882882</v>
      </c>
      <c r="H722" t="str">
        <f>_xlfn.XLOOKUP(A722,Fact_Events!$D$2:$D$20,Fact_Events!$A$2:$A$20, "")</f>
        <v>E004</v>
      </c>
      <c r="I722">
        <f t="shared" si="93"/>
        <v>1</v>
      </c>
      <c r="J722">
        <f>_xlfn.XLOOKUP(H722, Fact_Events!$A$2:$A$20, Fact_Events!$F$2:$F$20, "")</f>
        <v>5</v>
      </c>
      <c r="K722" t="str">
        <f t="shared" si="94"/>
        <v>Medium</v>
      </c>
      <c r="L722">
        <f t="shared" si="95"/>
        <v>0.85000000000000009</v>
      </c>
      <c r="M722">
        <f>_xlfn.XLOOKUP(B722, Dim_Hotel!$A$2:$A$11, Dim_Hotel!$I$2:$I$11)
 + (IF(J722="",0,J722)
    * _xlfn.XLOOKUP(B722, Dim_Hotel!$A$2:$A$11, Dim_Hotel!$J$2:$J$11))</f>
        <v>350</v>
      </c>
    </row>
    <row r="723" spans="1:13" x14ac:dyDescent="0.25">
      <c r="A723" s="1">
        <f t="shared" si="88"/>
        <v>46095</v>
      </c>
      <c r="B723" t="str" cm="1">
        <f t="array" ref="B723">INDEX(HotelList,MOD(ROW()-2,10)+1)</f>
        <v>H002</v>
      </c>
      <c r="C723">
        <f>_xlfn.XLOOKUP(B723,Dim_Hotel!$A$2:$A$11,Dim_Hotel!$F$2:$F$11)</f>
        <v>147</v>
      </c>
      <c r="D723">
        <f t="shared" si="89"/>
        <v>125</v>
      </c>
      <c r="E723">
        <f t="shared" si="90"/>
        <v>0.85034013605442171</v>
      </c>
      <c r="F723">
        <f t="shared" si="91"/>
        <v>245</v>
      </c>
      <c r="G723">
        <f t="shared" si="92"/>
        <v>208.33333333333331</v>
      </c>
      <c r="H723" t="str">
        <f>_xlfn.XLOOKUP(A723,Fact_Events!$D$2:$D$20,Fact_Events!$A$2:$A$20, "")</f>
        <v>E004</v>
      </c>
      <c r="I723">
        <f t="shared" si="93"/>
        <v>1</v>
      </c>
      <c r="J723">
        <f>_xlfn.XLOOKUP(H723, Fact_Events!$A$2:$A$20, Fact_Events!$F$2:$F$20, "")</f>
        <v>5</v>
      </c>
      <c r="K723" t="str">
        <f t="shared" si="94"/>
        <v>Medium</v>
      </c>
      <c r="L723">
        <f t="shared" si="95"/>
        <v>0.85000000000000009</v>
      </c>
      <c r="M723">
        <f>_xlfn.XLOOKUP(B723, Dim_Hotel!$A$2:$A$11, Dim_Hotel!$I$2:$I$11)
 + (IF(J723="",0,J723)
    * _xlfn.XLOOKUP(B723, Dim_Hotel!$A$2:$A$11, Dim_Hotel!$J$2:$J$11))</f>
        <v>245</v>
      </c>
    </row>
    <row r="724" spans="1:13" x14ac:dyDescent="0.25">
      <c r="A724" s="1">
        <f t="shared" si="88"/>
        <v>46095</v>
      </c>
      <c r="B724" t="str" cm="1">
        <f t="array" ref="B724">INDEX(HotelList,MOD(ROW()-2,10)+1)</f>
        <v>H003</v>
      </c>
      <c r="C724">
        <f>_xlfn.XLOOKUP(B724,Dim_Hotel!$A$2:$A$11,Dim_Hotel!$F$2:$F$11)</f>
        <v>121</v>
      </c>
      <c r="D724">
        <f t="shared" si="89"/>
        <v>103</v>
      </c>
      <c r="E724">
        <f t="shared" si="90"/>
        <v>0.85123966942148765</v>
      </c>
      <c r="F724">
        <f t="shared" si="91"/>
        <v>205</v>
      </c>
      <c r="G724">
        <f t="shared" si="92"/>
        <v>174.50413223140498</v>
      </c>
      <c r="H724" t="str">
        <f>_xlfn.XLOOKUP(A724,Fact_Events!$D$2:$D$20,Fact_Events!$A$2:$A$20, "")</f>
        <v>E004</v>
      </c>
      <c r="I724">
        <f t="shared" si="93"/>
        <v>1</v>
      </c>
      <c r="J724">
        <f>_xlfn.XLOOKUP(H724, Fact_Events!$A$2:$A$20, Fact_Events!$F$2:$F$20, "")</f>
        <v>5</v>
      </c>
      <c r="K724" t="str">
        <f t="shared" si="94"/>
        <v>Medium</v>
      </c>
      <c r="L724">
        <f t="shared" si="95"/>
        <v>0.85000000000000009</v>
      </c>
      <c r="M724">
        <f>_xlfn.XLOOKUP(B724, Dim_Hotel!$A$2:$A$11, Dim_Hotel!$I$2:$I$11)
 + (IF(J724="",0,J724)
    * _xlfn.XLOOKUP(B724, Dim_Hotel!$A$2:$A$11, Dim_Hotel!$J$2:$J$11))</f>
        <v>205</v>
      </c>
    </row>
    <row r="725" spans="1:13" x14ac:dyDescent="0.25">
      <c r="A725" s="1">
        <f t="shared" si="88"/>
        <v>46095</v>
      </c>
      <c r="B725" t="str" cm="1">
        <f t="array" ref="B725">INDEX(HotelList,MOD(ROW()-2,10)+1)</f>
        <v>H004</v>
      </c>
      <c r="C725">
        <f>_xlfn.XLOOKUP(B725,Dim_Hotel!$A$2:$A$11,Dim_Hotel!$F$2:$F$11)</f>
        <v>108</v>
      </c>
      <c r="D725">
        <f t="shared" si="89"/>
        <v>92</v>
      </c>
      <c r="E725">
        <f t="shared" si="90"/>
        <v>0.85185185185185186</v>
      </c>
      <c r="F725">
        <f t="shared" si="91"/>
        <v>195</v>
      </c>
      <c r="G725">
        <f t="shared" si="92"/>
        <v>166.11111111111111</v>
      </c>
      <c r="H725" t="str">
        <f>_xlfn.XLOOKUP(A725,Fact_Events!$D$2:$D$20,Fact_Events!$A$2:$A$20, "")</f>
        <v>E004</v>
      </c>
      <c r="I725">
        <f t="shared" si="93"/>
        <v>1</v>
      </c>
      <c r="J725">
        <f>_xlfn.XLOOKUP(H725, Fact_Events!$A$2:$A$20, Fact_Events!$F$2:$F$20, "")</f>
        <v>5</v>
      </c>
      <c r="K725" t="str">
        <f t="shared" si="94"/>
        <v>Medium</v>
      </c>
      <c r="L725">
        <f t="shared" si="95"/>
        <v>0.85000000000000009</v>
      </c>
      <c r="M725">
        <f>_xlfn.XLOOKUP(B725, Dim_Hotel!$A$2:$A$11, Dim_Hotel!$I$2:$I$11)
 + (IF(J725="",0,J725)
    * _xlfn.XLOOKUP(B725, Dim_Hotel!$A$2:$A$11, Dim_Hotel!$J$2:$J$11))</f>
        <v>195</v>
      </c>
    </row>
    <row r="726" spans="1:13" x14ac:dyDescent="0.25">
      <c r="A726" s="1">
        <f t="shared" si="88"/>
        <v>46095</v>
      </c>
      <c r="B726" t="str" cm="1">
        <f t="array" ref="B726">INDEX(HotelList,MOD(ROW()-2,10)+1)</f>
        <v>H005</v>
      </c>
      <c r="C726">
        <f>_xlfn.XLOOKUP(B726,Dim_Hotel!$A$2:$A$11,Dim_Hotel!$F$2:$F$11)</f>
        <v>66</v>
      </c>
      <c r="D726">
        <f t="shared" si="89"/>
        <v>56</v>
      </c>
      <c r="E726">
        <f t="shared" si="90"/>
        <v>0.84848484848484851</v>
      </c>
      <c r="F726">
        <f t="shared" si="91"/>
        <v>122</v>
      </c>
      <c r="G726">
        <f t="shared" si="92"/>
        <v>103.51515151515152</v>
      </c>
      <c r="H726" t="str">
        <f>_xlfn.XLOOKUP(A726,Fact_Events!$D$2:$D$20,Fact_Events!$A$2:$A$20, "")</f>
        <v>E004</v>
      </c>
      <c r="I726">
        <f t="shared" si="93"/>
        <v>1</v>
      </c>
      <c r="J726">
        <f>_xlfn.XLOOKUP(H726, Fact_Events!$A$2:$A$20, Fact_Events!$F$2:$F$20, "")</f>
        <v>5</v>
      </c>
      <c r="K726" t="str">
        <f t="shared" si="94"/>
        <v>Medium</v>
      </c>
      <c r="L726">
        <f t="shared" si="95"/>
        <v>0.85000000000000009</v>
      </c>
      <c r="M726">
        <f>_xlfn.XLOOKUP(B726, Dim_Hotel!$A$2:$A$11, Dim_Hotel!$I$2:$I$11)
 + (IF(J726="",0,J726)
    * _xlfn.XLOOKUP(B726, Dim_Hotel!$A$2:$A$11, Dim_Hotel!$J$2:$J$11))</f>
        <v>122</v>
      </c>
    </row>
    <row r="727" spans="1:13" x14ac:dyDescent="0.25">
      <c r="A727" s="1">
        <f t="shared" si="88"/>
        <v>46095</v>
      </c>
      <c r="B727" t="str" cm="1">
        <f t="array" ref="B727">INDEX(HotelList,MOD(ROW()-2,10)+1)</f>
        <v>H006</v>
      </c>
      <c r="C727">
        <f>_xlfn.XLOOKUP(B727,Dim_Hotel!$A$2:$A$11,Dim_Hotel!$F$2:$F$11)</f>
        <v>311</v>
      </c>
      <c r="D727">
        <f t="shared" si="89"/>
        <v>264</v>
      </c>
      <c r="E727">
        <f t="shared" si="90"/>
        <v>0.84887459807073951</v>
      </c>
      <c r="F727">
        <f t="shared" si="91"/>
        <v>265</v>
      </c>
      <c r="G727">
        <f t="shared" si="92"/>
        <v>224.95176848874596</v>
      </c>
      <c r="H727" t="str">
        <f>_xlfn.XLOOKUP(A727,Fact_Events!$D$2:$D$20,Fact_Events!$A$2:$A$20, "")</f>
        <v>E004</v>
      </c>
      <c r="I727">
        <f t="shared" si="93"/>
        <v>1</v>
      </c>
      <c r="J727">
        <f>_xlfn.XLOOKUP(H727, Fact_Events!$A$2:$A$20, Fact_Events!$F$2:$F$20, "")</f>
        <v>5</v>
      </c>
      <c r="K727" t="str">
        <f t="shared" si="94"/>
        <v>Medium</v>
      </c>
      <c r="L727">
        <f t="shared" si="95"/>
        <v>0.85000000000000009</v>
      </c>
      <c r="M727">
        <f>_xlfn.XLOOKUP(B727, Dim_Hotel!$A$2:$A$11, Dim_Hotel!$I$2:$I$11)
 + (IF(J727="",0,J727)
    * _xlfn.XLOOKUP(B727, Dim_Hotel!$A$2:$A$11, Dim_Hotel!$J$2:$J$11))</f>
        <v>265</v>
      </c>
    </row>
    <row r="728" spans="1:13" x14ac:dyDescent="0.25">
      <c r="A728" s="1">
        <f t="shared" si="88"/>
        <v>46095</v>
      </c>
      <c r="B728" t="str" cm="1">
        <f t="array" ref="B728">INDEX(HotelList,MOD(ROW()-2,10)+1)</f>
        <v>H007</v>
      </c>
      <c r="C728">
        <f>_xlfn.XLOOKUP(B728,Dim_Hotel!$A$2:$A$11,Dim_Hotel!$F$2:$F$11)</f>
        <v>132</v>
      </c>
      <c r="D728">
        <f t="shared" si="89"/>
        <v>112</v>
      </c>
      <c r="E728">
        <f t="shared" si="90"/>
        <v>0.84848484848484851</v>
      </c>
      <c r="F728">
        <f t="shared" si="91"/>
        <v>230</v>
      </c>
      <c r="G728">
        <f t="shared" si="92"/>
        <v>195.15151515151516</v>
      </c>
      <c r="H728" t="str">
        <f>_xlfn.XLOOKUP(A728,Fact_Events!$D$2:$D$20,Fact_Events!$A$2:$A$20, "")</f>
        <v>E004</v>
      </c>
      <c r="I728">
        <f t="shared" si="93"/>
        <v>1</v>
      </c>
      <c r="J728">
        <f>_xlfn.XLOOKUP(H728, Fact_Events!$A$2:$A$20, Fact_Events!$F$2:$F$20, "")</f>
        <v>5</v>
      </c>
      <c r="K728" t="str">
        <f t="shared" si="94"/>
        <v>Medium</v>
      </c>
      <c r="L728">
        <f t="shared" si="95"/>
        <v>0.85000000000000009</v>
      </c>
      <c r="M728">
        <f>_xlfn.XLOOKUP(B728, Dim_Hotel!$A$2:$A$11, Dim_Hotel!$I$2:$I$11)
 + (IF(J728="",0,J728)
    * _xlfn.XLOOKUP(B728, Dim_Hotel!$A$2:$A$11, Dim_Hotel!$J$2:$J$11))</f>
        <v>230</v>
      </c>
    </row>
    <row r="729" spans="1:13" x14ac:dyDescent="0.25">
      <c r="A729" s="1">
        <f t="shared" si="88"/>
        <v>46095</v>
      </c>
      <c r="B729" t="str" cm="1">
        <f t="array" ref="B729">INDEX(HotelList,MOD(ROW()-2,10)+1)</f>
        <v>H008</v>
      </c>
      <c r="C729">
        <f>_xlfn.XLOOKUP(B729,Dim_Hotel!$A$2:$A$11,Dim_Hotel!$F$2:$F$11)</f>
        <v>103</v>
      </c>
      <c r="D729">
        <f t="shared" si="89"/>
        <v>88</v>
      </c>
      <c r="E729">
        <f t="shared" si="90"/>
        <v>0.85436893203883491</v>
      </c>
      <c r="F729">
        <f t="shared" si="91"/>
        <v>200</v>
      </c>
      <c r="G729">
        <f t="shared" si="92"/>
        <v>170.87378640776697</v>
      </c>
      <c r="H729" t="str">
        <f>_xlfn.XLOOKUP(A729,Fact_Events!$D$2:$D$20,Fact_Events!$A$2:$A$20, "")</f>
        <v>E004</v>
      </c>
      <c r="I729">
        <f t="shared" si="93"/>
        <v>1</v>
      </c>
      <c r="J729">
        <f>_xlfn.XLOOKUP(H729, Fact_Events!$A$2:$A$20, Fact_Events!$F$2:$F$20, "")</f>
        <v>5</v>
      </c>
      <c r="K729" t="str">
        <f t="shared" si="94"/>
        <v>Medium</v>
      </c>
      <c r="L729">
        <f t="shared" si="95"/>
        <v>0.85000000000000009</v>
      </c>
      <c r="M729">
        <f>_xlfn.XLOOKUP(B729, Dim_Hotel!$A$2:$A$11, Dim_Hotel!$I$2:$I$11)
 + (IF(J729="",0,J729)
    * _xlfn.XLOOKUP(B729, Dim_Hotel!$A$2:$A$11, Dim_Hotel!$J$2:$J$11))</f>
        <v>200</v>
      </c>
    </row>
    <row r="730" spans="1:13" x14ac:dyDescent="0.25">
      <c r="A730" s="1">
        <f t="shared" si="88"/>
        <v>46095</v>
      </c>
      <c r="B730" t="str" cm="1">
        <f t="array" ref="B730">INDEX(HotelList,MOD(ROW()-2,10)+1)</f>
        <v>H009</v>
      </c>
      <c r="C730">
        <f>_xlfn.XLOOKUP(B730,Dim_Hotel!$A$2:$A$11,Dim_Hotel!$F$2:$F$11)</f>
        <v>114</v>
      </c>
      <c r="D730">
        <f t="shared" si="89"/>
        <v>97</v>
      </c>
      <c r="E730">
        <f t="shared" si="90"/>
        <v>0.85087719298245612</v>
      </c>
      <c r="F730">
        <f t="shared" si="91"/>
        <v>235</v>
      </c>
      <c r="G730">
        <f t="shared" si="92"/>
        <v>199.95614035087718</v>
      </c>
      <c r="H730" t="str">
        <f>_xlfn.XLOOKUP(A730,Fact_Events!$D$2:$D$20,Fact_Events!$A$2:$A$20, "")</f>
        <v>E004</v>
      </c>
      <c r="I730">
        <f t="shared" si="93"/>
        <v>1</v>
      </c>
      <c r="J730">
        <f>_xlfn.XLOOKUP(H730, Fact_Events!$A$2:$A$20, Fact_Events!$F$2:$F$20, "")</f>
        <v>5</v>
      </c>
      <c r="K730" t="str">
        <f t="shared" si="94"/>
        <v>Medium</v>
      </c>
      <c r="L730">
        <f t="shared" si="95"/>
        <v>0.85000000000000009</v>
      </c>
      <c r="M730">
        <f>_xlfn.XLOOKUP(B730, Dim_Hotel!$A$2:$A$11, Dim_Hotel!$I$2:$I$11)
 + (IF(J730="",0,J730)
    * _xlfn.XLOOKUP(B730, Dim_Hotel!$A$2:$A$11, Dim_Hotel!$J$2:$J$11))</f>
        <v>235</v>
      </c>
    </row>
    <row r="731" spans="1:13" x14ac:dyDescent="0.25">
      <c r="A731" s="1">
        <f t="shared" si="88"/>
        <v>46095</v>
      </c>
      <c r="B731" t="str" cm="1">
        <f t="array" ref="B731">INDEX(HotelList,MOD(ROW()-2,10)+1)</f>
        <v>H010</v>
      </c>
      <c r="C731">
        <f>_xlfn.XLOOKUP(B731,Dim_Hotel!$A$2:$A$11,Dim_Hotel!$F$2:$F$11)</f>
        <v>89</v>
      </c>
      <c r="D731">
        <f t="shared" si="89"/>
        <v>76</v>
      </c>
      <c r="E731">
        <f t="shared" si="90"/>
        <v>0.8539325842696629</v>
      </c>
      <c r="F731">
        <f t="shared" si="91"/>
        <v>200</v>
      </c>
      <c r="G731">
        <f t="shared" si="92"/>
        <v>170.78651685393257</v>
      </c>
      <c r="H731" t="str">
        <f>_xlfn.XLOOKUP(A731,Fact_Events!$D$2:$D$20,Fact_Events!$A$2:$A$20, "")</f>
        <v>E004</v>
      </c>
      <c r="I731">
        <f t="shared" si="93"/>
        <v>1</v>
      </c>
      <c r="J731">
        <f>_xlfn.XLOOKUP(H731, Fact_Events!$A$2:$A$20, Fact_Events!$F$2:$F$20, "")</f>
        <v>5</v>
      </c>
      <c r="K731" t="str">
        <f t="shared" si="94"/>
        <v>Medium</v>
      </c>
      <c r="L731">
        <f t="shared" si="95"/>
        <v>0.85000000000000009</v>
      </c>
      <c r="M731">
        <f>_xlfn.XLOOKUP(B731, Dim_Hotel!$A$2:$A$11, Dim_Hotel!$I$2:$I$11)
 + (IF(J731="",0,J731)
    * _xlfn.XLOOKUP(B731, Dim_Hotel!$A$2:$A$11, Dim_Hotel!$J$2:$J$11))</f>
        <v>200</v>
      </c>
    </row>
    <row r="732" spans="1:13" x14ac:dyDescent="0.25">
      <c r="A732" s="1">
        <f t="shared" si="88"/>
        <v>46096</v>
      </c>
      <c r="B732" t="str" cm="1">
        <f t="array" ref="B732">INDEX(HotelList,MOD(ROW()-2,10)+1)</f>
        <v>H001</v>
      </c>
      <c r="C732">
        <f>_xlfn.XLOOKUP(B732,Dim_Hotel!$A$2:$A$11,Dim_Hotel!$F$2:$F$11)</f>
        <v>888</v>
      </c>
      <c r="D732">
        <f t="shared" si="89"/>
        <v>755</v>
      </c>
      <c r="E732">
        <f t="shared" si="90"/>
        <v>0.85022522522522526</v>
      </c>
      <c r="F732">
        <f t="shared" si="91"/>
        <v>350</v>
      </c>
      <c r="G732">
        <f t="shared" si="92"/>
        <v>297.57882882882882</v>
      </c>
      <c r="H732" t="str">
        <f>_xlfn.XLOOKUP(A732,Fact_Events!$D$2:$D$20,Fact_Events!$A$2:$A$20, "")</f>
        <v>E005</v>
      </c>
      <c r="I732">
        <f t="shared" si="93"/>
        <v>1</v>
      </c>
      <c r="J732">
        <f>_xlfn.XLOOKUP(H732, Fact_Events!$A$2:$A$20, Fact_Events!$F$2:$F$20, "")</f>
        <v>5</v>
      </c>
      <c r="K732" t="str">
        <f t="shared" si="94"/>
        <v>Medium</v>
      </c>
      <c r="L732">
        <f t="shared" si="95"/>
        <v>0.85000000000000009</v>
      </c>
      <c r="M732">
        <f>_xlfn.XLOOKUP(B732, Dim_Hotel!$A$2:$A$11, Dim_Hotel!$I$2:$I$11)
 + (IF(J732="",0,J732)
    * _xlfn.XLOOKUP(B732, Dim_Hotel!$A$2:$A$11, Dim_Hotel!$J$2:$J$11))</f>
        <v>350</v>
      </c>
    </row>
    <row r="733" spans="1:13" x14ac:dyDescent="0.25">
      <c r="A733" s="1">
        <f t="shared" si="88"/>
        <v>46096</v>
      </c>
      <c r="B733" t="str" cm="1">
        <f t="array" ref="B733">INDEX(HotelList,MOD(ROW()-2,10)+1)</f>
        <v>H002</v>
      </c>
      <c r="C733">
        <f>_xlfn.XLOOKUP(B733,Dim_Hotel!$A$2:$A$11,Dim_Hotel!$F$2:$F$11)</f>
        <v>147</v>
      </c>
      <c r="D733">
        <f t="shared" si="89"/>
        <v>125</v>
      </c>
      <c r="E733">
        <f t="shared" si="90"/>
        <v>0.85034013605442171</v>
      </c>
      <c r="F733">
        <f t="shared" si="91"/>
        <v>245</v>
      </c>
      <c r="G733">
        <f t="shared" si="92"/>
        <v>208.33333333333331</v>
      </c>
      <c r="H733" t="str">
        <f>_xlfn.XLOOKUP(A733,Fact_Events!$D$2:$D$20,Fact_Events!$A$2:$A$20, "")</f>
        <v>E005</v>
      </c>
      <c r="I733">
        <f t="shared" si="93"/>
        <v>1</v>
      </c>
      <c r="J733">
        <f>_xlfn.XLOOKUP(H733, Fact_Events!$A$2:$A$20, Fact_Events!$F$2:$F$20, "")</f>
        <v>5</v>
      </c>
      <c r="K733" t="str">
        <f t="shared" si="94"/>
        <v>Medium</v>
      </c>
      <c r="L733">
        <f t="shared" si="95"/>
        <v>0.85000000000000009</v>
      </c>
      <c r="M733">
        <f>_xlfn.XLOOKUP(B733, Dim_Hotel!$A$2:$A$11, Dim_Hotel!$I$2:$I$11)
 + (IF(J733="",0,J733)
    * _xlfn.XLOOKUP(B733, Dim_Hotel!$A$2:$A$11, Dim_Hotel!$J$2:$J$11))</f>
        <v>245</v>
      </c>
    </row>
    <row r="734" spans="1:13" x14ac:dyDescent="0.25">
      <c r="A734" s="1">
        <f t="shared" si="88"/>
        <v>46096</v>
      </c>
      <c r="B734" t="str" cm="1">
        <f t="array" ref="B734">INDEX(HotelList,MOD(ROW()-2,10)+1)</f>
        <v>H003</v>
      </c>
      <c r="C734">
        <f>_xlfn.XLOOKUP(B734,Dim_Hotel!$A$2:$A$11,Dim_Hotel!$F$2:$F$11)</f>
        <v>121</v>
      </c>
      <c r="D734">
        <f t="shared" si="89"/>
        <v>103</v>
      </c>
      <c r="E734">
        <f t="shared" si="90"/>
        <v>0.85123966942148765</v>
      </c>
      <c r="F734">
        <f t="shared" si="91"/>
        <v>205</v>
      </c>
      <c r="G734">
        <f t="shared" si="92"/>
        <v>174.50413223140498</v>
      </c>
      <c r="H734" t="str">
        <f>_xlfn.XLOOKUP(A734,Fact_Events!$D$2:$D$20,Fact_Events!$A$2:$A$20, "")</f>
        <v>E005</v>
      </c>
      <c r="I734">
        <f t="shared" si="93"/>
        <v>1</v>
      </c>
      <c r="J734">
        <f>_xlfn.XLOOKUP(H734, Fact_Events!$A$2:$A$20, Fact_Events!$F$2:$F$20, "")</f>
        <v>5</v>
      </c>
      <c r="K734" t="str">
        <f t="shared" si="94"/>
        <v>Medium</v>
      </c>
      <c r="L734">
        <f t="shared" si="95"/>
        <v>0.85000000000000009</v>
      </c>
      <c r="M734">
        <f>_xlfn.XLOOKUP(B734, Dim_Hotel!$A$2:$A$11, Dim_Hotel!$I$2:$I$11)
 + (IF(J734="",0,J734)
    * _xlfn.XLOOKUP(B734, Dim_Hotel!$A$2:$A$11, Dim_Hotel!$J$2:$J$11))</f>
        <v>205</v>
      </c>
    </row>
    <row r="735" spans="1:13" x14ac:dyDescent="0.25">
      <c r="A735" s="1">
        <f t="shared" si="88"/>
        <v>46096</v>
      </c>
      <c r="B735" t="str" cm="1">
        <f t="array" ref="B735">INDEX(HotelList,MOD(ROW()-2,10)+1)</f>
        <v>H004</v>
      </c>
      <c r="C735">
        <f>_xlfn.XLOOKUP(B735,Dim_Hotel!$A$2:$A$11,Dim_Hotel!$F$2:$F$11)</f>
        <v>108</v>
      </c>
      <c r="D735">
        <f t="shared" si="89"/>
        <v>92</v>
      </c>
      <c r="E735">
        <f t="shared" si="90"/>
        <v>0.85185185185185186</v>
      </c>
      <c r="F735">
        <f t="shared" si="91"/>
        <v>195</v>
      </c>
      <c r="G735">
        <f t="shared" si="92"/>
        <v>166.11111111111111</v>
      </c>
      <c r="H735" t="str">
        <f>_xlfn.XLOOKUP(A735,Fact_Events!$D$2:$D$20,Fact_Events!$A$2:$A$20, "")</f>
        <v>E005</v>
      </c>
      <c r="I735">
        <f t="shared" si="93"/>
        <v>1</v>
      </c>
      <c r="J735">
        <f>_xlfn.XLOOKUP(H735, Fact_Events!$A$2:$A$20, Fact_Events!$F$2:$F$20, "")</f>
        <v>5</v>
      </c>
      <c r="K735" t="str">
        <f t="shared" si="94"/>
        <v>Medium</v>
      </c>
      <c r="L735">
        <f t="shared" si="95"/>
        <v>0.85000000000000009</v>
      </c>
      <c r="M735">
        <f>_xlfn.XLOOKUP(B735, Dim_Hotel!$A$2:$A$11, Dim_Hotel!$I$2:$I$11)
 + (IF(J735="",0,J735)
    * _xlfn.XLOOKUP(B735, Dim_Hotel!$A$2:$A$11, Dim_Hotel!$J$2:$J$11))</f>
        <v>195</v>
      </c>
    </row>
    <row r="736" spans="1:13" x14ac:dyDescent="0.25">
      <c r="A736" s="1">
        <f t="shared" si="88"/>
        <v>46096</v>
      </c>
      <c r="B736" t="str" cm="1">
        <f t="array" ref="B736">INDEX(HotelList,MOD(ROW()-2,10)+1)</f>
        <v>H005</v>
      </c>
      <c r="C736">
        <f>_xlfn.XLOOKUP(B736,Dim_Hotel!$A$2:$A$11,Dim_Hotel!$F$2:$F$11)</f>
        <v>66</v>
      </c>
      <c r="D736">
        <f t="shared" si="89"/>
        <v>56</v>
      </c>
      <c r="E736">
        <f t="shared" si="90"/>
        <v>0.84848484848484851</v>
      </c>
      <c r="F736">
        <f t="shared" si="91"/>
        <v>122</v>
      </c>
      <c r="G736">
        <f t="shared" si="92"/>
        <v>103.51515151515152</v>
      </c>
      <c r="H736" t="str">
        <f>_xlfn.XLOOKUP(A736,Fact_Events!$D$2:$D$20,Fact_Events!$A$2:$A$20, "")</f>
        <v>E005</v>
      </c>
      <c r="I736">
        <f t="shared" si="93"/>
        <v>1</v>
      </c>
      <c r="J736">
        <f>_xlfn.XLOOKUP(H736, Fact_Events!$A$2:$A$20, Fact_Events!$F$2:$F$20, "")</f>
        <v>5</v>
      </c>
      <c r="K736" t="str">
        <f t="shared" si="94"/>
        <v>Medium</v>
      </c>
      <c r="L736">
        <f t="shared" si="95"/>
        <v>0.85000000000000009</v>
      </c>
      <c r="M736">
        <f>_xlfn.XLOOKUP(B736, Dim_Hotel!$A$2:$A$11, Dim_Hotel!$I$2:$I$11)
 + (IF(J736="",0,J736)
    * _xlfn.XLOOKUP(B736, Dim_Hotel!$A$2:$A$11, Dim_Hotel!$J$2:$J$11))</f>
        <v>122</v>
      </c>
    </row>
    <row r="737" spans="1:13" x14ac:dyDescent="0.25">
      <c r="A737" s="1">
        <f t="shared" si="88"/>
        <v>46096</v>
      </c>
      <c r="B737" t="str" cm="1">
        <f t="array" ref="B737">INDEX(HotelList,MOD(ROW()-2,10)+1)</f>
        <v>H006</v>
      </c>
      <c r="C737">
        <f>_xlfn.XLOOKUP(B737,Dim_Hotel!$A$2:$A$11,Dim_Hotel!$F$2:$F$11)</f>
        <v>311</v>
      </c>
      <c r="D737">
        <f t="shared" si="89"/>
        <v>264</v>
      </c>
      <c r="E737">
        <f t="shared" si="90"/>
        <v>0.84887459807073951</v>
      </c>
      <c r="F737">
        <f t="shared" si="91"/>
        <v>265</v>
      </c>
      <c r="G737">
        <f t="shared" si="92"/>
        <v>224.95176848874596</v>
      </c>
      <c r="H737" t="str">
        <f>_xlfn.XLOOKUP(A737,Fact_Events!$D$2:$D$20,Fact_Events!$A$2:$A$20, "")</f>
        <v>E005</v>
      </c>
      <c r="I737">
        <f t="shared" si="93"/>
        <v>1</v>
      </c>
      <c r="J737">
        <f>_xlfn.XLOOKUP(H737, Fact_Events!$A$2:$A$20, Fact_Events!$F$2:$F$20, "")</f>
        <v>5</v>
      </c>
      <c r="K737" t="str">
        <f t="shared" si="94"/>
        <v>Medium</v>
      </c>
      <c r="L737">
        <f t="shared" si="95"/>
        <v>0.85000000000000009</v>
      </c>
      <c r="M737">
        <f>_xlfn.XLOOKUP(B737, Dim_Hotel!$A$2:$A$11, Dim_Hotel!$I$2:$I$11)
 + (IF(J737="",0,J737)
    * _xlfn.XLOOKUP(B737, Dim_Hotel!$A$2:$A$11, Dim_Hotel!$J$2:$J$11))</f>
        <v>265</v>
      </c>
    </row>
    <row r="738" spans="1:13" x14ac:dyDescent="0.25">
      <c r="A738" s="1">
        <f t="shared" si="88"/>
        <v>46096</v>
      </c>
      <c r="B738" t="str" cm="1">
        <f t="array" ref="B738">INDEX(HotelList,MOD(ROW()-2,10)+1)</f>
        <v>H007</v>
      </c>
      <c r="C738">
        <f>_xlfn.XLOOKUP(B738,Dim_Hotel!$A$2:$A$11,Dim_Hotel!$F$2:$F$11)</f>
        <v>132</v>
      </c>
      <c r="D738">
        <f t="shared" si="89"/>
        <v>112</v>
      </c>
      <c r="E738">
        <f t="shared" si="90"/>
        <v>0.84848484848484851</v>
      </c>
      <c r="F738">
        <f t="shared" si="91"/>
        <v>230</v>
      </c>
      <c r="G738">
        <f t="shared" si="92"/>
        <v>195.15151515151516</v>
      </c>
      <c r="H738" t="str">
        <f>_xlfn.XLOOKUP(A738,Fact_Events!$D$2:$D$20,Fact_Events!$A$2:$A$20, "")</f>
        <v>E005</v>
      </c>
      <c r="I738">
        <f t="shared" si="93"/>
        <v>1</v>
      </c>
      <c r="J738">
        <f>_xlfn.XLOOKUP(H738, Fact_Events!$A$2:$A$20, Fact_Events!$F$2:$F$20, "")</f>
        <v>5</v>
      </c>
      <c r="K738" t="str">
        <f t="shared" si="94"/>
        <v>Medium</v>
      </c>
      <c r="L738">
        <f t="shared" si="95"/>
        <v>0.85000000000000009</v>
      </c>
      <c r="M738">
        <f>_xlfn.XLOOKUP(B738, Dim_Hotel!$A$2:$A$11, Dim_Hotel!$I$2:$I$11)
 + (IF(J738="",0,J738)
    * _xlfn.XLOOKUP(B738, Dim_Hotel!$A$2:$A$11, Dim_Hotel!$J$2:$J$11))</f>
        <v>230</v>
      </c>
    </row>
    <row r="739" spans="1:13" x14ac:dyDescent="0.25">
      <c r="A739" s="1">
        <f t="shared" si="88"/>
        <v>46096</v>
      </c>
      <c r="B739" t="str" cm="1">
        <f t="array" ref="B739">INDEX(HotelList,MOD(ROW()-2,10)+1)</f>
        <v>H008</v>
      </c>
      <c r="C739">
        <f>_xlfn.XLOOKUP(B739,Dim_Hotel!$A$2:$A$11,Dim_Hotel!$F$2:$F$11)</f>
        <v>103</v>
      </c>
      <c r="D739">
        <f t="shared" si="89"/>
        <v>88</v>
      </c>
      <c r="E739">
        <f t="shared" si="90"/>
        <v>0.85436893203883491</v>
      </c>
      <c r="F739">
        <f t="shared" si="91"/>
        <v>200</v>
      </c>
      <c r="G739">
        <f t="shared" si="92"/>
        <v>170.87378640776697</v>
      </c>
      <c r="H739" t="str">
        <f>_xlfn.XLOOKUP(A739,Fact_Events!$D$2:$D$20,Fact_Events!$A$2:$A$20, "")</f>
        <v>E005</v>
      </c>
      <c r="I739">
        <f t="shared" si="93"/>
        <v>1</v>
      </c>
      <c r="J739">
        <f>_xlfn.XLOOKUP(H739, Fact_Events!$A$2:$A$20, Fact_Events!$F$2:$F$20, "")</f>
        <v>5</v>
      </c>
      <c r="K739" t="str">
        <f t="shared" si="94"/>
        <v>Medium</v>
      </c>
      <c r="L739">
        <f t="shared" si="95"/>
        <v>0.85000000000000009</v>
      </c>
      <c r="M739">
        <f>_xlfn.XLOOKUP(B739, Dim_Hotel!$A$2:$A$11, Dim_Hotel!$I$2:$I$11)
 + (IF(J739="",0,J739)
    * _xlfn.XLOOKUP(B739, Dim_Hotel!$A$2:$A$11, Dim_Hotel!$J$2:$J$11))</f>
        <v>200</v>
      </c>
    </row>
    <row r="740" spans="1:13" x14ac:dyDescent="0.25">
      <c r="A740" s="1">
        <f t="shared" si="88"/>
        <v>46096</v>
      </c>
      <c r="B740" t="str" cm="1">
        <f t="array" ref="B740">INDEX(HotelList,MOD(ROW()-2,10)+1)</f>
        <v>H009</v>
      </c>
      <c r="C740">
        <f>_xlfn.XLOOKUP(B740,Dim_Hotel!$A$2:$A$11,Dim_Hotel!$F$2:$F$11)</f>
        <v>114</v>
      </c>
      <c r="D740">
        <f t="shared" si="89"/>
        <v>97</v>
      </c>
      <c r="E740">
        <f t="shared" si="90"/>
        <v>0.85087719298245612</v>
      </c>
      <c r="F740">
        <f t="shared" si="91"/>
        <v>235</v>
      </c>
      <c r="G740">
        <f t="shared" si="92"/>
        <v>199.95614035087718</v>
      </c>
      <c r="H740" t="str">
        <f>_xlfn.XLOOKUP(A740,Fact_Events!$D$2:$D$20,Fact_Events!$A$2:$A$20, "")</f>
        <v>E005</v>
      </c>
      <c r="I740">
        <f t="shared" si="93"/>
        <v>1</v>
      </c>
      <c r="J740">
        <f>_xlfn.XLOOKUP(H740, Fact_Events!$A$2:$A$20, Fact_Events!$F$2:$F$20, "")</f>
        <v>5</v>
      </c>
      <c r="K740" t="str">
        <f t="shared" si="94"/>
        <v>Medium</v>
      </c>
      <c r="L740">
        <f t="shared" si="95"/>
        <v>0.85000000000000009</v>
      </c>
      <c r="M740">
        <f>_xlfn.XLOOKUP(B740, Dim_Hotel!$A$2:$A$11, Dim_Hotel!$I$2:$I$11)
 + (IF(J740="",0,J740)
    * _xlfn.XLOOKUP(B740, Dim_Hotel!$A$2:$A$11, Dim_Hotel!$J$2:$J$11))</f>
        <v>235</v>
      </c>
    </row>
    <row r="741" spans="1:13" x14ac:dyDescent="0.25">
      <c r="A741" s="1">
        <f t="shared" si="88"/>
        <v>46096</v>
      </c>
      <c r="B741" t="str" cm="1">
        <f t="array" ref="B741">INDEX(HotelList,MOD(ROW()-2,10)+1)</f>
        <v>H010</v>
      </c>
      <c r="C741">
        <f>_xlfn.XLOOKUP(B741,Dim_Hotel!$A$2:$A$11,Dim_Hotel!$F$2:$F$11)</f>
        <v>89</v>
      </c>
      <c r="D741">
        <f t="shared" si="89"/>
        <v>76</v>
      </c>
      <c r="E741">
        <f t="shared" si="90"/>
        <v>0.8539325842696629</v>
      </c>
      <c r="F741">
        <f t="shared" si="91"/>
        <v>200</v>
      </c>
      <c r="G741">
        <f t="shared" si="92"/>
        <v>170.78651685393257</v>
      </c>
      <c r="H741" t="str">
        <f>_xlfn.XLOOKUP(A741,Fact_Events!$D$2:$D$20,Fact_Events!$A$2:$A$20, "")</f>
        <v>E005</v>
      </c>
      <c r="I741">
        <f t="shared" si="93"/>
        <v>1</v>
      </c>
      <c r="J741">
        <f>_xlfn.XLOOKUP(H741, Fact_Events!$A$2:$A$20, Fact_Events!$F$2:$F$20, "")</f>
        <v>5</v>
      </c>
      <c r="K741" t="str">
        <f t="shared" si="94"/>
        <v>Medium</v>
      </c>
      <c r="L741">
        <f t="shared" si="95"/>
        <v>0.85000000000000009</v>
      </c>
      <c r="M741">
        <f>_xlfn.XLOOKUP(B741, Dim_Hotel!$A$2:$A$11, Dim_Hotel!$I$2:$I$11)
 + (IF(J741="",0,J741)
    * _xlfn.XLOOKUP(B741, Dim_Hotel!$A$2:$A$11, Dim_Hotel!$J$2:$J$11))</f>
        <v>200</v>
      </c>
    </row>
    <row r="742" spans="1:13" x14ac:dyDescent="0.25">
      <c r="A742" s="1">
        <f t="shared" si="88"/>
        <v>46097</v>
      </c>
      <c r="B742" t="str" cm="1">
        <f t="array" ref="B742">INDEX(HotelList,MOD(ROW()-2,10)+1)</f>
        <v>H001</v>
      </c>
      <c r="C742">
        <f>_xlfn.XLOOKUP(B742,Dim_Hotel!$A$2:$A$11,Dim_Hotel!$F$2:$F$11)</f>
        <v>888</v>
      </c>
      <c r="D742">
        <f t="shared" si="89"/>
        <v>488</v>
      </c>
      <c r="E742">
        <f t="shared" si="90"/>
        <v>0.5495495495495496</v>
      </c>
      <c r="F742">
        <f t="shared" si="91"/>
        <v>260</v>
      </c>
      <c r="G742">
        <f t="shared" si="92"/>
        <v>142.88288288288288</v>
      </c>
      <c r="H742" t="str">
        <f>_xlfn.XLOOKUP(A742,Fact_Events!$D$2:$D$20,Fact_Events!$A$2:$A$20, "")</f>
        <v/>
      </c>
      <c r="I742">
        <f t="shared" si="93"/>
        <v>0</v>
      </c>
      <c r="J742" t="str">
        <f>_xlfn.XLOOKUP(H742, Fact_Events!$A$2:$A$20, Fact_Events!$F$2:$F$20, "")</f>
        <v/>
      </c>
      <c r="K742" t="str">
        <f t="shared" si="94"/>
        <v>Low</v>
      </c>
      <c r="L742">
        <f t="shared" si="95"/>
        <v>0.55000000000000004</v>
      </c>
      <c r="M742">
        <f>_xlfn.XLOOKUP(B742, Dim_Hotel!$A$2:$A$11, Dim_Hotel!$I$2:$I$11)
 + (IF(J742="",0,J742)
    * _xlfn.XLOOKUP(B742, Dim_Hotel!$A$2:$A$11, Dim_Hotel!$J$2:$J$11))</f>
        <v>260</v>
      </c>
    </row>
    <row r="743" spans="1:13" x14ac:dyDescent="0.25">
      <c r="A743" s="1">
        <f t="shared" si="88"/>
        <v>46097</v>
      </c>
      <c r="B743" t="str" cm="1">
        <f t="array" ref="B743">INDEX(HotelList,MOD(ROW()-2,10)+1)</f>
        <v>H002</v>
      </c>
      <c r="C743">
        <f>_xlfn.XLOOKUP(B743,Dim_Hotel!$A$2:$A$11,Dim_Hotel!$F$2:$F$11)</f>
        <v>147</v>
      </c>
      <c r="D743">
        <f t="shared" si="89"/>
        <v>81</v>
      </c>
      <c r="E743">
        <f t="shared" si="90"/>
        <v>0.55102040816326525</v>
      </c>
      <c r="F743">
        <f t="shared" si="91"/>
        <v>175</v>
      </c>
      <c r="G743">
        <f t="shared" si="92"/>
        <v>96.428571428571416</v>
      </c>
      <c r="H743" t="str">
        <f>_xlfn.XLOOKUP(A743,Fact_Events!$D$2:$D$20,Fact_Events!$A$2:$A$20, "")</f>
        <v/>
      </c>
      <c r="I743">
        <f t="shared" si="93"/>
        <v>0</v>
      </c>
      <c r="J743" t="str">
        <f>_xlfn.XLOOKUP(H743, Fact_Events!$A$2:$A$20, Fact_Events!$F$2:$F$20, "")</f>
        <v/>
      </c>
      <c r="K743" t="str">
        <f t="shared" si="94"/>
        <v>Low</v>
      </c>
      <c r="L743">
        <f t="shared" si="95"/>
        <v>0.55000000000000004</v>
      </c>
      <c r="M743">
        <f>_xlfn.XLOOKUP(B743, Dim_Hotel!$A$2:$A$11, Dim_Hotel!$I$2:$I$11)
 + (IF(J743="",0,J743)
    * _xlfn.XLOOKUP(B743, Dim_Hotel!$A$2:$A$11, Dim_Hotel!$J$2:$J$11))</f>
        <v>175</v>
      </c>
    </row>
    <row r="744" spans="1:13" x14ac:dyDescent="0.25">
      <c r="A744" s="1">
        <f t="shared" si="88"/>
        <v>46097</v>
      </c>
      <c r="B744" t="str" cm="1">
        <f t="array" ref="B744">INDEX(HotelList,MOD(ROW()-2,10)+1)</f>
        <v>H003</v>
      </c>
      <c r="C744">
        <f>_xlfn.XLOOKUP(B744,Dim_Hotel!$A$2:$A$11,Dim_Hotel!$F$2:$F$11)</f>
        <v>121</v>
      </c>
      <c r="D744">
        <f t="shared" si="89"/>
        <v>67</v>
      </c>
      <c r="E744">
        <f t="shared" si="90"/>
        <v>0.55371900826446285</v>
      </c>
      <c r="F744">
        <f t="shared" si="91"/>
        <v>145</v>
      </c>
      <c r="G744">
        <f t="shared" si="92"/>
        <v>80.289256198347118</v>
      </c>
      <c r="H744" t="str">
        <f>_xlfn.XLOOKUP(A744,Fact_Events!$D$2:$D$20,Fact_Events!$A$2:$A$20, "")</f>
        <v/>
      </c>
      <c r="I744">
        <f t="shared" si="93"/>
        <v>0</v>
      </c>
      <c r="J744" t="str">
        <f>_xlfn.XLOOKUP(H744, Fact_Events!$A$2:$A$20, Fact_Events!$F$2:$F$20, "")</f>
        <v/>
      </c>
      <c r="K744" t="str">
        <f t="shared" si="94"/>
        <v>Low</v>
      </c>
      <c r="L744">
        <f t="shared" si="95"/>
        <v>0.55000000000000004</v>
      </c>
      <c r="M744">
        <f>_xlfn.XLOOKUP(B744, Dim_Hotel!$A$2:$A$11, Dim_Hotel!$I$2:$I$11)
 + (IF(J744="",0,J744)
    * _xlfn.XLOOKUP(B744, Dim_Hotel!$A$2:$A$11, Dim_Hotel!$J$2:$J$11))</f>
        <v>145</v>
      </c>
    </row>
    <row r="745" spans="1:13" x14ac:dyDescent="0.25">
      <c r="A745" s="1">
        <f t="shared" si="88"/>
        <v>46097</v>
      </c>
      <c r="B745" t="str" cm="1">
        <f t="array" ref="B745">INDEX(HotelList,MOD(ROW()-2,10)+1)</f>
        <v>H004</v>
      </c>
      <c r="C745">
        <f>_xlfn.XLOOKUP(B745,Dim_Hotel!$A$2:$A$11,Dim_Hotel!$F$2:$F$11)</f>
        <v>108</v>
      </c>
      <c r="D745">
        <f t="shared" si="89"/>
        <v>59</v>
      </c>
      <c r="E745">
        <f t="shared" si="90"/>
        <v>0.54629629629629628</v>
      </c>
      <c r="F745">
        <f t="shared" si="91"/>
        <v>135</v>
      </c>
      <c r="G745">
        <f t="shared" si="92"/>
        <v>73.75</v>
      </c>
      <c r="H745" t="str">
        <f>_xlfn.XLOOKUP(A745,Fact_Events!$D$2:$D$20,Fact_Events!$A$2:$A$20, "")</f>
        <v/>
      </c>
      <c r="I745">
        <f t="shared" si="93"/>
        <v>0</v>
      </c>
      <c r="J745" t="str">
        <f>_xlfn.XLOOKUP(H745, Fact_Events!$A$2:$A$20, Fact_Events!$F$2:$F$20, "")</f>
        <v/>
      </c>
      <c r="K745" t="str">
        <f t="shared" si="94"/>
        <v>Low</v>
      </c>
      <c r="L745">
        <f t="shared" si="95"/>
        <v>0.55000000000000004</v>
      </c>
      <c r="M745">
        <f>_xlfn.XLOOKUP(B745, Dim_Hotel!$A$2:$A$11, Dim_Hotel!$I$2:$I$11)
 + (IF(J745="",0,J745)
    * _xlfn.XLOOKUP(B745, Dim_Hotel!$A$2:$A$11, Dim_Hotel!$J$2:$J$11))</f>
        <v>135</v>
      </c>
    </row>
    <row r="746" spans="1:13" x14ac:dyDescent="0.25">
      <c r="A746" s="1">
        <f t="shared" si="88"/>
        <v>46097</v>
      </c>
      <c r="B746" t="str" cm="1">
        <f t="array" ref="B746">INDEX(HotelList,MOD(ROW()-2,10)+1)</f>
        <v>H005</v>
      </c>
      <c r="C746">
        <f>_xlfn.XLOOKUP(B746,Dim_Hotel!$A$2:$A$11,Dim_Hotel!$F$2:$F$11)</f>
        <v>66</v>
      </c>
      <c r="D746">
        <f t="shared" si="89"/>
        <v>36</v>
      </c>
      <c r="E746">
        <f t="shared" si="90"/>
        <v>0.54545454545454541</v>
      </c>
      <c r="F746">
        <f t="shared" si="91"/>
        <v>82</v>
      </c>
      <c r="G746">
        <f t="shared" si="92"/>
        <v>44.727272727272727</v>
      </c>
      <c r="H746" t="str">
        <f>_xlfn.XLOOKUP(A746,Fact_Events!$D$2:$D$20,Fact_Events!$A$2:$A$20, "")</f>
        <v/>
      </c>
      <c r="I746">
        <f t="shared" si="93"/>
        <v>0</v>
      </c>
      <c r="J746" t="str">
        <f>_xlfn.XLOOKUP(H746, Fact_Events!$A$2:$A$20, Fact_Events!$F$2:$F$20, "")</f>
        <v/>
      </c>
      <c r="K746" t="str">
        <f t="shared" si="94"/>
        <v>Low</v>
      </c>
      <c r="L746">
        <f t="shared" si="95"/>
        <v>0.55000000000000004</v>
      </c>
      <c r="M746">
        <f>_xlfn.XLOOKUP(B746, Dim_Hotel!$A$2:$A$11, Dim_Hotel!$I$2:$I$11)
 + (IF(J746="",0,J746)
    * _xlfn.XLOOKUP(B746, Dim_Hotel!$A$2:$A$11, Dim_Hotel!$J$2:$J$11))</f>
        <v>82</v>
      </c>
    </row>
    <row r="747" spans="1:13" x14ac:dyDescent="0.25">
      <c r="A747" s="1">
        <f t="shared" si="88"/>
        <v>46097</v>
      </c>
      <c r="B747" t="str" cm="1">
        <f t="array" ref="B747">INDEX(HotelList,MOD(ROW()-2,10)+1)</f>
        <v>H006</v>
      </c>
      <c r="C747">
        <f>_xlfn.XLOOKUP(B747,Dim_Hotel!$A$2:$A$11,Dim_Hotel!$F$2:$F$11)</f>
        <v>311</v>
      </c>
      <c r="D747">
        <f t="shared" si="89"/>
        <v>171</v>
      </c>
      <c r="E747">
        <f t="shared" si="90"/>
        <v>0.54983922829581988</v>
      </c>
      <c r="F747">
        <f t="shared" si="91"/>
        <v>190</v>
      </c>
      <c r="G747">
        <f t="shared" si="92"/>
        <v>104.46945337620578</v>
      </c>
      <c r="H747" t="str">
        <f>_xlfn.XLOOKUP(A747,Fact_Events!$D$2:$D$20,Fact_Events!$A$2:$A$20, "")</f>
        <v/>
      </c>
      <c r="I747">
        <f t="shared" si="93"/>
        <v>0</v>
      </c>
      <c r="J747" t="str">
        <f>_xlfn.XLOOKUP(H747, Fact_Events!$A$2:$A$20, Fact_Events!$F$2:$F$20, "")</f>
        <v/>
      </c>
      <c r="K747" t="str">
        <f t="shared" si="94"/>
        <v>Low</v>
      </c>
      <c r="L747">
        <f t="shared" si="95"/>
        <v>0.55000000000000004</v>
      </c>
      <c r="M747">
        <f>_xlfn.XLOOKUP(B747, Dim_Hotel!$A$2:$A$11, Dim_Hotel!$I$2:$I$11)
 + (IF(J747="",0,J747)
    * _xlfn.XLOOKUP(B747, Dim_Hotel!$A$2:$A$11, Dim_Hotel!$J$2:$J$11))</f>
        <v>190</v>
      </c>
    </row>
    <row r="748" spans="1:13" x14ac:dyDescent="0.25">
      <c r="A748" s="1">
        <f t="shared" si="88"/>
        <v>46097</v>
      </c>
      <c r="B748" t="str" cm="1">
        <f t="array" ref="B748">INDEX(HotelList,MOD(ROW()-2,10)+1)</f>
        <v>H007</v>
      </c>
      <c r="C748">
        <f>_xlfn.XLOOKUP(B748,Dim_Hotel!$A$2:$A$11,Dim_Hotel!$F$2:$F$11)</f>
        <v>132</v>
      </c>
      <c r="D748">
        <f t="shared" si="89"/>
        <v>73</v>
      </c>
      <c r="E748">
        <f t="shared" si="90"/>
        <v>0.55303030303030298</v>
      </c>
      <c r="F748">
        <f t="shared" si="91"/>
        <v>165</v>
      </c>
      <c r="G748">
        <f t="shared" si="92"/>
        <v>91.249999999999986</v>
      </c>
      <c r="H748" t="str">
        <f>_xlfn.XLOOKUP(A748,Fact_Events!$D$2:$D$20,Fact_Events!$A$2:$A$20, "")</f>
        <v/>
      </c>
      <c r="I748">
        <f t="shared" si="93"/>
        <v>0</v>
      </c>
      <c r="J748" t="str">
        <f>_xlfn.XLOOKUP(H748, Fact_Events!$A$2:$A$20, Fact_Events!$F$2:$F$20, "")</f>
        <v/>
      </c>
      <c r="K748" t="str">
        <f t="shared" si="94"/>
        <v>Low</v>
      </c>
      <c r="L748">
        <f t="shared" si="95"/>
        <v>0.55000000000000004</v>
      </c>
      <c r="M748">
        <f>_xlfn.XLOOKUP(B748, Dim_Hotel!$A$2:$A$11, Dim_Hotel!$I$2:$I$11)
 + (IF(J748="",0,J748)
    * _xlfn.XLOOKUP(B748, Dim_Hotel!$A$2:$A$11, Dim_Hotel!$J$2:$J$11))</f>
        <v>165</v>
      </c>
    </row>
    <row r="749" spans="1:13" x14ac:dyDescent="0.25">
      <c r="A749" s="1">
        <f t="shared" si="88"/>
        <v>46097</v>
      </c>
      <c r="B749" t="str" cm="1">
        <f t="array" ref="B749">INDEX(HotelList,MOD(ROW()-2,10)+1)</f>
        <v>H008</v>
      </c>
      <c r="C749">
        <f>_xlfn.XLOOKUP(B749,Dim_Hotel!$A$2:$A$11,Dim_Hotel!$F$2:$F$11)</f>
        <v>103</v>
      </c>
      <c r="D749">
        <f t="shared" si="89"/>
        <v>57</v>
      </c>
      <c r="E749">
        <f t="shared" si="90"/>
        <v>0.55339805825242716</v>
      </c>
      <c r="F749">
        <f t="shared" si="91"/>
        <v>140</v>
      </c>
      <c r="G749">
        <f t="shared" si="92"/>
        <v>77.475728155339809</v>
      </c>
      <c r="H749" t="str">
        <f>_xlfn.XLOOKUP(A749,Fact_Events!$D$2:$D$20,Fact_Events!$A$2:$A$20, "")</f>
        <v/>
      </c>
      <c r="I749">
        <f t="shared" si="93"/>
        <v>0</v>
      </c>
      <c r="J749" t="str">
        <f>_xlfn.XLOOKUP(H749, Fact_Events!$A$2:$A$20, Fact_Events!$F$2:$F$20, "")</f>
        <v/>
      </c>
      <c r="K749" t="str">
        <f t="shared" si="94"/>
        <v>Low</v>
      </c>
      <c r="L749">
        <f t="shared" si="95"/>
        <v>0.55000000000000004</v>
      </c>
      <c r="M749">
        <f>_xlfn.XLOOKUP(B749, Dim_Hotel!$A$2:$A$11, Dim_Hotel!$I$2:$I$11)
 + (IF(J749="",0,J749)
    * _xlfn.XLOOKUP(B749, Dim_Hotel!$A$2:$A$11, Dim_Hotel!$J$2:$J$11))</f>
        <v>140</v>
      </c>
    </row>
    <row r="750" spans="1:13" x14ac:dyDescent="0.25">
      <c r="A750" s="1">
        <f t="shared" si="88"/>
        <v>46097</v>
      </c>
      <c r="B750" t="str" cm="1">
        <f t="array" ref="B750">INDEX(HotelList,MOD(ROW()-2,10)+1)</f>
        <v>H009</v>
      </c>
      <c r="C750">
        <f>_xlfn.XLOOKUP(B750,Dim_Hotel!$A$2:$A$11,Dim_Hotel!$F$2:$F$11)</f>
        <v>114</v>
      </c>
      <c r="D750">
        <f t="shared" si="89"/>
        <v>63</v>
      </c>
      <c r="E750">
        <f t="shared" si="90"/>
        <v>0.55263157894736847</v>
      </c>
      <c r="F750">
        <f t="shared" si="91"/>
        <v>185</v>
      </c>
      <c r="G750">
        <f t="shared" si="92"/>
        <v>102.23684210526316</v>
      </c>
      <c r="H750" t="str">
        <f>_xlfn.XLOOKUP(A750,Fact_Events!$D$2:$D$20,Fact_Events!$A$2:$A$20, "")</f>
        <v/>
      </c>
      <c r="I750">
        <f t="shared" si="93"/>
        <v>0</v>
      </c>
      <c r="J750" t="str">
        <f>_xlfn.XLOOKUP(H750, Fact_Events!$A$2:$A$20, Fact_Events!$F$2:$F$20, "")</f>
        <v/>
      </c>
      <c r="K750" t="str">
        <f t="shared" si="94"/>
        <v>Low</v>
      </c>
      <c r="L750">
        <f t="shared" si="95"/>
        <v>0.55000000000000004</v>
      </c>
      <c r="M750">
        <f>_xlfn.XLOOKUP(B750, Dim_Hotel!$A$2:$A$11, Dim_Hotel!$I$2:$I$11)
 + (IF(J750="",0,J750)
    * _xlfn.XLOOKUP(B750, Dim_Hotel!$A$2:$A$11, Dim_Hotel!$J$2:$J$11))</f>
        <v>185</v>
      </c>
    </row>
    <row r="751" spans="1:13" x14ac:dyDescent="0.25">
      <c r="A751" s="1">
        <f t="shared" si="88"/>
        <v>46097</v>
      </c>
      <c r="B751" t="str" cm="1">
        <f t="array" ref="B751">INDEX(HotelList,MOD(ROW()-2,10)+1)</f>
        <v>H010</v>
      </c>
      <c r="C751">
        <f>_xlfn.XLOOKUP(B751,Dim_Hotel!$A$2:$A$11,Dim_Hotel!$F$2:$F$11)</f>
        <v>89</v>
      </c>
      <c r="D751">
        <f t="shared" si="89"/>
        <v>49</v>
      </c>
      <c r="E751">
        <f t="shared" si="90"/>
        <v>0.550561797752809</v>
      </c>
      <c r="F751">
        <f t="shared" si="91"/>
        <v>150</v>
      </c>
      <c r="G751">
        <f t="shared" si="92"/>
        <v>82.584269662921344</v>
      </c>
      <c r="H751" t="str">
        <f>_xlfn.XLOOKUP(A751,Fact_Events!$D$2:$D$20,Fact_Events!$A$2:$A$20, "")</f>
        <v/>
      </c>
      <c r="I751">
        <f t="shared" si="93"/>
        <v>0</v>
      </c>
      <c r="J751" t="str">
        <f>_xlfn.XLOOKUP(H751, Fact_Events!$A$2:$A$20, Fact_Events!$F$2:$F$20, "")</f>
        <v/>
      </c>
      <c r="K751" t="str">
        <f t="shared" si="94"/>
        <v>Low</v>
      </c>
      <c r="L751">
        <f t="shared" si="95"/>
        <v>0.55000000000000004</v>
      </c>
      <c r="M751">
        <f>_xlfn.XLOOKUP(B751, Dim_Hotel!$A$2:$A$11, Dim_Hotel!$I$2:$I$11)
 + (IF(J751="",0,J751)
    * _xlfn.XLOOKUP(B751, Dim_Hotel!$A$2:$A$11, Dim_Hotel!$J$2:$J$11))</f>
        <v>150</v>
      </c>
    </row>
    <row r="752" spans="1:13" x14ac:dyDescent="0.25">
      <c r="A752" s="1">
        <f t="shared" si="88"/>
        <v>46098</v>
      </c>
      <c r="B752" t="str" cm="1">
        <f t="array" ref="B752">INDEX(HotelList,MOD(ROW()-2,10)+1)</f>
        <v>H001</v>
      </c>
      <c r="C752">
        <f>_xlfn.XLOOKUP(B752,Dim_Hotel!$A$2:$A$11,Dim_Hotel!$F$2:$F$11)</f>
        <v>888</v>
      </c>
      <c r="D752">
        <f t="shared" si="89"/>
        <v>488</v>
      </c>
      <c r="E752">
        <f t="shared" si="90"/>
        <v>0.5495495495495496</v>
      </c>
      <c r="F752">
        <f t="shared" si="91"/>
        <v>260</v>
      </c>
      <c r="G752">
        <f t="shared" si="92"/>
        <v>142.88288288288288</v>
      </c>
      <c r="H752" t="str">
        <f>_xlfn.XLOOKUP(A752,Fact_Events!$D$2:$D$20,Fact_Events!$A$2:$A$20, "")</f>
        <v/>
      </c>
      <c r="I752">
        <f t="shared" si="93"/>
        <v>0</v>
      </c>
      <c r="J752" t="str">
        <f>_xlfn.XLOOKUP(H752, Fact_Events!$A$2:$A$20, Fact_Events!$F$2:$F$20, "")</f>
        <v/>
      </c>
      <c r="K752" t="str">
        <f t="shared" si="94"/>
        <v>Low</v>
      </c>
      <c r="L752">
        <f t="shared" si="95"/>
        <v>0.55000000000000004</v>
      </c>
      <c r="M752">
        <f>_xlfn.XLOOKUP(B752, Dim_Hotel!$A$2:$A$11, Dim_Hotel!$I$2:$I$11)
 + (IF(J752="",0,J752)
    * _xlfn.XLOOKUP(B752, Dim_Hotel!$A$2:$A$11, Dim_Hotel!$J$2:$J$11))</f>
        <v>260</v>
      </c>
    </row>
    <row r="753" spans="1:13" x14ac:dyDescent="0.25">
      <c r="A753" s="1">
        <f t="shared" si="88"/>
        <v>46098</v>
      </c>
      <c r="B753" t="str" cm="1">
        <f t="array" ref="B753">INDEX(HotelList,MOD(ROW()-2,10)+1)</f>
        <v>H002</v>
      </c>
      <c r="C753">
        <f>_xlfn.XLOOKUP(B753,Dim_Hotel!$A$2:$A$11,Dim_Hotel!$F$2:$F$11)</f>
        <v>147</v>
      </c>
      <c r="D753">
        <f t="shared" si="89"/>
        <v>81</v>
      </c>
      <c r="E753">
        <f t="shared" si="90"/>
        <v>0.55102040816326525</v>
      </c>
      <c r="F753">
        <f t="shared" si="91"/>
        <v>175</v>
      </c>
      <c r="G753">
        <f t="shared" si="92"/>
        <v>96.428571428571416</v>
      </c>
      <c r="H753" t="str">
        <f>_xlfn.XLOOKUP(A753,Fact_Events!$D$2:$D$20,Fact_Events!$A$2:$A$20, "")</f>
        <v/>
      </c>
      <c r="I753">
        <f t="shared" si="93"/>
        <v>0</v>
      </c>
      <c r="J753" t="str">
        <f>_xlfn.XLOOKUP(H753, Fact_Events!$A$2:$A$20, Fact_Events!$F$2:$F$20, "")</f>
        <v/>
      </c>
      <c r="K753" t="str">
        <f t="shared" si="94"/>
        <v>Low</v>
      </c>
      <c r="L753">
        <f t="shared" si="95"/>
        <v>0.55000000000000004</v>
      </c>
      <c r="M753">
        <f>_xlfn.XLOOKUP(B753, Dim_Hotel!$A$2:$A$11, Dim_Hotel!$I$2:$I$11)
 + (IF(J753="",0,J753)
    * _xlfn.XLOOKUP(B753, Dim_Hotel!$A$2:$A$11, Dim_Hotel!$J$2:$J$11))</f>
        <v>175</v>
      </c>
    </row>
    <row r="754" spans="1:13" x14ac:dyDescent="0.25">
      <c r="A754" s="1">
        <f t="shared" si="88"/>
        <v>46098</v>
      </c>
      <c r="B754" t="str" cm="1">
        <f t="array" ref="B754">INDEX(HotelList,MOD(ROW()-2,10)+1)</f>
        <v>H003</v>
      </c>
      <c r="C754">
        <f>_xlfn.XLOOKUP(B754,Dim_Hotel!$A$2:$A$11,Dim_Hotel!$F$2:$F$11)</f>
        <v>121</v>
      </c>
      <c r="D754">
        <f t="shared" si="89"/>
        <v>67</v>
      </c>
      <c r="E754">
        <f t="shared" si="90"/>
        <v>0.55371900826446285</v>
      </c>
      <c r="F754">
        <f t="shared" si="91"/>
        <v>145</v>
      </c>
      <c r="G754">
        <f t="shared" si="92"/>
        <v>80.289256198347118</v>
      </c>
      <c r="H754" t="str">
        <f>_xlfn.XLOOKUP(A754,Fact_Events!$D$2:$D$20,Fact_Events!$A$2:$A$20, "")</f>
        <v/>
      </c>
      <c r="I754">
        <f t="shared" si="93"/>
        <v>0</v>
      </c>
      <c r="J754" t="str">
        <f>_xlfn.XLOOKUP(H754, Fact_Events!$A$2:$A$20, Fact_Events!$F$2:$F$20, "")</f>
        <v/>
      </c>
      <c r="K754" t="str">
        <f t="shared" si="94"/>
        <v>Low</v>
      </c>
      <c r="L754">
        <f t="shared" si="95"/>
        <v>0.55000000000000004</v>
      </c>
      <c r="M754">
        <f>_xlfn.XLOOKUP(B754, Dim_Hotel!$A$2:$A$11, Dim_Hotel!$I$2:$I$11)
 + (IF(J754="",0,J754)
    * _xlfn.XLOOKUP(B754, Dim_Hotel!$A$2:$A$11, Dim_Hotel!$J$2:$J$11))</f>
        <v>145</v>
      </c>
    </row>
    <row r="755" spans="1:13" x14ac:dyDescent="0.25">
      <c r="A755" s="1">
        <f t="shared" si="88"/>
        <v>46098</v>
      </c>
      <c r="B755" t="str" cm="1">
        <f t="array" ref="B755">INDEX(HotelList,MOD(ROW()-2,10)+1)</f>
        <v>H004</v>
      </c>
      <c r="C755">
        <f>_xlfn.XLOOKUP(B755,Dim_Hotel!$A$2:$A$11,Dim_Hotel!$F$2:$F$11)</f>
        <v>108</v>
      </c>
      <c r="D755">
        <f t="shared" si="89"/>
        <v>59</v>
      </c>
      <c r="E755">
        <f t="shared" si="90"/>
        <v>0.54629629629629628</v>
      </c>
      <c r="F755">
        <f t="shared" si="91"/>
        <v>135</v>
      </c>
      <c r="G755">
        <f t="shared" si="92"/>
        <v>73.75</v>
      </c>
      <c r="H755" t="str">
        <f>_xlfn.XLOOKUP(A755,Fact_Events!$D$2:$D$20,Fact_Events!$A$2:$A$20, "")</f>
        <v/>
      </c>
      <c r="I755">
        <f t="shared" si="93"/>
        <v>0</v>
      </c>
      <c r="J755" t="str">
        <f>_xlfn.XLOOKUP(H755, Fact_Events!$A$2:$A$20, Fact_Events!$F$2:$F$20, "")</f>
        <v/>
      </c>
      <c r="K755" t="str">
        <f t="shared" si="94"/>
        <v>Low</v>
      </c>
      <c r="L755">
        <f t="shared" si="95"/>
        <v>0.55000000000000004</v>
      </c>
      <c r="M755">
        <f>_xlfn.XLOOKUP(B755, Dim_Hotel!$A$2:$A$11, Dim_Hotel!$I$2:$I$11)
 + (IF(J755="",0,J755)
    * _xlfn.XLOOKUP(B755, Dim_Hotel!$A$2:$A$11, Dim_Hotel!$J$2:$J$11))</f>
        <v>135</v>
      </c>
    </row>
    <row r="756" spans="1:13" x14ac:dyDescent="0.25">
      <c r="A756" s="1">
        <f t="shared" si="88"/>
        <v>46098</v>
      </c>
      <c r="B756" t="str" cm="1">
        <f t="array" ref="B756">INDEX(HotelList,MOD(ROW()-2,10)+1)</f>
        <v>H005</v>
      </c>
      <c r="C756">
        <f>_xlfn.XLOOKUP(B756,Dim_Hotel!$A$2:$A$11,Dim_Hotel!$F$2:$F$11)</f>
        <v>66</v>
      </c>
      <c r="D756">
        <f t="shared" si="89"/>
        <v>36</v>
      </c>
      <c r="E756">
        <f t="shared" si="90"/>
        <v>0.54545454545454541</v>
      </c>
      <c r="F756">
        <f t="shared" si="91"/>
        <v>82</v>
      </c>
      <c r="G756">
        <f t="shared" si="92"/>
        <v>44.727272727272727</v>
      </c>
      <c r="H756" t="str">
        <f>_xlfn.XLOOKUP(A756,Fact_Events!$D$2:$D$20,Fact_Events!$A$2:$A$20, "")</f>
        <v/>
      </c>
      <c r="I756">
        <f t="shared" si="93"/>
        <v>0</v>
      </c>
      <c r="J756" t="str">
        <f>_xlfn.XLOOKUP(H756, Fact_Events!$A$2:$A$20, Fact_Events!$F$2:$F$20, "")</f>
        <v/>
      </c>
      <c r="K756" t="str">
        <f t="shared" si="94"/>
        <v>Low</v>
      </c>
      <c r="L756">
        <f t="shared" si="95"/>
        <v>0.55000000000000004</v>
      </c>
      <c r="M756">
        <f>_xlfn.XLOOKUP(B756, Dim_Hotel!$A$2:$A$11, Dim_Hotel!$I$2:$I$11)
 + (IF(J756="",0,J756)
    * _xlfn.XLOOKUP(B756, Dim_Hotel!$A$2:$A$11, Dim_Hotel!$J$2:$J$11))</f>
        <v>82</v>
      </c>
    </row>
    <row r="757" spans="1:13" x14ac:dyDescent="0.25">
      <c r="A757" s="1">
        <f t="shared" si="88"/>
        <v>46098</v>
      </c>
      <c r="B757" t="str" cm="1">
        <f t="array" ref="B757">INDEX(HotelList,MOD(ROW()-2,10)+1)</f>
        <v>H006</v>
      </c>
      <c r="C757">
        <f>_xlfn.XLOOKUP(B757,Dim_Hotel!$A$2:$A$11,Dim_Hotel!$F$2:$F$11)</f>
        <v>311</v>
      </c>
      <c r="D757">
        <f t="shared" si="89"/>
        <v>171</v>
      </c>
      <c r="E757">
        <f t="shared" si="90"/>
        <v>0.54983922829581988</v>
      </c>
      <c r="F757">
        <f t="shared" si="91"/>
        <v>190</v>
      </c>
      <c r="G757">
        <f t="shared" si="92"/>
        <v>104.46945337620578</v>
      </c>
      <c r="H757" t="str">
        <f>_xlfn.XLOOKUP(A757,Fact_Events!$D$2:$D$20,Fact_Events!$A$2:$A$20, "")</f>
        <v/>
      </c>
      <c r="I757">
        <f t="shared" si="93"/>
        <v>0</v>
      </c>
      <c r="J757" t="str">
        <f>_xlfn.XLOOKUP(H757, Fact_Events!$A$2:$A$20, Fact_Events!$F$2:$F$20, "")</f>
        <v/>
      </c>
      <c r="K757" t="str">
        <f t="shared" si="94"/>
        <v>Low</v>
      </c>
      <c r="L757">
        <f t="shared" si="95"/>
        <v>0.55000000000000004</v>
      </c>
      <c r="M757">
        <f>_xlfn.XLOOKUP(B757, Dim_Hotel!$A$2:$A$11, Dim_Hotel!$I$2:$I$11)
 + (IF(J757="",0,J757)
    * _xlfn.XLOOKUP(B757, Dim_Hotel!$A$2:$A$11, Dim_Hotel!$J$2:$J$11))</f>
        <v>190</v>
      </c>
    </row>
    <row r="758" spans="1:13" x14ac:dyDescent="0.25">
      <c r="A758" s="1">
        <f t="shared" si="88"/>
        <v>46098</v>
      </c>
      <c r="B758" t="str" cm="1">
        <f t="array" ref="B758">INDEX(HotelList,MOD(ROW()-2,10)+1)</f>
        <v>H007</v>
      </c>
      <c r="C758">
        <f>_xlfn.XLOOKUP(B758,Dim_Hotel!$A$2:$A$11,Dim_Hotel!$F$2:$F$11)</f>
        <v>132</v>
      </c>
      <c r="D758">
        <f t="shared" si="89"/>
        <v>73</v>
      </c>
      <c r="E758">
        <f t="shared" si="90"/>
        <v>0.55303030303030298</v>
      </c>
      <c r="F758">
        <f t="shared" si="91"/>
        <v>165</v>
      </c>
      <c r="G758">
        <f t="shared" si="92"/>
        <v>91.249999999999986</v>
      </c>
      <c r="H758" t="str">
        <f>_xlfn.XLOOKUP(A758,Fact_Events!$D$2:$D$20,Fact_Events!$A$2:$A$20, "")</f>
        <v/>
      </c>
      <c r="I758">
        <f t="shared" si="93"/>
        <v>0</v>
      </c>
      <c r="J758" t="str">
        <f>_xlfn.XLOOKUP(H758, Fact_Events!$A$2:$A$20, Fact_Events!$F$2:$F$20, "")</f>
        <v/>
      </c>
      <c r="K758" t="str">
        <f t="shared" si="94"/>
        <v>Low</v>
      </c>
      <c r="L758">
        <f t="shared" si="95"/>
        <v>0.55000000000000004</v>
      </c>
      <c r="M758">
        <f>_xlfn.XLOOKUP(B758, Dim_Hotel!$A$2:$A$11, Dim_Hotel!$I$2:$I$11)
 + (IF(J758="",0,J758)
    * _xlfn.XLOOKUP(B758, Dim_Hotel!$A$2:$A$11, Dim_Hotel!$J$2:$J$11))</f>
        <v>165</v>
      </c>
    </row>
    <row r="759" spans="1:13" x14ac:dyDescent="0.25">
      <c r="A759" s="1">
        <f t="shared" si="88"/>
        <v>46098</v>
      </c>
      <c r="B759" t="str" cm="1">
        <f t="array" ref="B759">INDEX(HotelList,MOD(ROW()-2,10)+1)</f>
        <v>H008</v>
      </c>
      <c r="C759">
        <f>_xlfn.XLOOKUP(B759,Dim_Hotel!$A$2:$A$11,Dim_Hotel!$F$2:$F$11)</f>
        <v>103</v>
      </c>
      <c r="D759">
        <f t="shared" si="89"/>
        <v>57</v>
      </c>
      <c r="E759">
        <f t="shared" si="90"/>
        <v>0.55339805825242716</v>
      </c>
      <c r="F759">
        <f t="shared" si="91"/>
        <v>140</v>
      </c>
      <c r="G759">
        <f t="shared" si="92"/>
        <v>77.475728155339809</v>
      </c>
      <c r="H759" t="str">
        <f>_xlfn.XLOOKUP(A759,Fact_Events!$D$2:$D$20,Fact_Events!$A$2:$A$20, "")</f>
        <v/>
      </c>
      <c r="I759">
        <f t="shared" si="93"/>
        <v>0</v>
      </c>
      <c r="J759" t="str">
        <f>_xlfn.XLOOKUP(H759, Fact_Events!$A$2:$A$20, Fact_Events!$F$2:$F$20, "")</f>
        <v/>
      </c>
      <c r="K759" t="str">
        <f t="shared" si="94"/>
        <v>Low</v>
      </c>
      <c r="L759">
        <f t="shared" si="95"/>
        <v>0.55000000000000004</v>
      </c>
      <c r="M759">
        <f>_xlfn.XLOOKUP(B759, Dim_Hotel!$A$2:$A$11, Dim_Hotel!$I$2:$I$11)
 + (IF(J759="",0,J759)
    * _xlfn.XLOOKUP(B759, Dim_Hotel!$A$2:$A$11, Dim_Hotel!$J$2:$J$11))</f>
        <v>140</v>
      </c>
    </row>
    <row r="760" spans="1:13" x14ac:dyDescent="0.25">
      <c r="A760" s="1">
        <f t="shared" si="88"/>
        <v>46098</v>
      </c>
      <c r="B760" t="str" cm="1">
        <f t="array" ref="B760">INDEX(HotelList,MOD(ROW()-2,10)+1)</f>
        <v>H009</v>
      </c>
      <c r="C760">
        <f>_xlfn.XLOOKUP(B760,Dim_Hotel!$A$2:$A$11,Dim_Hotel!$F$2:$F$11)</f>
        <v>114</v>
      </c>
      <c r="D760">
        <f t="shared" si="89"/>
        <v>63</v>
      </c>
      <c r="E760">
        <f t="shared" si="90"/>
        <v>0.55263157894736847</v>
      </c>
      <c r="F760">
        <f t="shared" si="91"/>
        <v>185</v>
      </c>
      <c r="G760">
        <f t="shared" si="92"/>
        <v>102.23684210526316</v>
      </c>
      <c r="H760" t="str">
        <f>_xlfn.XLOOKUP(A760,Fact_Events!$D$2:$D$20,Fact_Events!$A$2:$A$20, "")</f>
        <v/>
      </c>
      <c r="I760">
        <f t="shared" si="93"/>
        <v>0</v>
      </c>
      <c r="J760" t="str">
        <f>_xlfn.XLOOKUP(H760, Fact_Events!$A$2:$A$20, Fact_Events!$F$2:$F$20, "")</f>
        <v/>
      </c>
      <c r="K760" t="str">
        <f t="shared" si="94"/>
        <v>Low</v>
      </c>
      <c r="L760">
        <f t="shared" si="95"/>
        <v>0.55000000000000004</v>
      </c>
      <c r="M760">
        <f>_xlfn.XLOOKUP(B760, Dim_Hotel!$A$2:$A$11, Dim_Hotel!$I$2:$I$11)
 + (IF(J760="",0,J760)
    * _xlfn.XLOOKUP(B760, Dim_Hotel!$A$2:$A$11, Dim_Hotel!$J$2:$J$11))</f>
        <v>185</v>
      </c>
    </row>
    <row r="761" spans="1:13" x14ac:dyDescent="0.25">
      <c r="A761" s="1">
        <f t="shared" si="88"/>
        <v>46098</v>
      </c>
      <c r="B761" t="str" cm="1">
        <f t="array" ref="B761">INDEX(HotelList,MOD(ROW()-2,10)+1)</f>
        <v>H010</v>
      </c>
      <c r="C761">
        <f>_xlfn.XLOOKUP(B761,Dim_Hotel!$A$2:$A$11,Dim_Hotel!$F$2:$F$11)</f>
        <v>89</v>
      </c>
      <c r="D761">
        <f t="shared" si="89"/>
        <v>49</v>
      </c>
      <c r="E761">
        <f t="shared" si="90"/>
        <v>0.550561797752809</v>
      </c>
      <c r="F761">
        <f t="shared" si="91"/>
        <v>150</v>
      </c>
      <c r="G761">
        <f t="shared" si="92"/>
        <v>82.584269662921344</v>
      </c>
      <c r="H761" t="str">
        <f>_xlfn.XLOOKUP(A761,Fact_Events!$D$2:$D$20,Fact_Events!$A$2:$A$20, "")</f>
        <v/>
      </c>
      <c r="I761">
        <f t="shared" si="93"/>
        <v>0</v>
      </c>
      <c r="J761" t="str">
        <f>_xlfn.XLOOKUP(H761, Fact_Events!$A$2:$A$20, Fact_Events!$F$2:$F$20, "")</f>
        <v/>
      </c>
      <c r="K761" t="str">
        <f t="shared" si="94"/>
        <v>Low</v>
      </c>
      <c r="L761">
        <f t="shared" si="95"/>
        <v>0.55000000000000004</v>
      </c>
      <c r="M761">
        <f>_xlfn.XLOOKUP(B761, Dim_Hotel!$A$2:$A$11, Dim_Hotel!$I$2:$I$11)
 + (IF(J761="",0,J761)
    * _xlfn.XLOOKUP(B761, Dim_Hotel!$A$2:$A$11, Dim_Hotel!$J$2:$J$11))</f>
        <v>150</v>
      </c>
    </row>
    <row r="762" spans="1:13" x14ac:dyDescent="0.25">
      <c r="A762" s="1">
        <f t="shared" si="88"/>
        <v>46099</v>
      </c>
      <c r="B762" t="str" cm="1">
        <f t="array" ref="B762">INDEX(HotelList,MOD(ROW()-2,10)+1)</f>
        <v>H001</v>
      </c>
      <c r="C762">
        <f>_xlfn.XLOOKUP(B762,Dim_Hotel!$A$2:$A$11,Dim_Hotel!$F$2:$F$11)</f>
        <v>888</v>
      </c>
      <c r="D762">
        <f t="shared" si="89"/>
        <v>488</v>
      </c>
      <c r="E762">
        <f t="shared" si="90"/>
        <v>0.5495495495495496</v>
      </c>
      <c r="F762">
        <f t="shared" si="91"/>
        <v>260</v>
      </c>
      <c r="G762">
        <f t="shared" si="92"/>
        <v>142.88288288288288</v>
      </c>
      <c r="H762" t="str">
        <f>_xlfn.XLOOKUP(A762,Fact_Events!$D$2:$D$20,Fact_Events!$A$2:$A$20, "")</f>
        <v/>
      </c>
      <c r="I762">
        <f t="shared" si="93"/>
        <v>0</v>
      </c>
      <c r="J762" t="str">
        <f>_xlfn.XLOOKUP(H762, Fact_Events!$A$2:$A$20, Fact_Events!$F$2:$F$20, "")</f>
        <v/>
      </c>
      <c r="K762" t="str">
        <f t="shared" si="94"/>
        <v>Low</v>
      </c>
      <c r="L762">
        <f t="shared" si="95"/>
        <v>0.55000000000000004</v>
      </c>
      <c r="M762">
        <f>_xlfn.XLOOKUP(B762, Dim_Hotel!$A$2:$A$11, Dim_Hotel!$I$2:$I$11)
 + (IF(J762="",0,J762)
    * _xlfn.XLOOKUP(B762, Dim_Hotel!$A$2:$A$11, Dim_Hotel!$J$2:$J$11))</f>
        <v>260</v>
      </c>
    </row>
    <row r="763" spans="1:13" x14ac:dyDescent="0.25">
      <c r="A763" s="1">
        <f t="shared" si="88"/>
        <v>46099</v>
      </c>
      <c r="B763" t="str" cm="1">
        <f t="array" ref="B763">INDEX(HotelList,MOD(ROW()-2,10)+1)</f>
        <v>H002</v>
      </c>
      <c r="C763">
        <f>_xlfn.XLOOKUP(B763,Dim_Hotel!$A$2:$A$11,Dim_Hotel!$F$2:$F$11)</f>
        <v>147</v>
      </c>
      <c r="D763">
        <f t="shared" si="89"/>
        <v>81</v>
      </c>
      <c r="E763">
        <f t="shared" si="90"/>
        <v>0.55102040816326525</v>
      </c>
      <c r="F763">
        <f t="shared" si="91"/>
        <v>175</v>
      </c>
      <c r="G763">
        <f t="shared" si="92"/>
        <v>96.428571428571416</v>
      </c>
      <c r="H763" t="str">
        <f>_xlfn.XLOOKUP(A763,Fact_Events!$D$2:$D$20,Fact_Events!$A$2:$A$20, "")</f>
        <v/>
      </c>
      <c r="I763">
        <f t="shared" si="93"/>
        <v>0</v>
      </c>
      <c r="J763" t="str">
        <f>_xlfn.XLOOKUP(H763, Fact_Events!$A$2:$A$20, Fact_Events!$F$2:$F$20, "")</f>
        <v/>
      </c>
      <c r="K763" t="str">
        <f t="shared" si="94"/>
        <v>Low</v>
      </c>
      <c r="L763">
        <f t="shared" si="95"/>
        <v>0.55000000000000004</v>
      </c>
      <c r="M763">
        <f>_xlfn.XLOOKUP(B763, Dim_Hotel!$A$2:$A$11, Dim_Hotel!$I$2:$I$11)
 + (IF(J763="",0,J763)
    * _xlfn.XLOOKUP(B763, Dim_Hotel!$A$2:$A$11, Dim_Hotel!$J$2:$J$11))</f>
        <v>175</v>
      </c>
    </row>
    <row r="764" spans="1:13" x14ac:dyDescent="0.25">
      <c r="A764" s="1">
        <f t="shared" si="88"/>
        <v>46099</v>
      </c>
      <c r="B764" t="str" cm="1">
        <f t="array" ref="B764">INDEX(HotelList,MOD(ROW()-2,10)+1)</f>
        <v>H003</v>
      </c>
      <c r="C764">
        <f>_xlfn.XLOOKUP(B764,Dim_Hotel!$A$2:$A$11,Dim_Hotel!$F$2:$F$11)</f>
        <v>121</v>
      </c>
      <c r="D764">
        <f t="shared" si="89"/>
        <v>67</v>
      </c>
      <c r="E764">
        <f t="shared" si="90"/>
        <v>0.55371900826446285</v>
      </c>
      <c r="F764">
        <f t="shared" si="91"/>
        <v>145</v>
      </c>
      <c r="G764">
        <f t="shared" si="92"/>
        <v>80.289256198347118</v>
      </c>
      <c r="H764" t="str">
        <f>_xlfn.XLOOKUP(A764,Fact_Events!$D$2:$D$20,Fact_Events!$A$2:$A$20, "")</f>
        <v/>
      </c>
      <c r="I764">
        <f t="shared" si="93"/>
        <v>0</v>
      </c>
      <c r="J764" t="str">
        <f>_xlfn.XLOOKUP(H764, Fact_Events!$A$2:$A$20, Fact_Events!$F$2:$F$20, "")</f>
        <v/>
      </c>
      <c r="K764" t="str">
        <f t="shared" si="94"/>
        <v>Low</v>
      </c>
      <c r="L764">
        <f t="shared" si="95"/>
        <v>0.55000000000000004</v>
      </c>
      <c r="M764">
        <f>_xlfn.XLOOKUP(B764, Dim_Hotel!$A$2:$A$11, Dim_Hotel!$I$2:$I$11)
 + (IF(J764="",0,J764)
    * _xlfn.XLOOKUP(B764, Dim_Hotel!$A$2:$A$11, Dim_Hotel!$J$2:$J$11))</f>
        <v>145</v>
      </c>
    </row>
    <row r="765" spans="1:13" x14ac:dyDescent="0.25">
      <c r="A765" s="1">
        <f t="shared" si="88"/>
        <v>46099</v>
      </c>
      <c r="B765" t="str" cm="1">
        <f t="array" ref="B765">INDEX(HotelList,MOD(ROW()-2,10)+1)</f>
        <v>H004</v>
      </c>
      <c r="C765">
        <f>_xlfn.XLOOKUP(B765,Dim_Hotel!$A$2:$A$11,Dim_Hotel!$F$2:$F$11)</f>
        <v>108</v>
      </c>
      <c r="D765">
        <f t="shared" si="89"/>
        <v>59</v>
      </c>
      <c r="E765">
        <f t="shared" si="90"/>
        <v>0.54629629629629628</v>
      </c>
      <c r="F765">
        <f t="shared" si="91"/>
        <v>135</v>
      </c>
      <c r="G765">
        <f t="shared" si="92"/>
        <v>73.75</v>
      </c>
      <c r="H765" t="str">
        <f>_xlfn.XLOOKUP(A765,Fact_Events!$D$2:$D$20,Fact_Events!$A$2:$A$20, "")</f>
        <v/>
      </c>
      <c r="I765">
        <f t="shared" si="93"/>
        <v>0</v>
      </c>
      <c r="J765" t="str">
        <f>_xlfn.XLOOKUP(H765, Fact_Events!$A$2:$A$20, Fact_Events!$F$2:$F$20, "")</f>
        <v/>
      </c>
      <c r="K765" t="str">
        <f t="shared" si="94"/>
        <v>Low</v>
      </c>
      <c r="L765">
        <f t="shared" si="95"/>
        <v>0.55000000000000004</v>
      </c>
      <c r="M765">
        <f>_xlfn.XLOOKUP(B765, Dim_Hotel!$A$2:$A$11, Dim_Hotel!$I$2:$I$11)
 + (IF(J765="",0,J765)
    * _xlfn.XLOOKUP(B765, Dim_Hotel!$A$2:$A$11, Dim_Hotel!$J$2:$J$11))</f>
        <v>135</v>
      </c>
    </row>
    <row r="766" spans="1:13" x14ac:dyDescent="0.25">
      <c r="A766" s="1">
        <f t="shared" si="88"/>
        <v>46099</v>
      </c>
      <c r="B766" t="str" cm="1">
        <f t="array" ref="B766">INDEX(HotelList,MOD(ROW()-2,10)+1)</f>
        <v>H005</v>
      </c>
      <c r="C766">
        <f>_xlfn.XLOOKUP(B766,Dim_Hotel!$A$2:$A$11,Dim_Hotel!$F$2:$F$11)</f>
        <v>66</v>
      </c>
      <c r="D766">
        <f t="shared" si="89"/>
        <v>36</v>
      </c>
      <c r="E766">
        <f t="shared" si="90"/>
        <v>0.54545454545454541</v>
      </c>
      <c r="F766">
        <f t="shared" si="91"/>
        <v>82</v>
      </c>
      <c r="G766">
        <f t="shared" si="92"/>
        <v>44.727272727272727</v>
      </c>
      <c r="H766" t="str">
        <f>_xlfn.XLOOKUP(A766,Fact_Events!$D$2:$D$20,Fact_Events!$A$2:$A$20, "")</f>
        <v/>
      </c>
      <c r="I766">
        <f t="shared" si="93"/>
        <v>0</v>
      </c>
      <c r="J766" t="str">
        <f>_xlfn.XLOOKUP(H766, Fact_Events!$A$2:$A$20, Fact_Events!$F$2:$F$20, "")</f>
        <v/>
      </c>
      <c r="K766" t="str">
        <f t="shared" si="94"/>
        <v>Low</v>
      </c>
      <c r="L766">
        <f t="shared" si="95"/>
        <v>0.55000000000000004</v>
      </c>
      <c r="M766">
        <f>_xlfn.XLOOKUP(B766, Dim_Hotel!$A$2:$A$11, Dim_Hotel!$I$2:$I$11)
 + (IF(J766="",0,J766)
    * _xlfn.XLOOKUP(B766, Dim_Hotel!$A$2:$A$11, Dim_Hotel!$J$2:$J$11))</f>
        <v>82</v>
      </c>
    </row>
    <row r="767" spans="1:13" x14ac:dyDescent="0.25">
      <c r="A767" s="1">
        <f t="shared" si="88"/>
        <v>46099</v>
      </c>
      <c r="B767" t="str" cm="1">
        <f t="array" ref="B767">INDEX(HotelList,MOD(ROW()-2,10)+1)</f>
        <v>H006</v>
      </c>
      <c r="C767">
        <f>_xlfn.XLOOKUP(B767,Dim_Hotel!$A$2:$A$11,Dim_Hotel!$F$2:$F$11)</f>
        <v>311</v>
      </c>
      <c r="D767">
        <f t="shared" si="89"/>
        <v>171</v>
      </c>
      <c r="E767">
        <f t="shared" si="90"/>
        <v>0.54983922829581988</v>
      </c>
      <c r="F767">
        <f t="shared" si="91"/>
        <v>190</v>
      </c>
      <c r="G767">
        <f t="shared" si="92"/>
        <v>104.46945337620578</v>
      </c>
      <c r="H767" t="str">
        <f>_xlfn.XLOOKUP(A767,Fact_Events!$D$2:$D$20,Fact_Events!$A$2:$A$20, "")</f>
        <v/>
      </c>
      <c r="I767">
        <f t="shared" si="93"/>
        <v>0</v>
      </c>
      <c r="J767" t="str">
        <f>_xlfn.XLOOKUP(H767, Fact_Events!$A$2:$A$20, Fact_Events!$F$2:$F$20, "")</f>
        <v/>
      </c>
      <c r="K767" t="str">
        <f t="shared" si="94"/>
        <v>Low</v>
      </c>
      <c r="L767">
        <f t="shared" si="95"/>
        <v>0.55000000000000004</v>
      </c>
      <c r="M767">
        <f>_xlfn.XLOOKUP(B767, Dim_Hotel!$A$2:$A$11, Dim_Hotel!$I$2:$I$11)
 + (IF(J767="",0,J767)
    * _xlfn.XLOOKUP(B767, Dim_Hotel!$A$2:$A$11, Dim_Hotel!$J$2:$J$11))</f>
        <v>190</v>
      </c>
    </row>
    <row r="768" spans="1:13" x14ac:dyDescent="0.25">
      <c r="A768" s="1">
        <f t="shared" si="88"/>
        <v>46099</v>
      </c>
      <c r="B768" t="str" cm="1">
        <f t="array" ref="B768">INDEX(HotelList,MOD(ROW()-2,10)+1)</f>
        <v>H007</v>
      </c>
      <c r="C768">
        <f>_xlfn.XLOOKUP(B768,Dim_Hotel!$A$2:$A$11,Dim_Hotel!$F$2:$F$11)</f>
        <v>132</v>
      </c>
      <c r="D768">
        <f t="shared" si="89"/>
        <v>73</v>
      </c>
      <c r="E768">
        <f t="shared" si="90"/>
        <v>0.55303030303030298</v>
      </c>
      <c r="F768">
        <f t="shared" si="91"/>
        <v>165</v>
      </c>
      <c r="G768">
        <f t="shared" si="92"/>
        <v>91.249999999999986</v>
      </c>
      <c r="H768" t="str">
        <f>_xlfn.XLOOKUP(A768,Fact_Events!$D$2:$D$20,Fact_Events!$A$2:$A$20, "")</f>
        <v/>
      </c>
      <c r="I768">
        <f t="shared" si="93"/>
        <v>0</v>
      </c>
      <c r="J768" t="str">
        <f>_xlfn.XLOOKUP(H768, Fact_Events!$A$2:$A$20, Fact_Events!$F$2:$F$20, "")</f>
        <v/>
      </c>
      <c r="K768" t="str">
        <f t="shared" si="94"/>
        <v>Low</v>
      </c>
      <c r="L768">
        <f t="shared" si="95"/>
        <v>0.55000000000000004</v>
      </c>
      <c r="M768">
        <f>_xlfn.XLOOKUP(B768, Dim_Hotel!$A$2:$A$11, Dim_Hotel!$I$2:$I$11)
 + (IF(J768="",0,J768)
    * _xlfn.XLOOKUP(B768, Dim_Hotel!$A$2:$A$11, Dim_Hotel!$J$2:$J$11))</f>
        <v>165</v>
      </c>
    </row>
    <row r="769" spans="1:13" x14ac:dyDescent="0.25">
      <c r="A769" s="1">
        <f t="shared" si="88"/>
        <v>46099</v>
      </c>
      <c r="B769" t="str" cm="1">
        <f t="array" ref="B769">INDEX(HotelList,MOD(ROW()-2,10)+1)</f>
        <v>H008</v>
      </c>
      <c r="C769">
        <f>_xlfn.XLOOKUP(B769,Dim_Hotel!$A$2:$A$11,Dim_Hotel!$F$2:$F$11)</f>
        <v>103</v>
      </c>
      <c r="D769">
        <f t="shared" si="89"/>
        <v>57</v>
      </c>
      <c r="E769">
        <f t="shared" si="90"/>
        <v>0.55339805825242716</v>
      </c>
      <c r="F769">
        <f t="shared" si="91"/>
        <v>140</v>
      </c>
      <c r="G769">
        <f t="shared" si="92"/>
        <v>77.475728155339809</v>
      </c>
      <c r="H769" t="str">
        <f>_xlfn.XLOOKUP(A769,Fact_Events!$D$2:$D$20,Fact_Events!$A$2:$A$20, "")</f>
        <v/>
      </c>
      <c r="I769">
        <f t="shared" si="93"/>
        <v>0</v>
      </c>
      <c r="J769" t="str">
        <f>_xlfn.XLOOKUP(H769, Fact_Events!$A$2:$A$20, Fact_Events!$F$2:$F$20, "")</f>
        <v/>
      </c>
      <c r="K769" t="str">
        <f t="shared" si="94"/>
        <v>Low</v>
      </c>
      <c r="L769">
        <f t="shared" si="95"/>
        <v>0.55000000000000004</v>
      </c>
      <c r="M769">
        <f>_xlfn.XLOOKUP(B769, Dim_Hotel!$A$2:$A$11, Dim_Hotel!$I$2:$I$11)
 + (IF(J769="",0,J769)
    * _xlfn.XLOOKUP(B769, Dim_Hotel!$A$2:$A$11, Dim_Hotel!$J$2:$J$11))</f>
        <v>140</v>
      </c>
    </row>
    <row r="770" spans="1:13" x14ac:dyDescent="0.25">
      <c r="A770" s="1">
        <f t="shared" si="88"/>
        <v>46099</v>
      </c>
      <c r="B770" t="str" cm="1">
        <f t="array" ref="B770">INDEX(HotelList,MOD(ROW()-2,10)+1)</f>
        <v>H009</v>
      </c>
      <c r="C770">
        <f>_xlfn.XLOOKUP(B770,Dim_Hotel!$A$2:$A$11,Dim_Hotel!$F$2:$F$11)</f>
        <v>114</v>
      </c>
      <c r="D770">
        <f t="shared" si="89"/>
        <v>63</v>
      </c>
      <c r="E770">
        <f t="shared" si="90"/>
        <v>0.55263157894736847</v>
      </c>
      <c r="F770">
        <f t="shared" si="91"/>
        <v>185</v>
      </c>
      <c r="G770">
        <f t="shared" si="92"/>
        <v>102.23684210526316</v>
      </c>
      <c r="H770" t="str">
        <f>_xlfn.XLOOKUP(A770,Fact_Events!$D$2:$D$20,Fact_Events!$A$2:$A$20, "")</f>
        <v/>
      </c>
      <c r="I770">
        <f t="shared" si="93"/>
        <v>0</v>
      </c>
      <c r="J770" t="str">
        <f>_xlfn.XLOOKUP(H770, Fact_Events!$A$2:$A$20, Fact_Events!$F$2:$F$20, "")</f>
        <v/>
      </c>
      <c r="K770" t="str">
        <f t="shared" si="94"/>
        <v>Low</v>
      </c>
      <c r="L770">
        <f t="shared" si="95"/>
        <v>0.55000000000000004</v>
      </c>
      <c r="M770">
        <f>_xlfn.XLOOKUP(B770, Dim_Hotel!$A$2:$A$11, Dim_Hotel!$I$2:$I$11)
 + (IF(J770="",0,J770)
    * _xlfn.XLOOKUP(B770, Dim_Hotel!$A$2:$A$11, Dim_Hotel!$J$2:$J$11))</f>
        <v>185</v>
      </c>
    </row>
    <row r="771" spans="1:13" x14ac:dyDescent="0.25">
      <c r="A771" s="1">
        <f t="shared" ref="A771:A834" si="96">DATE(2026,1,1) + INT((ROW()-2)/10)</f>
        <v>46099</v>
      </c>
      <c r="B771" t="str" cm="1">
        <f t="array" ref="B771">INDEX(HotelList,MOD(ROW()-2,10)+1)</f>
        <v>H010</v>
      </c>
      <c r="C771">
        <f>_xlfn.XLOOKUP(B771,Dim_Hotel!$A$2:$A$11,Dim_Hotel!$F$2:$F$11)</f>
        <v>89</v>
      </c>
      <c r="D771">
        <f t="shared" ref="D771:D834" si="97">ROUND(L771 * C771, 0)</f>
        <v>49</v>
      </c>
      <c r="E771">
        <f t="shared" ref="E771:E834" si="98">D771/C771</f>
        <v>0.550561797752809</v>
      </c>
      <c r="F771">
        <f t="shared" ref="F771:F834" si="99">M771</f>
        <v>150</v>
      </c>
      <c r="G771">
        <f t="shared" ref="G771:G834" si="100">E771*F771</f>
        <v>82.584269662921344</v>
      </c>
      <c r="H771" t="str">
        <f>_xlfn.XLOOKUP(A771,Fact_Events!$D$2:$D$20,Fact_Events!$A$2:$A$20, "")</f>
        <v/>
      </c>
      <c r="I771">
        <f t="shared" ref="I771:I834" si="101">IF(H771="",0,1)</f>
        <v>0</v>
      </c>
      <c r="J771" t="str">
        <f>_xlfn.XLOOKUP(H771, Fact_Events!$A$2:$A$20, Fact_Events!$F$2:$F$20, "")</f>
        <v/>
      </c>
      <c r="K771" t="str">
        <f t="shared" ref="K771:K834" si="102">IF(I771=0,"Low",
   IF(J771&gt;=9,"High","Medium"))</f>
        <v>Low</v>
      </c>
      <c r="L771">
        <f t="shared" ref="L771:L834" si="103">MIN(1,
  0.55
  + (I771 * 0.25)
  + (IF(J771="",0,J771) / 100)
)</f>
        <v>0.55000000000000004</v>
      </c>
      <c r="M771">
        <f>_xlfn.XLOOKUP(B771, Dim_Hotel!$A$2:$A$11, Dim_Hotel!$I$2:$I$11)
 + (IF(J771="",0,J771)
    * _xlfn.XLOOKUP(B771, Dim_Hotel!$A$2:$A$11, Dim_Hotel!$J$2:$J$11))</f>
        <v>150</v>
      </c>
    </row>
    <row r="772" spans="1:13" x14ac:dyDescent="0.25">
      <c r="A772" s="1">
        <f t="shared" si="96"/>
        <v>46100</v>
      </c>
      <c r="B772" t="str" cm="1">
        <f t="array" ref="B772">INDEX(HotelList,MOD(ROW()-2,10)+1)</f>
        <v>H001</v>
      </c>
      <c r="C772">
        <f>_xlfn.XLOOKUP(B772,Dim_Hotel!$A$2:$A$11,Dim_Hotel!$F$2:$F$11)</f>
        <v>888</v>
      </c>
      <c r="D772">
        <f t="shared" si="97"/>
        <v>488</v>
      </c>
      <c r="E772">
        <f t="shared" si="98"/>
        <v>0.5495495495495496</v>
      </c>
      <c r="F772">
        <f t="shared" si="99"/>
        <v>260</v>
      </c>
      <c r="G772">
        <f t="shared" si="100"/>
        <v>142.88288288288288</v>
      </c>
      <c r="H772" t="str">
        <f>_xlfn.XLOOKUP(A772,Fact_Events!$D$2:$D$20,Fact_Events!$A$2:$A$20, "")</f>
        <v/>
      </c>
      <c r="I772">
        <f t="shared" si="101"/>
        <v>0</v>
      </c>
      <c r="J772" t="str">
        <f>_xlfn.XLOOKUP(H772, Fact_Events!$A$2:$A$20, Fact_Events!$F$2:$F$20, "")</f>
        <v/>
      </c>
      <c r="K772" t="str">
        <f t="shared" si="102"/>
        <v>Low</v>
      </c>
      <c r="L772">
        <f t="shared" si="103"/>
        <v>0.55000000000000004</v>
      </c>
      <c r="M772">
        <f>_xlfn.XLOOKUP(B772, Dim_Hotel!$A$2:$A$11, Dim_Hotel!$I$2:$I$11)
 + (IF(J772="",0,J772)
    * _xlfn.XLOOKUP(B772, Dim_Hotel!$A$2:$A$11, Dim_Hotel!$J$2:$J$11))</f>
        <v>260</v>
      </c>
    </row>
    <row r="773" spans="1:13" x14ac:dyDescent="0.25">
      <c r="A773" s="1">
        <f t="shared" si="96"/>
        <v>46100</v>
      </c>
      <c r="B773" t="str" cm="1">
        <f t="array" ref="B773">INDEX(HotelList,MOD(ROW()-2,10)+1)</f>
        <v>H002</v>
      </c>
      <c r="C773">
        <f>_xlfn.XLOOKUP(B773,Dim_Hotel!$A$2:$A$11,Dim_Hotel!$F$2:$F$11)</f>
        <v>147</v>
      </c>
      <c r="D773">
        <f t="shared" si="97"/>
        <v>81</v>
      </c>
      <c r="E773">
        <f t="shared" si="98"/>
        <v>0.55102040816326525</v>
      </c>
      <c r="F773">
        <f t="shared" si="99"/>
        <v>175</v>
      </c>
      <c r="G773">
        <f t="shared" si="100"/>
        <v>96.428571428571416</v>
      </c>
      <c r="H773" t="str">
        <f>_xlfn.XLOOKUP(A773,Fact_Events!$D$2:$D$20,Fact_Events!$A$2:$A$20, "")</f>
        <v/>
      </c>
      <c r="I773">
        <f t="shared" si="101"/>
        <v>0</v>
      </c>
      <c r="J773" t="str">
        <f>_xlfn.XLOOKUP(H773, Fact_Events!$A$2:$A$20, Fact_Events!$F$2:$F$20, "")</f>
        <v/>
      </c>
      <c r="K773" t="str">
        <f t="shared" si="102"/>
        <v>Low</v>
      </c>
      <c r="L773">
        <f t="shared" si="103"/>
        <v>0.55000000000000004</v>
      </c>
      <c r="M773">
        <f>_xlfn.XLOOKUP(B773, Dim_Hotel!$A$2:$A$11, Dim_Hotel!$I$2:$I$11)
 + (IF(J773="",0,J773)
    * _xlfn.XLOOKUP(B773, Dim_Hotel!$A$2:$A$11, Dim_Hotel!$J$2:$J$11))</f>
        <v>175</v>
      </c>
    </row>
    <row r="774" spans="1:13" x14ac:dyDescent="0.25">
      <c r="A774" s="1">
        <f t="shared" si="96"/>
        <v>46100</v>
      </c>
      <c r="B774" t="str" cm="1">
        <f t="array" ref="B774">INDEX(HotelList,MOD(ROW()-2,10)+1)</f>
        <v>H003</v>
      </c>
      <c r="C774">
        <f>_xlfn.XLOOKUP(B774,Dim_Hotel!$A$2:$A$11,Dim_Hotel!$F$2:$F$11)</f>
        <v>121</v>
      </c>
      <c r="D774">
        <f t="shared" si="97"/>
        <v>67</v>
      </c>
      <c r="E774">
        <f t="shared" si="98"/>
        <v>0.55371900826446285</v>
      </c>
      <c r="F774">
        <f t="shared" si="99"/>
        <v>145</v>
      </c>
      <c r="G774">
        <f t="shared" si="100"/>
        <v>80.289256198347118</v>
      </c>
      <c r="H774" t="str">
        <f>_xlfn.XLOOKUP(A774,Fact_Events!$D$2:$D$20,Fact_Events!$A$2:$A$20, "")</f>
        <v/>
      </c>
      <c r="I774">
        <f t="shared" si="101"/>
        <v>0</v>
      </c>
      <c r="J774" t="str">
        <f>_xlfn.XLOOKUP(H774, Fact_Events!$A$2:$A$20, Fact_Events!$F$2:$F$20, "")</f>
        <v/>
      </c>
      <c r="K774" t="str">
        <f t="shared" si="102"/>
        <v>Low</v>
      </c>
      <c r="L774">
        <f t="shared" si="103"/>
        <v>0.55000000000000004</v>
      </c>
      <c r="M774">
        <f>_xlfn.XLOOKUP(B774, Dim_Hotel!$A$2:$A$11, Dim_Hotel!$I$2:$I$11)
 + (IF(J774="",0,J774)
    * _xlfn.XLOOKUP(B774, Dim_Hotel!$A$2:$A$11, Dim_Hotel!$J$2:$J$11))</f>
        <v>145</v>
      </c>
    </row>
    <row r="775" spans="1:13" x14ac:dyDescent="0.25">
      <c r="A775" s="1">
        <f t="shared" si="96"/>
        <v>46100</v>
      </c>
      <c r="B775" t="str" cm="1">
        <f t="array" ref="B775">INDEX(HotelList,MOD(ROW()-2,10)+1)</f>
        <v>H004</v>
      </c>
      <c r="C775">
        <f>_xlfn.XLOOKUP(B775,Dim_Hotel!$A$2:$A$11,Dim_Hotel!$F$2:$F$11)</f>
        <v>108</v>
      </c>
      <c r="D775">
        <f t="shared" si="97"/>
        <v>59</v>
      </c>
      <c r="E775">
        <f t="shared" si="98"/>
        <v>0.54629629629629628</v>
      </c>
      <c r="F775">
        <f t="shared" si="99"/>
        <v>135</v>
      </c>
      <c r="G775">
        <f t="shared" si="100"/>
        <v>73.75</v>
      </c>
      <c r="H775" t="str">
        <f>_xlfn.XLOOKUP(A775,Fact_Events!$D$2:$D$20,Fact_Events!$A$2:$A$20, "")</f>
        <v/>
      </c>
      <c r="I775">
        <f t="shared" si="101"/>
        <v>0</v>
      </c>
      <c r="J775" t="str">
        <f>_xlfn.XLOOKUP(H775, Fact_Events!$A$2:$A$20, Fact_Events!$F$2:$F$20, "")</f>
        <v/>
      </c>
      <c r="K775" t="str">
        <f t="shared" si="102"/>
        <v>Low</v>
      </c>
      <c r="L775">
        <f t="shared" si="103"/>
        <v>0.55000000000000004</v>
      </c>
      <c r="M775">
        <f>_xlfn.XLOOKUP(B775, Dim_Hotel!$A$2:$A$11, Dim_Hotel!$I$2:$I$11)
 + (IF(J775="",0,J775)
    * _xlfn.XLOOKUP(B775, Dim_Hotel!$A$2:$A$11, Dim_Hotel!$J$2:$J$11))</f>
        <v>135</v>
      </c>
    </row>
    <row r="776" spans="1:13" x14ac:dyDescent="0.25">
      <c r="A776" s="1">
        <f t="shared" si="96"/>
        <v>46100</v>
      </c>
      <c r="B776" t="str" cm="1">
        <f t="array" ref="B776">INDEX(HotelList,MOD(ROW()-2,10)+1)</f>
        <v>H005</v>
      </c>
      <c r="C776">
        <f>_xlfn.XLOOKUP(B776,Dim_Hotel!$A$2:$A$11,Dim_Hotel!$F$2:$F$11)</f>
        <v>66</v>
      </c>
      <c r="D776">
        <f t="shared" si="97"/>
        <v>36</v>
      </c>
      <c r="E776">
        <f t="shared" si="98"/>
        <v>0.54545454545454541</v>
      </c>
      <c r="F776">
        <f t="shared" si="99"/>
        <v>82</v>
      </c>
      <c r="G776">
        <f t="shared" si="100"/>
        <v>44.727272727272727</v>
      </c>
      <c r="H776" t="str">
        <f>_xlfn.XLOOKUP(A776,Fact_Events!$D$2:$D$20,Fact_Events!$A$2:$A$20, "")</f>
        <v/>
      </c>
      <c r="I776">
        <f t="shared" si="101"/>
        <v>0</v>
      </c>
      <c r="J776" t="str">
        <f>_xlfn.XLOOKUP(H776, Fact_Events!$A$2:$A$20, Fact_Events!$F$2:$F$20, "")</f>
        <v/>
      </c>
      <c r="K776" t="str">
        <f t="shared" si="102"/>
        <v>Low</v>
      </c>
      <c r="L776">
        <f t="shared" si="103"/>
        <v>0.55000000000000004</v>
      </c>
      <c r="M776">
        <f>_xlfn.XLOOKUP(B776, Dim_Hotel!$A$2:$A$11, Dim_Hotel!$I$2:$I$11)
 + (IF(J776="",0,J776)
    * _xlfn.XLOOKUP(B776, Dim_Hotel!$A$2:$A$11, Dim_Hotel!$J$2:$J$11))</f>
        <v>82</v>
      </c>
    </row>
    <row r="777" spans="1:13" x14ac:dyDescent="0.25">
      <c r="A777" s="1">
        <f t="shared" si="96"/>
        <v>46100</v>
      </c>
      <c r="B777" t="str" cm="1">
        <f t="array" ref="B777">INDEX(HotelList,MOD(ROW()-2,10)+1)</f>
        <v>H006</v>
      </c>
      <c r="C777">
        <f>_xlfn.XLOOKUP(B777,Dim_Hotel!$A$2:$A$11,Dim_Hotel!$F$2:$F$11)</f>
        <v>311</v>
      </c>
      <c r="D777">
        <f t="shared" si="97"/>
        <v>171</v>
      </c>
      <c r="E777">
        <f t="shared" si="98"/>
        <v>0.54983922829581988</v>
      </c>
      <c r="F777">
        <f t="shared" si="99"/>
        <v>190</v>
      </c>
      <c r="G777">
        <f t="shared" si="100"/>
        <v>104.46945337620578</v>
      </c>
      <c r="H777" t="str">
        <f>_xlfn.XLOOKUP(A777,Fact_Events!$D$2:$D$20,Fact_Events!$A$2:$A$20, "")</f>
        <v/>
      </c>
      <c r="I777">
        <f t="shared" si="101"/>
        <v>0</v>
      </c>
      <c r="J777" t="str">
        <f>_xlfn.XLOOKUP(H777, Fact_Events!$A$2:$A$20, Fact_Events!$F$2:$F$20, "")</f>
        <v/>
      </c>
      <c r="K777" t="str">
        <f t="shared" si="102"/>
        <v>Low</v>
      </c>
      <c r="L777">
        <f t="shared" si="103"/>
        <v>0.55000000000000004</v>
      </c>
      <c r="M777">
        <f>_xlfn.XLOOKUP(B777, Dim_Hotel!$A$2:$A$11, Dim_Hotel!$I$2:$I$11)
 + (IF(J777="",0,J777)
    * _xlfn.XLOOKUP(B777, Dim_Hotel!$A$2:$A$11, Dim_Hotel!$J$2:$J$11))</f>
        <v>190</v>
      </c>
    </row>
    <row r="778" spans="1:13" x14ac:dyDescent="0.25">
      <c r="A778" s="1">
        <f t="shared" si="96"/>
        <v>46100</v>
      </c>
      <c r="B778" t="str" cm="1">
        <f t="array" ref="B778">INDEX(HotelList,MOD(ROW()-2,10)+1)</f>
        <v>H007</v>
      </c>
      <c r="C778">
        <f>_xlfn.XLOOKUP(B778,Dim_Hotel!$A$2:$A$11,Dim_Hotel!$F$2:$F$11)</f>
        <v>132</v>
      </c>
      <c r="D778">
        <f t="shared" si="97"/>
        <v>73</v>
      </c>
      <c r="E778">
        <f t="shared" si="98"/>
        <v>0.55303030303030298</v>
      </c>
      <c r="F778">
        <f t="shared" si="99"/>
        <v>165</v>
      </c>
      <c r="G778">
        <f t="shared" si="100"/>
        <v>91.249999999999986</v>
      </c>
      <c r="H778" t="str">
        <f>_xlfn.XLOOKUP(A778,Fact_Events!$D$2:$D$20,Fact_Events!$A$2:$A$20, "")</f>
        <v/>
      </c>
      <c r="I778">
        <f t="shared" si="101"/>
        <v>0</v>
      </c>
      <c r="J778" t="str">
        <f>_xlfn.XLOOKUP(H778, Fact_Events!$A$2:$A$20, Fact_Events!$F$2:$F$20, "")</f>
        <v/>
      </c>
      <c r="K778" t="str">
        <f t="shared" si="102"/>
        <v>Low</v>
      </c>
      <c r="L778">
        <f t="shared" si="103"/>
        <v>0.55000000000000004</v>
      </c>
      <c r="M778">
        <f>_xlfn.XLOOKUP(B778, Dim_Hotel!$A$2:$A$11, Dim_Hotel!$I$2:$I$11)
 + (IF(J778="",0,J778)
    * _xlfn.XLOOKUP(B778, Dim_Hotel!$A$2:$A$11, Dim_Hotel!$J$2:$J$11))</f>
        <v>165</v>
      </c>
    </row>
    <row r="779" spans="1:13" x14ac:dyDescent="0.25">
      <c r="A779" s="1">
        <f t="shared" si="96"/>
        <v>46100</v>
      </c>
      <c r="B779" t="str" cm="1">
        <f t="array" ref="B779">INDEX(HotelList,MOD(ROW()-2,10)+1)</f>
        <v>H008</v>
      </c>
      <c r="C779">
        <f>_xlfn.XLOOKUP(B779,Dim_Hotel!$A$2:$A$11,Dim_Hotel!$F$2:$F$11)</f>
        <v>103</v>
      </c>
      <c r="D779">
        <f t="shared" si="97"/>
        <v>57</v>
      </c>
      <c r="E779">
        <f t="shared" si="98"/>
        <v>0.55339805825242716</v>
      </c>
      <c r="F779">
        <f t="shared" si="99"/>
        <v>140</v>
      </c>
      <c r="G779">
        <f t="shared" si="100"/>
        <v>77.475728155339809</v>
      </c>
      <c r="H779" t="str">
        <f>_xlfn.XLOOKUP(A779,Fact_Events!$D$2:$D$20,Fact_Events!$A$2:$A$20, "")</f>
        <v/>
      </c>
      <c r="I779">
        <f t="shared" si="101"/>
        <v>0</v>
      </c>
      <c r="J779" t="str">
        <f>_xlfn.XLOOKUP(H779, Fact_Events!$A$2:$A$20, Fact_Events!$F$2:$F$20, "")</f>
        <v/>
      </c>
      <c r="K779" t="str">
        <f t="shared" si="102"/>
        <v>Low</v>
      </c>
      <c r="L779">
        <f t="shared" si="103"/>
        <v>0.55000000000000004</v>
      </c>
      <c r="M779">
        <f>_xlfn.XLOOKUP(B779, Dim_Hotel!$A$2:$A$11, Dim_Hotel!$I$2:$I$11)
 + (IF(J779="",0,J779)
    * _xlfn.XLOOKUP(B779, Dim_Hotel!$A$2:$A$11, Dim_Hotel!$J$2:$J$11))</f>
        <v>140</v>
      </c>
    </row>
    <row r="780" spans="1:13" x14ac:dyDescent="0.25">
      <c r="A780" s="1">
        <f t="shared" si="96"/>
        <v>46100</v>
      </c>
      <c r="B780" t="str" cm="1">
        <f t="array" ref="B780">INDEX(HotelList,MOD(ROW()-2,10)+1)</f>
        <v>H009</v>
      </c>
      <c r="C780">
        <f>_xlfn.XLOOKUP(B780,Dim_Hotel!$A$2:$A$11,Dim_Hotel!$F$2:$F$11)</f>
        <v>114</v>
      </c>
      <c r="D780">
        <f t="shared" si="97"/>
        <v>63</v>
      </c>
      <c r="E780">
        <f t="shared" si="98"/>
        <v>0.55263157894736847</v>
      </c>
      <c r="F780">
        <f t="shared" si="99"/>
        <v>185</v>
      </c>
      <c r="G780">
        <f t="shared" si="100"/>
        <v>102.23684210526316</v>
      </c>
      <c r="H780" t="str">
        <f>_xlfn.XLOOKUP(A780,Fact_Events!$D$2:$D$20,Fact_Events!$A$2:$A$20, "")</f>
        <v/>
      </c>
      <c r="I780">
        <f t="shared" si="101"/>
        <v>0</v>
      </c>
      <c r="J780" t="str">
        <f>_xlfn.XLOOKUP(H780, Fact_Events!$A$2:$A$20, Fact_Events!$F$2:$F$20, "")</f>
        <v/>
      </c>
      <c r="K780" t="str">
        <f t="shared" si="102"/>
        <v>Low</v>
      </c>
      <c r="L780">
        <f t="shared" si="103"/>
        <v>0.55000000000000004</v>
      </c>
      <c r="M780">
        <f>_xlfn.XLOOKUP(B780, Dim_Hotel!$A$2:$A$11, Dim_Hotel!$I$2:$I$11)
 + (IF(J780="",0,J780)
    * _xlfn.XLOOKUP(B780, Dim_Hotel!$A$2:$A$11, Dim_Hotel!$J$2:$J$11))</f>
        <v>185</v>
      </c>
    </row>
    <row r="781" spans="1:13" x14ac:dyDescent="0.25">
      <c r="A781" s="1">
        <f t="shared" si="96"/>
        <v>46100</v>
      </c>
      <c r="B781" t="str" cm="1">
        <f t="array" ref="B781">INDEX(HotelList,MOD(ROW()-2,10)+1)</f>
        <v>H010</v>
      </c>
      <c r="C781">
        <f>_xlfn.XLOOKUP(B781,Dim_Hotel!$A$2:$A$11,Dim_Hotel!$F$2:$F$11)</f>
        <v>89</v>
      </c>
      <c r="D781">
        <f t="shared" si="97"/>
        <v>49</v>
      </c>
      <c r="E781">
        <f t="shared" si="98"/>
        <v>0.550561797752809</v>
      </c>
      <c r="F781">
        <f t="shared" si="99"/>
        <v>150</v>
      </c>
      <c r="G781">
        <f t="shared" si="100"/>
        <v>82.584269662921344</v>
      </c>
      <c r="H781" t="str">
        <f>_xlfn.XLOOKUP(A781,Fact_Events!$D$2:$D$20,Fact_Events!$A$2:$A$20, "")</f>
        <v/>
      </c>
      <c r="I781">
        <f t="shared" si="101"/>
        <v>0</v>
      </c>
      <c r="J781" t="str">
        <f>_xlfn.XLOOKUP(H781, Fact_Events!$A$2:$A$20, Fact_Events!$F$2:$F$20, "")</f>
        <v/>
      </c>
      <c r="K781" t="str">
        <f t="shared" si="102"/>
        <v>Low</v>
      </c>
      <c r="L781">
        <f t="shared" si="103"/>
        <v>0.55000000000000004</v>
      </c>
      <c r="M781">
        <f>_xlfn.XLOOKUP(B781, Dim_Hotel!$A$2:$A$11, Dim_Hotel!$I$2:$I$11)
 + (IF(J781="",0,J781)
    * _xlfn.XLOOKUP(B781, Dim_Hotel!$A$2:$A$11, Dim_Hotel!$J$2:$J$11))</f>
        <v>150</v>
      </c>
    </row>
    <row r="782" spans="1:13" x14ac:dyDescent="0.25">
      <c r="A782" s="1">
        <f t="shared" si="96"/>
        <v>46101</v>
      </c>
      <c r="B782" t="str" cm="1">
        <f t="array" ref="B782">INDEX(HotelList,MOD(ROW()-2,10)+1)</f>
        <v>H001</v>
      </c>
      <c r="C782">
        <f>_xlfn.XLOOKUP(B782,Dim_Hotel!$A$2:$A$11,Dim_Hotel!$F$2:$F$11)</f>
        <v>888</v>
      </c>
      <c r="D782">
        <f t="shared" si="97"/>
        <v>488</v>
      </c>
      <c r="E782">
        <f t="shared" si="98"/>
        <v>0.5495495495495496</v>
      </c>
      <c r="F782">
        <f t="shared" si="99"/>
        <v>260</v>
      </c>
      <c r="G782">
        <f t="shared" si="100"/>
        <v>142.88288288288288</v>
      </c>
      <c r="H782" t="str">
        <f>_xlfn.XLOOKUP(A782,Fact_Events!$D$2:$D$20,Fact_Events!$A$2:$A$20, "")</f>
        <v/>
      </c>
      <c r="I782">
        <f t="shared" si="101"/>
        <v>0</v>
      </c>
      <c r="J782" t="str">
        <f>_xlfn.XLOOKUP(H782, Fact_Events!$A$2:$A$20, Fact_Events!$F$2:$F$20, "")</f>
        <v/>
      </c>
      <c r="K782" t="str">
        <f t="shared" si="102"/>
        <v>Low</v>
      </c>
      <c r="L782">
        <f t="shared" si="103"/>
        <v>0.55000000000000004</v>
      </c>
      <c r="M782">
        <f>_xlfn.XLOOKUP(B782, Dim_Hotel!$A$2:$A$11, Dim_Hotel!$I$2:$I$11)
 + (IF(J782="",0,J782)
    * _xlfn.XLOOKUP(B782, Dim_Hotel!$A$2:$A$11, Dim_Hotel!$J$2:$J$11))</f>
        <v>260</v>
      </c>
    </row>
    <row r="783" spans="1:13" x14ac:dyDescent="0.25">
      <c r="A783" s="1">
        <f t="shared" si="96"/>
        <v>46101</v>
      </c>
      <c r="B783" t="str" cm="1">
        <f t="array" ref="B783">INDEX(HotelList,MOD(ROW()-2,10)+1)</f>
        <v>H002</v>
      </c>
      <c r="C783">
        <f>_xlfn.XLOOKUP(B783,Dim_Hotel!$A$2:$A$11,Dim_Hotel!$F$2:$F$11)</f>
        <v>147</v>
      </c>
      <c r="D783">
        <f t="shared" si="97"/>
        <v>81</v>
      </c>
      <c r="E783">
        <f t="shared" si="98"/>
        <v>0.55102040816326525</v>
      </c>
      <c r="F783">
        <f t="shared" si="99"/>
        <v>175</v>
      </c>
      <c r="G783">
        <f t="shared" si="100"/>
        <v>96.428571428571416</v>
      </c>
      <c r="H783" t="str">
        <f>_xlfn.XLOOKUP(A783,Fact_Events!$D$2:$D$20,Fact_Events!$A$2:$A$20, "")</f>
        <v/>
      </c>
      <c r="I783">
        <f t="shared" si="101"/>
        <v>0</v>
      </c>
      <c r="J783" t="str">
        <f>_xlfn.XLOOKUP(H783, Fact_Events!$A$2:$A$20, Fact_Events!$F$2:$F$20, "")</f>
        <v/>
      </c>
      <c r="K783" t="str">
        <f t="shared" si="102"/>
        <v>Low</v>
      </c>
      <c r="L783">
        <f t="shared" si="103"/>
        <v>0.55000000000000004</v>
      </c>
      <c r="M783">
        <f>_xlfn.XLOOKUP(B783, Dim_Hotel!$A$2:$A$11, Dim_Hotel!$I$2:$I$11)
 + (IF(J783="",0,J783)
    * _xlfn.XLOOKUP(B783, Dim_Hotel!$A$2:$A$11, Dim_Hotel!$J$2:$J$11))</f>
        <v>175</v>
      </c>
    </row>
    <row r="784" spans="1:13" x14ac:dyDescent="0.25">
      <c r="A784" s="1">
        <f t="shared" si="96"/>
        <v>46101</v>
      </c>
      <c r="B784" t="str" cm="1">
        <f t="array" ref="B784">INDEX(HotelList,MOD(ROW()-2,10)+1)</f>
        <v>H003</v>
      </c>
      <c r="C784">
        <f>_xlfn.XLOOKUP(B784,Dim_Hotel!$A$2:$A$11,Dim_Hotel!$F$2:$F$11)</f>
        <v>121</v>
      </c>
      <c r="D784">
        <f t="shared" si="97"/>
        <v>67</v>
      </c>
      <c r="E784">
        <f t="shared" si="98"/>
        <v>0.55371900826446285</v>
      </c>
      <c r="F784">
        <f t="shared" si="99"/>
        <v>145</v>
      </c>
      <c r="G784">
        <f t="shared" si="100"/>
        <v>80.289256198347118</v>
      </c>
      <c r="H784" t="str">
        <f>_xlfn.XLOOKUP(A784,Fact_Events!$D$2:$D$20,Fact_Events!$A$2:$A$20, "")</f>
        <v/>
      </c>
      <c r="I784">
        <f t="shared" si="101"/>
        <v>0</v>
      </c>
      <c r="J784" t="str">
        <f>_xlfn.XLOOKUP(H784, Fact_Events!$A$2:$A$20, Fact_Events!$F$2:$F$20, "")</f>
        <v/>
      </c>
      <c r="K784" t="str">
        <f t="shared" si="102"/>
        <v>Low</v>
      </c>
      <c r="L784">
        <f t="shared" si="103"/>
        <v>0.55000000000000004</v>
      </c>
      <c r="M784">
        <f>_xlfn.XLOOKUP(B784, Dim_Hotel!$A$2:$A$11, Dim_Hotel!$I$2:$I$11)
 + (IF(J784="",0,J784)
    * _xlfn.XLOOKUP(B784, Dim_Hotel!$A$2:$A$11, Dim_Hotel!$J$2:$J$11))</f>
        <v>145</v>
      </c>
    </row>
    <row r="785" spans="1:13" x14ac:dyDescent="0.25">
      <c r="A785" s="1">
        <f t="shared" si="96"/>
        <v>46101</v>
      </c>
      <c r="B785" t="str" cm="1">
        <f t="array" ref="B785">INDEX(HotelList,MOD(ROW()-2,10)+1)</f>
        <v>H004</v>
      </c>
      <c r="C785">
        <f>_xlfn.XLOOKUP(B785,Dim_Hotel!$A$2:$A$11,Dim_Hotel!$F$2:$F$11)</f>
        <v>108</v>
      </c>
      <c r="D785">
        <f t="shared" si="97"/>
        <v>59</v>
      </c>
      <c r="E785">
        <f t="shared" si="98"/>
        <v>0.54629629629629628</v>
      </c>
      <c r="F785">
        <f t="shared" si="99"/>
        <v>135</v>
      </c>
      <c r="G785">
        <f t="shared" si="100"/>
        <v>73.75</v>
      </c>
      <c r="H785" t="str">
        <f>_xlfn.XLOOKUP(A785,Fact_Events!$D$2:$D$20,Fact_Events!$A$2:$A$20, "")</f>
        <v/>
      </c>
      <c r="I785">
        <f t="shared" si="101"/>
        <v>0</v>
      </c>
      <c r="J785" t="str">
        <f>_xlfn.XLOOKUP(H785, Fact_Events!$A$2:$A$20, Fact_Events!$F$2:$F$20, "")</f>
        <v/>
      </c>
      <c r="K785" t="str">
        <f t="shared" si="102"/>
        <v>Low</v>
      </c>
      <c r="L785">
        <f t="shared" si="103"/>
        <v>0.55000000000000004</v>
      </c>
      <c r="M785">
        <f>_xlfn.XLOOKUP(B785, Dim_Hotel!$A$2:$A$11, Dim_Hotel!$I$2:$I$11)
 + (IF(J785="",0,J785)
    * _xlfn.XLOOKUP(B785, Dim_Hotel!$A$2:$A$11, Dim_Hotel!$J$2:$J$11))</f>
        <v>135</v>
      </c>
    </row>
    <row r="786" spans="1:13" x14ac:dyDescent="0.25">
      <c r="A786" s="1">
        <f t="shared" si="96"/>
        <v>46101</v>
      </c>
      <c r="B786" t="str" cm="1">
        <f t="array" ref="B786">INDEX(HotelList,MOD(ROW()-2,10)+1)</f>
        <v>H005</v>
      </c>
      <c r="C786">
        <f>_xlfn.XLOOKUP(B786,Dim_Hotel!$A$2:$A$11,Dim_Hotel!$F$2:$F$11)</f>
        <v>66</v>
      </c>
      <c r="D786">
        <f t="shared" si="97"/>
        <v>36</v>
      </c>
      <c r="E786">
        <f t="shared" si="98"/>
        <v>0.54545454545454541</v>
      </c>
      <c r="F786">
        <f t="shared" si="99"/>
        <v>82</v>
      </c>
      <c r="G786">
        <f t="shared" si="100"/>
        <v>44.727272727272727</v>
      </c>
      <c r="H786" t="str">
        <f>_xlfn.XLOOKUP(A786,Fact_Events!$D$2:$D$20,Fact_Events!$A$2:$A$20, "")</f>
        <v/>
      </c>
      <c r="I786">
        <f t="shared" si="101"/>
        <v>0</v>
      </c>
      <c r="J786" t="str">
        <f>_xlfn.XLOOKUP(H786, Fact_Events!$A$2:$A$20, Fact_Events!$F$2:$F$20, "")</f>
        <v/>
      </c>
      <c r="K786" t="str">
        <f t="shared" si="102"/>
        <v>Low</v>
      </c>
      <c r="L786">
        <f t="shared" si="103"/>
        <v>0.55000000000000004</v>
      </c>
      <c r="M786">
        <f>_xlfn.XLOOKUP(B786, Dim_Hotel!$A$2:$A$11, Dim_Hotel!$I$2:$I$11)
 + (IF(J786="",0,J786)
    * _xlfn.XLOOKUP(B786, Dim_Hotel!$A$2:$A$11, Dim_Hotel!$J$2:$J$11))</f>
        <v>82</v>
      </c>
    </row>
    <row r="787" spans="1:13" x14ac:dyDescent="0.25">
      <c r="A787" s="1">
        <f t="shared" si="96"/>
        <v>46101</v>
      </c>
      <c r="B787" t="str" cm="1">
        <f t="array" ref="B787">INDEX(HotelList,MOD(ROW()-2,10)+1)</f>
        <v>H006</v>
      </c>
      <c r="C787">
        <f>_xlfn.XLOOKUP(B787,Dim_Hotel!$A$2:$A$11,Dim_Hotel!$F$2:$F$11)</f>
        <v>311</v>
      </c>
      <c r="D787">
        <f t="shared" si="97"/>
        <v>171</v>
      </c>
      <c r="E787">
        <f t="shared" si="98"/>
        <v>0.54983922829581988</v>
      </c>
      <c r="F787">
        <f t="shared" si="99"/>
        <v>190</v>
      </c>
      <c r="G787">
        <f t="shared" si="100"/>
        <v>104.46945337620578</v>
      </c>
      <c r="H787" t="str">
        <f>_xlfn.XLOOKUP(A787,Fact_Events!$D$2:$D$20,Fact_Events!$A$2:$A$20, "")</f>
        <v/>
      </c>
      <c r="I787">
        <f t="shared" si="101"/>
        <v>0</v>
      </c>
      <c r="J787" t="str">
        <f>_xlfn.XLOOKUP(H787, Fact_Events!$A$2:$A$20, Fact_Events!$F$2:$F$20, "")</f>
        <v/>
      </c>
      <c r="K787" t="str">
        <f t="shared" si="102"/>
        <v>Low</v>
      </c>
      <c r="L787">
        <f t="shared" si="103"/>
        <v>0.55000000000000004</v>
      </c>
      <c r="M787">
        <f>_xlfn.XLOOKUP(B787, Dim_Hotel!$A$2:$A$11, Dim_Hotel!$I$2:$I$11)
 + (IF(J787="",0,J787)
    * _xlfn.XLOOKUP(B787, Dim_Hotel!$A$2:$A$11, Dim_Hotel!$J$2:$J$11))</f>
        <v>190</v>
      </c>
    </row>
    <row r="788" spans="1:13" x14ac:dyDescent="0.25">
      <c r="A788" s="1">
        <f t="shared" si="96"/>
        <v>46101</v>
      </c>
      <c r="B788" t="str" cm="1">
        <f t="array" ref="B788">INDEX(HotelList,MOD(ROW()-2,10)+1)</f>
        <v>H007</v>
      </c>
      <c r="C788">
        <f>_xlfn.XLOOKUP(B788,Dim_Hotel!$A$2:$A$11,Dim_Hotel!$F$2:$F$11)</f>
        <v>132</v>
      </c>
      <c r="D788">
        <f t="shared" si="97"/>
        <v>73</v>
      </c>
      <c r="E788">
        <f t="shared" si="98"/>
        <v>0.55303030303030298</v>
      </c>
      <c r="F788">
        <f t="shared" si="99"/>
        <v>165</v>
      </c>
      <c r="G788">
        <f t="shared" si="100"/>
        <v>91.249999999999986</v>
      </c>
      <c r="H788" t="str">
        <f>_xlfn.XLOOKUP(A788,Fact_Events!$D$2:$D$20,Fact_Events!$A$2:$A$20, "")</f>
        <v/>
      </c>
      <c r="I788">
        <f t="shared" si="101"/>
        <v>0</v>
      </c>
      <c r="J788" t="str">
        <f>_xlfn.XLOOKUP(H788, Fact_Events!$A$2:$A$20, Fact_Events!$F$2:$F$20, "")</f>
        <v/>
      </c>
      <c r="K788" t="str">
        <f t="shared" si="102"/>
        <v>Low</v>
      </c>
      <c r="L788">
        <f t="shared" si="103"/>
        <v>0.55000000000000004</v>
      </c>
      <c r="M788">
        <f>_xlfn.XLOOKUP(B788, Dim_Hotel!$A$2:$A$11, Dim_Hotel!$I$2:$I$11)
 + (IF(J788="",0,J788)
    * _xlfn.XLOOKUP(B788, Dim_Hotel!$A$2:$A$11, Dim_Hotel!$J$2:$J$11))</f>
        <v>165</v>
      </c>
    </row>
    <row r="789" spans="1:13" x14ac:dyDescent="0.25">
      <c r="A789" s="1">
        <f t="shared" si="96"/>
        <v>46101</v>
      </c>
      <c r="B789" t="str" cm="1">
        <f t="array" ref="B789">INDEX(HotelList,MOD(ROW()-2,10)+1)</f>
        <v>H008</v>
      </c>
      <c r="C789">
        <f>_xlfn.XLOOKUP(B789,Dim_Hotel!$A$2:$A$11,Dim_Hotel!$F$2:$F$11)</f>
        <v>103</v>
      </c>
      <c r="D789">
        <f t="shared" si="97"/>
        <v>57</v>
      </c>
      <c r="E789">
        <f t="shared" si="98"/>
        <v>0.55339805825242716</v>
      </c>
      <c r="F789">
        <f t="shared" si="99"/>
        <v>140</v>
      </c>
      <c r="G789">
        <f t="shared" si="100"/>
        <v>77.475728155339809</v>
      </c>
      <c r="H789" t="str">
        <f>_xlfn.XLOOKUP(A789,Fact_Events!$D$2:$D$20,Fact_Events!$A$2:$A$20, "")</f>
        <v/>
      </c>
      <c r="I789">
        <f t="shared" si="101"/>
        <v>0</v>
      </c>
      <c r="J789" t="str">
        <f>_xlfn.XLOOKUP(H789, Fact_Events!$A$2:$A$20, Fact_Events!$F$2:$F$20, "")</f>
        <v/>
      </c>
      <c r="K789" t="str">
        <f t="shared" si="102"/>
        <v>Low</v>
      </c>
      <c r="L789">
        <f t="shared" si="103"/>
        <v>0.55000000000000004</v>
      </c>
      <c r="M789">
        <f>_xlfn.XLOOKUP(B789, Dim_Hotel!$A$2:$A$11, Dim_Hotel!$I$2:$I$11)
 + (IF(J789="",0,J789)
    * _xlfn.XLOOKUP(B789, Dim_Hotel!$A$2:$A$11, Dim_Hotel!$J$2:$J$11))</f>
        <v>140</v>
      </c>
    </row>
    <row r="790" spans="1:13" x14ac:dyDescent="0.25">
      <c r="A790" s="1">
        <f t="shared" si="96"/>
        <v>46101</v>
      </c>
      <c r="B790" t="str" cm="1">
        <f t="array" ref="B790">INDEX(HotelList,MOD(ROW()-2,10)+1)</f>
        <v>H009</v>
      </c>
      <c r="C790">
        <f>_xlfn.XLOOKUP(B790,Dim_Hotel!$A$2:$A$11,Dim_Hotel!$F$2:$F$11)</f>
        <v>114</v>
      </c>
      <c r="D790">
        <f t="shared" si="97"/>
        <v>63</v>
      </c>
      <c r="E790">
        <f t="shared" si="98"/>
        <v>0.55263157894736847</v>
      </c>
      <c r="F790">
        <f t="shared" si="99"/>
        <v>185</v>
      </c>
      <c r="G790">
        <f t="shared" si="100"/>
        <v>102.23684210526316</v>
      </c>
      <c r="H790" t="str">
        <f>_xlfn.XLOOKUP(A790,Fact_Events!$D$2:$D$20,Fact_Events!$A$2:$A$20, "")</f>
        <v/>
      </c>
      <c r="I790">
        <f t="shared" si="101"/>
        <v>0</v>
      </c>
      <c r="J790" t="str">
        <f>_xlfn.XLOOKUP(H790, Fact_Events!$A$2:$A$20, Fact_Events!$F$2:$F$20, "")</f>
        <v/>
      </c>
      <c r="K790" t="str">
        <f t="shared" si="102"/>
        <v>Low</v>
      </c>
      <c r="L790">
        <f t="shared" si="103"/>
        <v>0.55000000000000004</v>
      </c>
      <c r="M790">
        <f>_xlfn.XLOOKUP(B790, Dim_Hotel!$A$2:$A$11, Dim_Hotel!$I$2:$I$11)
 + (IF(J790="",0,J790)
    * _xlfn.XLOOKUP(B790, Dim_Hotel!$A$2:$A$11, Dim_Hotel!$J$2:$J$11))</f>
        <v>185</v>
      </c>
    </row>
    <row r="791" spans="1:13" x14ac:dyDescent="0.25">
      <c r="A791" s="1">
        <f t="shared" si="96"/>
        <v>46101</v>
      </c>
      <c r="B791" t="str" cm="1">
        <f t="array" ref="B791">INDEX(HotelList,MOD(ROW()-2,10)+1)</f>
        <v>H010</v>
      </c>
      <c r="C791">
        <f>_xlfn.XLOOKUP(B791,Dim_Hotel!$A$2:$A$11,Dim_Hotel!$F$2:$F$11)</f>
        <v>89</v>
      </c>
      <c r="D791">
        <f t="shared" si="97"/>
        <v>49</v>
      </c>
      <c r="E791">
        <f t="shared" si="98"/>
        <v>0.550561797752809</v>
      </c>
      <c r="F791">
        <f t="shared" si="99"/>
        <v>150</v>
      </c>
      <c r="G791">
        <f t="shared" si="100"/>
        <v>82.584269662921344</v>
      </c>
      <c r="H791" t="str">
        <f>_xlfn.XLOOKUP(A791,Fact_Events!$D$2:$D$20,Fact_Events!$A$2:$A$20, "")</f>
        <v/>
      </c>
      <c r="I791">
        <f t="shared" si="101"/>
        <v>0</v>
      </c>
      <c r="J791" t="str">
        <f>_xlfn.XLOOKUP(H791, Fact_Events!$A$2:$A$20, Fact_Events!$F$2:$F$20, "")</f>
        <v/>
      </c>
      <c r="K791" t="str">
        <f t="shared" si="102"/>
        <v>Low</v>
      </c>
      <c r="L791">
        <f t="shared" si="103"/>
        <v>0.55000000000000004</v>
      </c>
      <c r="M791">
        <f>_xlfn.XLOOKUP(B791, Dim_Hotel!$A$2:$A$11, Dim_Hotel!$I$2:$I$11)
 + (IF(J791="",0,J791)
    * _xlfn.XLOOKUP(B791, Dim_Hotel!$A$2:$A$11, Dim_Hotel!$J$2:$J$11))</f>
        <v>150</v>
      </c>
    </row>
    <row r="792" spans="1:13" x14ac:dyDescent="0.25">
      <c r="A792" s="1">
        <f t="shared" si="96"/>
        <v>46102</v>
      </c>
      <c r="B792" t="str" cm="1">
        <f t="array" ref="B792">INDEX(HotelList,MOD(ROW()-2,10)+1)</f>
        <v>H001</v>
      </c>
      <c r="C792">
        <f>_xlfn.XLOOKUP(B792,Dim_Hotel!$A$2:$A$11,Dim_Hotel!$F$2:$F$11)</f>
        <v>888</v>
      </c>
      <c r="D792">
        <f t="shared" si="97"/>
        <v>488</v>
      </c>
      <c r="E792">
        <f t="shared" si="98"/>
        <v>0.5495495495495496</v>
      </c>
      <c r="F792">
        <f t="shared" si="99"/>
        <v>260</v>
      </c>
      <c r="G792">
        <f t="shared" si="100"/>
        <v>142.88288288288288</v>
      </c>
      <c r="H792" t="str">
        <f>_xlfn.XLOOKUP(A792,Fact_Events!$D$2:$D$20,Fact_Events!$A$2:$A$20, "")</f>
        <v/>
      </c>
      <c r="I792">
        <f t="shared" si="101"/>
        <v>0</v>
      </c>
      <c r="J792" t="str">
        <f>_xlfn.XLOOKUP(H792, Fact_Events!$A$2:$A$20, Fact_Events!$F$2:$F$20, "")</f>
        <v/>
      </c>
      <c r="K792" t="str">
        <f t="shared" si="102"/>
        <v>Low</v>
      </c>
      <c r="L792">
        <f t="shared" si="103"/>
        <v>0.55000000000000004</v>
      </c>
      <c r="M792">
        <f>_xlfn.XLOOKUP(B792, Dim_Hotel!$A$2:$A$11, Dim_Hotel!$I$2:$I$11)
 + (IF(J792="",0,J792)
    * _xlfn.XLOOKUP(B792, Dim_Hotel!$A$2:$A$11, Dim_Hotel!$J$2:$J$11))</f>
        <v>260</v>
      </c>
    </row>
    <row r="793" spans="1:13" x14ac:dyDescent="0.25">
      <c r="A793" s="1">
        <f t="shared" si="96"/>
        <v>46102</v>
      </c>
      <c r="B793" t="str" cm="1">
        <f t="array" ref="B793">INDEX(HotelList,MOD(ROW()-2,10)+1)</f>
        <v>H002</v>
      </c>
      <c r="C793">
        <f>_xlfn.XLOOKUP(B793,Dim_Hotel!$A$2:$A$11,Dim_Hotel!$F$2:$F$11)</f>
        <v>147</v>
      </c>
      <c r="D793">
        <f t="shared" si="97"/>
        <v>81</v>
      </c>
      <c r="E793">
        <f t="shared" si="98"/>
        <v>0.55102040816326525</v>
      </c>
      <c r="F793">
        <f t="shared" si="99"/>
        <v>175</v>
      </c>
      <c r="G793">
        <f t="shared" si="100"/>
        <v>96.428571428571416</v>
      </c>
      <c r="H793" t="str">
        <f>_xlfn.XLOOKUP(A793,Fact_Events!$D$2:$D$20,Fact_Events!$A$2:$A$20, "")</f>
        <v/>
      </c>
      <c r="I793">
        <f t="shared" si="101"/>
        <v>0</v>
      </c>
      <c r="J793" t="str">
        <f>_xlfn.XLOOKUP(H793, Fact_Events!$A$2:$A$20, Fact_Events!$F$2:$F$20, "")</f>
        <v/>
      </c>
      <c r="K793" t="str">
        <f t="shared" si="102"/>
        <v>Low</v>
      </c>
      <c r="L793">
        <f t="shared" si="103"/>
        <v>0.55000000000000004</v>
      </c>
      <c r="M793">
        <f>_xlfn.XLOOKUP(B793, Dim_Hotel!$A$2:$A$11, Dim_Hotel!$I$2:$I$11)
 + (IF(J793="",0,J793)
    * _xlfn.XLOOKUP(B793, Dim_Hotel!$A$2:$A$11, Dim_Hotel!$J$2:$J$11))</f>
        <v>175</v>
      </c>
    </row>
    <row r="794" spans="1:13" x14ac:dyDescent="0.25">
      <c r="A794" s="1">
        <f t="shared" si="96"/>
        <v>46102</v>
      </c>
      <c r="B794" t="str" cm="1">
        <f t="array" ref="B794">INDEX(HotelList,MOD(ROW()-2,10)+1)</f>
        <v>H003</v>
      </c>
      <c r="C794">
        <f>_xlfn.XLOOKUP(B794,Dim_Hotel!$A$2:$A$11,Dim_Hotel!$F$2:$F$11)</f>
        <v>121</v>
      </c>
      <c r="D794">
        <f t="shared" si="97"/>
        <v>67</v>
      </c>
      <c r="E794">
        <f t="shared" si="98"/>
        <v>0.55371900826446285</v>
      </c>
      <c r="F794">
        <f t="shared" si="99"/>
        <v>145</v>
      </c>
      <c r="G794">
        <f t="shared" si="100"/>
        <v>80.289256198347118</v>
      </c>
      <c r="H794" t="str">
        <f>_xlfn.XLOOKUP(A794,Fact_Events!$D$2:$D$20,Fact_Events!$A$2:$A$20, "")</f>
        <v/>
      </c>
      <c r="I794">
        <f t="shared" si="101"/>
        <v>0</v>
      </c>
      <c r="J794" t="str">
        <f>_xlfn.XLOOKUP(H794, Fact_Events!$A$2:$A$20, Fact_Events!$F$2:$F$20, "")</f>
        <v/>
      </c>
      <c r="K794" t="str">
        <f t="shared" si="102"/>
        <v>Low</v>
      </c>
      <c r="L794">
        <f t="shared" si="103"/>
        <v>0.55000000000000004</v>
      </c>
      <c r="M794">
        <f>_xlfn.XLOOKUP(B794, Dim_Hotel!$A$2:$A$11, Dim_Hotel!$I$2:$I$11)
 + (IF(J794="",0,J794)
    * _xlfn.XLOOKUP(B794, Dim_Hotel!$A$2:$A$11, Dim_Hotel!$J$2:$J$11))</f>
        <v>145</v>
      </c>
    </row>
    <row r="795" spans="1:13" x14ac:dyDescent="0.25">
      <c r="A795" s="1">
        <f t="shared" si="96"/>
        <v>46102</v>
      </c>
      <c r="B795" t="str" cm="1">
        <f t="array" ref="B795">INDEX(HotelList,MOD(ROW()-2,10)+1)</f>
        <v>H004</v>
      </c>
      <c r="C795">
        <f>_xlfn.XLOOKUP(B795,Dim_Hotel!$A$2:$A$11,Dim_Hotel!$F$2:$F$11)</f>
        <v>108</v>
      </c>
      <c r="D795">
        <f t="shared" si="97"/>
        <v>59</v>
      </c>
      <c r="E795">
        <f t="shared" si="98"/>
        <v>0.54629629629629628</v>
      </c>
      <c r="F795">
        <f t="shared" si="99"/>
        <v>135</v>
      </c>
      <c r="G795">
        <f t="shared" si="100"/>
        <v>73.75</v>
      </c>
      <c r="H795" t="str">
        <f>_xlfn.XLOOKUP(A795,Fact_Events!$D$2:$D$20,Fact_Events!$A$2:$A$20, "")</f>
        <v/>
      </c>
      <c r="I795">
        <f t="shared" si="101"/>
        <v>0</v>
      </c>
      <c r="J795" t="str">
        <f>_xlfn.XLOOKUP(H795, Fact_Events!$A$2:$A$20, Fact_Events!$F$2:$F$20, "")</f>
        <v/>
      </c>
      <c r="K795" t="str">
        <f t="shared" si="102"/>
        <v>Low</v>
      </c>
      <c r="L795">
        <f t="shared" si="103"/>
        <v>0.55000000000000004</v>
      </c>
      <c r="M795">
        <f>_xlfn.XLOOKUP(B795, Dim_Hotel!$A$2:$A$11, Dim_Hotel!$I$2:$I$11)
 + (IF(J795="",0,J795)
    * _xlfn.XLOOKUP(B795, Dim_Hotel!$A$2:$A$11, Dim_Hotel!$J$2:$J$11))</f>
        <v>135</v>
      </c>
    </row>
    <row r="796" spans="1:13" x14ac:dyDescent="0.25">
      <c r="A796" s="1">
        <f t="shared" si="96"/>
        <v>46102</v>
      </c>
      <c r="B796" t="str" cm="1">
        <f t="array" ref="B796">INDEX(HotelList,MOD(ROW()-2,10)+1)</f>
        <v>H005</v>
      </c>
      <c r="C796">
        <f>_xlfn.XLOOKUP(B796,Dim_Hotel!$A$2:$A$11,Dim_Hotel!$F$2:$F$11)</f>
        <v>66</v>
      </c>
      <c r="D796">
        <f t="shared" si="97"/>
        <v>36</v>
      </c>
      <c r="E796">
        <f t="shared" si="98"/>
        <v>0.54545454545454541</v>
      </c>
      <c r="F796">
        <f t="shared" si="99"/>
        <v>82</v>
      </c>
      <c r="G796">
        <f t="shared" si="100"/>
        <v>44.727272727272727</v>
      </c>
      <c r="H796" t="str">
        <f>_xlfn.XLOOKUP(A796,Fact_Events!$D$2:$D$20,Fact_Events!$A$2:$A$20, "")</f>
        <v/>
      </c>
      <c r="I796">
        <f t="shared" si="101"/>
        <v>0</v>
      </c>
      <c r="J796" t="str">
        <f>_xlfn.XLOOKUP(H796, Fact_Events!$A$2:$A$20, Fact_Events!$F$2:$F$20, "")</f>
        <v/>
      </c>
      <c r="K796" t="str">
        <f t="shared" si="102"/>
        <v>Low</v>
      </c>
      <c r="L796">
        <f t="shared" si="103"/>
        <v>0.55000000000000004</v>
      </c>
      <c r="M796">
        <f>_xlfn.XLOOKUP(B796, Dim_Hotel!$A$2:$A$11, Dim_Hotel!$I$2:$I$11)
 + (IF(J796="",0,J796)
    * _xlfn.XLOOKUP(B796, Dim_Hotel!$A$2:$A$11, Dim_Hotel!$J$2:$J$11))</f>
        <v>82</v>
      </c>
    </row>
    <row r="797" spans="1:13" x14ac:dyDescent="0.25">
      <c r="A797" s="1">
        <f t="shared" si="96"/>
        <v>46102</v>
      </c>
      <c r="B797" t="str" cm="1">
        <f t="array" ref="B797">INDEX(HotelList,MOD(ROW()-2,10)+1)</f>
        <v>H006</v>
      </c>
      <c r="C797">
        <f>_xlfn.XLOOKUP(B797,Dim_Hotel!$A$2:$A$11,Dim_Hotel!$F$2:$F$11)</f>
        <v>311</v>
      </c>
      <c r="D797">
        <f t="shared" si="97"/>
        <v>171</v>
      </c>
      <c r="E797">
        <f t="shared" si="98"/>
        <v>0.54983922829581988</v>
      </c>
      <c r="F797">
        <f t="shared" si="99"/>
        <v>190</v>
      </c>
      <c r="G797">
        <f t="shared" si="100"/>
        <v>104.46945337620578</v>
      </c>
      <c r="H797" t="str">
        <f>_xlfn.XLOOKUP(A797,Fact_Events!$D$2:$D$20,Fact_Events!$A$2:$A$20, "")</f>
        <v/>
      </c>
      <c r="I797">
        <f t="shared" si="101"/>
        <v>0</v>
      </c>
      <c r="J797" t="str">
        <f>_xlfn.XLOOKUP(H797, Fact_Events!$A$2:$A$20, Fact_Events!$F$2:$F$20, "")</f>
        <v/>
      </c>
      <c r="K797" t="str">
        <f t="shared" si="102"/>
        <v>Low</v>
      </c>
      <c r="L797">
        <f t="shared" si="103"/>
        <v>0.55000000000000004</v>
      </c>
      <c r="M797">
        <f>_xlfn.XLOOKUP(B797, Dim_Hotel!$A$2:$A$11, Dim_Hotel!$I$2:$I$11)
 + (IF(J797="",0,J797)
    * _xlfn.XLOOKUP(B797, Dim_Hotel!$A$2:$A$11, Dim_Hotel!$J$2:$J$11))</f>
        <v>190</v>
      </c>
    </row>
    <row r="798" spans="1:13" x14ac:dyDescent="0.25">
      <c r="A798" s="1">
        <f t="shared" si="96"/>
        <v>46102</v>
      </c>
      <c r="B798" t="str" cm="1">
        <f t="array" ref="B798">INDEX(HotelList,MOD(ROW()-2,10)+1)</f>
        <v>H007</v>
      </c>
      <c r="C798">
        <f>_xlfn.XLOOKUP(B798,Dim_Hotel!$A$2:$A$11,Dim_Hotel!$F$2:$F$11)</f>
        <v>132</v>
      </c>
      <c r="D798">
        <f t="shared" si="97"/>
        <v>73</v>
      </c>
      <c r="E798">
        <f t="shared" si="98"/>
        <v>0.55303030303030298</v>
      </c>
      <c r="F798">
        <f t="shared" si="99"/>
        <v>165</v>
      </c>
      <c r="G798">
        <f t="shared" si="100"/>
        <v>91.249999999999986</v>
      </c>
      <c r="H798" t="str">
        <f>_xlfn.XLOOKUP(A798,Fact_Events!$D$2:$D$20,Fact_Events!$A$2:$A$20, "")</f>
        <v/>
      </c>
      <c r="I798">
        <f t="shared" si="101"/>
        <v>0</v>
      </c>
      <c r="J798" t="str">
        <f>_xlfn.XLOOKUP(H798, Fact_Events!$A$2:$A$20, Fact_Events!$F$2:$F$20, "")</f>
        <v/>
      </c>
      <c r="K798" t="str">
        <f t="shared" si="102"/>
        <v>Low</v>
      </c>
      <c r="L798">
        <f t="shared" si="103"/>
        <v>0.55000000000000004</v>
      </c>
      <c r="M798">
        <f>_xlfn.XLOOKUP(B798, Dim_Hotel!$A$2:$A$11, Dim_Hotel!$I$2:$I$11)
 + (IF(J798="",0,J798)
    * _xlfn.XLOOKUP(B798, Dim_Hotel!$A$2:$A$11, Dim_Hotel!$J$2:$J$11))</f>
        <v>165</v>
      </c>
    </row>
    <row r="799" spans="1:13" x14ac:dyDescent="0.25">
      <c r="A799" s="1">
        <f t="shared" si="96"/>
        <v>46102</v>
      </c>
      <c r="B799" t="str" cm="1">
        <f t="array" ref="B799">INDEX(HotelList,MOD(ROW()-2,10)+1)</f>
        <v>H008</v>
      </c>
      <c r="C799">
        <f>_xlfn.XLOOKUP(B799,Dim_Hotel!$A$2:$A$11,Dim_Hotel!$F$2:$F$11)</f>
        <v>103</v>
      </c>
      <c r="D799">
        <f t="shared" si="97"/>
        <v>57</v>
      </c>
      <c r="E799">
        <f t="shared" si="98"/>
        <v>0.55339805825242716</v>
      </c>
      <c r="F799">
        <f t="shared" si="99"/>
        <v>140</v>
      </c>
      <c r="G799">
        <f t="shared" si="100"/>
        <v>77.475728155339809</v>
      </c>
      <c r="H799" t="str">
        <f>_xlfn.XLOOKUP(A799,Fact_Events!$D$2:$D$20,Fact_Events!$A$2:$A$20, "")</f>
        <v/>
      </c>
      <c r="I799">
        <f t="shared" si="101"/>
        <v>0</v>
      </c>
      <c r="J799" t="str">
        <f>_xlfn.XLOOKUP(H799, Fact_Events!$A$2:$A$20, Fact_Events!$F$2:$F$20, "")</f>
        <v/>
      </c>
      <c r="K799" t="str">
        <f t="shared" si="102"/>
        <v>Low</v>
      </c>
      <c r="L799">
        <f t="shared" si="103"/>
        <v>0.55000000000000004</v>
      </c>
      <c r="M799">
        <f>_xlfn.XLOOKUP(B799, Dim_Hotel!$A$2:$A$11, Dim_Hotel!$I$2:$I$11)
 + (IF(J799="",0,J799)
    * _xlfn.XLOOKUP(B799, Dim_Hotel!$A$2:$A$11, Dim_Hotel!$J$2:$J$11))</f>
        <v>140</v>
      </c>
    </row>
    <row r="800" spans="1:13" x14ac:dyDescent="0.25">
      <c r="A800" s="1">
        <f t="shared" si="96"/>
        <v>46102</v>
      </c>
      <c r="B800" t="str" cm="1">
        <f t="array" ref="B800">INDEX(HotelList,MOD(ROW()-2,10)+1)</f>
        <v>H009</v>
      </c>
      <c r="C800">
        <f>_xlfn.XLOOKUP(B800,Dim_Hotel!$A$2:$A$11,Dim_Hotel!$F$2:$F$11)</f>
        <v>114</v>
      </c>
      <c r="D800">
        <f t="shared" si="97"/>
        <v>63</v>
      </c>
      <c r="E800">
        <f t="shared" si="98"/>
        <v>0.55263157894736847</v>
      </c>
      <c r="F800">
        <f t="shared" si="99"/>
        <v>185</v>
      </c>
      <c r="G800">
        <f t="shared" si="100"/>
        <v>102.23684210526316</v>
      </c>
      <c r="H800" t="str">
        <f>_xlfn.XLOOKUP(A800,Fact_Events!$D$2:$D$20,Fact_Events!$A$2:$A$20, "")</f>
        <v/>
      </c>
      <c r="I800">
        <f t="shared" si="101"/>
        <v>0</v>
      </c>
      <c r="J800" t="str">
        <f>_xlfn.XLOOKUP(H800, Fact_Events!$A$2:$A$20, Fact_Events!$F$2:$F$20, "")</f>
        <v/>
      </c>
      <c r="K800" t="str">
        <f t="shared" si="102"/>
        <v>Low</v>
      </c>
      <c r="L800">
        <f t="shared" si="103"/>
        <v>0.55000000000000004</v>
      </c>
      <c r="M800">
        <f>_xlfn.XLOOKUP(B800, Dim_Hotel!$A$2:$A$11, Dim_Hotel!$I$2:$I$11)
 + (IF(J800="",0,J800)
    * _xlfn.XLOOKUP(B800, Dim_Hotel!$A$2:$A$11, Dim_Hotel!$J$2:$J$11))</f>
        <v>185</v>
      </c>
    </row>
    <row r="801" spans="1:13" x14ac:dyDescent="0.25">
      <c r="A801" s="1">
        <f t="shared" si="96"/>
        <v>46102</v>
      </c>
      <c r="B801" t="str" cm="1">
        <f t="array" ref="B801">INDEX(HotelList,MOD(ROW()-2,10)+1)</f>
        <v>H010</v>
      </c>
      <c r="C801">
        <f>_xlfn.XLOOKUP(B801,Dim_Hotel!$A$2:$A$11,Dim_Hotel!$F$2:$F$11)</f>
        <v>89</v>
      </c>
      <c r="D801">
        <f t="shared" si="97"/>
        <v>49</v>
      </c>
      <c r="E801">
        <f t="shared" si="98"/>
        <v>0.550561797752809</v>
      </c>
      <c r="F801">
        <f t="shared" si="99"/>
        <v>150</v>
      </c>
      <c r="G801">
        <f t="shared" si="100"/>
        <v>82.584269662921344</v>
      </c>
      <c r="H801" t="str">
        <f>_xlfn.XLOOKUP(A801,Fact_Events!$D$2:$D$20,Fact_Events!$A$2:$A$20, "")</f>
        <v/>
      </c>
      <c r="I801">
        <f t="shared" si="101"/>
        <v>0</v>
      </c>
      <c r="J801" t="str">
        <f>_xlfn.XLOOKUP(H801, Fact_Events!$A$2:$A$20, Fact_Events!$F$2:$F$20, "")</f>
        <v/>
      </c>
      <c r="K801" t="str">
        <f t="shared" si="102"/>
        <v>Low</v>
      </c>
      <c r="L801">
        <f t="shared" si="103"/>
        <v>0.55000000000000004</v>
      </c>
      <c r="M801">
        <f>_xlfn.XLOOKUP(B801, Dim_Hotel!$A$2:$A$11, Dim_Hotel!$I$2:$I$11)
 + (IF(J801="",0,J801)
    * _xlfn.XLOOKUP(B801, Dim_Hotel!$A$2:$A$11, Dim_Hotel!$J$2:$J$11))</f>
        <v>150</v>
      </c>
    </row>
    <row r="802" spans="1:13" x14ac:dyDescent="0.25">
      <c r="A802" s="1">
        <f t="shared" si="96"/>
        <v>46103</v>
      </c>
      <c r="B802" t="str" cm="1">
        <f t="array" ref="B802">INDEX(HotelList,MOD(ROW()-2,10)+1)</f>
        <v>H001</v>
      </c>
      <c r="C802">
        <f>_xlfn.XLOOKUP(B802,Dim_Hotel!$A$2:$A$11,Dim_Hotel!$F$2:$F$11)</f>
        <v>888</v>
      </c>
      <c r="D802">
        <f t="shared" si="97"/>
        <v>488</v>
      </c>
      <c r="E802">
        <f t="shared" si="98"/>
        <v>0.5495495495495496</v>
      </c>
      <c r="F802">
        <f t="shared" si="99"/>
        <v>260</v>
      </c>
      <c r="G802">
        <f t="shared" si="100"/>
        <v>142.88288288288288</v>
      </c>
      <c r="H802" t="str">
        <f>_xlfn.XLOOKUP(A802,Fact_Events!$D$2:$D$20,Fact_Events!$A$2:$A$20, "")</f>
        <v/>
      </c>
      <c r="I802">
        <f t="shared" si="101"/>
        <v>0</v>
      </c>
      <c r="J802" t="str">
        <f>_xlfn.XLOOKUP(H802, Fact_Events!$A$2:$A$20, Fact_Events!$F$2:$F$20, "")</f>
        <v/>
      </c>
      <c r="K802" t="str">
        <f t="shared" si="102"/>
        <v>Low</v>
      </c>
      <c r="L802">
        <f t="shared" si="103"/>
        <v>0.55000000000000004</v>
      </c>
      <c r="M802">
        <f>_xlfn.XLOOKUP(B802, Dim_Hotel!$A$2:$A$11, Dim_Hotel!$I$2:$I$11)
 + (IF(J802="",0,J802)
    * _xlfn.XLOOKUP(B802, Dim_Hotel!$A$2:$A$11, Dim_Hotel!$J$2:$J$11))</f>
        <v>260</v>
      </c>
    </row>
    <row r="803" spans="1:13" x14ac:dyDescent="0.25">
      <c r="A803" s="1">
        <f t="shared" si="96"/>
        <v>46103</v>
      </c>
      <c r="B803" t="str" cm="1">
        <f t="array" ref="B803">INDEX(HotelList,MOD(ROW()-2,10)+1)</f>
        <v>H002</v>
      </c>
      <c r="C803">
        <f>_xlfn.XLOOKUP(B803,Dim_Hotel!$A$2:$A$11,Dim_Hotel!$F$2:$F$11)</f>
        <v>147</v>
      </c>
      <c r="D803">
        <f t="shared" si="97"/>
        <v>81</v>
      </c>
      <c r="E803">
        <f t="shared" si="98"/>
        <v>0.55102040816326525</v>
      </c>
      <c r="F803">
        <f t="shared" si="99"/>
        <v>175</v>
      </c>
      <c r="G803">
        <f t="shared" si="100"/>
        <v>96.428571428571416</v>
      </c>
      <c r="H803" t="str">
        <f>_xlfn.XLOOKUP(A803,Fact_Events!$D$2:$D$20,Fact_Events!$A$2:$A$20, "")</f>
        <v/>
      </c>
      <c r="I803">
        <f t="shared" si="101"/>
        <v>0</v>
      </c>
      <c r="J803" t="str">
        <f>_xlfn.XLOOKUP(H803, Fact_Events!$A$2:$A$20, Fact_Events!$F$2:$F$20, "")</f>
        <v/>
      </c>
      <c r="K803" t="str">
        <f t="shared" si="102"/>
        <v>Low</v>
      </c>
      <c r="L803">
        <f t="shared" si="103"/>
        <v>0.55000000000000004</v>
      </c>
      <c r="M803">
        <f>_xlfn.XLOOKUP(B803, Dim_Hotel!$A$2:$A$11, Dim_Hotel!$I$2:$I$11)
 + (IF(J803="",0,J803)
    * _xlfn.XLOOKUP(B803, Dim_Hotel!$A$2:$A$11, Dim_Hotel!$J$2:$J$11))</f>
        <v>175</v>
      </c>
    </row>
    <row r="804" spans="1:13" x14ac:dyDescent="0.25">
      <c r="A804" s="1">
        <f t="shared" si="96"/>
        <v>46103</v>
      </c>
      <c r="B804" t="str" cm="1">
        <f t="array" ref="B804">INDEX(HotelList,MOD(ROW()-2,10)+1)</f>
        <v>H003</v>
      </c>
      <c r="C804">
        <f>_xlfn.XLOOKUP(B804,Dim_Hotel!$A$2:$A$11,Dim_Hotel!$F$2:$F$11)</f>
        <v>121</v>
      </c>
      <c r="D804">
        <f t="shared" si="97"/>
        <v>67</v>
      </c>
      <c r="E804">
        <f t="shared" si="98"/>
        <v>0.55371900826446285</v>
      </c>
      <c r="F804">
        <f t="shared" si="99"/>
        <v>145</v>
      </c>
      <c r="G804">
        <f t="shared" si="100"/>
        <v>80.289256198347118</v>
      </c>
      <c r="H804" t="str">
        <f>_xlfn.XLOOKUP(A804,Fact_Events!$D$2:$D$20,Fact_Events!$A$2:$A$20, "")</f>
        <v/>
      </c>
      <c r="I804">
        <f t="shared" si="101"/>
        <v>0</v>
      </c>
      <c r="J804" t="str">
        <f>_xlfn.XLOOKUP(H804, Fact_Events!$A$2:$A$20, Fact_Events!$F$2:$F$20, "")</f>
        <v/>
      </c>
      <c r="K804" t="str">
        <f t="shared" si="102"/>
        <v>Low</v>
      </c>
      <c r="L804">
        <f t="shared" si="103"/>
        <v>0.55000000000000004</v>
      </c>
      <c r="M804">
        <f>_xlfn.XLOOKUP(B804, Dim_Hotel!$A$2:$A$11, Dim_Hotel!$I$2:$I$11)
 + (IF(J804="",0,J804)
    * _xlfn.XLOOKUP(B804, Dim_Hotel!$A$2:$A$11, Dim_Hotel!$J$2:$J$11))</f>
        <v>145</v>
      </c>
    </row>
    <row r="805" spans="1:13" x14ac:dyDescent="0.25">
      <c r="A805" s="1">
        <f t="shared" si="96"/>
        <v>46103</v>
      </c>
      <c r="B805" t="str" cm="1">
        <f t="array" ref="B805">INDEX(HotelList,MOD(ROW()-2,10)+1)</f>
        <v>H004</v>
      </c>
      <c r="C805">
        <f>_xlfn.XLOOKUP(B805,Dim_Hotel!$A$2:$A$11,Dim_Hotel!$F$2:$F$11)</f>
        <v>108</v>
      </c>
      <c r="D805">
        <f t="shared" si="97"/>
        <v>59</v>
      </c>
      <c r="E805">
        <f t="shared" si="98"/>
        <v>0.54629629629629628</v>
      </c>
      <c r="F805">
        <f t="shared" si="99"/>
        <v>135</v>
      </c>
      <c r="G805">
        <f t="shared" si="100"/>
        <v>73.75</v>
      </c>
      <c r="H805" t="str">
        <f>_xlfn.XLOOKUP(A805,Fact_Events!$D$2:$D$20,Fact_Events!$A$2:$A$20, "")</f>
        <v/>
      </c>
      <c r="I805">
        <f t="shared" si="101"/>
        <v>0</v>
      </c>
      <c r="J805" t="str">
        <f>_xlfn.XLOOKUP(H805, Fact_Events!$A$2:$A$20, Fact_Events!$F$2:$F$20, "")</f>
        <v/>
      </c>
      <c r="K805" t="str">
        <f t="shared" si="102"/>
        <v>Low</v>
      </c>
      <c r="L805">
        <f t="shared" si="103"/>
        <v>0.55000000000000004</v>
      </c>
      <c r="M805">
        <f>_xlfn.XLOOKUP(B805, Dim_Hotel!$A$2:$A$11, Dim_Hotel!$I$2:$I$11)
 + (IF(J805="",0,J805)
    * _xlfn.XLOOKUP(B805, Dim_Hotel!$A$2:$A$11, Dim_Hotel!$J$2:$J$11))</f>
        <v>135</v>
      </c>
    </row>
    <row r="806" spans="1:13" x14ac:dyDescent="0.25">
      <c r="A806" s="1">
        <f t="shared" si="96"/>
        <v>46103</v>
      </c>
      <c r="B806" t="str" cm="1">
        <f t="array" ref="B806">INDEX(HotelList,MOD(ROW()-2,10)+1)</f>
        <v>H005</v>
      </c>
      <c r="C806">
        <f>_xlfn.XLOOKUP(B806,Dim_Hotel!$A$2:$A$11,Dim_Hotel!$F$2:$F$11)</f>
        <v>66</v>
      </c>
      <c r="D806">
        <f t="shared" si="97"/>
        <v>36</v>
      </c>
      <c r="E806">
        <f t="shared" si="98"/>
        <v>0.54545454545454541</v>
      </c>
      <c r="F806">
        <f t="shared" si="99"/>
        <v>82</v>
      </c>
      <c r="G806">
        <f t="shared" si="100"/>
        <v>44.727272727272727</v>
      </c>
      <c r="H806" t="str">
        <f>_xlfn.XLOOKUP(A806,Fact_Events!$D$2:$D$20,Fact_Events!$A$2:$A$20, "")</f>
        <v/>
      </c>
      <c r="I806">
        <f t="shared" si="101"/>
        <v>0</v>
      </c>
      <c r="J806" t="str">
        <f>_xlfn.XLOOKUP(H806, Fact_Events!$A$2:$A$20, Fact_Events!$F$2:$F$20, "")</f>
        <v/>
      </c>
      <c r="K806" t="str">
        <f t="shared" si="102"/>
        <v>Low</v>
      </c>
      <c r="L806">
        <f t="shared" si="103"/>
        <v>0.55000000000000004</v>
      </c>
      <c r="M806">
        <f>_xlfn.XLOOKUP(B806, Dim_Hotel!$A$2:$A$11, Dim_Hotel!$I$2:$I$11)
 + (IF(J806="",0,J806)
    * _xlfn.XLOOKUP(B806, Dim_Hotel!$A$2:$A$11, Dim_Hotel!$J$2:$J$11))</f>
        <v>82</v>
      </c>
    </row>
    <row r="807" spans="1:13" x14ac:dyDescent="0.25">
      <c r="A807" s="1">
        <f t="shared" si="96"/>
        <v>46103</v>
      </c>
      <c r="B807" t="str" cm="1">
        <f t="array" ref="B807">INDEX(HotelList,MOD(ROW()-2,10)+1)</f>
        <v>H006</v>
      </c>
      <c r="C807">
        <f>_xlfn.XLOOKUP(B807,Dim_Hotel!$A$2:$A$11,Dim_Hotel!$F$2:$F$11)</f>
        <v>311</v>
      </c>
      <c r="D807">
        <f t="shared" si="97"/>
        <v>171</v>
      </c>
      <c r="E807">
        <f t="shared" si="98"/>
        <v>0.54983922829581988</v>
      </c>
      <c r="F807">
        <f t="shared" si="99"/>
        <v>190</v>
      </c>
      <c r="G807">
        <f t="shared" si="100"/>
        <v>104.46945337620578</v>
      </c>
      <c r="H807" t="str">
        <f>_xlfn.XLOOKUP(A807,Fact_Events!$D$2:$D$20,Fact_Events!$A$2:$A$20, "")</f>
        <v/>
      </c>
      <c r="I807">
        <f t="shared" si="101"/>
        <v>0</v>
      </c>
      <c r="J807" t="str">
        <f>_xlfn.XLOOKUP(H807, Fact_Events!$A$2:$A$20, Fact_Events!$F$2:$F$20, "")</f>
        <v/>
      </c>
      <c r="K807" t="str">
        <f t="shared" si="102"/>
        <v>Low</v>
      </c>
      <c r="L807">
        <f t="shared" si="103"/>
        <v>0.55000000000000004</v>
      </c>
      <c r="M807">
        <f>_xlfn.XLOOKUP(B807, Dim_Hotel!$A$2:$A$11, Dim_Hotel!$I$2:$I$11)
 + (IF(J807="",0,J807)
    * _xlfn.XLOOKUP(B807, Dim_Hotel!$A$2:$A$11, Dim_Hotel!$J$2:$J$11))</f>
        <v>190</v>
      </c>
    </row>
    <row r="808" spans="1:13" x14ac:dyDescent="0.25">
      <c r="A808" s="1">
        <f t="shared" si="96"/>
        <v>46103</v>
      </c>
      <c r="B808" t="str" cm="1">
        <f t="array" ref="B808">INDEX(HotelList,MOD(ROW()-2,10)+1)</f>
        <v>H007</v>
      </c>
      <c r="C808">
        <f>_xlfn.XLOOKUP(B808,Dim_Hotel!$A$2:$A$11,Dim_Hotel!$F$2:$F$11)</f>
        <v>132</v>
      </c>
      <c r="D808">
        <f t="shared" si="97"/>
        <v>73</v>
      </c>
      <c r="E808">
        <f t="shared" si="98"/>
        <v>0.55303030303030298</v>
      </c>
      <c r="F808">
        <f t="shared" si="99"/>
        <v>165</v>
      </c>
      <c r="G808">
        <f t="shared" si="100"/>
        <v>91.249999999999986</v>
      </c>
      <c r="H808" t="str">
        <f>_xlfn.XLOOKUP(A808,Fact_Events!$D$2:$D$20,Fact_Events!$A$2:$A$20, "")</f>
        <v/>
      </c>
      <c r="I808">
        <f t="shared" si="101"/>
        <v>0</v>
      </c>
      <c r="J808" t="str">
        <f>_xlfn.XLOOKUP(H808, Fact_Events!$A$2:$A$20, Fact_Events!$F$2:$F$20, "")</f>
        <v/>
      </c>
      <c r="K808" t="str">
        <f t="shared" si="102"/>
        <v>Low</v>
      </c>
      <c r="L808">
        <f t="shared" si="103"/>
        <v>0.55000000000000004</v>
      </c>
      <c r="M808">
        <f>_xlfn.XLOOKUP(B808, Dim_Hotel!$A$2:$A$11, Dim_Hotel!$I$2:$I$11)
 + (IF(J808="",0,J808)
    * _xlfn.XLOOKUP(B808, Dim_Hotel!$A$2:$A$11, Dim_Hotel!$J$2:$J$11))</f>
        <v>165</v>
      </c>
    </row>
    <row r="809" spans="1:13" x14ac:dyDescent="0.25">
      <c r="A809" s="1">
        <f t="shared" si="96"/>
        <v>46103</v>
      </c>
      <c r="B809" t="str" cm="1">
        <f t="array" ref="B809">INDEX(HotelList,MOD(ROW()-2,10)+1)</f>
        <v>H008</v>
      </c>
      <c r="C809">
        <f>_xlfn.XLOOKUP(B809,Dim_Hotel!$A$2:$A$11,Dim_Hotel!$F$2:$F$11)</f>
        <v>103</v>
      </c>
      <c r="D809">
        <f t="shared" si="97"/>
        <v>57</v>
      </c>
      <c r="E809">
        <f t="shared" si="98"/>
        <v>0.55339805825242716</v>
      </c>
      <c r="F809">
        <f t="shared" si="99"/>
        <v>140</v>
      </c>
      <c r="G809">
        <f t="shared" si="100"/>
        <v>77.475728155339809</v>
      </c>
      <c r="H809" t="str">
        <f>_xlfn.XLOOKUP(A809,Fact_Events!$D$2:$D$20,Fact_Events!$A$2:$A$20, "")</f>
        <v/>
      </c>
      <c r="I809">
        <f t="shared" si="101"/>
        <v>0</v>
      </c>
      <c r="J809" t="str">
        <f>_xlfn.XLOOKUP(H809, Fact_Events!$A$2:$A$20, Fact_Events!$F$2:$F$20, "")</f>
        <v/>
      </c>
      <c r="K809" t="str">
        <f t="shared" si="102"/>
        <v>Low</v>
      </c>
      <c r="L809">
        <f t="shared" si="103"/>
        <v>0.55000000000000004</v>
      </c>
      <c r="M809">
        <f>_xlfn.XLOOKUP(B809, Dim_Hotel!$A$2:$A$11, Dim_Hotel!$I$2:$I$11)
 + (IF(J809="",0,J809)
    * _xlfn.XLOOKUP(B809, Dim_Hotel!$A$2:$A$11, Dim_Hotel!$J$2:$J$11))</f>
        <v>140</v>
      </c>
    </row>
    <row r="810" spans="1:13" x14ac:dyDescent="0.25">
      <c r="A810" s="1">
        <f t="shared" si="96"/>
        <v>46103</v>
      </c>
      <c r="B810" t="str" cm="1">
        <f t="array" ref="B810">INDEX(HotelList,MOD(ROW()-2,10)+1)</f>
        <v>H009</v>
      </c>
      <c r="C810">
        <f>_xlfn.XLOOKUP(B810,Dim_Hotel!$A$2:$A$11,Dim_Hotel!$F$2:$F$11)</f>
        <v>114</v>
      </c>
      <c r="D810">
        <f t="shared" si="97"/>
        <v>63</v>
      </c>
      <c r="E810">
        <f t="shared" si="98"/>
        <v>0.55263157894736847</v>
      </c>
      <c r="F810">
        <f t="shared" si="99"/>
        <v>185</v>
      </c>
      <c r="G810">
        <f t="shared" si="100"/>
        <v>102.23684210526316</v>
      </c>
      <c r="H810" t="str">
        <f>_xlfn.XLOOKUP(A810,Fact_Events!$D$2:$D$20,Fact_Events!$A$2:$A$20, "")</f>
        <v/>
      </c>
      <c r="I810">
        <f t="shared" si="101"/>
        <v>0</v>
      </c>
      <c r="J810" t="str">
        <f>_xlfn.XLOOKUP(H810, Fact_Events!$A$2:$A$20, Fact_Events!$F$2:$F$20, "")</f>
        <v/>
      </c>
      <c r="K810" t="str">
        <f t="shared" si="102"/>
        <v>Low</v>
      </c>
      <c r="L810">
        <f t="shared" si="103"/>
        <v>0.55000000000000004</v>
      </c>
      <c r="M810">
        <f>_xlfn.XLOOKUP(B810, Dim_Hotel!$A$2:$A$11, Dim_Hotel!$I$2:$I$11)
 + (IF(J810="",0,J810)
    * _xlfn.XLOOKUP(B810, Dim_Hotel!$A$2:$A$11, Dim_Hotel!$J$2:$J$11))</f>
        <v>185</v>
      </c>
    </row>
    <row r="811" spans="1:13" x14ac:dyDescent="0.25">
      <c r="A811" s="1">
        <f t="shared" si="96"/>
        <v>46103</v>
      </c>
      <c r="B811" t="str" cm="1">
        <f t="array" ref="B811">INDEX(HotelList,MOD(ROW()-2,10)+1)</f>
        <v>H010</v>
      </c>
      <c r="C811">
        <f>_xlfn.XLOOKUP(B811,Dim_Hotel!$A$2:$A$11,Dim_Hotel!$F$2:$F$11)</f>
        <v>89</v>
      </c>
      <c r="D811">
        <f t="shared" si="97"/>
        <v>49</v>
      </c>
      <c r="E811">
        <f t="shared" si="98"/>
        <v>0.550561797752809</v>
      </c>
      <c r="F811">
        <f t="shared" si="99"/>
        <v>150</v>
      </c>
      <c r="G811">
        <f t="shared" si="100"/>
        <v>82.584269662921344</v>
      </c>
      <c r="H811" t="str">
        <f>_xlfn.XLOOKUP(A811,Fact_Events!$D$2:$D$20,Fact_Events!$A$2:$A$20, "")</f>
        <v/>
      </c>
      <c r="I811">
        <f t="shared" si="101"/>
        <v>0</v>
      </c>
      <c r="J811" t="str">
        <f>_xlfn.XLOOKUP(H811, Fact_Events!$A$2:$A$20, Fact_Events!$F$2:$F$20, "")</f>
        <v/>
      </c>
      <c r="K811" t="str">
        <f t="shared" si="102"/>
        <v>Low</v>
      </c>
      <c r="L811">
        <f t="shared" si="103"/>
        <v>0.55000000000000004</v>
      </c>
      <c r="M811">
        <f>_xlfn.XLOOKUP(B811, Dim_Hotel!$A$2:$A$11, Dim_Hotel!$I$2:$I$11)
 + (IF(J811="",0,J811)
    * _xlfn.XLOOKUP(B811, Dim_Hotel!$A$2:$A$11, Dim_Hotel!$J$2:$J$11))</f>
        <v>150</v>
      </c>
    </row>
    <row r="812" spans="1:13" x14ac:dyDescent="0.25">
      <c r="A812" s="1">
        <f t="shared" si="96"/>
        <v>46104</v>
      </c>
      <c r="B812" t="str" cm="1">
        <f t="array" ref="B812">INDEX(HotelList,MOD(ROW()-2,10)+1)</f>
        <v>H001</v>
      </c>
      <c r="C812">
        <f>_xlfn.XLOOKUP(B812,Dim_Hotel!$A$2:$A$11,Dim_Hotel!$F$2:$F$11)</f>
        <v>888</v>
      </c>
      <c r="D812">
        <f t="shared" si="97"/>
        <v>488</v>
      </c>
      <c r="E812">
        <f t="shared" si="98"/>
        <v>0.5495495495495496</v>
      </c>
      <c r="F812">
        <f t="shared" si="99"/>
        <v>260</v>
      </c>
      <c r="G812">
        <f t="shared" si="100"/>
        <v>142.88288288288288</v>
      </c>
      <c r="H812" t="str">
        <f>_xlfn.XLOOKUP(A812,Fact_Events!$D$2:$D$20,Fact_Events!$A$2:$A$20, "")</f>
        <v/>
      </c>
      <c r="I812">
        <f t="shared" si="101"/>
        <v>0</v>
      </c>
      <c r="J812" t="str">
        <f>_xlfn.XLOOKUP(H812, Fact_Events!$A$2:$A$20, Fact_Events!$F$2:$F$20, "")</f>
        <v/>
      </c>
      <c r="K812" t="str">
        <f t="shared" si="102"/>
        <v>Low</v>
      </c>
      <c r="L812">
        <f t="shared" si="103"/>
        <v>0.55000000000000004</v>
      </c>
      <c r="M812">
        <f>_xlfn.XLOOKUP(B812, Dim_Hotel!$A$2:$A$11, Dim_Hotel!$I$2:$I$11)
 + (IF(J812="",0,J812)
    * _xlfn.XLOOKUP(B812, Dim_Hotel!$A$2:$A$11, Dim_Hotel!$J$2:$J$11))</f>
        <v>260</v>
      </c>
    </row>
    <row r="813" spans="1:13" x14ac:dyDescent="0.25">
      <c r="A813" s="1">
        <f t="shared" si="96"/>
        <v>46104</v>
      </c>
      <c r="B813" t="str" cm="1">
        <f t="array" ref="B813">INDEX(HotelList,MOD(ROW()-2,10)+1)</f>
        <v>H002</v>
      </c>
      <c r="C813">
        <f>_xlfn.XLOOKUP(B813,Dim_Hotel!$A$2:$A$11,Dim_Hotel!$F$2:$F$11)</f>
        <v>147</v>
      </c>
      <c r="D813">
        <f t="shared" si="97"/>
        <v>81</v>
      </c>
      <c r="E813">
        <f t="shared" si="98"/>
        <v>0.55102040816326525</v>
      </c>
      <c r="F813">
        <f t="shared" si="99"/>
        <v>175</v>
      </c>
      <c r="G813">
        <f t="shared" si="100"/>
        <v>96.428571428571416</v>
      </c>
      <c r="H813" t="str">
        <f>_xlfn.XLOOKUP(A813,Fact_Events!$D$2:$D$20,Fact_Events!$A$2:$A$20, "")</f>
        <v/>
      </c>
      <c r="I813">
        <f t="shared" si="101"/>
        <v>0</v>
      </c>
      <c r="J813" t="str">
        <f>_xlfn.XLOOKUP(H813, Fact_Events!$A$2:$A$20, Fact_Events!$F$2:$F$20, "")</f>
        <v/>
      </c>
      <c r="K813" t="str">
        <f t="shared" si="102"/>
        <v>Low</v>
      </c>
      <c r="L813">
        <f t="shared" si="103"/>
        <v>0.55000000000000004</v>
      </c>
      <c r="M813">
        <f>_xlfn.XLOOKUP(B813, Dim_Hotel!$A$2:$A$11, Dim_Hotel!$I$2:$I$11)
 + (IF(J813="",0,J813)
    * _xlfn.XLOOKUP(B813, Dim_Hotel!$A$2:$A$11, Dim_Hotel!$J$2:$J$11))</f>
        <v>175</v>
      </c>
    </row>
    <row r="814" spans="1:13" x14ac:dyDescent="0.25">
      <c r="A814" s="1">
        <f t="shared" si="96"/>
        <v>46104</v>
      </c>
      <c r="B814" t="str" cm="1">
        <f t="array" ref="B814">INDEX(HotelList,MOD(ROW()-2,10)+1)</f>
        <v>H003</v>
      </c>
      <c r="C814">
        <f>_xlfn.XLOOKUP(B814,Dim_Hotel!$A$2:$A$11,Dim_Hotel!$F$2:$F$11)</f>
        <v>121</v>
      </c>
      <c r="D814">
        <f t="shared" si="97"/>
        <v>67</v>
      </c>
      <c r="E814">
        <f t="shared" si="98"/>
        <v>0.55371900826446285</v>
      </c>
      <c r="F814">
        <f t="shared" si="99"/>
        <v>145</v>
      </c>
      <c r="G814">
        <f t="shared" si="100"/>
        <v>80.289256198347118</v>
      </c>
      <c r="H814" t="str">
        <f>_xlfn.XLOOKUP(A814,Fact_Events!$D$2:$D$20,Fact_Events!$A$2:$A$20, "")</f>
        <v/>
      </c>
      <c r="I814">
        <f t="shared" si="101"/>
        <v>0</v>
      </c>
      <c r="J814" t="str">
        <f>_xlfn.XLOOKUP(H814, Fact_Events!$A$2:$A$20, Fact_Events!$F$2:$F$20, "")</f>
        <v/>
      </c>
      <c r="K814" t="str">
        <f t="shared" si="102"/>
        <v>Low</v>
      </c>
      <c r="L814">
        <f t="shared" si="103"/>
        <v>0.55000000000000004</v>
      </c>
      <c r="M814">
        <f>_xlfn.XLOOKUP(B814, Dim_Hotel!$A$2:$A$11, Dim_Hotel!$I$2:$I$11)
 + (IF(J814="",0,J814)
    * _xlfn.XLOOKUP(B814, Dim_Hotel!$A$2:$A$11, Dim_Hotel!$J$2:$J$11))</f>
        <v>145</v>
      </c>
    </row>
    <row r="815" spans="1:13" x14ac:dyDescent="0.25">
      <c r="A815" s="1">
        <f t="shared" si="96"/>
        <v>46104</v>
      </c>
      <c r="B815" t="str" cm="1">
        <f t="array" ref="B815">INDEX(HotelList,MOD(ROW()-2,10)+1)</f>
        <v>H004</v>
      </c>
      <c r="C815">
        <f>_xlfn.XLOOKUP(B815,Dim_Hotel!$A$2:$A$11,Dim_Hotel!$F$2:$F$11)</f>
        <v>108</v>
      </c>
      <c r="D815">
        <f t="shared" si="97"/>
        <v>59</v>
      </c>
      <c r="E815">
        <f t="shared" si="98"/>
        <v>0.54629629629629628</v>
      </c>
      <c r="F815">
        <f t="shared" si="99"/>
        <v>135</v>
      </c>
      <c r="G815">
        <f t="shared" si="100"/>
        <v>73.75</v>
      </c>
      <c r="H815" t="str">
        <f>_xlfn.XLOOKUP(A815,Fact_Events!$D$2:$D$20,Fact_Events!$A$2:$A$20, "")</f>
        <v/>
      </c>
      <c r="I815">
        <f t="shared" si="101"/>
        <v>0</v>
      </c>
      <c r="J815" t="str">
        <f>_xlfn.XLOOKUP(H815, Fact_Events!$A$2:$A$20, Fact_Events!$F$2:$F$20, "")</f>
        <v/>
      </c>
      <c r="K815" t="str">
        <f t="shared" si="102"/>
        <v>Low</v>
      </c>
      <c r="L815">
        <f t="shared" si="103"/>
        <v>0.55000000000000004</v>
      </c>
      <c r="M815">
        <f>_xlfn.XLOOKUP(B815, Dim_Hotel!$A$2:$A$11, Dim_Hotel!$I$2:$I$11)
 + (IF(J815="",0,J815)
    * _xlfn.XLOOKUP(B815, Dim_Hotel!$A$2:$A$11, Dim_Hotel!$J$2:$J$11))</f>
        <v>135</v>
      </c>
    </row>
    <row r="816" spans="1:13" x14ac:dyDescent="0.25">
      <c r="A816" s="1">
        <f t="shared" si="96"/>
        <v>46104</v>
      </c>
      <c r="B816" t="str" cm="1">
        <f t="array" ref="B816">INDEX(HotelList,MOD(ROW()-2,10)+1)</f>
        <v>H005</v>
      </c>
      <c r="C816">
        <f>_xlfn.XLOOKUP(B816,Dim_Hotel!$A$2:$A$11,Dim_Hotel!$F$2:$F$11)</f>
        <v>66</v>
      </c>
      <c r="D816">
        <f t="shared" si="97"/>
        <v>36</v>
      </c>
      <c r="E816">
        <f t="shared" si="98"/>
        <v>0.54545454545454541</v>
      </c>
      <c r="F816">
        <f t="shared" si="99"/>
        <v>82</v>
      </c>
      <c r="G816">
        <f t="shared" si="100"/>
        <v>44.727272727272727</v>
      </c>
      <c r="H816" t="str">
        <f>_xlfn.XLOOKUP(A816,Fact_Events!$D$2:$D$20,Fact_Events!$A$2:$A$20, "")</f>
        <v/>
      </c>
      <c r="I816">
        <f t="shared" si="101"/>
        <v>0</v>
      </c>
      <c r="J816" t="str">
        <f>_xlfn.XLOOKUP(H816, Fact_Events!$A$2:$A$20, Fact_Events!$F$2:$F$20, "")</f>
        <v/>
      </c>
      <c r="K816" t="str">
        <f t="shared" si="102"/>
        <v>Low</v>
      </c>
      <c r="L816">
        <f t="shared" si="103"/>
        <v>0.55000000000000004</v>
      </c>
      <c r="M816">
        <f>_xlfn.XLOOKUP(B816, Dim_Hotel!$A$2:$A$11, Dim_Hotel!$I$2:$I$11)
 + (IF(J816="",0,J816)
    * _xlfn.XLOOKUP(B816, Dim_Hotel!$A$2:$A$11, Dim_Hotel!$J$2:$J$11))</f>
        <v>82</v>
      </c>
    </row>
    <row r="817" spans="1:13" x14ac:dyDescent="0.25">
      <c r="A817" s="1">
        <f t="shared" si="96"/>
        <v>46104</v>
      </c>
      <c r="B817" t="str" cm="1">
        <f t="array" ref="B817">INDEX(HotelList,MOD(ROW()-2,10)+1)</f>
        <v>H006</v>
      </c>
      <c r="C817">
        <f>_xlfn.XLOOKUP(B817,Dim_Hotel!$A$2:$A$11,Dim_Hotel!$F$2:$F$11)</f>
        <v>311</v>
      </c>
      <c r="D817">
        <f t="shared" si="97"/>
        <v>171</v>
      </c>
      <c r="E817">
        <f t="shared" si="98"/>
        <v>0.54983922829581988</v>
      </c>
      <c r="F817">
        <f t="shared" si="99"/>
        <v>190</v>
      </c>
      <c r="G817">
        <f t="shared" si="100"/>
        <v>104.46945337620578</v>
      </c>
      <c r="H817" t="str">
        <f>_xlfn.XLOOKUP(A817,Fact_Events!$D$2:$D$20,Fact_Events!$A$2:$A$20, "")</f>
        <v/>
      </c>
      <c r="I817">
        <f t="shared" si="101"/>
        <v>0</v>
      </c>
      <c r="J817" t="str">
        <f>_xlfn.XLOOKUP(H817, Fact_Events!$A$2:$A$20, Fact_Events!$F$2:$F$20, "")</f>
        <v/>
      </c>
      <c r="K817" t="str">
        <f t="shared" si="102"/>
        <v>Low</v>
      </c>
      <c r="L817">
        <f t="shared" si="103"/>
        <v>0.55000000000000004</v>
      </c>
      <c r="M817">
        <f>_xlfn.XLOOKUP(B817, Dim_Hotel!$A$2:$A$11, Dim_Hotel!$I$2:$I$11)
 + (IF(J817="",0,J817)
    * _xlfn.XLOOKUP(B817, Dim_Hotel!$A$2:$A$11, Dim_Hotel!$J$2:$J$11))</f>
        <v>190</v>
      </c>
    </row>
    <row r="818" spans="1:13" x14ac:dyDescent="0.25">
      <c r="A818" s="1">
        <f t="shared" si="96"/>
        <v>46104</v>
      </c>
      <c r="B818" t="str" cm="1">
        <f t="array" ref="B818">INDEX(HotelList,MOD(ROW()-2,10)+1)</f>
        <v>H007</v>
      </c>
      <c r="C818">
        <f>_xlfn.XLOOKUP(B818,Dim_Hotel!$A$2:$A$11,Dim_Hotel!$F$2:$F$11)</f>
        <v>132</v>
      </c>
      <c r="D818">
        <f t="shared" si="97"/>
        <v>73</v>
      </c>
      <c r="E818">
        <f t="shared" si="98"/>
        <v>0.55303030303030298</v>
      </c>
      <c r="F818">
        <f t="shared" si="99"/>
        <v>165</v>
      </c>
      <c r="G818">
        <f t="shared" si="100"/>
        <v>91.249999999999986</v>
      </c>
      <c r="H818" t="str">
        <f>_xlfn.XLOOKUP(A818,Fact_Events!$D$2:$D$20,Fact_Events!$A$2:$A$20, "")</f>
        <v/>
      </c>
      <c r="I818">
        <f t="shared" si="101"/>
        <v>0</v>
      </c>
      <c r="J818" t="str">
        <f>_xlfn.XLOOKUP(H818, Fact_Events!$A$2:$A$20, Fact_Events!$F$2:$F$20, "")</f>
        <v/>
      </c>
      <c r="K818" t="str">
        <f t="shared" si="102"/>
        <v>Low</v>
      </c>
      <c r="L818">
        <f t="shared" si="103"/>
        <v>0.55000000000000004</v>
      </c>
      <c r="M818">
        <f>_xlfn.XLOOKUP(B818, Dim_Hotel!$A$2:$A$11, Dim_Hotel!$I$2:$I$11)
 + (IF(J818="",0,J818)
    * _xlfn.XLOOKUP(B818, Dim_Hotel!$A$2:$A$11, Dim_Hotel!$J$2:$J$11))</f>
        <v>165</v>
      </c>
    </row>
    <row r="819" spans="1:13" x14ac:dyDescent="0.25">
      <c r="A819" s="1">
        <f t="shared" si="96"/>
        <v>46104</v>
      </c>
      <c r="B819" t="str" cm="1">
        <f t="array" ref="B819">INDEX(HotelList,MOD(ROW()-2,10)+1)</f>
        <v>H008</v>
      </c>
      <c r="C819">
        <f>_xlfn.XLOOKUP(B819,Dim_Hotel!$A$2:$A$11,Dim_Hotel!$F$2:$F$11)</f>
        <v>103</v>
      </c>
      <c r="D819">
        <f t="shared" si="97"/>
        <v>57</v>
      </c>
      <c r="E819">
        <f t="shared" si="98"/>
        <v>0.55339805825242716</v>
      </c>
      <c r="F819">
        <f t="shared" si="99"/>
        <v>140</v>
      </c>
      <c r="G819">
        <f t="shared" si="100"/>
        <v>77.475728155339809</v>
      </c>
      <c r="H819" t="str">
        <f>_xlfn.XLOOKUP(A819,Fact_Events!$D$2:$D$20,Fact_Events!$A$2:$A$20, "")</f>
        <v/>
      </c>
      <c r="I819">
        <f t="shared" si="101"/>
        <v>0</v>
      </c>
      <c r="J819" t="str">
        <f>_xlfn.XLOOKUP(H819, Fact_Events!$A$2:$A$20, Fact_Events!$F$2:$F$20, "")</f>
        <v/>
      </c>
      <c r="K819" t="str">
        <f t="shared" si="102"/>
        <v>Low</v>
      </c>
      <c r="L819">
        <f t="shared" si="103"/>
        <v>0.55000000000000004</v>
      </c>
      <c r="M819">
        <f>_xlfn.XLOOKUP(B819, Dim_Hotel!$A$2:$A$11, Dim_Hotel!$I$2:$I$11)
 + (IF(J819="",0,J819)
    * _xlfn.XLOOKUP(B819, Dim_Hotel!$A$2:$A$11, Dim_Hotel!$J$2:$J$11))</f>
        <v>140</v>
      </c>
    </row>
    <row r="820" spans="1:13" x14ac:dyDescent="0.25">
      <c r="A820" s="1">
        <f t="shared" si="96"/>
        <v>46104</v>
      </c>
      <c r="B820" t="str" cm="1">
        <f t="array" ref="B820">INDEX(HotelList,MOD(ROW()-2,10)+1)</f>
        <v>H009</v>
      </c>
      <c r="C820">
        <f>_xlfn.XLOOKUP(B820,Dim_Hotel!$A$2:$A$11,Dim_Hotel!$F$2:$F$11)</f>
        <v>114</v>
      </c>
      <c r="D820">
        <f t="shared" si="97"/>
        <v>63</v>
      </c>
      <c r="E820">
        <f t="shared" si="98"/>
        <v>0.55263157894736847</v>
      </c>
      <c r="F820">
        <f t="shared" si="99"/>
        <v>185</v>
      </c>
      <c r="G820">
        <f t="shared" si="100"/>
        <v>102.23684210526316</v>
      </c>
      <c r="H820" t="str">
        <f>_xlfn.XLOOKUP(A820,Fact_Events!$D$2:$D$20,Fact_Events!$A$2:$A$20, "")</f>
        <v/>
      </c>
      <c r="I820">
        <f t="shared" si="101"/>
        <v>0</v>
      </c>
      <c r="J820" t="str">
        <f>_xlfn.XLOOKUP(H820, Fact_Events!$A$2:$A$20, Fact_Events!$F$2:$F$20, "")</f>
        <v/>
      </c>
      <c r="K820" t="str">
        <f t="shared" si="102"/>
        <v>Low</v>
      </c>
      <c r="L820">
        <f t="shared" si="103"/>
        <v>0.55000000000000004</v>
      </c>
      <c r="M820">
        <f>_xlfn.XLOOKUP(B820, Dim_Hotel!$A$2:$A$11, Dim_Hotel!$I$2:$I$11)
 + (IF(J820="",0,J820)
    * _xlfn.XLOOKUP(B820, Dim_Hotel!$A$2:$A$11, Dim_Hotel!$J$2:$J$11))</f>
        <v>185</v>
      </c>
    </row>
    <row r="821" spans="1:13" x14ac:dyDescent="0.25">
      <c r="A821" s="1">
        <f t="shared" si="96"/>
        <v>46104</v>
      </c>
      <c r="B821" t="str" cm="1">
        <f t="array" ref="B821">INDEX(HotelList,MOD(ROW()-2,10)+1)</f>
        <v>H010</v>
      </c>
      <c r="C821">
        <f>_xlfn.XLOOKUP(B821,Dim_Hotel!$A$2:$A$11,Dim_Hotel!$F$2:$F$11)</f>
        <v>89</v>
      </c>
      <c r="D821">
        <f t="shared" si="97"/>
        <v>49</v>
      </c>
      <c r="E821">
        <f t="shared" si="98"/>
        <v>0.550561797752809</v>
      </c>
      <c r="F821">
        <f t="shared" si="99"/>
        <v>150</v>
      </c>
      <c r="G821">
        <f t="shared" si="100"/>
        <v>82.584269662921344</v>
      </c>
      <c r="H821" t="str">
        <f>_xlfn.XLOOKUP(A821,Fact_Events!$D$2:$D$20,Fact_Events!$A$2:$A$20, "")</f>
        <v/>
      </c>
      <c r="I821">
        <f t="shared" si="101"/>
        <v>0</v>
      </c>
      <c r="J821" t="str">
        <f>_xlfn.XLOOKUP(H821, Fact_Events!$A$2:$A$20, Fact_Events!$F$2:$F$20, "")</f>
        <v/>
      </c>
      <c r="K821" t="str">
        <f t="shared" si="102"/>
        <v>Low</v>
      </c>
      <c r="L821">
        <f t="shared" si="103"/>
        <v>0.55000000000000004</v>
      </c>
      <c r="M821">
        <f>_xlfn.XLOOKUP(B821, Dim_Hotel!$A$2:$A$11, Dim_Hotel!$I$2:$I$11)
 + (IF(J821="",0,J821)
    * _xlfn.XLOOKUP(B821, Dim_Hotel!$A$2:$A$11, Dim_Hotel!$J$2:$J$11))</f>
        <v>150</v>
      </c>
    </row>
    <row r="822" spans="1:13" x14ac:dyDescent="0.25">
      <c r="A822" s="1">
        <f t="shared" si="96"/>
        <v>46105</v>
      </c>
      <c r="B822" t="str" cm="1">
        <f t="array" ref="B822">INDEX(HotelList,MOD(ROW()-2,10)+1)</f>
        <v>H001</v>
      </c>
      <c r="C822">
        <f>_xlfn.XLOOKUP(B822,Dim_Hotel!$A$2:$A$11,Dim_Hotel!$F$2:$F$11)</f>
        <v>888</v>
      </c>
      <c r="D822">
        <f t="shared" si="97"/>
        <v>488</v>
      </c>
      <c r="E822">
        <f t="shared" si="98"/>
        <v>0.5495495495495496</v>
      </c>
      <c r="F822">
        <f t="shared" si="99"/>
        <v>260</v>
      </c>
      <c r="G822">
        <f t="shared" si="100"/>
        <v>142.88288288288288</v>
      </c>
      <c r="H822" t="str">
        <f>_xlfn.XLOOKUP(A822,Fact_Events!$D$2:$D$20,Fact_Events!$A$2:$A$20, "")</f>
        <v/>
      </c>
      <c r="I822">
        <f t="shared" si="101"/>
        <v>0</v>
      </c>
      <c r="J822" t="str">
        <f>_xlfn.XLOOKUP(H822, Fact_Events!$A$2:$A$20, Fact_Events!$F$2:$F$20, "")</f>
        <v/>
      </c>
      <c r="K822" t="str">
        <f t="shared" si="102"/>
        <v>Low</v>
      </c>
      <c r="L822">
        <f t="shared" si="103"/>
        <v>0.55000000000000004</v>
      </c>
      <c r="M822">
        <f>_xlfn.XLOOKUP(B822, Dim_Hotel!$A$2:$A$11, Dim_Hotel!$I$2:$I$11)
 + (IF(J822="",0,J822)
    * _xlfn.XLOOKUP(B822, Dim_Hotel!$A$2:$A$11, Dim_Hotel!$J$2:$J$11))</f>
        <v>260</v>
      </c>
    </row>
    <row r="823" spans="1:13" x14ac:dyDescent="0.25">
      <c r="A823" s="1">
        <f t="shared" si="96"/>
        <v>46105</v>
      </c>
      <c r="B823" t="str" cm="1">
        <f t="array" ref="B823">INDEX(HotelList,MOD(ROW()-2,10)+1)</f>
        <v>H002</v>
      </c>
      <c r="C823">
        <f>_xlfn.XLOOKUP(B823,Dim_Hotel!$A$2:$A$11,Dim_Hotel!$F$2:$F$11)</f>
        <v>147</v>
      </c>
      <c r="D823">
        <f t="shared" si="97"/>
        <v>81</v>
      </c>
      <c r="E823">
        <f t="shared" si="98"/>
        <v>0.55102040816326525</v>
      </c>
      <c r="F823">
        <f t="shared" si="99"/>
        <v>175</v>
      </c>
      <c r="G823">
        <f t="shared" si="100"/>
        <v>96.428571428571416</v>
      </c>
      <c r="H823" t="str">
        <f>_xlfn.XLOOKUP(A823,Fact_Events!$D$2:$D$20,Fact_Events!$A$2:$A$20, "")</f>
        <v/>
      </c>
      <c r="I823">
        <f t="shared" si="101"/>
        <v>0</v>
      </c>
      <c r="J823" t="str">
        <f>_xlfn.XLOOKUP(H823, Fact_Events!$A$2:$A$20, Fact_Events!$F$2:$F$20, "")</f>
        <v/>
      </c>
      <c r="K823" t="str">
        <f t="shared" si="102"/>
        <v>Low</v>
      </c>
      <c r="L823">
        <f t="shared" si="103"/>
        <v>0.55000000000000004</v>
      </c>
      <c r="M823">
        <f>_xlfn.XLOOKUP(B823, Dim_Hotel!$A$2:$A$11, Dim_Hotel!$I$2:$I$11)
 + (IF(J823="",0,J823)
    * _xlfn.XLOOKUP(B823, Dim_Hotel!$A$2:$A$11, Dim_Hotel!$J$2:$J$11))</f>
        <v>175</v>
      </c>
    </row>
    <row r="824" spans="1:13" x14ac:dyDescent="0.25">
      <c r="A824" s="1">
        <f t="shared" si="96"/>
        <v>46105</v>
      </c>
      <c r="B824" t="str" cm="1">
        <f t="array" ref="B824">INDEX(HotelList,MOD(ROW()-2,10)+1)</f>
        <v>H003</v>
      </c>
      <c r="C824">
        <f>_xlfn.XLOOKUP(B824,Dim_Hotel!$A$2:$A$11,Dim_Hotel!$F$2:$F$11)</f>
        <v>121</v>
      </c>
      <c r="D824">
        <f t="shared" si="97"/>
        <v>67</v>
      </c>
      <c r="E824">
        <f t="shared" si="98"/>
        <v>0.55371900826446285</v>
      </c>
      <c r="F824">
        <f t="shared" si="99"/>
        <v>145</v>
      </c>
      <c r="G824">
        <f t="shared" si="100"/>
        <v>80.289256198347118</v>
      </c>
      <c r="H824" t="str">
        <f>_xlfn.XLOOKUP(A824,Fact_Events!$D$2:$D$20,Fact_Events!$A$2:$A$20, "")</f>
        <v/>
      </c>
      <c r="I824">
        <f t="shared" si="101"/>
        <v>0</v>
      </c>
      <c r="J824" t="str">
        <f>_xlfn.XLOOKUP(H824, Fact_Events!$A$2:$A$20, Fact_Events!$F$2:$F$20, "")</f>
        <v/>
      </c>
      <c r="K824" t="str">
        <f t="shared" si="102"/>
        <v>Low</v>
      </c>
      <c r="L824">
        <f t="shared" si="103"/>
        <v>0.55000000000000004</v>
      </c>
      <c r="M824">
        <f>_xlfn.XLOOKUP(B824, Dim_Hotel!$A$2:$A$11, Dim_Hotel!$I$2:$I$11)
 + (IF(J824="",0,J824)
    * _xlfn.XLOOKUP(B824, Dim_Hotel!$A$2:$A$11, Dim_Hotel!$J$2:$J$11))</f>
        <v>145</v>
      </c>
    </row>
    <row r="825" spans="1:13" x14ac:dyDescent="0.25">
      <c r="A825" s="1">
        <f t="shared" si="96"/>
        <v>46105</v>
      </c>
      <c r="B825" t="str" cm="1">
        <f t="array" ref="B825">INDEX(HotelList,MOD(ROW()-2,10)+1)</f>
        <v>H004</v>
      </c>
      <c r="C825">
        <f>_xlfn.XLOOKUP(B825,Dim_Hotel!$A$2:$A$11,Dim_Hotel!$F$2:$F$11)</f>
        <v>108</v>
      </c>
      <c r="D825">
        <f t="shared" si="97"/>
        <v>59</v>
      </c>
      <c r="E825">
        <f t="shared" si="98"/>
        <v>0.54629629629629628</v>
      </c>
      <c r="F825">
        <f t="shared" si="99"/>
        <v>135</v>
      </c>
      <c r="G825">
        <f t="shared" si="100"/>
        <v>73.75</v>
      </c>
      <c r="H825" t="str">
        <f>_xlfn.XLOOKUP(A825,Fact_Events!$D$2:$D$20,Fact_Events!$A$2:$A$20, "")</f>
        <v/>
      </c>
      <c r="I825">
        <f t="shared" si="101"/>
        <v>0</v>
      </c>
      <c r="J825" t="str">
        <f>_xlfn.XLOOKUP(H825, Fact_Events!$A$2:$A$20, Fact_Events!$F$2:$F$20, "")</f>
        <v/>
      </c>
      <c r="K825" t="str">
        <f t="shared" si="102"/>
        <v>Low</v>
      </c>
      <c r="L825">
        <f t="shared" si="103"/>
        <v>0.55000000000000004</v>
      </c>
      <c r="M825">
        <f>_xlfn.XLOOKUP(B825, Dim_Hotel!$A$2:$A$11, Dim_Hotel!$I$2:$I$11)
 + (IF(J825="",0,J825)
    * _xlfn.XLOOKUP(B825, Dim_Hotel!$A$2:$A$11, Dim_Hotel!$J$2:$J$11))</f>
        <v>135</v>
      </c>
    </row>
    <row r="826" spans="1:13" x14ac:dyDescent="0.25">
      <c r="A826" s="1">
        <f t="shared" si="96"/>
        <v>46105</v>
      </c>
      <c r="B826" t="str" cm="1">
        <f t="array" ref="B826">INDEX(HotelList,MOD(ROW()-2,10)+1)</f>
        <v>H005</v>
      </c>
      <c r="C826">
        <f>_xlfn.XLOOKUP(B826,Dim_Hotel!$A$2:$A$11,Dim_Hotel!$F$2:$F$11)</f>
        <v>66</v>
      </c>
      <c r="D826">
        <f t="shared" si="97"/>
        <v>36</v>
      </c>
      <c r="E826">
        <f t="shared" si="98"/>
        <v>0.54545454545454541</v>
      </c>
      <c r="F826">
        <f t="shared" si="99"/>
        <v>82</v>
      </c>
      <c r="G826">
        <f t="shared" si="100"/>
        <v>44.727272727272727</v>
      </c>
      <c r="H826" t="str">
        <f>_xlfn.XLOOKUP(A826,Fact_Events!$D$2:$D$20,Fact_Events!$A$2:$A$20, "")</f>
        <v/>
      </c>
      <c r="I826">
        <f t="shared" si="101"/>
        <v>0</v>
      </c>
      <c r="J826" t="str">
        <f>_xlfn.XLOOKUP(H826, Fact_Events!$A$2:$A$20, Fact_Events!$F$2:$F$20, "")</f>
        <v/>
      </c>
      <c r="K826" t="str">
        <f t="shared" si="102"/>
        <v>Low</v>
      </c>
      <c r="L826">
        <f t="shared" si="103"/>
        <v>0.55000000000000004</v>
      </c>
      <c r="M826">
        <f>_xlfn.XLOOKUP(B826, Dim_Hotel!$A$2:$A$11, Dim_Hotel!$I$2:$I$11)
 + (IF(J826="",0,J826)
    * _xlfn.XLOOKUP(B826, Dim_Hotel!$A$2:$A$11, Dim_Hotel!$J$2:$J$11))</f>
        <v>82</v>
      </c>
    </row>
    <row r="827" spans="1:13" x14ac:dyDescent="0.25">
      <c r="A827" s="1">
        <f t="shared" si="96"/>
        <v>46105</v>
      </c>
      <c r="B827" t="str" cm="1">
        <f t="array" ref="B827">INDEX(HotelList,MOD(ROW()-2,10)+1)</f>
        <v>H006</v>
      </c>
      <c r="C827">
        <f>_xlfn.XLOOKUP(B827,Dim_Hotel!$A$2:$A$11,Dim_Hotel!$F$2:$F$11)</f>
        <v>311</v>
      </c>
      <c r="D827">
        <f t="shared" si="97"/>
        <v>171</v>
      </c>
      <c r="E827">
        <f t="shared" si="98"/>
        <v>0.54983922829581988</v>
      </c>
      <c r="F827">
        <f t="shared" si="99"/>
        <v>190</v>
      </c>
      <c r="G827">
        <f t="shared" si="100"/>
        <v>104.46945337620578</v>
      </c>
      <c r="H827" t="str">
        <f>_xlfn.XLOOKUP(A827,Fact_Events!$D$2:$D$20,Fact_Events!$A$2:$A$20, "")</f>
        <v/>
      </c>
      <c r="I827">
        <f t="shared" si="101"/>
        <v>0</v>
      </c>
      <c r="J827" t="str">
        <f>_xlfn.XLOOKUP(H827, Fact_Events!$A$2:$A$20, Fact_Events!$F$2:$F$20, "")</f>
        <v/>
      </c>
      <c r="K827" t="str">
        <f t="shared" si="102"/>
        <v>Low</v>
      </c>
      <c r="L827">
        <f t="shared" si="103"/>
        <v>0.55000000000000004</v>
      </c>
      <c r="M827">
        <f>_xlfn.XLOOKUP(B827, Dim_Hotel!$A$2:$A$11, Dim_Hotel!$I$2:$I$11)
 + (IF(J827="",0,J827)
    * _xlfn.XLOOKUP(B827, Dim_Hotel!$A$2:$A$11, Dim_Hotel!$J$2:$J$11))</f>
        <v>190</v>
      </c>
    </row>
    <row r="828" spans="1:13" x14ac:dyDescent="0.25">
      <c r="A828" s="1">
        <f t="shared" si="96"/>
        <v>46105</v>
      </c>
      <c r="B828" t="str" cm="1">
        <f t="array" ref="B828">INDEX(HotelList,MOD(ROW()-2,10)+1)</f>
        <v>H007</v>
      </c>
      <c r="C828">
        <f>_xlfn.XLOOKUP(B828,Dim_Hotel!$A$2:$A$11,Dim_Hotel!$F$2:$F$11)</f>
        <v>132</v>
      </c>
      <c r="D828">
        <f t="shared" si="97"/>
        <v>73</v>
      </c>
      <c r="E828">
        <f t="shared" si="98"/>
        <v>0.55303030303030298</v>
      </c>
      <c r="F828">
        <f t="shared" si="99"/>
        <v>165</v>
      </c>
      <c r="G828">
        <f t="shared" si="100"/>
        <v>91.249999999999986</v>
      </c>
      <c r="H828" t="str">
        <f>_xlfn.XLOOKUP(A828,Fact_Events!$D$2:$D$20,Fact_Events!$A$2:$A$20, "")</f>
        <v/>
      </c>
      <c r="I828">
        <f t="shared" si="101"/>
        <v>0</v>
      </c>
      <c r="J828" t="str">
        <f>_xlfn.XLOOKUP(H828, Fact_Events!$A$2:$A$20, Fact_Events!$F$2:$F$20, "")</f>
        <v/>
      </c>
      <c r="K828" t="str">
        <f t="shared" si="102"/>
        <v>Low</v>
      </c>
      <c r="L828">
        <f t="shared" si="103"/>
        <v>0.55000000000000004</v>
      </c>
      <c r="M828">
        <f>_xlfn.XLOOKUP(B828, Dim_Hotel!$A$2:$A$11, Dim_Hotel!$I$2:$I$11)
 + (IF(J828="",0,J828)
    * _xlfn.XLOOKUP(B828, Dim_Hotel!$A$2:$A$11, Dim_Hotel!$J$2:$J$11))</f>
        <v>165</v>
      </c>
    </row>
    <row r="829" spans="1:13" x14ac:dyDescent="0.25">
      <c r="A829" s="1">
        <f t="shared" si="96"/>
        <v>46105</v>
      </c>
      <c r="B829" t="str" cm="1">
        <f t="array" ref="B829">INDEX(HotelList,MOD(ROW()-2,10)+1)</f>
        <v>H008</v>
      </c>
      <c r="C829">
        <f>_xlfn.XLOOKUP(B829,Dim_Hotel!$A$2:$A$11,Dim_Hotel!$F$2:$F$11)</f>
        <v>103</v>
      </c>
      <c r="D829">
        <f t="shared" si="97"/>
        <v>57</v>
      </c>
      <c r="E829">
        <f t="shared" si="98"/>
        <v>0.55339805825242716</v>
      </c>
      <c r="F829">
        <f t="shared" si="99"/>
        <v>140</v>
      </c>
      <c r="G829">
        <f t="shared" si="100"/>
        <v>77.475728155339809</v>
      </c>
      <c r="H829" t="str">
        <f>_xlfn.XLOOKUP(A829,Fact_Events!$D$2:$D$20,Fact_Events!$A$2:$A$20, "")</f>
        <v/>
      </c>
      <c r="I829">
        <f t="shared" si="101"/>
        <v>0</v>
      </c>
      <c r="J829" t="str">
        <f>_xlfn.XLOOKUP(H829, Fact_Events!$A$2:$A$20, Fact_Events!$F$2:$F$20, "")</f>
        <v/>
      </c>
      <c r="K829" t="str">
        <f t="shared" si="102"/>
        <v>Low</v>
      </c>
      <c r="L829">
        <f t="shared" si="103"/>
        <v>0.55000000000000004</v>
      </c>
      <c r="M829">
        <f>_xlfn.XLOOKUP(B829, Dim_Hotel!$A$2:$A$11, Dim_Hotel!$I$2:$I$11)
 + (IF(J829="",0,J829)
    * _xlfn.XLOOKUP(B829, Dim_Hotel!$A$2:$A$11, Dim_Hotel!$J$2:$J$11))</f>
        <v>140</v>
      </c>
    </row>
    <row r="830" spans="1:13" x14ac:dyDescent="0.25">
      <c r="A830" s="1">
        <f t="shared" si="96"/>
        <v>46105</v>
      </c>
      <c r="B830" t="str" cm="1">
        <f t="array" ref="B830">INDEX(HotelList,MOD(ROW()-2,10)+1)</f>
        <v>H009</v>
      </c>
      <c r="C830">
        <f>_xlfn.XLOOKUP(B830,Dim_Hotel!$A$2:$A$11,Dim_Hotel!$F$2:$F$11)</f>
        <v>114</v>
      </c>
      <c r="D830">
        <f t="shared" si="97"/>
        <v>63</v>
      </c>
      <c r="E830">
        <f t="shared" si="98"/>
        <v>0.55263157894736847</v>
      </c>
      <c r="F830">
        <f t="shared" si="99"/>
        <v>185</v>
      </c>
      <c r="G830">
        <f t="shared" si="100"/>
        <v>102.23684210526316</v>
      </c>
      <c r="H830" t="str">
        <f>_xlfn.XLOOKUP(A830,Fact_Events!$D$2:$D$20,Fact_Events!$A$2:$A$20, "")</f>
        <v/>
      </c>
      <c r="I830">
        <f t="shared" si="101"/>
        <v>0</v>
      </c>
      <c r="J830" t="str">
        <f>_xlfn.XLOOKUP(H830, Fact_Events!$A$2:$A$20, Fact_Events!$F$2:$F$20, "")</f>
        <v/>
      </c>
      <c r="K830" t="str">
        <f t="shared" si="102"/>
        <v>Low</v>
      </c>
      <c r="L830">
        <f t="shared" si="103"/>
        <v>0.55000000000000004</v>
      </c>
      <c r="M830">
        <f>_xlfn.XLOOKUP(B830, Dim_Hotel!$A$2:$A$11, Dim_Hotel!$I$2:$I$11)
 + (IF(J830="",0,J830)
    * _xlfn.XLOOKUP(B830, Dim_Hotel!$A$2:$A$11, Dim_Hotel!$J$2:$J$11))</f>
        <v>185</v>
      </c>
    </row>
    <row r="831" spans="1:13" x14ac:dyDescent="0.25">
      <c r="A831" s="1">
        <f t="shared" si="96"/>
        <v>46105</v>
      </c>
      <c r="B831" t="str" cm="1">
        <f t="array" ref="B831">INDEX(HotelList,MOD(ROW()-2,10)+1)</f>
        <v>H010</v>
      </c>
      <c r="C831">
        <f>_xlfn.XLOOKUP(B831,Dim_Hotel!$A$2:$A$11,Dim_Hotel!$F$2:$F$11)</f>
        <v>89</v>
      </c>
      <c r="D831">
        <f t="shared" si="97"/>
        <v>49</v>
      </c>
      <c r="E831">
        <f t="shared" si="98"/>
        <v>0.550561797752809</v>
      </c>
      <c r="F831">
        <f t="shared" si="99"/>
        <v>150</v>
      </c>
      <c r="G831">
        <f t="shared" si="100"/>
        <v>82.584269662921344</v>
      </c>
      <c r="H831" t="str">
        <f>_xlfn.XLOOKUP(A831,Fact_Events!$D$2:$D$20,Fact_Events!$A$2:$A$20, "")</f>
        <v/>
      </c>
      <c r="I831">
        <f t="shared" si="101"/>
        <v>0</v>
      </c>
      <c r="J831" t="str">
        <f>_xlfn.XLOOKUP(H831, Fact_Events!$A$2:$A$20, Fact_Events!$F$2:$F$20, "")</f>
        <v/>
      </c>
      <c r="K831" t="str">
        <f t="shared" si="102"/>
        <v>Low</v>
      </c>
      <c r="L831">
        <f t="shared" si="103"/>
        <v>0.55000000000000004</v>
      </c>
      <c r="M831">
        <f>_xlfn.XLOOKUP(B831, Dim_Hotel!$A$2:$A$11, Dim_Hotel!$I$2:$I$11)
 + (IF(J831="",0,J831)
    * _xlfn.XLOOKUP(B831, Dim_Hotel!$A$2:$A$11, Dim_Hotel!$J$2:$J$11))</f>
        <v>150</v>
      </c>
    </row>
    <row r="832" spans="1:13" x14ac:dyDescent="0.25">
      <c r="A832" s="1">
        <f t="shared" si="96"/>
        <v>46106</v>
      </c>
      <c r="B832" t="str" cm="1">
        <f t="array" ref="B832">INDEX(HotelList,MOD(ROW()-2,10)+1)</f>
        <v>H001</v>
      </c>
      <c r="C832">
        <f>_xlfn.XLOOKUP(B832,Dim_Hotel!$A$2:$A$11,Dim_Hotel!$F$2:$F$11)</f>
        <v>888</v>
      </c>
      <c r="D832">
        <f t="shared" si="97"/>
        <v>488</v>
      </c>
      <c r="E832">
        <f t="shared" si="98"/>
        <v>0.5495495495495496</v>
      </c>
      <c r="F832">
        <f t="shared" si="99"/>
        <v>260</v>
      </c>
      <c r="G832">
        <f t="shared" si="100"/>
        <v>142.88288288288288</v>
      </c>
      <c r="H832" t="str">
        <f>_xlfn.XLOOKUP(A832,Fact_Events!$D$2:$D$20,Fact_Events!$A$2:$A$20, "")</f>
        <v/>
      </c>
      <c r="I832">
        <f t="shared" si="101"/>
        <v>0</v>
      </c>
      <c r="J832" t="str">
        <f>_xlfn.XLOOKUP(H832, Fact_Events!$A$2:$A$20, Fact_Events!$F$2:$F$20, "")</f>
        <v/>
      </c>
      <c r="K832" t="str">
        <f t="shared" si="102"/>
        <v>Low</v>
      </c>
      <c r="L832">
        <f t="shared" si="103"/>
        <v>0.55000000000000004</v>
      </c>
      <c r="M832">
        <f>_xlfn.XLOOKUP(B832, Dim_Hotel!$A$2:$A$11, Dim_Hotel!$I$2:$I$11)
 + (IF(J832="",0,J832)
    * _xlfn.XLOOKUP(B832, Dim_Hotel!$A$2:$A$11, Dim_Hotel!$J$2:$J$11))</f>
        <v>260</v>
      </c>
    </row>
    <row r="833" spans="1:13" x14ac:dyDescent="0.25">
      <c r="A833" s="1">
        <f t="shared" si="96"/>
        <v>46106</v>
      </c>
      <c r="B833" t="str" cm="1">
        <f t="array" ref="B833">INDEX(HotelList,MOD(ROW()-2,10)+1)</f>
        <v>H002</v>
      </c>
      <c r="C833">
        <f>_xlfn.XLOOKUP(B833,Dim_Hotel!$A$2:$A$11,Dim_Hotel!$F$2:$F$11)</f>
        <v>147</v>
      </c>
      <c r="D833">
        <f t="shared" si="97"/>
        <v>81</v>
      </c>
      <c r="E833">
        <f t="shared" si="98"/>
        <v>0.55102040816326525</v>
      </c>
      <c r="F833">
        <f t="shared" si="99"/>
        <v>175</v>
      </c>
      <c r="G833">
        <f t="shared" si="100"/>
        <v>96.428571428571416</v>
      </c>
      <c r="H833" t="str">
        <f>_xlfn.XLOOKUP(A833,Fact_Events!$D$2:$D$20,Fact_Events!$A$2:$A$20, "")</f>
        <v/>
      </c>
      <c r="I833">
        <f t="shared" si="101"/>
        <v>0</v>
      </c>
      <c r="J833" t="str">
        <f>_xlfn.XLOOKUP(H833, Fact_Events!$A$2:$A$20, Fact_Events!$F$2:$F$20, "")</f>
        <v/>
      </c>
      <c r="K833" t="str">
        <f t="shared" si="102"/>
        <v>Low</v>
      </c>
      <c r="L833">
        <f t="shared" si="103"/>
        <v>0.55000000000000004</v>
      </c>
      <c r="M833">
        <f>_xlfn.XLOOKUP(B833, Dim_Hotel!$A$2:$A$11, Dim_Hotel!$I$2:$I$11)
 + (IF(J833="",0,J833)
    * _xlfn.XLOOKUP(B833, Dim_Hotel!$A$2:$A$11, Dim_Hotel!$J$2:$J$11))</f>
        <v>175</v>
      </c>
    </row>
    <row r="834" spans="1:13" x14ac:dyDescent="0.25">
      <c r="A834" s="1">
        <f t="shared" si="96"/>
        <v>46106</v>
      </c>
      <c r="B834" t="str" cm="1">
        <f t="array" ref="B834">INDEX(HotelList,MOD(ROW()-2,10)+1)</f>
        <v>H003</v>
      </c>
      <c r="C834">
        <f>_xlfn.XLOOKUP(B834,Dim_Hotel!$A$2:$A$11,Dim_Hotel!$F$2:$F$11)</f>
        <v>121</v>
      </c>
      <c r="D834">
        <f t="shared" si="97"/>
        <v>67</v>
      </c>
      <c r="E834">
        <f t="shared" si="98"/>
        <v>0.55371900826446285</v>
      </c>
      <c r="F834">
        <f t="shared" si="99"/>
        <v>145</v>
      </c>
      <c r="G834">
        <f t="shared" si="100"/>
        <v>80.289256198347118</v>
      </c>
      <c r="H834" t="str">
        <f>_xlfn.XLOOKUP(A834,Fact_Events!$D$2:$D$20,Fact_Events!$A$2:$A$20, "")</f>
        <v/>
      </c>
      <c r="I834">
        <f t="shared" si="101"/>
        <v>0</v>
      </c>
      <c r="J834" t="str">
        <f>_xlfn.XLOOKUP(H834, Fact_Events!$A$2:$A$20, Fact_Events!$F$2:$F$20, "")</f>
        <v/>
      </c>
      <c r="K834" t="str">
        <f t="shared" si="102"/>
        <v>Low</v>
      </c>
      <c r="L834">
        <f t="shared" si="103"/>
        <v>0.55000000000000004</v>
      </c>
      <c r="M834">
        <f>_xlfn.XLOOKUP(B834, Dim_Hotel!$A$2:$A$11, Dim_Hotel!$I$2:$I$11)
 + (IF(J834="",0,J834)
    * _xlfn.XLOOKUP(B834, Dim_Hotel!$A$2:$A$11, Dim_Hotel!$J$2:$J$11))</f>
        <v>145</v>
      </c>
    </row>
    <row r="835" spans="1:13" x14ac:dyDescent="0.25">
      <c r="A835" s="1">
        <f t="shared" ref="A835:A898" si="104">DATE(2026,1,1) + INT((ROW()-2)/10)</f>
        <v>46106</v>
      </c>
      <c r="B835" t="str" cm="1">
        <f t="array" ref="B835">INDEX(HotelList,MOD(ROW()-2,10)+1)</f>
        <v>H004</v>
      </c>
      <c r="C835">
        <f>_xlfn.XLOOKUP(B835,Dim_Hotel!$A$2:$A$11,Dim_Hotel!$F$2:$F$11)</f>
        <v>108</v>
      </c>
      <c r="D835">
        <f t="shared" ref="D835:D898" si="105">ROUND(L835 * C835, 0)</f>
        <v>59</v>
      </c>
      <c r="E835">
        <f t="shared" ref="E835:E898" si="106">D835/C835</f>
        <v>0.54629629629629628</v>
      </c>
      <c r="F835">
        <f t="shared" ref="F835:F898" si="107">M835</f>
        <v>135</v>
      </c>
      <c r="G835">
        <f t="shared" ref="G835:G898" si="108">E835*F835</f>
        <v>73.75</v>
      </c>
      <c r="H835" t="str">
        <f>_xlfn.XLOOKUP(A835,Fact_Events!$D$2:$D$20,Fact_Events!$A$2:$A$20, "")</f>
        <v/>
      </c>
      <c r="I835">
        <f t="shared" ref="I835:I898" si="109">IF(H835="",0,1)</f>
        <v>0</v>
      </c>
      <c r="J835" t="str">
        <f>_xlfn.XLOOKUP(H835, Fact_Events!$A$2:$A$20, Fact_Events!$F$2:$F$20, "")</f>
        <v/>
      </c>
      <c r="K835" t="str">
        <f t="shared" ref="K835:K898" si="110">IF(I835=0,"Low",
   IF(J835&gt;=9,"High","Medium"))</f>
        <v>Low</v>
      </c>
      <c r="L835">
        <f t="shared" ref="L835:L898" si="111">MIN(1,
  0.55
  + (I835 * 0.25)
  + (IF(J835="",0,J835) / 100)
)</f>
        <v>0.55000000000000004</v>
      </c>
      <c r="M835">
        <f>_xlfn.XLOOKUP(B835, Dim_Hotel!$A$2:$A$11, Dim_Hotel!$I$2:$I$11)
 + (IF(J835="",0,J835)
    * _xlfn.XLOOKUP(B835, Dim_Hotel!$A$2:$A$11, Dim_Hotel!$J$2:$J$11))</f>
        <v>135</v>
      </c>
    </row>
    <row r="836" spans="1:13" x14ac:dyDescent="0.25">
      <c r="A836" s="1">
        <f t="shared" si="104"/>
        <v>46106</v>
      </c>
      <c r="B836" t="str" cm="1">
        <f t="array" ref="B836">INDEX(HotelList,MOD(ROW()-2,10)+1)</f>
        <v>H005</v>
      </c>
      <c r="C836">
        <f>_xlfn.XLOOKUP(B836,Dim_Hotel!$A$2:$A$11,Dim_Hotel!$F$2:$F$11)</f>
        <v>66</v>
      </c>
      <c r="D836">
        <f t="shared" si="105"/>
        <v>36</v>
      </c>
      <c r="E836">
        <f t="shared" si="106"/>
        <v>0.54545454545454541</v>
      </c>
      <c r="F836">
        <f t="shared" si="107"/>
        <v>82</v>
      </c>
      <c r="G836">
        <f t="shared" si="108"/>
        <v>44.727272727272727</v>
      </c>
      <c r="H836" t="str">
        <f>_xlfn.XLOOKUP(A836,Fact_Events!$D$2:$D$20,Fact_Events!$A$2:$A$20, "")</f>
        <v/>
      </c>
      <c r="I836">
        <f t="shared" si="109"/>
        <v>0</v>
      </c>
      <c r="J836" t="str">
        <f>_xlfn.XLOOKUP(H836, Fact_Events!$A$2:$A$20, Fact_Events!$F$2:$F$20, "")</f>
        <v/>
      </c>
      <c r="K836" t="str">
        <f t="shared" si="110"/>
        <v>Low</v>
      </c>
      <c r="L836">
        <f t="shared" si="111"/>
        <v>0.55000000000000004</v>
      </c>
      <c r="M836">
        <f>_xlfn.XLOOKUP(B836, Dim_Hotel!$A$2:$A$11, Dim_Hotel!$I$2:$I$11)
 + (IF(J836="",0,J836)
    * _xlfn.XLOOKUP(B836, Dim_Hotel!$A$2:$A$11, Dim_Hotel!$J$2:$J$11))</f>
        <v>82</v>
      </c>
    </row>
    <row r="837" spans="1:13" x14ac:dyDescent="0.25">
      <c r="A837" s="1">
        <f t="shared" si="104"/>
        <v>46106</v>
      </c>
      <c r="B837" t="str" cm="1">
        <f t="array" ref="B837">INDEX(HotelList,MOD(ROW()-2,10)+1)</f>
        <v>H006</v>
      </c>
      <c r="C837">
        <f>_xlfn.XLOOKUP(B837,Dim_Hotel!$A$2:$A$11,Dim_Hotel!$F$2:$F$11)</f>
        <v>311</v>
      </c>
      <c r="D837">
        <f t="shared" si="105"/>
        <v>171</v>
      </c>
      <c r="E837">
        <f t="shared" si="106"/>
        <v>0.54983922829581988</v>
      </c>
      <c r="F837">
        <f t="shared" si="107"/>
        <v>190</v>
      </c>
      <c r="G837">
        <f t="shared" si="108"/>
        <v>104.46945337620578</v>
      </c>
      <c r="H837" t="str">
        <f>_xlfn.XLOOKUP(A837,Fact_Events!$D$2:$D$20,Fact_Events!$A$2:$A$20, "")</f>
        <v/>
      </c>
      <c r="I837">
        <f t="shared" si="109"/>
        <v>0</v>
      </c>
      <c r="J837" t="str">
        <f>_xlfn.XLOOKUP(H837, Fact_Events!$A$2:$A$20, Fact_Events!$F$2:$F$20, "")</f>
        <v/>
      </c>
      <c r="K837" t="str">
        <f t="shared" si="110"/>
        <v>Low</v>
      </c>
      <c r="L837">
        <f t="shared" si="111"/>
        <v>0.55000000000000004</v>
      </c>
      <c r="M837">
        <f>_xlfn.XLOOKUP(B837, Dim_Hotel!$A$2:$A$11, Dim_Hotel!$I$2:$I$11)
 + (IF(J837="",0,J837)
    * _xlfn.XLOOKUP(B837, Dim_Hotel!$A$2:$A$11, Dim_Hotel!$J$2:$J$11))</f>
        <v>190</v>
      </c>
    </row>
    <row r="838" spans="1:13" x14ac:dyDescent="0.25">
      <c r="A838" s="1">
        <f t="shared" si="104"/>
        <v>46106</v>
      </c>
      <c r="B838" t="str" cm="1">
        <f t="array" ref="B838">INDEX(HotelList,MOD(ROW()-2,10)+1)</f>
        <v>H007</v>
      </c>
      <c r="C838">
        <f>_xlfn.XLOOKUP(B838,Dim_Hotel!$A$2:$A$11,Dim_Hotel!$F$2:$F$11)</f>
        <v>132</v>
      </c>
      <c r="D838">
        <f t="shared" si="105"/>
        <v>73</v>
      </c>
      <c r="E838">
        <f t="shared" si="106"/>
        <v>0.55303030303030298</v>
      </c>
      <c r="F838">
        <f t="shared" si="107"/>
        <v>165</v>
      </c>
      <c r="G838">
        <f t="shared" si="108"/>
        <v>91.249999999999986</v>
      </c>
      <c r="H838" t="str">
        <f>_xlfn.XLOOKUP(A838,Fact_Events!$D$2:$D$20,Fact_Events!$A$2:$A$20, "")</f>
        <v/>
      </c>
      <c r="I838">
        <f t="shared" si="109"/>
        <v>0</v>
      </c>
      <c r="J838" t="str">
        <f>_xlfn.XLOOKUP(H838, Fact_Events!$A$2:$A$20, Fact_Events!$F$2:$F$20, "")</f>
        <v/>
      </c>
      <c r="K838" t="str">
        <f t="shared" si="110"/>
        <v>Low</v>
      </c>
      <c r="L838">
        <f t="shared" si="111"/>
        <v>0.55000000000000004</v>
      </c>
      <c r="M838">
        <f>_xlfn.XLOOKUP(B838, Dim_Hotel!$A$2:$A$11, Dim_Hotel!$I$2:$I$11)
 + (IF(J838="",0,J838)
    * _xlfn.XLOOKUP(B838, Dim_Hotel!$A$2:$A$11, Dim_Hotel!$J$2:$J$11))</f>
        <v>165</v>
      </c>
    </row>
    <row r="839" spans="1:13" x14ac:dyDescent="0.25">
      <c r="A839" s="1">
        <f t="shared" si="104"/>
        <v>46106</v>
      </c>
      <c r="B839" t="str" cm="1">
        <f t="array" ref="B839">INDEX(HotelList,MOD(ROW()-2,10)+1)</f>
        <v>H008</v>
      </c>
      <c r="C839">
        <f>_xlfn.XLOOKUP(B839,Dim_Hotel!$A$2:$A$11,Dim_Hotel!$F$2:$F$11)</f>
        <v>103</v>
      </c>
      <c r="D839">
        <f t="shared" si="105"/>
        <v>57</v>
      </c>
      <c r="E839">
        <f t="shared" si="106"/>
        <v>0.55339805825242716</v>
      </c>
      <c r="F839">
        <f t="shared" si="107"/>
        <v>140</v>
      </c>
      <c r="G839">
        <f t="shared" si="108"/>
        <v>77.475728155339809</v>
      </c>
      <c r="H839" t="str">
        <f>_xlfn.XLOOKUP(A839,Fact_Events!$D$2:$D$20,Fact_Events!$A$2:$A$20, "")</f>
        <v/>
      </c>
      <c r="I839">
        <f t="shared" si="109"/>
        <v>0</v>
      </c>
      <c r="J839" t="str">
        <f>_xlfn.XLOOKUP(H839, Fact_Events!$A$2:$A$20, Fact_Events!$F$2:$F$20, "")</f>
        <v/>
      </c>
      <c r="K839" t="str">
        <f t="shared" si="110"/>
        <v>Low</v>
      </c>
      <c r="L839">
        <f t="shared" si="111"/>
        <v>0.55000000000000004</v>
      </c>
      <c r="M839">
        <f>_xlfn.XLOOKUP(B839, Dim_Hotel!$A$2:$A$11, Dim_Hotel!$I$2:$I$11)
 + (IF(J839="",0,J839)
    * _xlfn.XLOOKUP(B839, Dim_Hotel!$A$2:$A$11, Dim_Hotel!$J$2:$J$11))</f>
        <v>140</v>
      </c>
    </row>
    <row r="840" spans="1:13" x14ac:dyDescent="0.25">
      <c r="A840" s="1">
        <f t="shared" si="104"/>
        <v>46106</v>
      </c>
      <c r="B840" t="str" cm="1">
        <f t="array" ref="B840">INDEX(HotelList,MOD(ROW()-2,10)+1)</f>
        <v>H009</v>
      </c>
      <c r="C840">
        <f>_xlfn.XLOOKUP(B840,Dim_Hotel!$A$2:$A$11,Dim_Hotel!$F$2:$F$11)</f>
        <v>114</v>
      </c>
      <c r="D840">
        <f t="shared" si="105"/>
        <v>63</v>
      </c>
      <c r="E840">
        <f t="shared" si="106"/>
        <v>0.55263157894736847</v>
      </c>
      <c r="F840">
        <f t="shared" si="107"/>
        <v>185</v>
      </c>
      <c r="G840">
        <f t="shared" si="108"/>
        <v>102.23684210526316</v>
      </c>
      <c r="H840" t="str">
        <f>_xlfn.XLOOKUP(A840,Fact_Events!$D$2:$D$20,Fact_Events!$A$2:$A$20, "")</f>
        <v/>
      </c>
      <c r="I840">
        <f t="shared" si="109"/>
        <v>0</v>
      </c>
      <c r="J840" t="str">
        <f>_xlfn.XLOOKUP(H840, Fact_Events!$A$2:$A$20, Fact_Events!$F$2:$F$20, "")</f>
        <v/>
      </c>
      <c r="K840" t="str">
        <f t="shared" si="110"/>
        <v>Low</v>
      </c>
      <c r="L840">
        <f t="shared" si="111"/>
        <v>0.55000000000000004</v>
      </c>
      <c r="M840">
        <f>_xlfn.XLOOKUP(B840, Dim_Hotel!$A$2:$A$11, Dim_Hotel!$I$2:$I$11)
 + (IF(J840="",0,J840)
    * _xlfn.XLOOKUP(B840, Dim_Hotel!$A$2:$A$11, Dim_Hotel!$J$2:$J$11))</f>
        <v>185</v>
      </c>
    </row>
    <row r="841" spans="1:13" x14ac:dyDescent="0.25">
      <c r="A841" s="1">
        <f t="shared" si="104"/>
        <v>46106</v>
      </c>
      <c r="B841" t="str" cm="1">
        <f t="array" ref="B841">INDEX(HotelList,MOD(ROW()-2,10)+1)</f>
        <v>H010</v>
      </c>
      <c r="C841">
        <f>_xlfn.XLOOKUP(B841,Dim_Hotel!$A$2:$A$11,Dim_Hotel!$F$2:$F$11)</f>
        <v>89</v>
      </c>
      <c r="D841">
        <f t="shared" si="105"/>
        <v>49</v>
      </c>
      <c r="E841">
        <f t="shared" si="106"/>
        <v>0.550561797752809</v>
      </c>
      <c r="F841">
        <f t="shared" si="107"/>
        <v>150</v>
      </c>
      <c r="G841">
        <f t="shared" si="108"/>
        <v>82.584269662921344</v>
      </c>
      <c r="H841" t="str">
        <f>_xlfn.XLOOKUP(A841,Fact_Events!$D$2:$D$20,Fact_Events!$A$2:$A$20, "")</f>
        <v/>
      </c>
      <c r="I841">
        <f t="shared" si="109"/>
        <v>0</v>
      </c>
      <c r="J841" t="str">
        <f>_xlfn.XLOOKUP(H841, Fact_Events!$A$2:$A$20, Fact_Events!$F$2:$F$20, "")</f>
        <v/>
      </c>
      <c r="K841" t="str">
        <f t="shared" si="110"/>
        <v>Low</v>
      </c>
      <c r="L841">
        <f t="shared" si="111"/>
        <v>0.55000000000000004</v>
      </c>
      <c r="M841">
        <f>_xlfn.XLOOKUP(B841, Dim_Hotel!$A$2:$A$11, Dim_Hotel!$I$2:$I$11)
 + (IF(J841="",0,J841)
    * _xlfn.XLOOKUP(B841, Dim_Hotel!$A$2:$A$11, Dim_Hotel!$J$2:$J$11))</f>
        <v>150</v>
      </c>
    </row>
    <row r="842" spans="1:13" x14ac:dyDescent="0.25">
      <c r="A842" s="1">
        <f t="shared" si="104"/>
        <v>46107</v>
      </c>
      <c r="B842" t="str" cm="1">
        <f t="array" ref="B842">INDEX(HotelList,MOD(ROW()-2,10)+1)</f>
        <v>H001</v>
      </c>
      <c r="C842">
        <f>_xlfn.XLOOKUP(B842,Dim_Hotel!$A$2:$A$11,Dim_Hotel!$F$2:$F$11)</f>
        <v>888</v>
      </c>
      <c r="D842">
        <f t="shared" si="105"/>
        <v>488</v>
      </c>
      <c r="E842">
        <f t="shared" si="106"/>
        <v>0.5495495495495496</v>
      </c>
      <c r="F842">
        <f t="shared" si="107"/>
        <v>260</v>
      </c>
      <c r="G842">
        <f t="shared" si="108"/>
        <v>142.88288288288288</v>
      </c>
      <c r="H842" t="str">
        <f>_xlfn.XLOOKUP(A842,Fact_Events!$D$2:$D$20,Fact_Events!$A$2:$A$20, "")</f>
        <v/>
      </c>
      <c r="I842">
        <f t="shared" si="109"/>
        <v>0</v>
      </c>
      <c r="J842" t="str">
        <f>_xlfn.XLOOKUP(H842, Fact_Events!$A$2:$A$20, Fact_Events!$F$2:$F$20, "")</f>
        <v/>
      </c>
      <c r="K842" t="str">
        <f t="shared" si="110"/>
        <v>Low</v>
      </c>
      <c r="L842">
        <f t="shared" si="111"/>
        <v>0.55000000000000004</v>
      </c>
      <c r="M842">
        <f>_xlfn.XLOOKUP(B842, Dim_Hotel!$A$2:$A$11, Dim_Hotel!$I$2:$I$11)
 + (IF(J842="",0,J842)
    * _xlfn.XLOOKUP(B842, Dim_Hotel!$A$2:$A$11, Dim_Hotel!$J$2:$J$11))</f>
        <v>260</v>
      </c>
    </row>
    <row r="843" spans="1:13" x14ac:dyDescent="0.25">
      <c r="A843" s="1">
        <f t="shared" si="104"/>
        <v>46107</v>
      </c>
      <c r="B843" t="str" cm="1">
        <f t="array" ref="B843">INDEX(HotelList,MOD(ROW()-2,10)+1)</f>
        <v>H002</v>
      </c>
      <c r="C843">
        <f>_xlfn.XLOOKUP(B843,Dim_Hotel!$A$2:$A$11,Dim_Hotel!$F$2:$F$11)</f>
        <v>147</v>
      </c>
      <c r="D843">
        <f t="shared" si="105"/>
        <v>81</v>
      </c>
      <c r="E843">
        <f t="shared" si="106"/>
        <v>0.55102040816326525</v>
      </c>
      <c r="F843">
        <f t="shared" si="107"/>
        <v>175</v>
      </c>
      <c r="G843">
        <f t="shared" si="108"/>
        <v>96.428571428571416</v>
      </c>
      <c r="H843" t="str">
        <f>_xlfn.XLOOKUP(A843,Fact_Events!$D$2:$D$20,Fact_Events!$A$2:$A$20, "")</f>
        <v/>
      </c>
      <c r="I843">
        <f t="shared" si="109"/>
        <v>0</v>
      </c>
      <c r="J843" t="str">
        <f>_xlfn.XLOOKUP(H843, Fact_Events!$A$2:$A$20, Fact_Events!$F$2:$F$20, "")</f>
        <v/>
      </c>
      <c r="K843" t="str">
        <f t="shared" si="110"/>
        <v>Low</v>
      </c>
      <c r="L843">
        <f t="shared" si="111"/>
        <v>0.55000000000000004</v>
      </c>
      <c r="M843">
        <f>_xlfn.XLOOKUP(B843, Dim_Hotel!$A$2:$A$11, Dim_Hotel!$I$2:$I$11)
 + (IF(J843="",0,J843)
    * _xlfn.XLOOKUP(B843, Dim_Hotel!$A$2:$A$11, Dim_Hotel!$J$2:$J$11))</f>
        <v>175</v>
      </c>
    </row>
    <row r="844" spans="1:13" x14ac:dyDescent="0.25">
      <c r="A844" s="1">
        <f t="shared" si="104"/>
        <v>46107</v>
      </c>
      <c r="B844" t="str" cm="1">
        <f t="array" ref="B844">INDEX(HotelList,MOD(ROW()-2,10)+1)</f>
        <v>H003</v>
      </c>
      <c r="C844">
        <f>_xlfn.XLOOKUP(B844,Dim_Hotel!$A$2:$A$11,Dim_Hotel!$F$2:$F$11)</f>
        <v>121</v>
      </c>
      <c r="D844">
        <f t="shared" si="105"/>
        <v>67</v>
      </c>
      <c r="E844">
        <f t="shared" si="106"/>
        <v>0.55371900826446285</v>
      </c>
      <c r="F844">
        <f t="shared" si="107"/>
        <v>145</v>
      </c>
      <c r="G844">
        <f t="shared" si="108"/>
        <v>80.289256198347118</v>
      </c>
      <c r="H844" t="str">
        <f>_xlfn.XLOOKUP(A844,Fact_Events!$D$2:$D$20,Fact_Events!$A$2:$A$20, "")</f>
        <v/>
      </c>
      <c r="I844">
        <f t="shared" si="109"/>
        <v>0</v>
      </c>
      <c r="J844" t="str">
        <f>_xlfn.XLOOKUP(H844, Fact_Events!$A$2:$A$20, Fact_Events!$F$2:$F$20, "")</f>
        <v/>
      </c>
      <c r="K844" t="str">
        <f t="shared" si="110"/>
        <v>Low</v>
      </c>
      <c r="L844">
        <f t="shared" si="111"/>
        <v>0.55000000000000004</v>
      </c>
      <c r="M844">
        <f>_xlfn.XLOOKUP(B844, Dim_Hotel!$A$2:$A$11, Dim_Hotel!$I$2:$I$11)
 + (IF(J844="",0,J844)
    * _xlfn.XLOOKUP(B844, Dim_Hotel!$A$2:$A$11, Dim_Hotel!$J$2:$J$11))</f>
        <v>145</v>
      </c>
    </row>
    <row r="845" spans="1:13" x14ac:dyDescent="0.25">
      <c r="A845" s="1">
        <f t="shared" si="104"/>
        <v>46107</v>
      </c>
      <c r="B845" t="str" cm="1">
        <f t="array" ref="B845">INDEX(HotelList,MOD(ROW()-2,10)+1)</f>
        <v>H004</v>
      </c>
      <c r="C845">
        <f>_xlfn.XLOOKUP(B845,Dim_Hotel!$A$2:$A$11,Dim_Hotel!$F$2:$F$11)</f>
        <v>108</v>
      </c>
      <c r="D845">
        <f t="shared" si="105"/>
        <v>59</v>
      </c>
      <c r="E845">
        <f t="shared" si="106"/>
        <v>0.54629629629629628</v>
      </c>
      <c r="F845">
        <f t="shared" si="107"/>
        <v>135</v>
      </c>
      <c r="G845">
        <f t="shared" si="108"/>
        <v>73.75</v>
      </c>
      <c r="H845" t="str">
        <f>_xlfn.XLOOKUP(A845,Fact_Events!$D$2:$D$20,Fact_Events!$A$2:$A$20, "")</f>
        <v/>
      </c>
      <c r="I845">
        <f t="shared" si="109"/>
        <v>0</v>
      </c>
      <c r="J845" t="str">
        <f>_xlfn.XLOOKUP(H845, Fact_Events!$A$2:$A$20, Fact_Events!$F$2:$F$20, "")</f>
        <v/>
      </c>
      <c r="K845" t="str">
        <f t="shared" si="110"/>
        <v>Low</v>
      </c>
      <c r="L845">
        <f t="shared" si="111"/>
        <v>0.55000000000000004</v>
      </c>
      <c r="M845">
        <f>_xlfn.XLOOKUP(B845, Dim_Hotel!$A$2:$A$11, Dim_Hotel!$I$2:$I$11)
 + (IF(J845="",0,J845)
    * _xlfn.XLOOKUP(B845, Dim_Hotel!$A$2:$A$11, Dim_Hotel!$J$2:$J$11))</f>
        <v>135</v>
      </c>
    </row>
    <row r="846" spans="1:13" x14ac:dyDescent="0.25">
      <c r="A846" s="1">
        <f t="shared" si="104"/>
        <v>46107</v>
      </c>
      <c r="B846" t="str" cm="1">
        <f t="array" ref="B846">INDEX(HotelList,MOD(ROW()-2,10)+1)</f>
        <v>H005</v>
      </c>
      <c r="C846">
        <f>_xlfn.XLOOKUP(B846,Dim_Hotel!$A$2:$A$11,Dim_Hotel!$F$2:$F$11)</f>
        <v>66</v>
      </c>
      <c r="D846">
        <f t="shared" si="105"/>
        <v>36</v>
      </c>
      <c r="E846">
        <f t="shared" si="106"/>
        <v>0.54545454545454541</v>
      </c>
      <c r="F846">
        <f t="shared" si="107"/>
        <v>82</v>
      </c>
      <c r="G846">
        <f t="shared" si="108"/>
        <v>44.727272727272727</v>
      </c>
      <c r="H846" t="str">
        <f>_xlfn.XLOOKUP(A846,Fact_Events!$D$2:$D$20,Fact_Events!$A$2:$A$20, "")</f>
        <v/>
      </c>
      <c r="I846">
        <f t="shared" si="109"/>
        <v>0</v>
      </c>
      <c r="J846" t="str">
        <f>_xlfn.XLOOKUP(H846, Fact_Events!$A$2:$A$20, Fact_Events!$F$2:$F$20, "")</f>
        <v/>
      </c>
      <c r="K846" t="str">
        <f t="shared" si="110"/>
        <v>Low</v>
      </c>
      <c r="L846">
        <f t="shared" si="111"/>
        <v>0.55000000000000004</v>
      </c>
      <c r="M846">
        <f>_xlfn.XLOOKUP(B846, Dim_Hotel!$A$2:$A$11, Dim_Hotel!$I$2:$I$11)
 + (IF(J846="",0,J846)
    * _xlfn.XLOOKUP(B846, Dim_Hotel!$A$2:$A$11, Dim_Hotel!$J$2:$J$11))</f>
        <v>82</v>
      </c>
    </row>
    <row r="847" spans="1:13" x14ac:dyDescent="0.25">
      <c r="A847" s="1">
        <f t="shared" si="104"/>
        <v>46107</v>
      </c>
      <c r="B847" t="str" cm="1">
        <f t="array" ref="B847">INDEX(HotelList,MOD(ROW()-2,10)+1)</f>
        <v>H006</v>
      </c>
      <c r="C847">
        <f>_xlfn.XLOOKUP(B847,Dim_Hotel!$A$2:$A$11,Dim_Hotel!$F$2:$F$11)</f>
        <v>311</v>
      </c>
      <c r="D847">
        <f t="shared" si="105"/>
        <v>171</v>
      </c>
      <c r="E847">
        <f t="shared" si="106"/>
        <v>0.54983922829581988</v>
      </c>
      <c r="F847">
        <f t="shared" si="107"/>
        <v>190</v>
      </c>
      <c r="G847">
        <f t="shared" si="108"/>
        <v>104.46945337620578</v>
      </c>
      <c r="H847" t="str">
        <f>_xlfn.XLOOKUP(A847,Fact_Events!$D$2:$D$20,Fact_Events!$A$2:$A$20, "")</f>
        <v/>
      </c>
      <c r="I847">
        <f t="shared" si="109"/>
        <v>0</v>
      </c>
      <c r="J847" t="str">
        <f>_xlfn.XLOOKUP(H847, Fact_Events!$A$2:$A$20, Fact_Events!$F$2:$F$20, "")</f>
        <v/>
      </c>
      <c r="K847" t="str">
        <f t="shared" si="110"/>
        <v>Low</v>
      </c>
      <c r="L847">
        <f t="shared" si="111"/>
        <v>0.55000000000000004</v>
      </c>
      <c r="M847">
        <f>_xlfn.XLOOKUP(B847, Dim_Hotel!$A$2:$A$11, Dim_Hotel!$I$2:$I$11)
 + (IF(J847="",0,J847)
    * _xlfn.XLOOKUP(B847, Dim_Hotel!$A$2:$A$11, Dim_Hotel!$J$2:$J$11))</f>
        <v>190</v>
      </c>
    </row>
    <row r="848" spans="1:13" x14ac:dyDescent="0.25">
      <c r="A848" s="1">
        <f t="shared" si="104"/>
        <v>46107</v>
      </c>
      <c r="B848" t="str" cm="1">
        <f t="array" ref="B848">INDEX(HotelList,MOD(ROW()-2,10)+1)</f>
        <v>H007</v>
      </c>
      <c r="C848">
        <f>_xlfn.XLOOKUP(B848,Dim_Hotel!$A$2:$A$11,Dim_Hotel!$F$2:$F$11)</f>
        <v>132</v>
      </c>
      <c r="D848">
        <f t="shared" si="105"/>
        <v>73</v>
      </c>
      <c r="E848">
        <f t="shared" si="106"/>
        <v>0.55303030303030298</v>
      </c>
      <c r="F848">
        <f t="shared" si="107"/>
        <v>165</v>
      </c>
      <c r="G848">
        <f t="shared" si="108"/>
        <v>91.249999999999986</v>
      </c>
      <c r="H848" t="str">
        <f>_xlfn.XLOOKUP(A848,Fact_Events!$D$2:$D$20,Fact_Events!$A$2:$A$20, "")</f>
        <v/>
      </c>
      <c r="I848">
        <f t="shared" si="109"/>
        <v>0</v>
      </c>
      <c r="J848" t="str">
        <f>_xlfn.XLOOKUP(H848, Fact_Events!$A$2:$A$20, Fact_Events!$F$2:$F$20, "")</f>
        <v/>
      </c>
      <c r="K848" t="str">
        <f t="shared" si="110"/>
        <v>Low</v>
      </c>
      <c r="L848">
        <f t="shared" si="111"/>
        <v>0.55000000000000004</v>
      </c>
      <c r="M848">
        <f>_xlfn.XLOOKUP(B848, Dim_Hotel!$A$2:$A$11, Dim_Hotel!$I$2:$I$11)
 + (IF(J848="",0,J848)
    * _xlfn.XLOOKUP(B848, Dim_Hotel!$A$2:$A$11, Dim_Hotel!$J$2:$J$11))</f>
        <v>165</v>
      </c>
    </row>
    <row r="849" spans="1:13" x14ac:dyDescent="0.25">
      <c r="A849" s="1">
        <f t="shared" si="104"/>
        <v>46107</v>
      </c>
      <c r="B849" t="str" cm="1">
        <f t="array" ref="B849">INDEX(HotelList,MOD(ROW()-2,10)+1)</f>
        <v>H008</v>
      </c>
      <c r="C849">
        <f>_xlfn.XLOOKUP(B849,Dim_Hotel!$A$2:$A$11,Dim_Hotel!$F$2:$F$11)</f>
        <v>103</v>
      </c>
      <c r="D849">
        <f t="shared" si="105"/>
        <v>57</v>
      </c>
      <c r="E849">
        <f t="shared" si="106"/>
        <v>0.55339805825242716</v>
      </c>
      <c r="F849">
        <f t="shared" si="107"/>
        <v>140</v>
      </c>
      <c r="G849">
        <f t="shared" si="108"/>
        <v>77.475728155339809</v>
      </c>
      <c r="H849" t="str">
        <f>_xlfn.XLOOKUP(A849,Fact_Events!$D$2:$D$20,Fact_Events!$A$2:$A$20, "")</f>
        <v/>
      </c>
      <c r="I849">
        <f t="shared" si="109"/>
        <v>0</v>
      </c>
      <c r="J849" t="str">
        <f>_xlfn.XLOOKUP(H849, Fact_Events!$A$2:$A$20, Fact_Events!$F$2:$F$20, "")</f>
        <v/>
      </c>
      <c r="K849" t="str">
        <f t="shared" si="110"/>
        <v>Low</v>
      </c>
      <c r="L849">
        <f t="shared" si="111"/>
        <v>0.55000000000000004</v>
      </c>
      <c r="M849">
        <f>_xlfn.XLOOKUP(B849, Dim_Hotel!$A$2:$A$11, Dim_Hotel!$I$2:$I$11)
 + (IF(J849="",0,J849)
    * _xlfn.XLOOKUP(B849, Dim_Hotel!$A$2:$A$11, Dim_Hotel!$J$2:$J$11))</f>
        <v>140</v>
      </c>
    </row>
    <row r="850" spans="1:13" x14ac:dyDescent="0.25">
      <c r="A850" s="1">
        <f t="shared" si="104"/>
        <v>46107</v>
      </c>
      <c r="B850" t="str" cm="1">
        <f t="array" ref="B850">INDEX(HotelList,MOD(ROW()-2,10)+1)</f>
        <v>H009</v>
      </c>
      <c r="C850">
        <f>_xlfn.XLOOKUP(B850,Dim_Hotel!$A$2:$A$11,Dim_Hotel!$F$2:$F$11)</f>
        <v>114</v>
      </c>
      <c r="D850">
        <f t="shared" si="105"/>
        <v>63</v>
      </c>
      <c r="E850">
        <f t="shared" si="106"/>
        <v>0.55263157894736847</v>
      </c>
      <c r="F850">
        <f t="shared" si="107"/>
        <v>185</v>
      </c>
      <c r="G850">
        <f t="shared" si="108"/>
        <v>102.23684210526316</v>
      </c>
      <c r="H850" t="str">
        <f>_xlfn.XLOOKUP(A850,Fact_Events!$D$2:$D$20,Fact_Events!$A$2:$A$20, "")</f>
        <v/>
      </c>
      <c r="I850">
        <f t="shared" si="109"/>
        <v>0</v>
      </c>
      <c r="J850" t="str">
        <f>_xlfn.XLOOKUP(H850, Fact_Events!$A$2:$A$20, Fact_Events!$F$2:$F$20, "")</f>
        <v/>
      </c>
      <c r="K850" t="str">
        <f t="shared" si="110"/>
        <v>Low</v>
      </c>
      <c r="L850">
        <f t="shared" si="111"/>
        <v>0.55000000000000004</v>
      </c>
      <c r="M850">
        <f>_xlfn.XLOOKUP(B850, Dim_Hotel!$A$2:$A$11, Dim_Hotel!$I$2:$I$11)
 + (IF(J850="",0,J850)
    * _xlfn.XLOOKUP(B850, Dim_Hotel!$A$2:$A$11, Dim_Hotel!$J$2:$J$11))</f>
        <v>185</v>
      </c>
    </row>
    <row r="851" spans="1:13" x14ac:dyDescent="0.25">
      <c r="A851" s="1">
        <f t="shared" si="104"/>
        <v>46107</v>
      </c>
      <c r="B851" t="str" cm="1">
        <f t="array" ref="B851">INDEX(HotelList,MOD(ROW()-2,10)+1)</f>
        <v>H010</v>
      </c>
      <c r="C851">
        <f>_xlfn.XLOOKUP(B851,Dim_Hotel!$A$2:$A$11,Dim_Hotel!$F$2:$F$11)</f>
        <v>89</v>
      </c>
      <c r="D851">
        <f t="shared" si="105"/>
        <v>49</v>
      </c>
      <c r="E851">
        <f t="shared" si="106"/>
        <v>0.550561797752809</v>
      </c>
      <c r="F851">
        <f t="shared" si="107"/>
        <v>150</v>
      </c>
      <c r="G851">
        <f t="shared" si="108"/>
        <v>82.584269662921344</v>
      </c>
      <c r="H851" t="str">
        <f>_xlfn.XLOOKUP(A851,Fact_Events!$D$2:$D$20,Fact_Events!$A$2:$A$20, "")</f>
        <v/>
      </c>
      <c r="I851">
        <f t="shared" si="109"/>
        <v>0</v>
      </c>
      <c r="J851" t="str">
        <f>_xlfn.XLOOKUP(H851, Fact_Events!$A$2:$A$20, Fact_Events!$F$2:$F$20, "")</f>
        <v/>
      </c>
      <c r="K851" t="str">
        <f t="shared" si="110"/>
        <v>Low</v>
      </c>
      <c r="L851">
        <f t="shared" si="111"/>
        <v>0.55000000000000004</v>
      </c>
      <c r="M851">
        <f>_xlfn.XLOOKUP(B851, Dim_Hotel!$A$2:$A$11, Dim_Hotel!$I$2:$I$11)
 + (IF(J851="",0,J851)
    * _xlfn.XLOOKUP(B851, Dim_Hotel!$A$2:$A$11, Dim_Hotel!$J$2:$J$11))</f>
        <v>150</v>
      </c>
    </row>
    <row r="852" spans="1:13" x14ac:dyDescent="0.25">
      <c r="A852" s="1">
        <f t="shared" si="104"/>
        <v>46108</v>
      </c>
      <c r="B852" t="str" cm="1">
        <f t="array" ref="B852">INDEX(HotelList,MOD(ROW()-2,10)+1)</f>
        <v>H001</v>
      </c>
      <c r="C852">
        <f>_xlfn.XLOOKUP(B852,Dim_Hotel!$A$2:$A$11,Dim_Hotel!$F$2:$F$11)</f>
        <v>888</v>
      </c>
      <c r="D852">
        <f t="shared" si="105"/>
        <v>488</v>
      </c>
      <c r="E852">
        <f t="shared" si="106"/>
        <v>0.5495495495495496</v>
      </c>
      <c r="F852">
        <f t="shared" si="107"/>
        <v>260</v>
      </c>
      <c r="G852">
        <f t="shared" si="108"/>
        <v>142.88288288288288</v>
      </c>
      <c r="H852" t="str">
        <f>_xlfn.XLOOKUP(A852,Fact_Events!$D$2:$D$20,Fact_Events!$A$2:$A$20, "")</f>
        <v/>
      </c>
      <c r="I852">
        <f t="shared" si="109"/>
        <v>0</v>
      </c>
      <c r="J852" t="str">
        <f>_xlfn.XLOOKUP(H852, Fact_Events!$A$2:$A$20, Fact_Events!$F$2:$F$20, "")</f>
        <v/>
      </c>
      <c r="K852" t="str">
        <f t="shared" si="110"/>
        <v>Low</v>
      </c>
      <c r="L852">
        <f t="shared" si="111"/>
        <v>0.55000000000000004</v>
      </c>
      <c r="M852">
        <f>_xlfn.XLOOKUP(B852, Dim_Hotel!$A$2:$A$11, Dim_Hotel!$I$2:$I$11)
 + (IF(J852="",0,J852)
    * _xlfn.XLOOKUP(B852, Dim_Hotel!$A$2:$A$11, Dim_Hotel!$J$2:$J$11))</f>
        <v>260</v>
      </c>
    </row>
    <row r="853" spans="1:13" x14ac:dyDescent="0.25">
      <c r="A853" s="1">
        <f t="shared" si="104"/>
        <v>46108</v>
      </c>
      <c r="B853" t="str" cm="1">
        <f t="array" ref="B853">INDEX(HotelList,MOD(ROW()-2,10)+1)</f>
        <v>H002</v>
      </c>
      <c r="C853">
        <f>_xlfn.XLOOKUP(B853,Dim_Hotel!$A$2:$A$11,Dim_Hotel!$F$2:$F$11)</f>
        <v>147</v>
      </c>
      <c r="D853">
        <f t="shared" si="105"/>
        <v>81</v>
      </c>
      <c r="E853">
        <f t="shared" si="106"/>
        <v>0.55102040816326525</v>
      </c>
      <c r="F853">
        <f t="shared" si="107"/>
        <v>175</v>
      </c>
      <c r="G853">
        <f t="shared" si="108"/>
        <v>96.428571428571416</v>
      </c>
      <c r="H853" t="str">
        <f>_xlfn.XLOOKUP(A853,Fact_Events!$D$2:$D$20,Fact_Events!$A$2:$A$20, "")</f>
        <v/>
      </c>
      <c r="I853">
        <f t="shared" si="109"/>
        <v>0</v>
      </c>
      <c r="J853" t="str">
        <f>_xlfn.XLOOKUP(H853, Fact_Events!$A$2:$A$20, Fact_Events!$F$2:$F$20, "")</f>
        <v/>
      </c>
      <c r="K853" t="str">
        <f t="shared" si="110"/>
        <v>Low</v>
      </c>
      <c r="L853">
        <f t="shared" si="111"/>
        <v>0.55000000000000004</v>
      </c>
      <c r="M853">
        <f>_xlfn.XLOOKUP(B853, Dim_Hotel!$A$2:$A$11, Dim_Hotel!$I$2:$I$11)
 + (IF(J853="",0,J853)
    * _xlfn.XLOOKUP(B853, Dim_Hotel!$A$2:$A$11, Dim_Hotel!$J$2:$J$11))</f>
        <v>175</v>
      </c>
    </row>
    <row r="854" spans="1:13" x14ac:dyDescent="0.25">
      <c r="A854" s="1">
        <f t="shared" si="104"/>
        <v>46108</v>
      </c>
      <c r="B854" t="str" cm="1">
        <f t="array" ref="B854">INDEX(HotelList,MOD(ROW()-2,10)+1)</f>
        <v>H003</v>
      </c>
      <c r="C854">
        <f>_xlfn.XLOOKUP(B854,Dim_Hotel!$A$2:$A$11,Dim_Hotel!$F$2:$F$11)</f>
        <v>121</v>
      </c>
      <c r="D854">
        <f t="shared" si="105"/>
        <v>67</v>
      </c>
      <c r="E854">
        <f t="shared" si="106"/>
        <v>0.55371900826446285</v>
      </c>
      <c r="F854">
        <f t="shared" si="107"/>
        <v>145</v>
      </c>
      <c r="G854">
        <f t="shared" si="108"/>
        <v>80.289256198347118</v>
      </c>
      <c r="H854" t="str">
        <f>_xlfn.XLOOKUP(A854,Fact_Events!$D$2:$D$20,Fact_Events!$A$2:$A$20, "")</f>
        <v/>
      </c>
      <c r="I854">
        <f t="shared" si="109"/>
        <v>0</v>
      </c>
      <c r="J854" t="str">
        <f>_xlfn.XLOOKUP(H854, Fact_Events!$A$2:$A$20, Fact_Events!$F$2:$F$20, "")</f>
        <v/>
      </c>
      <c r="K854" t="str">
        <f t="shared" si="110"/>
        <v>Low</v>
      </c>
      <c r="L854">
        <f t="shared" si="111"/>
        <v>0.55000000000000004</v>
      </c>
      <c r="M854">
        <f>_xlfn.XLOOKUP(B854, Dim_Hotel!$A$2:$A$11, Dim_Hotel!$I$2:$I$11)
 + (IF(J854="",0,J854)
    * _xlfn.XLOOKUP(B854, Dim_Hotel!$A$2:$A$11, Dim_Hotel!$J$2:$J$11))</f>
        <v>145</v>
      </c>
    </row>
    <row r="855" spans="1:13" x14ac:dyDescent="0.25">
      <c r="A855" s="1">
        <f t="shared" si="104"/>
        <v>46108</v>
      </c>
      <c r="B855" t="str" cm="1">
        <f t="array" ref="B855">INDEX(HotelList,MOD(ROW()-2,10)+1)</f>
        <v>H004</v>
      </c>
      <c r="C855">
        <f>_xlfn.XLOOKUP(B855,Dim_Hotel!$A$2:$A$11,Dim_Hotel!$F$2:$F$11)</f>
        <v>108</v>
      </c>
      <c r="D855">
        <f t="shared" si="105"/>
        <v>59</v>
      </c>
      <c r="E855">
        <f t="shared" si="106"/>
        <v>0.54629629629629628</v>
      </c>
      <c r="F855">
        <f t="shared" si="107"/>
        <v>135</v>
      </c>
      <c r="G855">
        <f t="shared" si="108"/>
        <v>73.75</v>
      </c>
      <c r="H855" t="str">
        <f>_xlfn.XLOOKUP(A855,Fact_Events!$D$2:$D$20,Fact_Events!$A$2:$A$20, "")</f>
        <v/>
      </c>
      <c r="I855">
        <f t="shared" si="109"/>
        <v>0</v>
      </c>
      <c r="J855" t="str">
        <f>_xlfn.XLOOKUP(H855, Fact_Events!$A$2:$A$20, Fact_Events!$F$2:$F$20, "")</f>
        <v/>
      </c>
      <c r="K855" t="str">
        <f t="shared" si="110"/>
        <v>Low</v>
      </c>
      <c r="L855">
        <f t="shared" si="111"/>
        <v>0.55000000000000004</v>
      </c>
      <c r="M855">
        <f>_xlfn.XLOOKUP(B855, Dim_Hotel!$A$2:$A$11, Dim_Hotel!$I$2:$I$11)
 + (IF(J855="",0,J855)
    * _xlfn.XLOOKUP(B855, Dim_Hotel!$A$2:$A$11, Dim_Hotel!$J$2:$J$11))</f>
        <v>135</v>
      </c>
    </row>
    <row r="856" spans="1:13" x14ac:dyDescent="0.25">
      <c r="A856" s="1">
        <f t="shared" si="104"/>
        <v>46108</v>
      </c>
      <c r="B856" t="str" cm="1">
        <f t="array" ref="B856">INDEX(HotelList,MOD(ROW()-2,10)+1)</f>
        <v>H005</v>
      </c>
      <c r="C856">
        <f>_xlfn.XLOOKUP(B856,Dim_Hotel!$A$2:$A$11,Dim_Hotel!$F$2:$F$11)</f>
        <v>66</v>
      </c>
      <c r="D856">
        <f t="shared" si="105"/>
        <v>36</v>
      </c>
      <c r="E856">
        <f t="shared" si="106"/>
        <v>0.54545454545454541</v>
      </c>
      <c r="F856">
        <f t="shared" si="107"/>
        <v>82</v>
      </c>
      <c r="G856">
        <f t="shared" si="108"/>
        <v>44.727272727272727</v>
      </c>
      <c r="H856" t="str">
        <f>_xlfn.XLOOKUP(A856,Fact_Events!$D$2:$D$20,Fact_Events!$A$2:$A$20, "")</f>
        <v/>
      </c>
      <c r="I856">
        <f t="shared" si="109"/>
        <v>0</v>
      </c>
      <c r="J856" t="str">
        <f>_xlfn.XLOOKUP(H856, Fact_Events!$A$2:$A$20, Fact_Events!$F$2:$F$20, "")</f>
        <v/>
      </c>
      <c r="K856" t="str">
        <f t="shared" si="110"/>
        <v>Low</v>
      </c>
      <c r="L856">
        <f t="shared" si="111"/>
        <v>0.55000000000000004</v>
      </c>
      <c r="M856">
        <f>_xlfn.XLOOKUP(B856, Dim_Hotel!$A$2:$A$11, Dim_Hotel!$I$2:$I$11)
 + (IF(J856="",0,J856)
    * _xlfn.XLOOKUP(B856, Dim_Hotel!$A$2:$A$11, Dim_Hotel!$J$2:$J$11))</f>
        <v>82</v>
      </c>
    </row>
    <row r="857" spans="1:13" x14ac:dyDescent="0.25">
      <c r="A857" s="1">
        <f t="shared" si="104"/>
        <v>46108</v>
      </c>
      <c r="B857" t="str" cm="1">
        <f t="array" ref="B857">INDEX(HotelList,MOD(ROW()-2,10)+1)</f>
        <v>H006</v>
      </c>
      <c r="C857">
        <f>_xlfn.XLOOKUP(B857,Dim_Hotel!$A$2:$A$11,Dim_Hotel!$F$2:$F$11)</f>
        <v>311</v>
      </c>
      <c r="D857">
        <f t="shared" si="105"/>
        <v>171</v>
      </c>
      <c r="E857">
        <f t="shared" si="106"/>
        <v>0.54983922829581988</v>
      </c>
      <c r="F857">
        <f t="shared" si="107"/>
        <v>190</v>
      </c>
      <c r="G857">
        <f t="shared" si="108"/>
        <v>104.46945337620578</v>
      </c>
      <c r="H857" t="str">
        <f>_xlfn.XLOOKUP(A857,Fact_Events!$D$2:$D$20,Fact_Events!$A$2:$A$20, "")</f>
        <v/>
      </c>
      <c r="I857">
        <f t="shared" si="109"/>
        <v>0</v>
      </c>
      <c r="J857" t="str">
        <f>_xlfn.XLOOKUP(H857, Fact_Events!$A$2:$A$20, Fact_Events!$F$2:$F$20, "")</f>
        <v/>
      </c>
      <c r="K857" t="str">
        <f t="shared" si="110"/>
        <v>Low</v>
      </c>
      <c r="L857">
        <f t="shared" si="111"/>
        <v>0.55000000000000004</v>
      </c>
      <c r="M857">
        <f>_xlfn.XLOOKUP(B857, Dim_Hotel!$A$2:$A$11, Dim_Hotel!$I$2:$I$11)
 + (IF(J857="",0,J857)
    * _xlfn.XLOOKUP(B857, Dim_Hotel!$A$2:$A$11, Dim_Hotel!$J$2:$J$11))</f>
        <v>190</v>
      </c>
    </row>
    <row r="858" spans="1:13" x14ac:dyDescent="0.25">
      <c r="A858" s="1">
        <f t="shared" si="104"/>
        <v>46108</v>
      </c>
      <c r="B858" t="str" cm="1">
        <f t="array" ref="B858">INDEX(HotelList,MOD(ROW()-2,10)+1)</f>
        <v>H007</v>
      </c>
      <c r="C858">
        <f>_xlfn.XLOOKUP(B858,Dim_Hotel!$A$2:$A$11,Dim_Hotel!$F$2:$F$11)</f>
        <v>132</v>
      </c>
      <c r="D858">
        <f t="shared" si="105"/>
        <v>73</v>
      </c>
      <c r="E858">
        <f t="shared" si="106"/>
        <v>0.55303030303030298</v>
      </c>
      <c r="F858">
        <f t="shared" si="107"/>
        <v>165</v>
      </c>
      <c r="G858">
        <f t="shared" si="108"/>
        <v>91.249999999999986</v>
      </c>
      <c r="H858" t="str">
        <f>_xlfn.XLOOKUP(A858,Fact_Events!$D$2:$D$20,Fact_Events!$A$2:$A$20, "")</f>
        <v/>
      </c>
      <c r="I858">
        <f t="shared" si="109"/>
        <v>0</v>
      </c>
      <c r="J858" t="str">
        <f>_xlfn.XLOOKUP(H858, Fact_Events!$A$2:$A$20, Fact_Events!$F$2:$F$20, "")</f>
        <v/>
      </c>
      <c r="K858" t="str">
        <f t="shared" si="110"/>
        <v>Low</v>
      </c>
      <c r="L858">
        <f t="shared" si="111"/>
        <v>0.55000000000000004</v>
      </c>
      <c r="M858">
        <f>_xlfn.XLOOKUP(B858, Dim_Hotel!$A$2:$A$11, Dim_Hotel!$I$2:$I$11)
 + (IF(J858="",0,J858)
    * _xlfn.XLOOKUP(B858, Dim_Hotel!$A$2:$A$11, Dim_Hotel!$J$2:$J$11))</f>
        <v>165</v>
      </c>
    </row>
    <row r="859" spans="1:13" x14ac:dyDescent="0.25">
      <c r="A859" s="1">
        <f t="shared" si="104"/>
        <v>46108</v>
      </c>
      <c r="B859" t="str" cm="1">
        <f t="array" ref="B859">INDEX(HotelList,MOD(ROW()-2,10)+1)</f>
        <v>H008</v>
      </c>
      <c r="C859">
        <f>_xlfn.XLOOKUP(B859,Dim_Hotel!$A$2:$A$11,Dim_Hotel!$F$2:$F$11)</f>
        <v>103</v>
      </c>
      <c r="D859">
        <f t="shared" si="105"/>
        <v>57</v>
      </c>
      <c r="E859">
        <f t="shared" si="106"/>
        <v>0.55339805825242716</v>
      </c>
      <c r="F859">
        <f t="shared" si="107"/>
        <v>140</v>
      </c>
      <c r="G859">
        <f t="shared" si="108"/>
        <v>77.475728155339809</v>
      </c>
      <c r="H859" t="str">
        <f>_xlfn.XLOOKUP(A859,Fact_Events!$D$2:$D$20,Fact_Events!$A$2:$A$20, "")</f>
        <v/>
      </c>
      <c r="I859">
        <f t="shared" si="109"/>
        <v>0</v>
      </c>
      <c r="J859" t="str">
        <f>_xlfn.XLOOKUP(H859, Fact_Events!$A$2:$A$20, Fact_Events!$F$2:$F$20, "")</f>
        <v/>
      </c>
      <c r="K859" t="str">
        <f t="shared" si="110"/>
        <v>Low</v>
      </c>
      <c r="L859">
        <f t="shared" si="111"/>
        <v>0.55000000000000004</v>
      </c>
      <c r="M859">
        <f>_xlfn.XLOOKUP(B859, Dim_Hotel!$A$2:$A$11, Dim_Hotel!$I$2:$I$11)
 + (IF(J859="",0,J859)
    * _xlfn.XLOOKUP(B859, Dim_Hotel!$A$2:$A$11, Dim_Hotel!$J$2:$J$11))</f>
        <v>140</v>
      </c>
    </row>
    <row r="860" spans="1:13" x14ac:dyDescent="0.25">
      <c r="A860" s="1">
        <f t="shared" si="104"/>
        <v>46108</v>
      </c>
      <c r="B860" t="str" cm="1">
        <f t="array" ref="B860">INDEX(HotelList,MOD(ROW()-2,10)+1)</f>
        <v>H009</v>
      </c>
      <c r="C860">
        <f>_xlfn.XLOOKUP(B860,Dim_Hotel!$A$2:$A$11,Dim_Hotel!$F$2:$F$11)</f>
        <v>114</v>
      </c>
      <c r="D860">
        <f t="shared" si="105"/>
        <v>63</v>
      </c>
      <c r="E860">
        <f t="shared" si="106"/>
        <v>0.55263157894736847</v>
      </c>
      <c r="F860">
        <f t="shared" si="107"/>
        <v>185</v>
      </c>
      <c r="G860">
        <f t="shared" si="108"/>
        <v>102.23684210526316</v>
      </c>
      <c r="H860" t="str">
        <f>_xlfn.XLOOKUP(A860,Fact_Events!$D$2:$D$20,Fact_Events!$A$2:$A$20, "")</f>
        <v/>
      </c>
      <c r="I860">
        <f t="shared" si="109"/>
        <v>0</v>
      </c>
      <c r="J860" t="str">
        <f>_xlfn.XLOOKUP(H860, Fact_Events!$A$2:$A$20, Fact_Events!$F$2:$F$20, "")</f>
        <v/>
      </c>
      <c r="K860" t="str">
        <f t="shared" si="110"/>
        <v>Low</v>
      </c>
      <c r="L860">
        <f t="shared" si="111"/>
        <v>0.55000000000000004</v>
      </c>
      <c r="M860">
        <f>_xlfn.XLOOKUP(B860, Dim_Hotel!$A$2:$A$11, Dim_Hotel!$I$2:$I$11)
 + (IF(J860="",0,J860)
    * _xlfn.XLOOKUP(B860, Dim_Hotel!$A$2:$A$11, Dim_Hotel!$J$2:$J$11))</f>
        <v>185</v>
      </c>
    </row>
    <row r="861" spans="1:13" x14ac:dyDescent="0.25">
      <c r="A861" s="1">
        <f t="shared" si="104"/>
        <v>46108</v>
      </c>
      <c r="B861" t="str" cm="1">
        <f t="array" ref="B861">INDEX(HotelList,MOD(ROW()-2,10)+1)</f>
        <v>H010</v>
      </c>
      <c r="C861">
        <f>_xlfn.XLOOKUP(B861,Dim_Hotel!$A$2:$A$11,Dim_Hotel!$F$2:$F$11)</f>
        <v>89</v>
      </c>
      <c r="D861">
        <f t="shared" si="105"/>
        <v>49</v>
      </c>
      <c r="E861">
        <f t="shared" si="106"/>
        <v>0.550561797752809</v>
      </c>
      <c r="F861">
        <f t="shared" si="107"/>
        <v>150</v>
      </c>
      <c r="G861">
        <f t="shared" si="108"/>
        <v>82.584269662921344</v>
      </c>
      <c r="H861" t="str">
        <f>_xlfn.XLOOKUP(A861,Fact_Events!$D$2:$D$20,Fact_Events!$A$2:$A$20, "")</f>
        <v/>
      </c>
      <c r="I861">
        <f t="shared" si="109"/>
        <v>0</v>
      </c>
      <c r="J861" t="str">
        <f>_xlfn.XLOOKUP(H861, Fact_Events!$A$2:$A$20, Fact_Events!$F$2:$F$20, "")</f>
        <v/>
      </c>
      <c r="K861" t="str">
        <f t="shared" si="110"/>
        <v>Low</v>
      </c>
      <c r="L861">
        <f t="shared" si="111"/>
        <v>0.55000000000000004</v>
      </c>
      <c r="M861">
        <f>_xlfn.XLOOKUP(B861, Dim_Hotel!$A$2:$A$11, Dim_Hotel!$I$2:$I$11)
 + (IF(J861="",0,J861)
    * _xlfn.XLOOKUP(B861, Dim_Hotel!$A$2:$A$11, Dim_Hotel!$J$2:$J$11))</f>
        <v>150</v>
      </c>
    </row>
    <row r="862" spans="1:13" x14ac:dyDescent="0.25">
      <c r="A862" s="1">
        <f t="shared" si="104"/>
        <v>46109</v>
      </c>
      <c r="B862" t="str" cm="1">
        <f t="array" ref="B862">INDEX(HotelList,MOD(ROW()-2,10)+1)</f>
        <v>H001</v>
      </c>
      <c r="C862">
        <f>_xlfn.XLOOKUP(B862,Dim_Hotel!$A$2:$A$11,Dim_Hotel!$F$2:$F$11)</f>
        <v>888</v>
      </c>
      <c r="D862">
        <f t="shared" si="105"/>
        <v>488</v>
      </c>
      <c r="E862">
        <f t="shared" si="106"/>
        <v>0.5495495495495496</v>
      </c>
      <c r="F862">
        <f t="shared" si="107"/>
        <v>260</v>
      </c>
      <c r="G862">
        <f t="shared" si="108"/>
        <v>142.88288288288288</v>
      </c>
      <c r="H862" t="str">
        <f>_xlfn.XLOOKUP(A862,Fact_Events!$D$2:$D$20,Fact_Events!$A$2:$A$20, "")</f>
        <v/>
      </c>
      <c r="I862">
        <f t="shared" si="109"/>
        <v>0</v>
      </c>
      <c r="J862" t="str">
        <f>_xlfn.XLOOKUP(H862, Fact_Events!$A$2:$A$20, Fact_Events!$F$2:$F$20, "")</f>
        <v/>
      </c>
      <c r="K862" t="str">
        <f t="shared" si="110"/>
        <v>Low</v>
      </c>
      <c r="L862">
        <f t="shared" si="111"/>
        <v>0.55000000000000004</v>
      </c>
      <c r="M862">
        <f>_xlfn.XLOOKUP(B862, Dim_Hotel!$A$2:$A$11, Dim_Hotel!$I$2:$I$11)
 + (IF(J862="",0,J862)
    * _xlfn.XLOOKUP(B862, Dim_Hotel!$A$2:$A$11, Dim_Hotel!$J$2:$J$11))</f>
        <v>260</v>
      </c>
    </row>
    <row r="863" spans="1:13" x14ac:dyDescent="0.25">
      <c r="A863" s="1">
        <f t="shared" si="104"/>
        <v>46109</v>
      </c>
      <c r="B863" t="str" cm="1">
        <f t="array" ref="B863">INDEX(HotelList,MOD(ROW()-2,10)+1)</f>
        <v>H002</v>
      </c>
      <c r="C863">
        <f>_xlfn.XLOOKUP(B863,Dim_Hotel!$A$2:$A$11,Dim_Hotel!$F$2:$F$11)</f>
        <v>147</v>
      </c>
      <c r="D863">
        <f t="shared" si="105"/>
        <v>81</v>
      </c>
      <c r="E863">
        <f t="shared" si="106"/>
        <v>0.55102040816326525</v>
      </c>
      <c r="F863">
        <f t="shared" si="107"/>
        <v>175</v>
      </c>
      <c r="G863">
        <f t="shared" si="108"/>
        <v>96.428571428571416</v>
      </c>
      <c r="H863" t="str">
        <f>_xlfn.XLOOKUP(A863,Fact_Events!$D$2:$D$20,Fact_Events!$A$2:$A$20, "")</f>
        <v/>
      </c>
      <c r="I863">
        <f t="shared" si="109"/>
        <v>0</v>
      </c>
      <c r="J863" t="str">
        <f>_xlfn.XLOOKUP(H863, Fact_Events!$A$2:$A$20, Fact_Events!$F$2:$F$20, "")</f>
        <v/>
      </c>
      <c r="K863" t="str">
        <f t="shared" si="110"/>
        <v>Low</v>
      </c>
      <c r="L863">
        <f t="shared" si="111"/>
        <v>0.55000000000000004</v>
      </c>
      <c r="M863">
        <f>_xlfn.XLOOKUP(B863, Dim_Hotel!$A$2:$A$11, Dim_Hotel!$I$2:$I$11)
 + (IF(J863="",0,J863)
    * _xlfn.XLOOKUP(B863, Dim_Hotel!$A$2:$A$11, Dim_Hotel!$J$2:$J$11))</f>
        <v>175</v>
      </c>
    </row>
    <row r="864" spans="1:13" x14ac:dyDescent="0.25">
      <c r="A864" s="1">
        <f t="shared" si="104"/>
        <v>46109</v>
      </c>
      <c r="B864" t="str" cm="1">
        <f t="array" ref="B864">INDEX(HotelList,MOD(ROW()-2,10)+1)</f>
        <v>H003</v>
      </c>
      <c r="C864">
        <f>_xlfn.XLOOKUP(B864,Dim_Hotel!$A$2:$A$11,Dim_Hotel!$F$2:$F$11)</f>
        <v>121</v>
      </c>
      <c r="D864">
        <f t="shared" si="105"/>
        <v>67</v>
      </c>
      <c r="E864">
        <f t="shared" si="106"/>
        <v>0.55371900826446285</v>
      </c>
      <c r="F864">
        <f t="shared" si="107"/>
        <v>145</v>
      </c>
      <c r="G864">
        <f t="shared" si="108"/>
        <v>80.289256198347118</v>
      </c>
      <c r="H864" t="str">
        <f>_xlfn.XLOOKUP(A864,Fact_Events!$D$2:$D$20,Fact_Events!$A$2:$A$20, "")</f>
        <v/>
      </c>
      <c r="I864">
        <f t="shared" si="109"/>
        <v>0</v>
      </c>
      <c r="J864" t="str">
        <f>_xlfn.XLOOKUP(H864, Fact_Events!$A$2:$A$20, Fact_Events!$F$2:$F$20, "")</f>
        <v/>
      </c>
      <c r="K864" t="str">
        <f t="shared" si="110"/>
        <v>Low</v>
      </c>
      <c r="L864">
        <f t="shared" si="111"/>
        <v>0.55000000000000004</v>
      </c>
      <c r="M864">
        <f>_xlfn.XLOOKUP(B864, Dim_Hotel!$A$2:$A$11, Dim_Hotel!$I$2:$I$11)
 + (IF(J864="",0,J864)
    * _xlfn.XLOOKUP(B864, Dim_Hotel!$A$2:$A$11, Dim_Hotel!$J$2:$J$11))</f>
        <v>145</v>
      </c>
    </row>
    <row r="865" spans="1:13" x14ac:dyDescent="0.25">
      <c r="A865" s="1">
        <f t="shared" si="104"/>
        <v>46109</v>
      </c>
      <c r="B865" t="str" cm="1">
        <f t="array" ref="B865">INDEX(HotelList,MOD(ROW()-2,10)+1)</f>
        <v>H004</v>
      </c>
      <c r="C865">
        <f>_xlfn.XLOOKUP(B865,Dim_Hotel!$A$2:$A$11,Dim_Hotel!$F$2:$F$11)</f>
        <v>108</v>
      </c>
      <c r="D865">
        <f t="shared" si="105"/>
        <v>59</v>
      </c>
      <c r="E865">
        <f t="shared" si="106"/>
        <v>0.54629629629629628</v>
      </c>
      <c r="F865">
        <f t="shared" si="107"/>
        <v>135</v>
      </c>
      <c r="G865">
        <f t="shared" si="108"/>
        <v>73.75</v>
      </c>
      <c r="H865" t="str">
        <f>_xlfn.XLOOKUP(A865,Fact_Events!$D$2:$D$20,Fact_Events!$A$2:$A$20, "")</f>
        <v/>
      </c>
      <c r="I865">
        <f t="shared" si="109"/>
        <v>0</v>
      </c>
      <c r="J865" t="str">
        <f>_xlfn.XLOOKUP(H865, Fact_Events!$A$2:$A$20, Fact_Events!$F$2:$F$20, "")</f>
        <v/>
      </c>
      <c r="K865" t="str">
        <f t="shared" si="110"/>
        <v>Low</v>
      </c>
      <c r="L865">
        <f t="shared" si="111"/>
        <v>0.55000000000000004</v>
      </c>
      <c r="M865">
        <f>_xlfn.XLOOKUP(B865, Dim_Hotel!$A$2:$A$11, Dim_Hotel!$I$2:$I$11)
 + (IF(J865="",0,J865)
    * _xlfn.XLOOKUP(B865, Dim_Hotel!$A$2:$A$11, Dim_Hotel!$J$2:$J$11))</f>
        <v>135</v>
      </c>
    </row>
    <row r="866" spans="1:13" x14ac:dyDescent="0.25">
      <c r="A866" s="1">
        <f t="shared" si="104"/>
        <v>46109</v>
      </c>
      <c r="B866" t="str" cm="1">
        <f t="array" ref="B866">INDEX(HotelList,MOD(ROW()-2,10)+1)</f>
        <v>H005</v>
      </c>
      <c r="C866">
        <f>_xlfn.XLOOKUP(B866,Dim_Hotel!$A$2:$A$11,Dim_Hotel!$F$2:$F$11)</f>
        <v>66</v>
      </c>
      <c r="D866">
        <f t="shared" si="105"/>
        <v>36</v>
      </c>
      <c r="E866">
        <f t="shared" si="106"/>
        <v>0.54545454545454541</v>
      </c>
      <c r="F866">
        <f t="shared" si="107"/>
        <v>82</v>
      </c>
      <c r="G866">
        <f t="shared" si="108"/>
        <v>44.727272727272727</v>
      </c>
      <c r="H866" t="str">
        <f>_xlfn.XLOOKUP(A866,Fact_Events!$D$2:$D$20,Fact_Events!$A$2:$A$20, "")</f>
        <v/>
      </c>
      <c r="I866">
        <f t="shared" si="109"/>
        <v>0</v>
      </c>
      <c r="J866" t="str">
        <f>_xlfn.XLOOKUP(H866, Fact_Events!$A$2:$A$20, Fact_Events!$F$2:$F$20, "")</f>
        <v/>
      </c>
      <c r="K866" t="str">
        <f t="shared" si="110"/>
        <v>Low</v>
      </c>
      <c r="L866">
        <f t="shared" si="111"/>
        <v>0.55000000000000004</v>
      </c>
      <c r="M866">
        <f>_xlfn.XLOOKUP(B866, Dim_Hotel!$A$2:$A$11, Dim_Hotel!$I$2:$I$11)
 + (IF(J866="",0,J866)
    * _xlfn.XLOOKUP(B866, Dim_Hotel!$A$2:$A$11, Dim_Hotel!$J$2:$J$11))</f>
        <v>82</v>
      </c>
    </row>
    <row r="867" spans="1:13" x14ac:dyDescent="0.25">
      <c r="A867" s="1">
        <f t="shared" si="104"/>
        <v>46109</v>
      </c>
      <c r="B867" t="str" cm="1">
        <f t="array" ref="B867">INDEX(HotelList,MOD(ROW()-2,10)+1)</f>
        <v>H006</v>
      </c>
      <c r="C867">
        <f>_xlfn.XLOOKUP(B867,Dim_Hotel!$A$2:$A$11,Dim_Hotel!$F$2:$F$11)</f>
        <v>311</v>
      </c>
      <c r="D867">
        <f t="shared" si="105"/>
        <v>171</v>
      </c>
      <c r="E867">
        <f t="shared" si="106"/>
        <v>0.54983922829581988</v>
      </c>
      <c r="F867">
        <f t="shared" si="107"/>
        <v>190</v>
      </c>
      <c r="G867">
        <f t="shared" si="108"/>
        <v>104.46945337620578</v>
      </c>
      <c r="H867" t="str">
        <f>_xlfn.XLOOKUP(A867,Fact_Events!$D$2:$D$20,Fact_Events!$A$2:$A$20, "")</f>
        <v/>
      </c>
      <c r="I867">
        <f t="shared" si="109"/>
        <v>0</v>
      </c>
      <c r="J867" t="str">
        <f>_xlfn.XLOOKUP(H867, Fact_Events!$A$2:$A$20, Fact_Events!$F$2:$F$20, "")</f>
        <v/>
      </c>
      <c r="K867" t="str">
        <f t="shared" si="110"/>
        <v>Low</v>
      </c>
      <c r="L867">
        <f t="shared" si="111"/>
        <v>0.55000000000000004</v>
      </c>
      <c r="M867">
        <f>_xlfn.XLOOKUP(B867, Dim_Hotel!$A$2:$A$11, Dim_Hotel!$I$2:$I$11)
 + (IF(J867="",0,J867)
    * _xlfn.XLOOKUP(B867, Dim_Hotel!$A$2:$A$11, Dim_Hotel!$J$2:$J$11))</f>
        <v>190</v>
      </c>
    </row>
    <row r="868" spans="1:13" x14ac:dyDescent="0.25">
      <c r="A868" s="1">
        <f t="shared" si="104"/>
        <v>46109</v>
      </c>
      <c r="B868" t="str" cm="1">
        <f t="array" ref="B868">INDEX(HotelList,MOD(ROW()-2,10)+1)</f>
        <v>H007</v>
      </c>
      <c r="C868">
        <f>_xlfn.XLOOKUP(B868,Dim_Hotel!$A$2:$A$11,Dim_Hotel!$F$2:$F$11)</f>
        <v>132</v>
      </c>
      <c r="D868">
        <f t="shared" si="105"/>
        <v>73</v>
      </c>
      <c r="E868">
        <f t="shared" si="106"/>
        <v>0.55303030303030298</v>
      </c>
      <c r="F868">
        <f t="shared" si="107"/>
        <v>165</v>
      </c>
      <c r="G868">
        <f t="shared" si="108"/>
        <v>91.249999999999986</v>
      </c>
      <c r="H868" t="str">
        <f>_xlfn.XLOOKUP(A868,Fact_Events!$D$2:$D$20,Fact_Events!$A$2:$A$20, "")</f>
        <v/>
      </c>
      <c r="I868">
        <f t="shared" si="109"/>
        <v>0</v>
      </c>
      <c r="J868" t="str">
        <f>_xlfn.XLOOKUP(H868, Fact_Events!$A$2:$A$20, Fact_Events!$F$2:$F$20, "")</f>
        <v/>
      </c>
      <c r="K868" t="str">
        <f t="shared" si="110"/>
        <v>Low</v>
      </c>
      <c r="L868">
        <f t="shared" si="111"/>
        <v>0.55000000000000004</v>
      </c>
      <c r="M868">
        <f>_xlfn.XLOOKUP(B868, Dim_Hotel!$A$2:$A$11, Dim_Hotel!$I$2:$I$11)
 + (IF(J868="",0,J868)
    * _xlfn.XLOOKUP(B868, Dim_Hotel!$A$2:$A$11, Dim_Hotel!$J$2:$J$11))</f>
        <v>165</v>
      </c>
    </row>
    <row r="869" spans="1:13" x14ac:dyDescent="0.25">
      <c r="A869" s="1">
        <f t="shared" si="104"/>
        <v>46109</v>
      </c>
      <c r="B869" t="str" cm="1">
        <f t="array" ref="B869">INDEX(HotelList,MOD(ROW()-2,10)+1)</f>
        <v>H008</v>
      </c>
      <c r="C869">
        <f>_xlfn.XLOOKUP(B869,Dim_Hotel!$A$2:$A$11,Dim_Hotel!$F$2:$F$11)</f>
        <v>103</v>
      </c>
      <c r="D869">
        <f t="shared" si="105"/>
        <v>57</v>
      </c>
      <c r="E869">
        <f t="shared" si="106"/>
        <v>0.55339805825242716</v>
      </c>
      <c r="F869">
        <f t="shared" si="107"/>
        <v>140</v>
      </c>
      <c r="G869">
        <f t="shared" si="108"/>
        <v>77.475728155339809</v>
      </c>
      <c r="H869" t="str">
        <f>_xlfn.XLOOKUP(A869,Fact_Events!$D$2:$D$20,Fact_Events!$A$2:$A$20, "")</f>
        <v/>
      </c>
      <c r="I869">
        <f t="shared" si="109"/>
        <v>0</v>
      </c>
      <c r="J869" t="str">
        <f>_xlfn.XLOOKUP(H869, Fact_Events!$A$2:$A$20, Fact_Events!$F$2:$F$20, "")</f>
        <v/>
      </c>
      <c r="K869" t="str">
        <f t="shared" si="110"/>
        <v>Low</v>
      </c>
      <c r="L869">
        <f t="shared" si="111"/>
        <v>0.55000000000000004</v>
      </c>
      <c r="M869">
        <f>_xlfn.XLOOKUP(B869, Dim_Hotel!$A$2:$A$11, Dim_Hotel!$I$2:$I$11)
 + (IF(J869="",0,J869)
    * _xlfn.XLOOKUP(B869, Dim_Hotel!$A$2:$A$11, Dim_Hotel!$J$2:$J$11))</f>
        <v>140</v>
      </c>
    </row>
    <row r="870" spans="1:13" x14ac:dyDescent="0.25">
      <c r="A870" s="1">
        <f t="shared" si="104"/>
        <v>46109</v>
      </c>
      <c r="B870" t="str" cm="1">
        <f t="array" ref="B870">INDEX(HotelList,MOD(ROW()-2,10)+1)</f>
        <v>H009</v>
      </c>
      <c r="C870">
        <f>_xlfn.XLOOKUP(B870,Dim_Hotel!$A$2:$A$11,Dim_Hotel!$F$2:$F$11)</f>
        <v>114</v>
      </c>
      <c r="D870">
        <f t="shared" si="105"/>
        <v>63</v>
      </c>
      <c r="E870">
        <f t="shared" si="106"/>
        <v>0.55263157894736847</v>
      </c>
      <c r="F870">
        <f t="shared" si="107"/>
        <v>185</v>
      </c>
      <c r="G870">
        <f t="shared" si="108"/>
        <v>102.23684210526316</v>
      </c>
      <c r="H870" t="str">
        <f>_xlfn.XLOOKUP(A870,Fact_Events!$D$2:$D$20,Fact_Events!$A$2:$A$20, "")</f>
        <v/>
      </c>
      <c r="I870">
        <f t="shared" si="109"/>
        <v>0</v>
      </c>
      <c r="J870" t="str">
        <f>_xlfn.XLOOKUP(H870, Fact_Events!$A$2:$A$20, Fact_Events!$F$2:$F$20, "")</f>
        <v/>
      </c>
      <c r="K870" t="str">
        <f t="shared" si="110"/>
        <v>Low</v>
      </c>
      <c r="L870">
        <f t="shared" si="111"/>
        <v>0.55000000000000004</v>
      </c>
      <c r="M870">
        <f>_xlfn.XLOOKUP(B870, Dim_Hotel!$A$2:$A$11, Dim_Hotel!$I$2:$I$11)
 + (IF(J870="",0,J870)
    * _xlfn.XLOOKUP(B870, Dim_Hotel!$A$2:$A$11, Dim_Hotel!$J$2:$J$11))</f>
        <v>185</v>
      </c>
    </row>
    <row r="871" spans="1:13" x14ac:dyDescent="0.25">
      <c r="A871" s="1">
        <f t="shared" si="104"/>
        <v>46109</v>
      </c>
      <c r="B871" t="str" cm="1">
        <f t="array" ref="B871">INDEX(HotelList,MOD(ROW()-2,10)+1)</f>
        <v>H010</v>
      </c>
      <c r="C871">
        <f>_xlfn.XLOOKUP(B871,Dim_Hotel!$A$2:$A$11,Dim_Hotel!$F$2:$F$11)</f>
        <v>89</v>
      </c>
      <c r="D871">
        <f t="shared" si="105"/>
        <v>49</v>
      </c>
      <c r="E871">
        <f t="shared" si="106"/>
        <v>0.550561797752809</v>
      </c>
      <c r="F871">
        <f t="shared" si="107"/>
        <v>150</v>
      </c>
      <c r="G871">
        <f t="shared" si="108"/>
        <v>82.584269662921344</v>
      </c>
      <c r="H871" t="str">
        <f>_xlfn.XLOOKUP(A871,Fact_Events!$D$2:$D$20,Fact_Events!$A$2:$A$20, "")</f>
        <v/>
      </c>
      <c r="I871">
        <f t="shared" si="109"/>
        <v>0</v>
      </c>
      <c r="J871" t="str">
        <f>_xlfn.XLOOKUP(H871, Fact_Events!$A$2:$A$20, Fact_Events!$F$2:$F$20, "")</f>
        <v/>
      </c>
      <c r="K871" t="str">
        <f t="shared" si="110"/>
        <v>Low</v>
      </c>
      <c r="L871">
        <f t="shared" si="111"/>
        <v>0.55000000000000004</v>
      </c>
      <c r="M871">
        <f>_xlfn.XLOOKUP(B871, Dim_Hotel!$A$2:$A$11, Dim_Hotel!$I$2:$I$11)
 + (IF(J871="",0,J871)
    * _xlfn.XLOOKUP(B871, Dim_Hotel!$A$2:$A$11, Dim_Hotel!$J$2:$J$11))</f>
        <v>150</v>
      </c>
    </row>
    <row r="872" spans="1:13" x14ac:dyDescent="0.25">
      <c r="A872" s="1">
        <f t="shared" si="104"/>
        <v>46110</v>
      </c>
      <c r="B872" t="str" cm="1">
        <f t="array" ref="B872">INDEX(HotelList,MOD(ROW()-2,10)+1)</f>
        <v>H001</v>
      </c>
      <c r="C872">
        <f>_xlfn.XLOOKUP(B872,Dim_Hotel!$A$2:$A$11,Dim_Hotel!$F$2:$F$11)</f>
        <v>888</v>
      </c>
      <c r="D872">
        <f t="shared" si="105"/>
        <v>488</v>
      </c>
      <c r="E872">
        <f t="shared" si="106"/>
        <v>0.5495495495495496</v>
      </c>
      <c r="F872">
        <f t="shared" si="107"/>
        <v>260</v>
      </c>
      <c r="G872">
        <f t="shared" si="108"/>
        <v>142.88288288288288</v>
      </c>
      <c r="H872" t="str">
        <f>_xlfn.XLOOKUP(A872,Fact_Events!$D$2:$D$20,Fact_Events!$A$2:$A$20, "")</f>
        <v/>
      </c>
      <c r="I872">
        <f t="shared" si="109"/>
        <v>0</v>
      </c>
      <c r="J872" t="str">
        <f>_xlfn.XLOOKUP(H872, Fact_Events!$A$2:$A$20, Fact_Events!$F$2:$F$20, "")</f>
        <v/>
      </c>
      <c r="K872" t="str">
        <f t="shared" si="110"/>
        <v>Low</v>
      </c>
      <c r="L872">
        <f t="shared" si="111"/>
        <v>0.55000000000000004</v>
      </c>
      <c r="M872">
        <f>_xlfn.XLOOKUP(B872, Dim_Hotel!$A$2:$A$11, Dim_Hotel!$I$2:$I$11)
 + (IF(J872="",0,J872)
    * _xlfn.XLOOKUP(B872, Dim_Hotel!$A$2:$A$11, Dim_Hotel!$J$2:$J$11))</f>
        <v>260</v>
      </c>
    </row>
    <row r="873" spans="1:13" x14ac:dyDescent="0.25">
      <c r="A873" s="1">
        <f t="shared" si="104"/>
        <v>46110</v>
      </c>
      <c r="B873" t="str" cm="1">
        <f t="array" ref="B873">INDEX(HotelList,MOD(ROW()-2,10)+1)</f>
        <v>H002</v>
      </c>
      <c r="C873">
        <f>_xlfn.XLOOKUP(B873,Dim_Hotel!$A$2:$A$11,Dim_Hotel!$F$2:$F$11)</f>
        <v>147</v>
      </c>
      <c r="D873">
        <f t="shared" si="105"/>
        <v>81</v>
      </c>
      <c r="E873">
        <f t="shared" si="106"/>
        <v>0.55102040816326525</v>
      </c>
      <c r="F873">
        <f t="shared" si="107"/>
        <v>175</v>
      </c>
      <c r="G873">
        <f t="shared" si="108"/>
        <v>96.428571428571416</v>
      </c>
      <c r="H873" t="str">
        <f>_xlfn.XLOOKUP(A873,Fact_Events!$D$2:$D$20,Fact_Events!$A$2:$A$20, "")</f>
        <v/>
      </c>
      <c r="I873">
        <f t="shared" si="109"/>
        <v>0</v>
      </c>
      <c r="J873" t="str">
        <f>_xlfn.XLOOKUP(H873, Fact_Events!$A$2:$A$20, Fact_Events!$F$2:$F$20, "")</f>
        <v/>
      </c>
      <c r="K873" t="str">
        <f t="shared" si="110"/>
        <v>Low</v>
      </c>
      <c r="L873">
        <f t="shared" si="111"/>
        <v>0.55000000000000004</v>
      </c>
      <c r="M873">
        <f>_xlfn.XLOOKUP(B873, Dim_Hotel!$A$2:$A$11, Dim_Hotel!$I$2:$I$11)
 + (IF(J873="",0,J873)
    * _xlfn.XLOOKUP(B873, Dim_Hotel!$A$2:$A$11, Dim_Hotel!$J$2:$J$11))</f>
        <v>175</v>
      </c>
    </row>
    <row r="874" spans="1:13" x14ac:dyDescent="0.25">
      <c r="A874" s="1">
        <f t="shared" si="104"/>
        <v>46110</v>
      </c>
      <c r="B874" t="str" cm="1">
        <f t="array" ref="B874">INDEX(HotelList,MOD(ROW()-2,10)+1)</f>
        <v>H003</v>
      </c>
      <c r="C874">
        <f>_xlfn.XLOOKUP(B874,Dim_Hotel!$A$2:$A$11,Dim_Hotel!$F$2:$F$11)</f>
        <v>121</v>
      </c>
      <c r="D874">
        <f t="shared" si="105"/>
        <v>67</v>
      </c>
      <c r="E874">
        <f t="shared" si="106"/>
        <v>0.55371900826446285</v>
      </c>
      <c r="F874">
        <f t="shared" si="107"/>
        <v>145</v>
      </c>
      <c r="G874">
        <f t="shared" si="108"/>
        <v>80.289256198347118</v>
      </c>
      <c r="H874" t="str">
        <f>_xlfn.XLOOKUP(A874,Fact_Events!$D$2:$D$20,Fact_Events!$A$2:$A$20, "")</f>
        <v/>
      </c>
      <c r="I874">
        <f t="shared" si="109"/>
        <v>0</v>
      </c>
      <c r="J874" t="str">
        <f>_xlfn.XLOOKUP(H874, Fact_Events!$A$2:$A$20, Fact_Events!$F$2:$F$20, "")</f>
        <v/>
      </c>
      <c r="K874" t="str">
        <f t="shared" si="110"/>
        <v>Low</v>
      </c>
      <c r="L874">
        <f t="shared" si="111"/>
        <v>0.55000000000000004</v>
      </c>
      <c r="M874">
        <f>_xlfn.XLOOKUP(B874, Dim_Hotel!$A$2:$A$11, Dim_Hotel!$I$2:$I$11)
 + (IF(J874="",0,J874)
    * _xlfn.XLOOKUP(B874, Dim_Hotel!$A$2:$A$11, Dim_Hotel!$J$2:$J$11))</f>
        <v>145</v>
      </c>
    </row>
    <row r="875" spans="1:13" x14ac:dyDescent="0.25">
      <c r="A875" s="1">
        <f t="shared" si="104"/>
        <v>46110</v>
      </c>
      <c r="B875" t="str" cm="1">
        <f t="array" ref="B875">INDEX(HotelList,MOD(ROW()-2,10)+1)</f>
        <v>H004</v>
      </c>
      <c r="C875">
        <f>_xlfn.XLOOKUP(B875,Dim_Hotel!$A$2:$A$11,Dim_Hotel!$F$2:$F$11)</f>
        <v>108</v>
      </c>
      <c r="D875">
        <f t="shared" si="105"/>
        <v>59</v>
      </c>
      <c r="E875">
        <f t="shared" si="106"/>
        <v>0.54629629629629628</v>
      </c>
      <c r="F875">
        <f t="shared" si="107"/>
        <v>135</v>
      </c>
      <c r="G875">
        <f t="shared" si="108"/>
        <v>73.75</v>
      </c>
      <c r="H875" t="str">
        <f>_xlfn.XLOOKUP(A875,Fact_Events!$D$2:$D$20,Fact_Events!$A$2:$A$20, "")</f>
        <v/>
      </c>
      <c r="I875">
        <f t="shared" si="109"/>
        <v>0</v>
      </c>
      <c r="J875" t="str">
        <f>_xlfn.XLOOKUP(H875, Fact_Events!$A$2:$A$20, Fact_Events!$F$2:$F$20, "")</f>
        <v/>
      </c>
      <c r="K875" t="str">
        <f t="shared" si="110"/>
        <v>Low</v>
      </c>
      <c r="L875">
        <f t="shared" si="111"/>
        <v>0.55000000000000004</v>
      </c>
      <c r="M875">
        <f>_xlfn.XLOOKUP(B875, Dim_Hotel!$A$2:$A$11, Dim_Hotel!$I$2:$I$11)
 + (IF(J875="",0,J875)
    * _xlfn.XLOOKUP(B875, Dim_Hotel!$A$2:$A$11, Dim_Hotel!$J$2:$J$11))</f>
        <v>135</v>
      </c>
    </row>
    <row r="876" spans="1:13" x14ac:dyDescent="0.25">
      <c r="A876" s="1">
        <f t="shared" si="104"/>
        <v>46110</v>
      </c>
      <c r="B876" t="str" cm="1">
        <f t="array" ref="B876">INDEX(HotelList,MOD(ROW()-2,10)+1)</f>
        <v>H005</v>
      </c>
      <c r="C876">
        <f>_xlfn.XLOOKUP(B876,Dim_Hotel!$A$2:$A$11,Dim_Hotel!$F$2:$F$11)</f>
        <v>66</v>
      </c>
      <c r="D876">
        <f t="shared" si="105"/>
        <v>36</v>
      </c>
      <c r="E876">
        <f t="shared" si="106"/>
        <v>0.54545454545454541</v>
      </c>
      <c r="F876">
        <f t="shared" si="107"/>
        <v>82</v>
      </c>
      <c r="G876">
        <f t="shared" si="108"/>
        <v>44.727272727272727</v>
      </c>
      <c r="H876" t="str">
        <f>_xlfn.XLOOKUP(A876,Fact_Events!$D$2:$D$20,Fact_Events!$A$2:$A$20, "")</f>
        <v/>
      </c>
      <c r="I876">
        <f t="shared" si="109"/>
        <v>0</v>
      </c>
      <c r="J876" t="str">
        <f>_xlfn.XLOOKUP(H876, Fact_Events!$A$2:$A$20, Fact_Events!$F$2:$F$20, "")</f>
        <v/>
      </c>
      <c r="K876" t="str">
        <f t="shared" si="110"/>
        <v>Low</v>
      </c>
      <c r="L876">
        <f t="shared" si="111"/>
        <v>0.55000000000000004</v>
      </c>
      <c r="M876">
        <f>_xlfn.XLOOKUP(B876, Dim_Hotel!$A$2:$A$11, Dim_Hotel!$I$2:$I$11)
 + (IF(J876="",0,J876)
    * _xlfn.XLOOKUP(B876, Dim_Hotel!$A$2:$A$11, Dim_Hotel!$J$2:$J$11))</f>
        <v>82</v>
      </c>
    </row>
    <row r="877" spans="1:13" x14ac:dyDescent="0.25">
      <c r="A877" s="1">
        <f t="shared" si="104"/>
        <v>46110</v>
      </c>
      <c r="B877" t="str" cm="1">
        <f t="array" ref="B877">INDEX(HotelList,MOD(ROW()-2,10)+1)</f>
        <v>H006</v>
      </c>
      <c r="C877">
        <f>_xlfn.XLOOKUP(B877,Dim_Hotel!$A$2:$A$11,Dim_Hotel!$F$2:$F$11)</f>
        <v>311</v>
      </c>
      <c r="D877">
        <f t="shared" si="105"/>
        <v>171</v>
      </c>
      <c r="E877">
        <f t="shared" si="106"/>
        <v>0.54983922829581988</v>
      </c>
      <c r="F877">
        <f t="shared" si="107"/>
        <v>190</v>
      </c>
      <c r="G877">
        <f t="shared" si="108"/>
        <v>104.46945337620578</v>
      </c>
      <c r="H877" t="str">
        <f>_xlfn.XLOOKUP(A877,Fact_Events!$D$2:$D$20,Fact_Events!$A$2:$A$20, "")</f>
        <v/>
      </c>
      <c r="I877">
        <f t="shared" si="109"/>
        <v>0</v>
      </c>
      <c r="J877" t="str">
        <f>_xlfn.XLOOKUP(H877, Fact_Events!$A$2:$A$20, Fact_Events!$F$2:$F$20, "")</f>
        <v/>
      </c>
      <c r="K877" t="str">
        <f t="shared" si="110"/>
        <v>Low</v>
      </c>
      <c r="L877">
        <f t="shared" si="111"/>
        <v>0.55000000000000004</v>
      </c>
      <c r="M877">
        <f>_xlfn.XLOOKUP(B877, Dim_Hotel!$A$2:$A$11, Dim_Hotel!$I$2:$I$11)
 + (IF(J877="",0,J877)
    * _xlfn.XLOOKUP(B877, Dim_Hotel!$A$2:$A$11, Dim_Hotel!$J$2:$J$11))</f>
        <v>190</v>
      </c>
    </row>
    <row r="878" spans="1:13" x14ac:dyDescent="0.25">
      <c r="A878" s="1">
        <f t="shared" si="104"/>
        <v>46110</v>
      </c>
      <c r="B878" t="str" cm="1">
        <f t="array" ref="B878">INDEX(HotelList,MOD(ROW()-2,10)+1)</f>
        <v>H007</v>
      </c>
      <c r="C878">
        <f>_xlfn.XLOOKUP(B878,Dim_Hotel!$A$2:$A$11,Dim_Hotel!$F$2:$F$11)</f>
        <v>132</v>
      </c>
      <c r="D878">
        <f t="shared" si="105"/>
        <v>73</v>
      </c>
      <c r="E878">
        <f t="shared" si="106"/>
        <v>0.55303030303030298</v>
      </c>
      <c r="F878">
        <f t="shared" si="107"/>
        <v>165</v>
      </c>
      <c r="G878">
        <f t="shared" si="108"/>
        <v>91.249999999999986</v>
      </c>
      <c r="H878" t="str">
        <f>_xlfn.XLOOKUP(A878,Fact_Events!$D$2:$D$20,Fact_Events!$A$2:$A$20, "")</f>
        <v/>
      </c>
      <c r="I878">
        <f t="shared" si="109"/>
        <v>0</v>
      </c>
      <c r="J878" t="str">
        <f>_xlfn.XLOOKUP(H878, Fact_Events!$A$2:$A$20, Fact_Events!$F$2:$F$20, "")</f>
        <v/>
      </c>
      <c r="K878" t="str">
        <f t="shared" si="110"/>
        <v>Low</v>
      </c>
      <c r="L878">
        <f t="shared" si="111"/>
        <v>0.55000000000000004</v>
      </c>
      <c r="M878">
        <f>_xlfn.XLOOKUP(B878, Dim_Hotel!$A$2:$A$11, Dim_Hotel!$I$2:$I$11)
 + (IF(J878="",0,J878)
    * _xlfn.XLOOKUP(B878, Dim_Hotel!$A$2:$A$11, Dim_Hotel!$J$2:$J$11))</f>
        <v>165</v>
      </c>
    </row>
    <row r="879" spans="1:13" x14ac:dyDescent="0.25">
      <c r="A879" s="1">
        <f t="shared" si="104"/>
        <v>46110</v>
      </c>
      <c r="B879" t="str" cm="1">
        <f t="array" ref="B879">INDEX(HotelList,MOD(ROW()-2,10)+1)</f>
        <v>H008</v>
      </c>
      <c r="C879">
        <f>_xlfn.XLOOKUP(B879,Dim_Hotel!$A$2:$A$11,Dim_Hotel!$F$2:$F$11)</f>
        <v>103</v>
      </c>
      <c r="D879">
        <f t="shared" si="105"/>
        <v>57</v>
      </c>
      <c r="E879">
        <f t="shared" si="106"/>
        <v>0.55339805825242716</v>
      </c>
      <c r="F879">
        <f t="shared" si="107"/>
        <v>140</v>
      </c>
      <c r="G879">
        <f t="shared" si="108"/>
        <v>77.475728155339809</v>
      </c>
      <c r="H879" t="str">
        <f>_xlfn.XLOOKUP(A879,Fact_Events!$D$2:$D$20,Fact_Events!$A$2:$A$20, "")</f>
        <v/>
      </c>
      <c r="I879">
        <f t="shared" si="109"/>
        <v>0</v>
      </c>
      <c r="J879" t="str">
        <f>_xlfn.XLOOKUP(H879, Fact_Events!$A$2:$A$20, Fact_Events!$F$2:$F$20, "")</f>
        <v/>
      </c>
      <c r="K879" t="str">
        <f t="shared" si="110"/>
        <v>Low</v>
      </c>
      <c r="L879">
        <f t="shared" si="111"/>
        <v>0.55000000000000004</v>
      </c>
      <c r="M879">
        <f>_xlfn.XLOOKUP(B879, Dim_Hotel!$A$2:$A$11, Dim_Hotel!$I$2:$I$11)
 + (IF(J879="",0,J879)
    * _xlfn.XLOOKUP(B879, Dim_Hotel!$A$2:$A$11, Dim_Hotel!$J$2:$J$11))</f>
        <v>140</v>
      </c>
    </row>
    <row r="880" spans="1:13" x14ac:dyDescent="0.25">
      <c r="A880" s="1">
        <f t="shared" si="104"/>
        <v>46110</v>
      </c>
      <c r="B880" t="str" cm="1">
        <f t="array" ref="B880">INDEX(HotelList,MOD(ROW()-2,10)+1)</f>
        <v>H009</v>
      </c>
      <c r="C880">
        <f>_xlfn.XLOOKUP(B880,Dim_Hotel!$A$2:$A$11,Dim_Hotel!$F$2:$F$11)</f>
        <v>114</v>
      </c>
      <c r="D880">
        <f t="shared" si="105"/>
        <v>63</v>
      </c>
      <c r="E880">
        <f t="shared" si="106"/>
        <v>0.55263157894736847</v>
      </c>
      <c r="F880">
        <f t="shared" si="107"/>
        <v>185</v>
      </c>
      <c r="G880">
        <f t="shared" si="108"/>
        <v>102.23684210526316</v>
      </c>
      <c r="H880" t="str">
        <f>_xlfn.XLOOKUP(A880,Fact_Events!$D$2:$D$20,Fact_Events!$A$2:$A$20, "")</f>
        <v/>
      </c>
      <c r="I880">
        <f t="shared" si="109"/>
        <v>0</v>
      </c>
      <c r="J880" t="str">
        <f>_xlfn.XLOOKUP(H880, Fact_Events!$A$2:$A$20, Fact_Events!$F$2:$F$20, "")</f>
        <v/>
      </c>
      <c r="K880" t="str">
        <f t="shared" si="110"/>
        <v>Low</v>
      </c>
      <c r="L880">
        <f t="shared" si="111"/>
        <v>0.55000000000000004</v>
      </c>
      <c r="M880">
        <f>_xlfn.XLOOKUP(B880, Dim_Hotel!$A$2:$A$11, Dim_Hotel!$I$2:$I$11)
 + (IF(J880="",0,J880)
    * _xlfn.XLOOKUP(B880, Dim_Hotel!$A$2:$A$11, Dim_Hotel!$J$2:$J$11))</f>
        <v>185</v>
      </c>
    </row>
    <row r="881" spans="1:13" x14ac:dyDescent="0.25">
      <c r="A881" s="1">
        <f t="shared" si="104"/>
        <v>46110</v>
      </c>
      <c r="B881" t="str" cm="1">
        <f t="array" ref="B881">INDEX(HotelList,MOD(ROW()-2,10)+1)</f>
        <v>H010</v>
      </c>
      <c r="C881">
        <f>_xlfn.XLOOKUP(B881,Dim_Hotel!$A$2:$A$11,Dim_Hotel!$F$2:$F$11)</f>
        <v>89</v>
      </c>
      <c r="D881">
        <f t="shared" si="105"/>
        <v>49</v>
      </c>
      <c r="E881">
        <f t="shared" si="106"/>
        <v>0.550561797752809</v>
      </c>
      <c r="F881">
        <f t="shared" si="107"/>
        <v>150</v>
      </c>
      <c r="G881">
        <f t="shared" si="108"/>
        <v>82.584269662921344</v>
      </c>
      <c r="H881" t="str">
        <f>_xlfn.XLOOKUP(A881,Fact_Events!$D$2:$D$20,Fact_Events!$A$2:$A$20, "")</f>
        <v/>
      </c>
      <c r="I881">
        <f t="shared" si="109"/>
        <v>0</v>
      </c>
      <c r="J881" t="str">
        <f>_xlfn.XLOOKUP(H881, Fact_Events!$A$2:$A$20, Fact_Events!$F$2:$F$20, "")</f>
        <v/>
      </c>
      <c r="K881" t="str">
        <f t="shared" si="110"/>
        <v>Low</v>
      </c>
      <c r="L881">
        <f t="shared" si="111"/>
        <v>0.55000000000000004</v>
      </c>
      <c r="M881">
        <f>_xlfn.XLOOKUP(B881, Dim_Hotel!$A$2:$A$11, Dim_Hotel!$I$2:$I$11)
 + (IF(J881="",0,J881)
    * _xlfn.XLOOKUP(B881, Dim_Hotel!$A$2:$A$11, Dim_Hotel!$J$2:$J$11))</f>
        <v>150</v>
      </c>
    </row>
    <row r="882" spans="1:13" x14ac:dyDescent="0.25">
      <c r="A882" s="1">
        <f t="shared" si="104"/>
        <v>46111</v>
      </c>
      <c r="B882" t="str" cm="1">
        <f t="array" ref="B882">INDEX(HotelList,MOD(ROW()-2,10)+1)</f>
        <v>H001</v>
      </c>
      <c r="C882">
        <f>_xlfn.XLOOKUP(B882,Dim_Hotel!$A$2:$A$11,Dim_Hotel!$F$2:$F$11)</f>
        <v>888</v>
      </c>
      <c r="D882">
        <f t="shared" si="105"/>
        <v>488</v>
      </c>
      <c r="E882">
        <f t="shared" si="106"/>
        <v>0.5495495495495496</v>
      </c>
      <c r="F882">
        <f t="shared" si="107"/>
        <v>260</v>
      </c>
      <c r="G882">
        <f t="shared" si="108"/>
        <v>142.88288288288288</v>
      </c>
      <c r="H882" t="str">
        <f>_xlfn.XLOOKUP(A882,Fact_Events!$D$2:$D$20,Fact_Events!$A$2:$A$20, "")</f>
        <v/>
      </c>
      <c r="I882">
        <f t="shared" si="109"/>
        <v>0</v>
      </c>
      <c r="J882" t="str">
        <f>_xlfn.XLOOKUP(H882, Fact_Events!$A$2:$A$20, Fact_Events!$F$2:$F$20, "")</f>
        <v/>
      </c>
      <c r="K882" t="str">
        <f t="shared" si="110"/>
        <v>Low</v>
      </c>
      <c r="L882">
        <f t="shared" si="111"/>
        <v>0.55000000000000004</v>
      </c>
      <c r="M882">
        <f>_xlfn.XLOOKUP(B882, Dim_Hotel!$A$2:$A$11, Dim_Hotel!$I$2:$I$11)
 + (IF(J882="",0,J882)
    * _xlfn.XLOOKUP(B882, Dim_Hotel!$A$2:$A$11, Dim_Hotel!$J$2:$J$11))</f>
        <v>260</v>
      </c>
    </row>
    <row r="883" spans="1:13" x14ac:dyDescent="0.25">
      <c r="A883" s="1">
        <f t="shared" si="104"/>
        <v>46111</v>
      </c>
      <c r="B883" t="str" cm="1">
        <f t="array" ref="B883">INDEX(HotelList,MOD(ROW()-2,10)+1)</f>
        <v>H002</v>
      </c>
      <c r="C883">
        <f>_xlfn.XLOOKUP(B883,Dim_Hotel!$A$2:$A$11,Dim_Hotel!$F$2:$F$11)</f>
        <v>147</v>
      </c>
      <c r="D883">
        <f t="shared" si="105"/>
        <v>81</v>
      </c>
      <c r="E883">
        <f t="shared" si="106"/>
        <v>0.55102040816326525</v>
      </c>
      <c r="F883">
        <f t="shared" si="107"/>
        <v>175</v>
      </c>
      <c r="G883">
        <f t="shared" si="108"/>
        <v>96.428571428571416</v>
      </c>
      <c r="H883" t="str">
        <f>_xlfn.XLOOKUP(A883,Fact_Events!$D$2:$D$20,Fact_Events!$A$2:$A$20, "")</f>
        <v/>
      </c>
      <c r="I883">
        <f t="shared" si="109"/>
        <v>0</v>
      </c>
      <c r="J883" t="str">
        <f>_xlfn.XLOOKUP(H883, Fact_Events!$A$2:$A$20, Fact_Events!$F$2:$F$20, "")</f>
        <v/>
      </c>
      <c r="K883" t="str">
        <f t="shared" si="110"/>
        <v>Low</v>
      </c>
      <c r="L883">
        <f t="shared" si="111"/>
        <v>0.55000000000000004</v>
      </c>
      <c r="M883">
        <f>_xlfn.XLOOKUP(B883, Dim_Hotel!$A$2:$A$11, Dim_Hotel!$I$2:$I$11)
 + (IF(J883="",0,J883)
    * _xlfn.XLOOKUP(B883, Dim_Hotel!$A$2:$A$11, Dim_Hotel!$J$2:$J$11))</f>
        <v>175</v>
      </c>
    </row>
    <row r="884" spans="1:13" x14ac:dyDescent="0.25">
      <c r="A884" s="1">
        <f t="shared" si="104"/>
        <v>46111</v>
      </c>
      <c r="B884" t="str" cm="1">
        <f t="array" ref="B884">INDEX(HotelList,MOD(ROW()-2,10)+1)</f>
        <v>H003</v>
      </c>
      <c r="C884">
        <f>_xlfn.XLOOKUP(B884,Dim_Hotel!$A$2:$A$11,Dim_Hotel!$F$2:$F$11)</f>
        <v>121</v>
      </c>
      <c r="D884">
        <f t="shared" si="105"/>
        <v>67</v>
      </c>
      <c r="E884">
        <f t="shared" si="106"/>
        <v>0.55371900826446285</v>
      </c>
      <c r="F884">
        <f t="shared" si="107"/>
        <v>145</v>
      </c>
      <c r="G884">
        <f t="shared" si="108"/>
        <v>80.289256198347118</v>
      </c>
      <c r="H884" t="str">
        <f>_xlfn.XLOOKUP(A884,Fact_Events!$D$2:$D$20,Fact_Events!$A$2:$A$20, "")</f>
        <v/>
      </c>
      <c r="I884">
        <f t="shared" si="109"/>
        <v>0</v>
      </c>
      <c r="J884" t="str">
        <f>_xlfn.XLOOKUP(H884, Fact_Events!$A$2:$A$20, Fact_Events!$F$2:$F$20, "")</f>
        <v/>
      </c>
      <c r="K884" t="str">
        <f t="shared" si="110"/>
        <v>Low</v>
      </c>
      <c r="L884">
        <f t="shared" si="111"/>
        <v>0.55000000000000004</v>
      </c>
      <c r="M884">
        <f>_xlfn.XLOOKUP(B884, Dim_Hotel!$A$2:$A$11, Dim_Hotel!$I$2:$I$11)
 + (IF(J884="",0,J884)
    * _xlfn.XLOOKUP(B884, Dim_Hotel!$A$2:$A$11, Dim_Hotel!$J$2:$J$11))</f>
        <v>145</v>
      </c>
    </row>
    <row r="885" spans="1:13" x14ac:dyDescent="0.25">
      <c r="A885" s="1">
        <f t="shared" si="104"/>
        <v>46111</v>
      </c>
      <c r="B885" t="str" cm="1">
        <f t="array" ref="B885">INDEX(HotelList,MOD(ROW()-2,10)+1)</f>
        <v>H004</v>
      </c>
      <c r="C885">
        <f>_xlfn.XLOOKUP(B885,Dim_Hotel!$A$2:$A$11,Dim_Hotel!$F$2:$F$11)</f>
        <v>108</v>
      </c>
      <c r="D885">
        <f t="shared" si="105"/>
        <v>59</v>
      </c>
      <c r="E885">
        <f t="shared" si="106"/>
        <v>0.54629629629629628</v>
      </c>
      <c r="F885">
        <f t="shared" si="107"/>
        <v>135</v>
      </c>
      <c r="G885">
        <f t="shared" si="108"/>
        <v>73.75</v>
      </c>
      <c r="H885" t="str">
        <f>_xlfn.XLOOKUP(A885,Fact_Events!$D$2:$D$20,Fact_Events!$A$2:$A$20, "")</f>
        <v/>
      </c>
      <c r="I885">
        <f t="shared" si="109"/>
        <v>0</v>
      </c>
      <c r="J885" t="str">
        <f>_xlfn.XLOOKUP(H885, Fact_Events!$A$2:$A$20, Fact_Events!$F$2:$F$20, "")</f>
        <v/>
      </c>
      <c r="K885" t="str">
        <f t="shared" si="110"/>
        <v>Low</v>
      </c>
      <c r="L885">
        <f t="shared" si="111"/>
        <v>0.55000000000000004</v>
      </c>
      <c r="M885">
        <f>_xlfn.XLOOKUP(B885, Dim_Hotel!$A$2:$A$11, Dim_Hotel!$I$2:$I$11)
 + (IF(J885="",0,J885)
    * _xlfn.XLOOKUP(B885, Dim_Hotel!$A$2:$A$11, Dim_Hotel!$J$2:$J$11))</f>
        <v>135</v>
      </c>
    </row>
    <row r="886" spans="1:13" x14ac:dyDescent="0.25">
      <c r="A886" s="1">
        <f t="shared" si="104"/>
        <v>46111</v>
      </c>
      <c r="B886" t="str" cm="1">
        <f t="array" ref="B886">INDEX(HotelList,MOD(ROW()-2,10)+1)</f>
        <v>H005</v>
      </c>
      <c r="C886">
        <f>_xlfn.XLOOKUP(B886,Dim_Hotel!$A$2:$A$11,Dim_Hotel!$F$2:$F$11)</f>
        <v>66</v>
      </c>
      <c r="D886">
        <f t="shared" si="105"/>
        <v>36</v>
      </c>
      <c r="E886">
        <f t="shared" si="106"/>
        <v>0.54545454545454541</v>
      </c>
      <c r="F886">
        <f t="shared" si="107"/>
        <v>82</v>
      </c>
      <c r="G886">
        <f t="shared" si="108"/>
        <v>44.727272727272727</v>
      </c>
      <c r="H886" t="str">
        <f>_xlfn.XLOOKUP(A886,Fact_Events!$D$2:$D$20,Fact_Events!$A$2:$A$20, "")</f>
        <v/>
      </c>
      <c r="I886">
        <f t="shared" si="109"/>
        <v>0</v>
      </c>
      <c r="J886" t="str">
        <f>_xlfn.XLOOKUP(H886, Fact_Events!$A$2:$A$20, Fact_Events!$F$2:$F$20, "")</f>
        <v/>
      </c>
      <c r="K886" t="str">
        <f t="shared" si="110"/>
        <v>Low</v>
      </c>
      <c r="L886">
        <f t="shared" si="111"/>
        <v>0.55000000000000004</v>
      </c>
      <c r="M886">
        <f>_xlfn.XLOOKUP(B886, Dim_Hotel!$A$2:$A$11, Dim_Hotel!$I$2:$I$11)
 + (IF(J886="",0,J886)
    * _xlfn.XLOOKUP(B886, Dim_Hotel!$A$2:$A$11, Dim_Hotel!$J$2:$J$11))</f>
        <v>82</v>
      </c>
    </row>
    <row r="887" spans="1:13" x14ac:dyDescent="0.25">
      <c r="A887" s="1">
        <f t="shared" si="104"/>
        <v>46111</v>
      </c>
      <c r="B887" t="str" cm="1">
        <f t="array" ref="B887">INDEX(HotelList,MOD(ROW()-2,10)+1)</f>
        <v>H006</v>
      </c>
      <c r="C887">
        <f>_xlfn.XLOOKUP(B887,Dim_Hotel!$A$2:$A$11,Dim_Hotel!$F$2:$F$11)</f>
        <v>311</v>
      </c>
      <c r="D887">
        <f t="shared" si="105"/>
        <v>171</v>
      </c>
      <c r="E887">
        <f t="shared" si="106"/>
        <v>0.54983922829581988</v>
      </c>
      <c r="F887">
        <f t="shared" si="107"/>
        <v>190</v>
      </c>
      <c r="G887">
        <f t="shared" si="108"/>
        <v>104.46945337620578</v>
      </c>
      <c r="H887" t="str">
        <f>_xlfn.XLOOKUP(A887,Fact_Events!$D$2:$D$20,Fact_Events!$A$2:$A$20, "")</f>
        <v/>
      </c>
      <c r="I887">
        <f t="shared" si="109"/>
        <v>0</v>
      </c>
      <c r="J887" t="str">
        <f>_xlfn.XLOOKUP(H887, Fact_Events!$A$2:$A$20, Fact_Events!$F$2:$F$20, "")</f>
        <v/>
      </c>
      <c r="K887" t="str">
        <f t="shared" si="110"/>
        <v>Low</v>
      </c>
      <c r="L887">
        <f t="shared" si="111"/>
        <v>0.55000000000000004</v>
      </c>
      <c r="M887">
        <f>_xlfn.XLOOKUP(B887, Dim_Hotel!$A$2:$A$11, Dim_Hotel!$I$2:$I$11)
 + (IF(J887="",0,J887)
    * _xlfn.XLOOKUP(B887, Dim_Hotel!$A$2:$A$11, Dim_Hotel!$J$2:$J$11))</f>
        <v>190</v>
      </c>
    </row>
    <row r="888" spans="1:13" x14ac:dyDescent="0.25">
      <c r="A888" s="1">
        <f t="shared" si="104"/>
        <v>46111</v>
      </c>
      <c r="B888" t="str" cm="1">
        <f t="array" ref="B888">INDEX(HotelList,MOD(ROW()-2,10)+1)</f>
        <v>H007</v>
      </c>
      <c r="C888">
        <f>_xlfn.XLOOKUP(B888,Dim_Hotel!$A$2:$A$11,Dim_Hotel!$F$2:$F$11)</f>
        <v>132</v>
      </c>
      <c r="D888">
        <f t="shared" si="105"/>
        <v>73</v>
      </c>
      <c r="E888">
        <f t="shared" si="106"/>
        <v>0.55303030303030298</v>
      </c>
      <c r="F888">
        <f t="shared" si="107"/>
        <v>165</v>
      </c>
      <c r="G888">
        <f t="shared" si="108"/>
        <v>91.249999999999986</v>
      </c>
      <c r="H888" t="str">
        <f>_xlfn.XLOOKUP(A888,Fact_Events!$D$2:$D$20,Fact_Events!$A$2:$A$20, "")</f>
        <v/>
      </c>
      <c r="I888">
        <f t="shared" si="109"/>
        <v>0</v>
      </c>
      <c r="J888" t="str">
        <f>_xlfn.XLOOKUP(H888, Fact_Events!$A$2:$A$20, Fact_Events!$F$2:$F$20, "")</f>
        <v/>
      </c>
      <c r="K888" t="str">
        <f t="shared" si="110"/>
        <v>Low</v>
      </c>
      <c r="L888">
        <f t="shared" si="111"/>
        <v>0.55000000000000004</v>
      </c>
      <c r="M888">
        <f>_xlfn.XLOOKUP(B888, Dim_Hotel!$A$2:$A$11, Dim_Hotel!$I$2:$I$11)
 + (IF(J888="",0,J888)
    * _xlfn.XLOOKUP(B888, Dim_Hotel!$A$2:$A$11, Dim_Hotel!$J$2:$J$11))</f>
        <v>165</v>
      </c>
    </row>
    <row r="889" spans="1:13" x14ac:dyDescent="0.25">
      <c r="A889" s="1">
        <f t="shared" si="104"/>
        <v>46111</v>
      </c>
      <c r="B889" t="str" cm="1">
        <f t="array" ref="B889">INDEX(HotelList,MOD(ROW()-2,10)+1)</f>
        <v>H008</v>
      </c>
      <c r="C889">
        <f>_xlfn.XLOOKUP(B889,Dim_Hotel!$A$2:$A$11,Dim_Hotel!$F$2:$F$11)</f>
        <v>103</v>
      </c>
      <c r="D889">
        <f t="shared" si="105"/>
        <v>57</v>
      </c>
      <c r="E889">
        <f t="shared" si="106"/>
        <v>0.55339805825242716</v>
      </c>
      <c r="F889">
        <f t="shared" si="107"/>
        <v>140</v>
      </c>
      <c r="G889">
        <f t="shared" si="108"/>
        <v>77.475728155339809</v>
      </c>
      <c r="H889" t="str">
        <f>_xlfn.XLOOKUP(A889,Fact_Events!$D$2:$D$20,Fact_Events!$A$2:$A$20, "")</f>
        <v/>
      </c>
      <c r="I889">
        <f t="shared" si="109"/>
        <v>0</v>
      </c>
      <c r="J889" t="str">
        <f>_xlfn.XLOOKUP(H889, Fact_Events!$A$2:$A$20, Fact_Events!$F$2:$F$20, "")</f>
        <v/>
      </c>
      <c r="K889" t="str">
        <f t="shared" si="110"/>
        <v>Low</v>
      </c>
      <c r="L889">
        <f t="shared" si="111"/>
        <v>0.55000000000000004</v>
      </c>
      <c r="M889">
        <f>_xlfn.XLOOKUP(B889, Dim_Hotel!$A$2:$A$11, Dim_Hotel!$I$2:$I$11)
 + (IF(J889="",0,J889)
    * _xlfn.XLOOKUP(B889, Dim_Hotel!$A$2:$A$11, Dim_Hotel!$J$2:$J$11))</f>
        <v>140</v>
      </c>
    </row>
    <row r="890" spans="1:13" x14ac:dyDescent="0.25">
      <c r="A890" s="1">
        <f t="shared" si="104"/>
        <v>46111</v>
      </c>
      <c r="B890" t="str" cm="1">
        <f t="array" ref="B890">INDEX(HotelList,MOD(ROW()-2,10)+1)</f>
        <v>H009</v>
      </c>
      <c r="C890">
        <f>_xlfn.XLOOKUP(B890,Dim_Hotel!$A$2:$A$11,Dim_Hotel!$F$2:$F$11)</f>
        <v>114</v>
      </c>
      <c r="D890">
        <f t="shared" si="105"/>
        <v>63</v>
      </c>
      <c r="E890">
        <f t="shared" si="106"/>
        <v>0.55263157894736847</v>
      </c>
      <c r="F890">
        <f t="shared" si="107"/>
        <v>185</v>
      </c>
      <c r="G890">
        <f t="shared" si="108"/>
        <v>102.23684210526316</v>
      </c>
      <c r="H890" t="str">
        <f>_xlfn.XLOOKUP(A890,Fact_Events!$D$2:$D$20,Fact_Events!$A$2:$A$20, "")</f>
        <v/>
      </c>
      <c r="I890">
        <f t="shared" si="109"/>
        <v>0</v>
      </c>
      <c r="J890" t="str">
        <f>_xlfn.XLOOKUP(H890, Fact_Events!$A$2:$A$20, Fact_Events!$F$2:$F$20, "")</f>
        <v/>
      </c>
      <c r="K890" t="str">
        <f t="shared" si="110"/>
        <v>Low</v>
      </c>
      <c r="L890">
        <f t="shared" si="111"/>
        <v>0.55000000000000004</v>
      </c>
      <c r="M890">
        <f>_xlfn.XLOOKUP(B890, Dim_Hotel!$A$2:$A$11, Dim_Hotel!$I$2:$I$11)
 + (IF(J890="",0,J890)
    * _xlfn.XLOOKUP(B890, Dim_Hotel!$A$2:$A$11, Dim_Hotel!$J$2:$J$11))</f>
        <v>185</v>
      </c>
    </row>
    <row r="891" spans="1:13" x14ac:dyDescent="0.25">
      <c r="A891" s="1">
        <f t="shared" si="104"/>
        <v>46111</v>
      </c>
      <c r="B891" t="str" cm="1">
        <f t="array" ref="B891">INDEX(HotelList,MOD(ROW()-2,10)+1)</f>
        <v>H010</v>
      </c>
      <c r="C891">
        <f>_xlfn.XLOOKUP(B891,Dim_Hotel!$A$2:$A$11,Dim_Hotel!$F$2:$F$11)</f>
        <v>89</v>
      </c>
      <c r="D891">
        <f t="shared" si="105"/>
        <v>49</v>
      </c>
      <c r="E891">
        <f t="shared" si="106"/>
        <v>0.550561797752809</v>
      </c>
      <c r="F891">
        <f t="shared" si="107"/>
        <v>150</v>
      </c>
      <c r="G891">
        <f t="shared" si="108"/>
        <v>82.584269662921344</v>
      </c>
      <c r="H891" t="str">
        <f>_xlfn.XLOOKUP(A891,Fact_Events!$D$2:$D$20,Fact_Events!$A$2:$A$20, "")</f>
        <v/>
      </c>
      <c r="I891">
        <f t="shared" si="109"/>
        <v>0</v>
      </c>
      <c r="J891" t="str">
        <f>_xlfn.XLOOKUP(H891, Fact_Events!$A$2:$A$20, Fact_Events!$F$2:$F$20, "")</f>
        <v/>
      </c>
      <c r="K891" t="str">
        <f t="shared" si="110"/>
        <v>Low</v>
      </c>
      <c r="L891">
        <f t="shared" si="111"/>
        <v>0.55000000000000004</v>
      </c>
      <c r="M891">
        <f>_xlfn.XLOOKUP(B891, Dim_Hotel!$A$2:$A$11, Dim_Hotel!$I$2:$I$11)
 + (IF(J891="",0,J891)
    * _xlfn.XLOOKUP(B891, Dim_Hotel!$A$2:$A$11, Dim_Hotel!$J$2:$J$11))</f>
        <v>150</v>
      </c>
    </row>
    <row r="892" spans="1:13" x14ac:dyDescent="0.25">
      <c r="A892" s="1">
        <f t="shared" si="104"/>
        <v>46112</v>
      </c>
      <c r="B892" t="str" cm="1">
        <f t="array" ref="B892">INDEX(HotelList,MOD(ROW()-2,10)+1)</f>
        <v>H001</v>
      </c>
      <c r="C892">
        <f>_xlfn.XLOOKUP(B892,Dim_Hotel!$A$2:$A$11,Dim_Hotel!$F$2:$F$11)</f>
        <v>888</v>
      </c>
      <c r="D892">
        <f t="shared" si="105"/>
        <v>488</v>
      </c>
      <c r="E892">
        <f t="shared" si="106"/>
        <v>0.5495495495495496</v>
      </c>
      <c r="F892">
        <f t="shared" si="107"/>
        <v>260</v>
      </c>
      <c r="G892">
        <f t="shared" si="108"/>
        <v>142.88288288288288</v>
      </c>
      <c r="H892" t="str">
        <f>_xlfn.XLOOKUP(A892,Fact_Events!$D$2:$D$20,Fact_Events!$A$2:$A$20, "")</f>
        <v/>
      </c>
      <c r="I892">
        <f t="shared" si="109"/>
        <v>0</v>
      </c>
      <c r="J892" t="str">
        <f>_xlfn.XLOOKUP(H892, Fact_Events!$A$2:$A$20, Fact_Events!$F$2:$F$20, "")</f>
        <v/>
      </c>
      <c r="K892" t="str">
        <f t="shared" si="110"/>
        <v>Low</v>
      </c>
      <c r="L892">
        <f t="shared" si="111"/>
        <v>0.55000000000000004</v>
      </c>
      <c r="M892">
        <f>_xlfn.XLOOKUP(B892, Dim_Hotel!$A$2:$A$11, Dim_Hotel!$I$2:$I$11)
 + (IF(J892="",0,J892)
    * _xlfn.XLOOKUP(B892, Dim_Hotel!$A$2:$A$11, Dim_Hotel!$J$2:$J$11))</f>
        <v>260</v>
      </c>
    </row>
    <row r="893" spans="1:13" x14ac:dyDescent="0.25">
      <c r="A893" s="1">
        <f t="shared" si="104"/>
        <v>46112</v>
      </c>
      <c r="B893" t="str" cm="1">
        <f t="array" ref="B893">INDEX(HotelList,MOD(ROW()-2,10)+1)</f>
        <v>H002</v>
      </c>
      <c r="C893">
        <f>_xlfn.XLOOKUP(B893,Dim_Hotel!$A$2:$A$11,Dim_Hotel!$F$2:$F$11)</f>
        <v>147</v>
      </c>
      <c r="D893">
        <f t="shared" si="105"/>
        <v>81</v>
      </c>
      <c r="E893">
        <f t="shared" si="106"/>
        <v>0.55102040816326525</v>
      </c>
      <c r="F893">
        <f t="shared" si="107"/>
        <v>175</v>
      </c>
      <c r="G893">
        <f t="shared" si="108"/>
        <v>96.428571428571416</v>
      </c>
      <c r="H893" t="str">
        <f>_xlfn.XLOOKUP(A893,Fact_Events!$D$2:$D$20,Fact_Events!$A$2:$A$20, "")</f>
        <v/>
      </c>
      <c r="I893">
        <f t="shared" si="109"/>
        <v>0</v>
      </c>
      <c r="J893" t="str">
        <f>_xlfn.XLOOKUP(H893, Fact_Events!$A$2:$A$20, Fact_Events!$F$2:$F$20, "")</f>
        <v/>
      </c>
      <c r="K893" t="str">
        <f t="shared" si="110"/>
        <v>Low</v>
      </c>
      <c r="L893">
        <f t="shared" si="111"/>
        <v>0.55000000000000004</v>
      </c>
      <c r="M893">
        <f>_xlfn.XLOOKUP(B893, Dim_Hotel!$A$2:$A$11, Dim_Hotel!$I$2:$I$11)
 + (IF(J893="",0,J893)
    * _xlfn.XLOOKUP(B893, Dim_Hotel!$A$2:$A$11, Dim_Hotel!$J$2:$J$11))</f>
        <v>175</v>
      </c>
    </row>
    <row r="894" spans="1:13" x14ac:dyDescent="0.25">
      <c r="A894" s="1">
        <f t="shared" si="104"/>
        <v>46112</v>
      </c>
      <c r="B894" t="str" cm="1">
        <f t="array" ref="B894">INDEX(HotelList,MOD(ROW()-2,10)+1)</f>
        <v>H003</v>
      </c>
      <c r="C894">
        <f>_xlfn.XLOOKUP(B894,Dim_Hotel!$A$2:$A$11,Dim_Hotel!$F$2:$F$11)</f>
        <v>121</v>
      </c>
      <c r="D894">
        <f t="shared" si="105"/>
        <v>67</v>
      </c>
      <c r="E894">
        <f t="shared" si="106"/>
        <v>0.55371900826446285</v>
      </c>
      <c r="F894">
        <f t="shared" si="107"/>
        <v>145</v>
      </c>
      <c r="G894">
        <f t="shared" si="108"/>
        <v>80.289256198347118</v>
      </c>
      <c r="H894" t="str">
        <f>_xlfn.XLOOKUP(A894,Fact_Events!$D$2:$D$20,Fact_Events!$A$2:$A$20, "")</f>
        <v/>
      </c>
      <c r="I894">
        <f t="shared" si="109"/>
        <v>0</v>
      </c>
      <c r="J894" t="str">
        <f>_xlfn.XLOOKUP(H894, Fact_Events!$A$2:$A$20, Fact_Events!$F$2:$F$20, "")</f>
        <v/>
      </c>
      <c r="K894" t="str">
        <f t="shared" si="110"/>
        <v>Low</v>
      </c>
      <c r="L894">
        <f t="shared" si="111"/>
        <v>0.55000000000000004</v>
      </c>
      <c r="M894">
        <f>_xlfn.XLOOKUP(B894, Dim_Hotel!$A$2:$A$11, Dim_Hotel!$I$2:$I$11)
 + (IF(J894="",0,J894)
    * _xlfn.XLOOKUP(B894, Dim_Hotel!$A$2:$A$11, Dim_Hotel!$J$2:$J$11))</f>
        <v>145</v>
      </c>
    </row>
    <row r="895" spans="1:13" x14ac:dyDescent="0.25">
      <c r="A895" s="1">
        <f t="shared" si="104"/>
        <v>46112</v>
      </c>
      <c r="B895" t="str" cm="1">
        <f t="array" ref="B895">INDEX(HotelList,MOD(ROW()-2,10)+1)</f>
        <v>H004</v>
      </c>
      <c r="C895">
        <f>_xlfn.XLOOKUP(B895,Dim_Hotel!$A$2:$A$11,Dim_Hotel!$F$2:$F$11)</f>
        <v>108</v>
      </c>
      <c r="D895">
        <f t="shared" si="105"/>
        <v>59</v>
      </c>
      <c r="E895">
        <f t="shared" si="106"/>
        <v>0.54629629629629628</v>
      </c>
      <c r="F895">
        <f t="shared" si="107"/>
        <v>135</v>
      </c>
      <c r="G895">
        <f t="shared" si="108"/>
        <v>73.75</v>
      </c>
      <c r="H895" t="str">
        <f>_xlfn.XLOOKUP(A895,Fact_Events!$D$2:$D$20,Fact_Events!$A$2:$A$20, "")</f>
        <v/>
      </c>
      <c r="I895">
        <f t="shared" si="109"/>
        <v>0</v>
      </c>
      <c r="J895" t="str">
        <f>_xlfn.XLOOKUP(H895, Fact_Events!$A$2:$A$20, Fact_Events!$F$2:$F$20, "")</f>
        <v/>
      </c>
      <c r="K895" t="str">
        <f t="shared" si="110"/>
        <v>Low</v>
      </c>
      <c r="L895">
        <f t="shared" si="111"/>
        <v>0.55000000000000004</v>
      </c>
      <c r="M895">
        <f>_xlfn.XLOOKUP(B895, Dim_Hotel!$A$2:$A$11, Dim_Hotel!$I$2:$I$11)
 + (IF(J895="",0,J895)
    * _xlfn.XLOOKUP(B895, Dim_Hotel!$A$2:$A$11, Dim_Hotel!$J$2:$J$11))</f>
        <v>135</v>
      </c>
    </row>
    <row r="896" spans="1:13" x14ac:dyDescent="0.25">
      <c r="A896" s="1">
        <f t="shared" si="104"/>
        <v>46112</v>
      </c>
      <c r="B896" t="str" cm="1">
        <f t="array" ref="B896">INDEX(HotelList,MOD(ROW()-2,10)+1)</f>
        <v>H005</v>
      </c>
      <c r="C896">
        <f>_xlfn.XLOOKUP(B896,Dim_Hotel!$A$2:$A$11,Dim_Hotel!$F$2:$F$11)</f>
        <v>66</v>
      </c>
      <c r="D896">
        <f t="shared" si="105"/>
        <v>36</v>
      </c>
      <c r="E896">
        <f t="shared" si="106"/>
        <v>0.54545454545454541</v>
      </c>
      <c r="F896">
        <f t="shared" si="107"/>
        <v>82</v>
      </c>
      <c r="G896">
        <f t="shared" si="108"/>
        <v>44.727272727272727</v>
      </c>
      <c r="H896" t="str">
        <f>_xlfn.XLOOKUP(A896,Fact_Events!$D$2:$D$20,Fact_Events!$A$2:$A$20, "")</f>
        <v/>
      </c>
      <c r="I896">
        <f t="shared" si="109"/>
        <v>0</v>
      </c>
      <c r="J896" t="str">
        <f>_xlfn.XLOOKUP(H896, Fact_Events!$A$2:$A$20, Fact_Events!$F$2:$F$20, "")</f>
        <v/>
      </c>
      <c r="K896" t="str">
        <f t="shared" si="110"/>
        <v>Low</v>
      </c>
      <c r="L896">
        <f t="shared" si="111"/>
        <v>0.55000000000000004</v>
      </c>
      <c r="M896">
        <f>_xlfn.XLOOKUP(B896, Dim_Hotel!$A$2:$A$11, Dim_Hotel!$I$2:$I$11)
 + (IF(J896="",0,J896)
    * _xlfn.XLOOKUP(B896, Dim_Hotel!$A$2:$A$11, Dim_Hotel!$J$2:$J$11))</f>
        <v>82</v>
      </c>
    </row>
    <row r="897" spans="1:13" x14ac:dyDescent="0.25">
      <c r="A897" s="1">
        <f t="shared" si="104"/>
        <v>46112</v>
      </c>
      <c r="B897" t="str" cm="1">
        <f t="array" ref="B897">INDEX(HotelList,MOD(ROW()-2,10)+1)</f>
        <v>H006</v>
      </c>
      <c r="C897">
        <f>_xlfn.XLOOKUP(B897,Dim_Hotel!$A$2:$A$11,Dim_Hotel!$F$2:$F$11)</f>
        <v>311</v>
      </c>
      <c r="D897">
        <f t="shared" si="105"/>
        <v>171</v>
      </c>
      <c r="E897">
        <f t="shared" si="106"/>
        <v>0.54983922829581988</v>
      </c>
      <c r="F897">
        <f t="shared" si="107"/>
        <v>190</v>
      </c>
      <c r="G897">
        <f t="shared" si="108"/>
        <v>104.46945337620578</v>
      </c>
      <c r="H897" t="str">
        <f>_xlfn.XLOOKUP(A897,Fact_Events!$D$2:$D$20,Fact_Events!$A$2:$A$20, "")</f>
        <v/>
      </c>
      <c r="I897">
        <f t="shared" si="109"/>
        <v>0</v>
      </c>
      <c r="J897" t="str">
        <f>_xlfn.XLOOKUP(H897, Fact_Events!$A$2:$A$20, Fact_Events!$F$2:$F$20, "")</f>
        <v/>
      </c>
      <c r="K897" t="str">
        <f t="shared" si="110"/>
        <v>Low</v>
      </c>
      <c r="L897">
        <f t="shared" si="111"/>
        <v>0.55000000000000004</v>
      </c>
      <c r="M897">
        <f>_xlfn.XLOOKUP(B897, Dim_Hotel!$A$2:$A$11, Dim_Hotel!$I$2:$I$11)
 + (IF(J897="",0,J897)
    * _xlfn.XLOOKUP(B897, Dim_Hotel!$A$2:$A$11, Dim_Hotel!$J$2:$J$11))</f>
        <v>190</v>
      </c>
    </row>
    <row r="898" spans="1:13" x14ac:dyDescent="0.25">
      <c r="A898" s="1">
        <f t="shared" si="104"/>
        <v>46112</v>
      </c>
      <c r="B898" t="str" cm="1">
        <f t="array" ref="B898">INDEX(HotelList,MOD(ROW()-2,10)+1)</f>
        <v>H007</v>
      </c>
      <c r="C898">
        <f>_xlfn.XLOOKUP(B898,Dim_Hotel!$A$2:$A$11,Dim_Hotel!$F$2:$F$11)</f>
        <v>132</v>
      </c>
      <c r="D898">
        <f t="shared" si="105"/>
        <v>73</v>
      </c>
      <c r="E898">
        <f t="shared" si="106"/>
        <v>0.55303030303030298</v>
      </c>
      <c r="F898">
        <f t="shared" si="107"/>
        <v>165</v>
      </c>
      <c r="G898">
        <f t="shared" si="108"/>
        <v>91.249999999999986</v>
      </c>
      <c r="H898" t="str">
        <f>_xlfn.XLOOKUP(A898,Fact_Events!$D$2:$D$20,Fact_Events!$A$2:$A$20, "")</f>
        <v/>
      </c>
      <c r="I898">
        <f t="shared" si="109"/>
        <v>0</v>
      </c>
      <c r="J898" t="str">
        <f>_xlfn.XLOOKUP(H898, Fact_Events!$A$2:$A$20, Fact_Events!$F$2:$F$20, "")</f>
        <v/>
      </c>
      <c r="K898" t="str">
        <f t="shared" si="110"/>
        <v>Low</v>
      </c>
      <c r="L898">
        <f t="shared" si="111"/>
        <v>0.55000000000000004</v>
      </c>
      <c r="M898">
        <f>_xlfn.XLOOKUP(B898, Dim_Hotel!$A$2:$A$11, Dim_Hotel!$I$2:$I$11)
 + (IF(J898="",0,J898)
    * _xlfn.XLOOKUP(B898, Dim_Hotel!$A$2:$A$11, Dim_Hotel!$J$2:$J$11))</f>
        <v>165</v>
      </c>
    </row>
    <row r="899" spans="1:13" x14ac:dyDescent="0.25">
      <c r="A899" s="1">
        <f t="shared" ref="A899:A962" si="112">DATE(2026,1,1) + INT((ROW()-2)/10)</f>
        <v>46112</v>
      </c>
      <c r="B899" t="str" cm="1">
        <f t="array" ref="B899">INDEX(HotelList,MOD(ROW()-2,10)+1)</f>
        <v>H008</v>
      </c>
      <c r="C899">
        <f>_xlfn.XLOOKUP(B899,Dim_Hotel!$A$2:$A$11,Dim_Hotel!$F$2:$F$11)</f>
        <v>103</v>
      </c>
      <c r="D899">
        <f t="shared" ref="D899:D962" si="113">ROUND(L899 * C899, 0)</f>
        <v>57</v>
      </c>
      <c r="E899">
        <f t="shared" ref="E899:E962" si="114">D899/C899</f>
        <v>0.55339805825242716</v>
      </c>
      <c r="F899">
        <f t="shared" ref="F899:F962" si="115">M899</f>
        <v>140</v>
      </c>
      <c r="G899">
        <f t="shared" ref="G899:G962" si="116">E899*F899</f>
        <v>77.475728155339809</v>
      </c>
      <c r="H899" t="str">
        <f>_xlfn.XLOOKUP(A899,Fact_Events!$D$2:$D$20,Fact_Events!$A$2:$A$20, "")</f>
        <v/>
      </c>
      <c r="I899">
        <f t="shared" ref="I899:I962" si="117">IF(H899="",0,1)</f>
        <v>0</v>
      </c>
      <c r="J899" t="str">
        <f>_xlfn.XLOOKUP(H899, Fact_Events!$A$2:$A$20, Fact_Events!$F$2:$F$20, "")</f>
        <v/>
      </c>
      <c r="K899" t="str">
        <f t="shared" ref="K899:K962" si="118">IF(I899=0,"Low",
   IF(J899&gt;=9,"High","Medium"))</f>
        <v>Low</v>
      </c>
      <c r="L899">
        <f t="shared" ref="L899:L962" si="119">MIN(1,
  0.55
  + (I899 * 0.25)
  + (IF(J899="",0,J899) / 100)
)</f>
        <v>0.55000000000000004</v>
      </c>
      <c r="M899">
        <f>_xlfn.XLOOKUP(B899, Dim_Hotel!$A$2:$A$11, Dim_Hotel!$I$2:$I$11)
 + (IF(J899="",0,J899)
    * _xlfn.XLOOKUP(B899, Dim_Hotel!$A$2:$A$11, Dim_Hotel!$J$2:$J$11))</f>
        <v>140</v>
      </c>
    </row>
    <row r="900" spans="1:13" x14ac:dyDescent="0.25">
      <c r="A900" s="1">
        <f t="shared" si="112"/>
        <v>46112</v>
      </c>
      <c r="B900" t="str" cm="1">
        <f t="array" ref="B900">INDEX(HotelList,MOD(ROW()-2,10)+1)</f>
        <v>H009</v>
      </c>
      <c r="C900">
        <f>_xlfn.XLOOKUP(B900,Dim_Hotel!$A$2:$A$11,Dim_Hotel!$F$2:$F$11)</f>
        <v>114</v>
      </c>
      <c r="D900">
        <f t="shared" si="113"/>
        <v>63</v>
      </c>
      <c r="E900">
        <f t="shared" si="114"/>
        <v>0.55263157894736847</v>
      </c>
      <c r="F900">
        <f t="shared" si="115"/>
        <v>185</v>
      </c>
      <c r="G900">
        <f t="shared" si="116"/>
        <v>102.23684210526316</v>
      </c>
      <c r="H900" t="str">
        <f>_xlfn.XLOOKUP(A900,Fact_Events!$D$2:$D$20,Fact_Events!$A$2:$A$20, "")</f>
        <v/>
      </c>
      <c r="I900">
        <f t="shared" si="117"/>
        <v>0</v>
      </c>
      <c r="J900" t="str">
        <f>_xlfn.XLOOKUP(H900, Fact_Events!$A$2:$A$20, Fact_Events!$F$2:$F$20, "")</f>
        <v/>
      </c>
      <c r="K900" t="str">
        <f t="shared" si="118"/>
        <v>Low</v>
      </c>
      <c r="L900">
        <f t="shared" si="119"/>
        <v>0.55000000000000004</v>
      </c>
      <c r="M900">
        <f>_xlfn.XLOOKUP(B900, Dim_Hotel!$A$2:$A$11, Dim_Hotel!$I$2:$I$11)
 + (IF(J900="",0,J900)
    * _xlfn.XLOOKUP(B900, Dim_Hotel!$A$2:$A$11, Dim_Hotel!$J$2:$J$11))</f>
        <v>185</v>
      </c>
    </row>
    <row r="901" spans="1:13" x14ac:dyDescent="0.25">
      <c r="A901" s="1">
        <f t="shared" si="112"/>
        <v>46112</v>
      </c>
      <c r="B901" t="str" cm="1">
        <f t="array" ref="B901">INDEX(HotelList,MOD(ROW()-2,10)+1)</f>
        <v>H010</v>
      </c>
      <c r="C901">
        <f>_xlfn.XLOOKUP(B901,Dim_Hotel!$A$2:$A$11,Dim_Hotel!$F$2:$F$11)</f>
        <v>89</v>
      </c>
      <c r="D901">
        <f t="shared" si="113"/>
        <v>49</v>
      </c>
      <c r="E901">
        <f t="shared" si="114"/>
        <v>0.550561797752809</v>
      </c>
      <c r="F901">
        <f t="shared" si="115"/>
        <v>150</v>
      </c>
      <c r="G901">
        <f t="shared" si="116"/>
        <v>82.584269662921344</v>
      </c>
      <c r="H901" t="str">
        <f>_xlfn.XLOOKUP(A901,Fact_Events!$D$2:$D$20,Fact_Events!$A$2:$A$20, "")</f>
        <v/>
      </c>
      <c r="I901">
        <f t="shared" si="117"/>
        <v>0</v>
      </c>
      <c r="J901" t="str">
        <f>_xlfn.XLOOKUP(H901, Fact_Events!$A$2:$A$20, Fact_Events!$F$2:$F$20, "")</f>
        <v/>
      </c>
      <c r="K901" t="str">
        <f t="shared" si="118"/>
        <v>Low</v>
      </c>
      <c r="L901">
        <f t="shared" si="119"/>
        <v>0.55000000000000004</v>
      </c>
      <c r="M901">
        <f>_xlfn.XLOOKUP(B901, Dim_Hotel!$A$2:$A$11, Dim_Hotel!$I$2:$I$11)
 + (IF(J901="",0,J901)
    * _xlfn.XLOOKUP(B901, Dim_Hotel!$A$2:$A$11, Dim_Hotel!$J$2:$J$11))</f>
        <v>150</v>
      </c>
    </row>
    <row r="902" spans="1:13" x14ac:dyDescent="0.25">
      <c r="A902" s="1">
        <f t="shared" si="112"/>
        <v>46113</v>
      </c>
      <c r="B902" t="str" cm="1">
        <f t="array" ref="B902">INDEX(HotelList,MOD(ROW()-2,10)+1)</f>
        <v>H001</v>
      </c>
      <c r="C902">
        <f>_xlfn.XLOOKUP(B902,Dim_Hotel!$A$2:$A$11,Dim_Hotel!$F$2:$F$11)</f>
        <v>888</v>
      </c>
      <c r="D902">
        <f t="shared" si="113"/>
        <v>488</v>
      </c>
      <c r="E902">
        <f t="shared" si="114"/>
        <v>0.5495495495495496</v>
      </c>
      <c r="F902">
        <f t="shared" si="115"/>
        <v>260</v>
      </c>
      <c r="G902">
        <f t="shared" si="116"/>
        <v>142.88288288288288</v>
      </c>
      <c r="H902" t="str">
        <f>_xlfn.XLOOKUP(A902,Fact_Events!$D$2:$D$20,Fact_Events!$A$2:$A$20, "")</f>
        <v/>
      </c>
      <c r="I902">
        <f t="shared" si="117"/>
        <v>0</v>
      </c>
      <c r="J902" t="str">
        <f>_xlfn.XLOOKUP(H902, Fact_Events!$A$2:$A$20, Fact_Events!$F$2:$F$20, "")</f>
        <v/>
      </c>
      <c r="K902" t="str">
        <f t="shared" si="118"/>
        <v>Low</v>
      </c>
      <c r="L902">
        <f t="shared" si="119"/>
        <v>0.55000000000000004</v>
      </c>
      <c r="M902">
        <f>_xlfn.XLOOKUP(B902, Dim_Hotel!$A$2:$A$11, Dim_Hotel!$I$2:$I$11)
 + (IF(J902="",0,J902)
    * _xlfn.XLOOKUP(B902, Dim_Hotel!$A$2:$A$11, Dim_Hotel!$J$2:$J$11))</f>
        <v>260</v>
      </c>
    </row>
    <row r="903" spans="1:13" x14ac:dyDescent="0.25">
      <c r="A903" s="1">
        <f t="shared" si="112"/>
        <v>46113</v>
      </c>
      <c r="B903" t="str" cm="1">
        <f t="array" ref="B903">INDEX(HotelList,MOD(ROW()-2,10)+1)</f>
        <v>H002</v>
      </c>
      <c r="C903">
        <f>_xlfn.XLOOKUP(B903,Dim_Hotel!$A$2:$A$11,Dim_Hotel!$F$2:$F$11)</f>
        <v>147</v>
      </c>
      <c r="D903">
        <f t="shared" si="113"/>
        <v>81</v>
      </c>
      <c r="E903">
        <f t="shared" si="114"/>
        <v>0.55102040816326525</v>
      </c>
      <c r="F903">
        <f t="shared" si="115"/>
        <v>175</v>
      </c>
      <c r="G903">
        <f t="shared" si="116"/>
        <v>96.428571428571416</v>
      </c>
      <c r="H903" t="str">
        <f>_xlfn.XLOOKUP(A903,Fact_Events!$D$2:$D$20,Fact_Events!$A$2:$A$20, "")</f>
        <v/>
      </c>
      <c r="I903">
        <f t="shared" si="117"/>
        <v>0</v>
      </c>
      <c r="J903" t="str">
        <f>_xlfn.XLOOKUP(H903, Fact_Events!$A$2:$A$20, Fact_Events!$F$2:$F$20, "")</f>
        <v/>
      </c>
      <c r="K903" t="str">
        <f t="shared" si="118"/>
        <v>Low</v>
      </c>
      <c r="L903">
        <f t="shared" si="119"/>
        <v>0.55000000000000004</v>
      </c>
      <c r="M903">
        <f>_xlfn.XLOOKUP(B903, Dim_Hotel!$A$2:$A$11, Dim_Hotel!$I$2:$I$11)
 + (IF(J903="",0,J903)
    * _xlfn.XLOOKUP(B903, Dim_Hotel!$A$2:$A$11, Dim_Hotel!$J$2:$J$11))</f>
        <v>175</v>
      </c>
    </row>
    <row r="904" spans="1:13" x14ac:dyDescent="0.25">
      <c r="A904" s="1">
        <f t="shared" si="112"/>
        <v>46113</v>
      </c>
      <c r="B904" t="str" cm="1">
        <f t="array" ref="B904">INDEX(HotelList,MOD(ROW()-2,10)+1)</f>
        <v>H003</v>
      </c>
      <c r="C904">
        <f>_xlfn.XLOOKUP(B904,Dim_Hotel!$A$2:$A$11,Dim_Hotel!$F$2:$F$11)</f>
        <v>121</v>
      </c>
      <c r="D904">
        <f t="shared" si="113"/>
        <v>67</v>
      </c>
      <c r="E904">
        <f t="shared" si="114"/>
        <v>0.55371900826446285</v>
      </c>
      <c r="F904">
        <f t="shared" si="115"/>
        <v>145</v>
      </c>
      <c r="G904">
        <f t="shared" si="116"/>
        <v>80.289256198347118</v>
      </c>
      <c r="H904" t="str">
        <f>_xlfn.XLOOKUP(A904,Fact_Events!$D$2:$D$20,Fact_Events!$A$2:$A$20, "")</f>
        <v/>
      </c>
      <c r="I904">
        <f t="shared" si="117"/>
        <v>0</v>
      </c>
      <c r="J904" t="str">
        <f>_xlfn.XLOOKUP(H904, Fact_Events!$A$2:$A$20, Fact_Events!$F$2:$F$20, "")</f>
        <v/>
      </c>
      <c r="K904" t="str">
        <f t="shared" si="118"/>
        <v>Low</v>
      </c>
      <c r="L904">
        <f t="shared" si="119"/>
        <v>0.55000000000000004</v>
      </c>
      <c r="M904">
        <f>_xlfn.XLOOKUP(B904, Dim_Hotel!$A$2:$A$11, Dim_Hotel!$I$2:$I$11)
 + (IF(J904="",0,J904)
    * _xlfn.XLOOKUP(B904, Dim_Hotel!$A$2:$A$11, Dim_Hotel!$J$2:$J$11))</f>
        <v>145</v>
      </c>
    </row>
    <row r="905" spans="1:13" x14ac:dyDescent="0.25">
      <c r="A905" s="1">
        <f t="shared" si="112"/>
        <v>46113</v>
      </c>
      <c r="B905" t="str" cm="1">
        <f t="array" ref="B905">INDEX(HotelList,MOD(ROW()-2,10)+1)</f>
        <v>H004</v>
      </c>
      <c r="C905">
        <f>_xlfn.XLOOKUP(B905,Dim_Hotel!$A$2:$A$11,Dim_Hotel!$F$2:$F$11)</f>
        <v>108</v>
      </c>
      <c r="D905">
        <f t="shared" si="113"/>
        <v>59</v>
      </c>
      <c r="E905">
        <f t="shared" si="114"/>
        <v>0.54629629629629628</v>
      </c>
      <c r="F905">
        <f t="shared" si="115"/>
        <v>135</v>
      </c>
      <c r="G905">
        <f t="shared" si="116"/>
        <v>73.75</v>
      </c>
      <c r="H905" t="str">
        <f>_xlfn.XLOOKUP(A905,Fact_Events!$D$2:$D$20,Fact_Events!$A$2:$A$20, "")</f>
        <v/>
      </c>
      <c r="I905">
        <f t="shared" si="117"/>
        <v>0</v>
      </c>
      <c r="J905" t="str">
        <f>_xlfn.XLOOKUP(H905, Fact_Events!$A$2:$A$20, Fact_Events!$F$2:$F$20, "")</f>
        <v/>
      </c>
      <c r="K905" t="str">
        <f t="shared" si="118"/>
        <v>Low</v>
      </c>
      <c r="L905">
        <f t="shared" si="119"/>
        <v>0.55000000000000004</v>
      </c>
      <c r="M905">
        <f>_xlfn.XLOOKUP(B905, Dim_Hotel!$A$2:$A$11, Dim_Hotel!$I$2:$I$11)
 + (IF(J905="",0,J905)
    * _xlfn.XLOOKUP(B905, Dim_Hotel!$A$2:$A$11, Dim_Hotel!$J$2:$J$11))</f>
        <v>135</v>
      </c>
    </row>
    <row r="906" spans="1:13" x14ac:dyDescent="0.25">
      <c r="A906" s="1">
        <f t="shared" si="112"/>
        <v>46113</v>
      </c>
      <c r="B906" t="str" cm="1">
        <f t="array" ref="B906">INDEX(HotelList,MOD(ROW()-2,10)+1)</f>
        <v>H005</v>
      </c>
      <c r="C906">
        <f>_xlfn.XLOOKUP(B906,Dim_Hotel!$A$2:$A$11,Dim_Hotel!$F$2:$F$11)</f>
        <v>66</v>
      </c>
      <c r="D906">
        <f t="shared" si="113"/>
        <v>36</v>
      </c>
      <c r="E906">
        <f t="shared" si="114"/>
        <v>0.54545454545454541</v>
      </c>
      <c r="F906">
        <f t="shared" si="115"/>
        <v>82</v>
      </c>
      <c r="G906">
        <f t="shared" si="116"/>
        <v>44.727272727272727</v>
      </c>
      <c r="H906" t="str">
        <f>_xlfn.XLOOKUP(A906,Fact_Events!$D$2:$D$20,Fact_Events!$A$2:$A$20, "")</f>
        <v/>
      </c>
      <c r="I906">
        <f t="shared" si="117"/>
        <v>0</v>
      </c>
      <c r="J906" t="str">
        <f>_xlfn.XLOOKUP(H906, Fact_Events!$A$2:$A$20, Fact_Events!$F$2:$F$20, "")</f>
        <v/>
      </c>
      <c r="K906" t="str">
        <f t="shared" si="118"/>
        <v>Low</v>
      </c>
      <c r="L906">
        <f t="shared" si="119"/>
        <v>0.55000000000000004</v>
      </c>
      <c r="M906">
        <f>_xlfn.XLOOKUP(B906, Dim_Hotel!$A$2:$A$11, Dim_Hotel!$I$2:$I$11)
 + (IF(J906="",0,J906)
    * _xlfn.XLOOKUP(B906, Dim_Hotel!$A$2:$A$11, Dim_Hotel!$J$2:$J$11))</f>
        <v>82</v>
      </c>
    </row>
    <row r="907" spans="1:13" x14ac:dyDescent="0.25">
      <c r="A907" s="1">
        <f t="shared" si="112"/>
        <v>46113</v>
      </c>
      <c r="B907" t="str" cm="1">
        <f t="array" ref="B907">INDEX(HotelList,MOD(ROW()-2,10)+1)</f>
        <v>H006</v>
      </c>
      <c r="C907">
        <f>_xlfn.XLOOKUP(B907,Dim_Hotel!$A$2:$A$11,Dim_Hotel!$F$2:$F$11)</f>
        <v>311</v>
      </c>
      <c r="D907">
        <f t="shared" si="113"/>
        <v>171</v>
      </c>
      <c r="E907">
        <f t="shared" si="114"/>
        <v>0.54983922829581988</v>
      </c>
      <c r="F907">
        <f t="shared" si="115"/>
        <v>190</v>
      </c>
      <c r="G907">
        <f t="shared" si="116"/>
        <v>104.46945337620578</v>
      </c>
      <c r="H907" t="str">
        <f>_xlfn.XLOOKUP(A907,Fact_Events!$D$2:$D$20,Fact_Events!$A$2:$A$20, "")</f>
        <v/>
      </c>
      <c r="I907">
        <f t="shared" si="117"/>
        <v>0</v>
      </c>
      <c r="J907" t="str">
        <f>_xlfn.XLOOKUP(H907, Fact_Events!$A$2:$A$20, Fact_Events!$F$2:$F$20, "")</f>
        <v/>
      </c>
      <c r="K907" t="str">
        <f t="shared" si="118"/>
        <v>Low</v>
      </c>
      <c r="L907">
        <f t="shared" si="119"/>
        <v>0.55000000000000004</v>
      </c>
      <c r="M907">
        <f>_xlfn.XLOOKUP(B907, Dim_Hotel!$A$2:$A$11, Dim_Hotel!$I$2:$I$11)
 + (IF(J907="",0,J907)
    * _xlfn.XLOOKUP(B907, Dim_Hotel!$A$2:$A$11, Dim_Hotel!$J$2:$J$11))</f>
        <v>190</v>
      </c>
    </row>
    <row r="908" spans="1:13" x14ac:dyDescent="0.25">
      <c r="A908" s="1">
        <f t="shared" si="112"/>
        <v>46113</v>
      </c>
      <c r="B908" t="str" cm="1">
        <f t="array" ref="B908">INDEX(HotelList,MOD(ROW()-2,10)+1)</f>
        <v>H007</v>
      </c>
      <c r="C908">
        <f>_xlfn.XLOOKUP(B908,Dim_Hotel!$A$2:$A$11,Dim_Hotel!$F$2:$F$11)</f>
        <v>132</v>
      </c>
      <c r="D908">
        <f t="shared" si="113"/>
        <v>73</v>
      </c>
      <c r="E908">
        <f t="shared" si="114"/>
        <v>0.55303030303030298</v>
      </c>
      <c r="F908">
        <f t="shared" si="115"/>
        <v>165</v>
      </c>
      <c r="G908">
        <f t="shared" si="116"/>
        <v>91.249999999999986</v>
      </c>
      <c r="H908" t="str">
        <f>_xlfn.XLOOKUP(A908,Fact_Events!$D$2:$D$20,Fact_Events!$A$2:$A$20, "")</f>
        <v/>
      </c>
      <c r="I908">
        <f t="shared" si="117"/>
        <v>0</v>
      </c>
      <c r="J908" t="str">
        <f>_xlfn.XLOOKUP(H908, Fact_Events!$A$2:$A$20, Fact_Events!$F$2:$F$20, "")</f>
        <v/>
      </c>
      <c r="K908" t="str">
        <f t="shared" si="118"/>
        <v>Low</v>
      </c>
      <c r="L908">
        <f t="shared" si="119"/>
        <v>0.55000000000000004</v>
      </c>
      <c r="M908">
        <f>_xlfn.XLOOKUP(B908, Dim_Hotel!$A$2:$A$11, Dim_Hotel!$I$2:$I$11)
 + (IF(J908="",0,J908)
    * _xlfn.XLOOKUP(B908, Dim_Hotel!$A$2:$A$11, Dim_Hotel!$J$2:$J$11))</f>
        <v>165</v>
      </c>
    </row>
    <row r="909" spans="1:13" x14ac:dyDescent="0.25">
      <c r="A909" s="1">
        <f t="shared" si="112"/>
        <v>46113</v>
      </c>
      <c r="B909" t="str" cm="1">
        <f t="array" ref="B909">INDEX(HotelList,MOD(ROW()-2,10)+1)</f>
        <v>H008</v>
      </c>
      <c r="C909">
        <f>_xlfn.XLOOKUP(B909,Dim_Hotel!$A$2:$A$11,Dim_Hotel!$F$2:$F$11)</f>
        <v>103</v>
      </c>
      <c r="D909">
        <f t="shared" si="113"/>
        <v>57</v>
      </c>
      <c r="E909">
        <f t="shared" si="114"/>
        <v>0.55339805825242716</v>
      </c>
      <c r="F909">
        <f t="shared" si="115"/>
        <v>140</v>
      </c>
      <c r="G909">
        <f t="shared" si="116"/>
        <v>77.475728155339809</v>
      </c>
      <c r="H909" t="str">
        <f>_xlfn.XLOOKUP(A909,Fact_Events!$D$2:$D$20,Fact_Events!$A$2:$A$20, "")</f>
        <v/>
      </c>
      <c r="I909">
        <f t="shared" si="117"/>
        <v>0</v>
      </c>
      <c r="J909" t="str">
        <f>_xlfn.XLOOKUP(H909, Fact_Events!$A$2:$A$20, Fact_Events!$F$2:$F$20, "")</f>
        <v/>
      </c>
      <c r="K909" t="str">
        <f t="shared" si="118"/>
        <v>Low</v>
      </c>
      <c r="L909">
        <f t="shared" si="119"/>
        <v>0.55000000000000004</v>
      </c>
      <c r="M909">
        <f>_xlfn.XLOOKUP(B909, Dim_Hotel!$A$2:$A$11, Dim_Hotel!$I$2:$I$11)
 + (IF(J909="",0,J909)
    * _xlfn.XLOOKUP(B909, Dim_Hotel!$A$2:$A$11, Dim_Hotel!$J$2:$J$11))</f>
        <v>140</v>
      </c>
    </row>
    <row r="910" spans="1:13" x14ac:dyDescent="0.25">
      <c r="A910" s="1">
        <f t="shared" si="112"/>
        <v>46113</v>
      </c>
      <c r="B910" t="str" cm="1">
        <f t="array" ref="B910">INDEX(HotelList,MOD(ROW()-2,10)+1)</f>
        <v>H009</v>
      </c>
      <c r="C910">
        <f>_xlfn.XLOOKUP(B910,Dim_Hotel!$A$2:$A$11,Dim_Hotel!$F$2:$F$11)</f>
        <v>114</v>
      </c>
      <c r="D910">
        <f t="shared" si="113"/>
        <v>63</v>
      </c>
      <c r="E910">
        <f t="shared" si="114"/>
        <v>0.55263157894736847</v>
      </c>
      <c r="F910">
        <f t="shared" si="115"/>
        <v>185</v>
      </c>
      <c r="G910">
        <f t="shared" si="116"/>
        <v>102.23684210526316</v>
      </c>
      <c r="H910" t="str">
        <f>_xlfn.XLOOKUP(A910,Fact_Events!$D$2:$D$20,Fact_Events!$A$2:$A$20, "")</f>
        <v/>
      </c>
      <c r="I910">
        <f t="shared" si="117"/>
        <v>0</v>
      </c>
      <c r="J910" t="str">
        <f>_xlfn.XLOOKUP(H910, Fact_Events!$A$2:$A$20, Fact_Events!$F$2:$F$20, "")</f>
        <v/>
      </c>
      <c r="K910" t="str">
        <f t="shared" si="118"/>
        <v>Low</v>
      </c>
      <c r="L910">
        <f t="shared" si="119"/>
        <v>0.55000000000000004</v>
      </c>
      <c r="M910">
        <f>_xlfn.XLOOKUP(B910, Dim_Hotel!$A$2:$A$11, Dim_Hotel!$I$2:$I$11)
 + (IF(J910="",0,J910)
    * _xlfn.XLOOKUP(B910, Dim_Hotel!$A$2:$A$11, Dim_Hotel!$J$2:$J$11))</f>
        <v>185</v>
      </c>
    </row>
    <row r="911" spans="1:13" x14ac:dyDescent="0.25">
      <c r="A911" s="1">
        <f t="shared" si="112"/>
        <v>46113</v>
      </c>
      <c r="B911" t="str" cm="1">
        <f t="array" ref="B911">INDEX(HotelList,MOD(ROW()-2,10)+1)</f>
        <v>H010</v>
      </c>
      <c r="C911">
        <f>_xlfn.XLOOKUP(B911,Dim_Hotel!$A$2:$A$11,Dim_Hotel!$F$2:$F$11)</f>
        <v>89</v>
      </c>
      <c r="D911">
        <f t="shared" si="113"/>
        <v>49</v>
      </c>
      <c r="E911">
        <f t="shared" si="114"/>
        <v>0.550561797752809</v>
      </c>
      <c r="F911">
        <f t="shared" si="115"/>
        <v>150</v>
      </c>
      <c r="G911">
        <f t="shared" si="116"/>
        <v>82.584269662921344</v>
      </c>
      <c r="H911" t="str">
        <f>_xlfn.XLOOKUP(A911,Fact_Events!$D$2:$D$20,Fact_Events!$A$2:$A$20, "")</f>
        <v/>
      </c>
      <c r="I911">
        <f t="shared" si="117"/>
        <v>0</v>
      </c>
      <c r="J911" t="str">
        <f>_xlfn.XLOOKUP(H911, Fact_Events!$A$2:$A$20, Fact_Events!$F$2:$F$20, "")</f>
        <v/>
      </c>
      <c r="K911" t="str">
        <f t="shared" si="118"/>
        <v>Low</v>
      </c>
      <c r="L911">
        <f t="shared" si="119"/>
        <v>0.55000000000000004</v>
      </c>
      <c r="M911">
        <f>_xlfn.XLOOKUP(B911, Dim_Hotel!$A$2:$A$11, Dim_Hotel!$I$2:$I$11)
 + (IF(J911="",0,J911)
    * _xlfn.XLOOKUP(B911, Dim_Hotel!$A$2:$A$11, Dim_Hotel!$J$2:$J$11))</f>
        <v>150</v>
      </c>
    </row>
    <row r="912" spans="1:13" x14ac:dyDescent="0.25">
      <c r="A912" s="1">
        <f t="shared" si="112"/>
        <v>46114</v>
      </c>
      <c r="B912" t="str" cm="1">
        <f t="array" ref="B912">INDEX(HotelList,MOD(ROW()-2,10)+1)</f>
        <v>H001</v>
      </c>
      <c r="C912">
        <f>_xlfn.XLOOKUP(B912,Dim_Hotel!$A$2:$A$11,Dim_Hotel!$F$2:$F$11)</f>
        <v>888</v>
      </c>
      <c r="D912">
        <f t="shared" si="113"/>
        <v>488</v>
      </c>
      <c r="E912">
        <f t="shared" si="114"/>
        <v>0.5495495495495496</v>
      </c>
      <c r="F912">
        <f t="shared" si="115"/>
        <v>260</v>
      </c>
      <c r="G912">
        <f t="shared" si="116"/>
        <v>142.88288288288288</v>
      </c>
      <c r="H912" t="str">
        <f>_xlfn.XLOOKUP(A912,Fact_Events!$D$2:$D$20,Fact_Events!$A$2:$A$20, "")</f>
        <v/>
      </c>
      <c r="I912">
        <f t="shared" si="117"/>
        <v>0</v>
      </c>
      <c r="J912" t="str">
        <f>_xlfn.XLOOKUP(H912, Fact_Events!$A$2:$A$20, Fact_Events!$F$2:$F$20, "")</f>
        <v/>
      </c>
      <c r="K912" t="str">
        <f t="shared" si="118"/>
        <v>Low</v>
      </c>
      <c r="L912">
        <f t="shared" si="119"/>
        <v>0.55000000000000004</v>
      </c>
      <c r="M912">
        <f>_xlfn.XLOOKUP(B912, Dim_Hotel!$A$2:$A$11, Dim_Hotel!$I$2:$I$11)
 + (IF(J912="",0,J912)
    * _xlfn.XLOOKUP(B912, Dim_Hotel!$A$2:$A$11, Dim_Hotel!$J$2:$J$11))</f>
        <v>260</v>
      </c>
    </row>
    <row r="913" spans="1:13" x14ac:dyDescent="0.25">
      <c r="A913" s="1">
        <f t="shared" si="112"/>
        <v>46114</v>
      </c>
      <c r="B913" t="str" cm="1">
        <f t="array" ref="B913">INDEX(HotelList,MOD(ROW()-2,10)+1)</f>
        <v>H002</v>
      </c>
      <c r="C913">
        <f>_xlfn.XLOOKUP(B913,Dim_Hotel!$A$2:$A$11,Dim_Hotel!$F$2:$F$11)</f>
        <v>147</v>
      </c>
      <c r="D913">
        <f t="shared" si="113"/>
        <v>81</v>
      </c>
      <c r="E913">
        <f t="shared" si="114"/>
        <v>0.55102040816326525</v>
      </c>
      <c r="F913">
        <f t="shared" si="115"/>
        <v>175</v>
      </c>
      <c r="G913">
        <f t="shared" si="116"/>
        <v>96.428571428571416</v>
      </c>
      <c r="H913" t="str">
        <f>_xlfn.XLOOKUP(A913,Fact_Events!$D$2:$D$20,Fact_Events!$A$2:$A$20, "")</f>
        <v/>
      </c>
      <c r="I913">
        <f t="shared" si="117"/>
        <v>0</v>
      </c>
      <c r="J913" t="str">
        <f>_xlfn.XLOOKUP(H913, Fact_Events!$A$2:$A$20, Fact_Events!$F$2:$F$20, "")</f>
        <v/>
      </c>
      <c r="K913" t="str">
        <f t="shared" si="118"/>
        <v>Low</v>
      </c>
      <c r="L913">
        <f t="shared" si="119"/>
        <v>0.55000000000000004</v>
      </c>
      <c r="M913">
        <f>_xlfn.XLOOKUP(B913, Dim_Hotel!$A$2:$A$11, Dim_Hotel!$I$2:$I$11)
 + (IF(J913="",0,J913)
    * _xlfn.XLOOKUP(B913, Dim_Hotel!$A$2:$A$11, Dim_Hotel!$J$2:$J$11))</f>
        <v>175</v>
      </c>
    </row>
    <row r="914" spans="1:13" x14ac:dyDescent="0.25">
      <c r="A914" s="1">
        <f t="shared" si="112"/>
        <v>46114</v>
      </c>
      <c r="B914" t="str" cm="1">
        <f t="array" ref="B914">INDEX(HotelList,MOD(ROW()-2,10)+1)</f>
        <v>H003</v>
      </c>
      <c r="C914">
        <f>_xlfn.XLOOKUP(B914,Dim_Hotel!$A$2:$A$11,Dim_Hotel!$F$2:$F$11)</f>
        <v>121</v>
      </c>
      <c r="D914">
        <f t="shared" si="113"/>
        <v>67</v>
      </c>
      <c r="E914">
        <f t="shared" si="114"/>
        <v>0.55371900826446285</v>
      </c>
      <c r="F914">
        <f t="shared" si="115"/>
        <v>145</v>
      </c>
      <c r="G914">
        <f t="shared" si="116"/>
        <v>80.289256198347118</v>
      </c>
      <c r="H914" t="str">
        <f>_xlfn.XLOOKUP(A914,Fact_Events!$D$2:$D$20,Fact_Events!$A$2:$A$20, "")</f>
        <v/>
      </c>
      <c r="I914">
        <f t="shared" si="117"/>
        <v>0</v>
      </c>
      <c r="J914" t="str">
        <f>_xlfn.XLOOKUP(H914, Fact_Events!$A$2:$A$20, Fact_Events!$F$2:$F$20, "")</f>
        <v/>
      </c>
      <c r="K914" t="str">
        <f t="shared" si="118"/>
        <v>Low</v>
      </c>
      <c r="L914">
        <f t="shared" si="119"/>
        <v>0.55000000000000004</v>
      </c>
      <c r="M914">
        <f>_xlfn.XLOOKUP(B914, Dim_Hotel!$A$2:$A$11, Dim_Hotel!$I$2:$I$11)
 + (IF(J914="",0,J914)
    * _xlfn.XLOOKUP(B914, Dim_Hotel!$A$2:$A$11, Dim_Hotel!$J$2:$J$11))</f>
        <v>145</v>
      </c>
    </row>
    <row r="915" spans="1:13" x14ac:dyDescent="0.25">
      <c r="A915" s="1">
        <f t="shared" si="112"/>
        <v>46114</v>
      </c>
      <c r="B915" t="str" cm="1">
        <f t="array" ref="B915">INDEX(HotelList,MOD(ROW()-2,10)+1)</f>
        <v>H004</v>
      </c>
      <c r="C915">
        <f>_xlfn.XLOOKUP(B915,Dim_Hotel!$A$2:$A$11,Dim_Hotel!$F$2:$F$11)</f>
        <v>108</v>
      </c>
      <c r="D915">
        <f t="shared" si="113"/>
        <v>59</v>
      </c>
      <c r="E915">
        <f t="shared" si="114"/>
        <v>0.54629629629629628</v>
      </c>
      <c r="F915">
        <f t="shared" si="115"/>
        <v>135</v>
      </c>
      <c r="G915">
        <f t="shared" si="116"/>
        <v>73.75</v>
      </c>
      <c r="H915" t="str">
        <f>_xlfn.XLOOKUP(A915,Fact_Events!$D$2:$D$20,Fact_Events!$A$2:$A$20, "")</f>
        <v/>
      </c>
      <c r="I915">
        <f t="shared" si="117"/>
        <v>0</v>
      </c>
      <c r="J915" t="str">
        <f>_xlfn.XLOOKUP(H915, Fact_Events!$A$2:$A$20, Fact_Events!$F$2:$F$20, "")</f>
        <v/>
      </c>
      <c r="K915" t="str">
        <f t="shared" si="118"/>
        <v>Low</v>
      </c>
      <c r="L915">
        <f t="shared" si="119"/>
        <v>0.55000000000000004</v>
      </c>
      <c r="M915">
        <f>_xlfn.XLOOKUP(B915, Dim_Hotel!$A$2:$A$11, Dim_Hotel!$I$2:$I$11)
 + (IF(J915="",0,J915)
    * _xlfn.XLOOKUP(B915, Dim_Hotel!$A$2:$A$11, Dim_Hotel!$J$2:$J$11))</f>
        <v>135</v>
      </c>
    </row>
    <row r="916" spans="1:13" x14ac:dyDescent="0.25">
      <c r="A916" s="1">
        <f t="shared" si="112"/>
        <v>46114</v>
      </c>
      <c r="B916" t="str" cm="1">
        <f t="array" ref="B916">INDEX(HotelList,MOD(ROW()-2,10)+1)</f>
        <v>H005</v>
      </c>
      <c r="C916">
        <f>_xlfn.XLOOKUP(B916,Dim_Hotel!$A$2:$A$11,Dim_Hotel!$F$2:$F$11)</f>
        <v>66</v>
      </c>
      <c r="D916">
        <f t="shared" si="113"/>
        <v>36</v>
      </c>
      <c r="E916">
        <f t="shared" si="114"/>
        <v>0.54545454545454541</v>
      </c>
      <c r="F916">
        <f t="shared" si="115"/>
        <v>82</v>
      </c>
      <c r="G916">
        <f t="shared" si="116"/>
        <v>44.727272727272727</v>
      </c>
      <c r="H916" t="str">
        <f>_xlfn.XLOOKUP(A916,Fact_Events!$D$2:$D$20,Fact_Events!$A$2:$A$20, "")</f>
        <v/>
      </c>
      <c r="I916">
        <f t="shared" si="117"/>
        <v>0</v>
      </c>
      <c r="J916" t="str">
        <f>_xlfn.XLOOKUP(H916, Fact_Events!$A$2:$A$20, Fact_Events!$F$2:$F$20, "")</f>
        <v/>
      </c>
      <c r="K916" t="str">
        <f t="shared" si="118"/>
        <v>Low</v>
      </c>
      <c r="L916">
        <f t="shared" si="119"/>
        <v>0.55000000000000004</v>
      </c>
      <c r="M916">
        <f>_xlfn.XLOOKUP(B916, Dim_Hotel!$A$2:$A$11, Dim_Hotel!$I$2:$I$11)
 + (IF(J916="",0,J916)
    * _xlfn.XLOOKUP(B916, Dim_Hotel!$A$2:$A$11, Dim_Hotel!$J$2:$J$11))</f>
        <v>82</v>
      </c>
    </row>
    <row r="917" spans="1:13" x14ac:dyDescent="0.25">
      <c r="A917" s="1">
        <f t="shared" si="112"/>
        <v>46114</v>
      </c>
      <c r="B917" t="str" cm="1">
        <f t="array" ref="B917">INDEX(HotelList,MOD(ROW()-2,10)+1)</f>
        <v>H006</v>
      </c>
      <c r="C917">
        <f>_xlfn.XLOOKUP(B917,Dim_Hotel!$A$2:$A$11,Dim_Hotel!$F$2:$F$11)</f>
        <v>311</v>
      </c>
      <c r="D917">
        <f t="shared" si="113"/>
        <v>171</v>
      </c>
      <c r="E917">
        <f t="shared" si="114"/>
        <v>0.54983922829581988</v>
      </c>
      <c r="F917">
        <f t="shared" si="115"/>
        <v>190</v>
      </c>
      <c r="G917">
        <f t="shared" si="116"/>
        <v>104.46945337620578</v>
      </c>
      <c r="H917" t="str">
        <f>_xlfn.XLOOKUP(A917,Fact_Events!$D$2:$D$20,Fact_Events!$A$2:$A$20, "")</f>
        <v/>
      </c>
      <c r="I917">
        <f t="shared" si="117"/>
        <v>0</v>
      </c>
      <c r="J917" t="str">
        <f>_xlfn.XLOOKUP(H917, Fact_Events!$A$2:$A$20, Fact_Events!$F$2:$F$20, "")</f>
        <v/>
      </c>
      <c r="K917" t="str">
        <f t="shared" si="118"/>
        <v>Low</v>
      </c>
      <c r="L917">
        <f t="shared" si="119"/>
        <v>0.55000000000000004</v>
      </c>
      <c r="M917">
        <f>_xlfn.XLOOKUP(B917, Dim_Hotel!$A$2:$A$11, Dim_Hotel!$I$2:$I$11)
 + (IF(J917="",0,J917)
    * _xlfn.XLOOKUP(B917, Dim_Hotel!$A$2:$A$11, Dim_Hotel!$J$2:$J$11))</f>
        <v>190</v>
      </c>
    </row>
    <row r="918" spans="1:13" x14ac:dyDescent="0.25">
      <c r="A918" s="1">
        <f t="shared" si="112"/>
        <v>46114</v>
      </c>
      <c r="B918" t="str" cm="1">
        <f t="array" ref="B918">INDEX(HotelList,MOD(ROW()-2,10)+1)</f>
        <v>H007</v>
      </c>
      <c r="C918">
        <f>_xlfn.XLOOKUP(B918,Dim_Hotel!$A$2:$A$11,Dim_Hotel!$F$2:$F$11)</f>
        <v>132</v>
      </c>
      <c r="D918">
        <f t="shared" si="113"/>
        <v>73</v>
      </c>
      <c r="E918">
        <f t="shared" si="114"/>
        <v>0.55303030303030298</v>
      </c>
      <c r="F918">
        <f t="shared" si="115"/>
        <v>165</v>
      </c>
      <c r="G918">
        <f t="shared" si="116"/>
        <v>91.249999999999986</v>
      </c>
      <c r="H918" t="str">
        <f>_xlfn.XLOOKUP(A918,Fact_Events!$D$2:$D$20,Fact_Events!$A$2:$A$20, "")</f>
        <v/>
      </c>
      <c r="I918">
        <f t="shared" si="117"/>
        <v>0</v>
      </c>
      <c r="J918" t="str">
        <f>_xlfn.XLOOKUP(H918, Fact_Events!$A$2:$A$20, Fact_Events!$F$2:$F$20, "")</f>
        <v/>
      </c>
      <c r="K918" t="str">
        <f t="shared" si="118"/>
        <v>Low</v>
      </c>
      <c r="L918">
        <f t="shared" si="119"/>
        <v>0.55000000000000004</v>
      </c>
      <c r="M918">
        <f>_xlfn.XLOOKUP(B918, Dim_Hotel!$A$2:$A$11, Dim_Hotel!$I$2:$I$11)
 + (IF(J918="",0,J918)
    * _xlfn.XLOOKUP(B918, Dim_Hotel!$A$2:$A$11, Dim_Hotel!$J$2:$J$11))</f>
        <v>165</v>
      </c>
    </row>
    <row r="919" spans="1:13" x14ac:dyDescent="0.25">
      <c r="A919" s="1">
        <f t="shared" si="112"/>
        <v>46114</v>
      </c>
      <c r="B919" t="str" cm="1">
        <f t="array" ref="B919">INDEX(HotelList,MOD(ROW()-2,10)+1)</f>
        <v>H008</v>
      </c>
      <c r="C919">
        <f>_xlfn.XLOOKUP(B919,Dim_Hotel!$A$2:$A$11,Dim_Hotel!$F$2:$F$11)</f>
        <v>103</v>
      </c>
      <c r="D919">
        <f t="shared" si="113"/>
        <v>57</v>
      </c>
      <c r="E919">
        <f t="shared" si="114"/>
        <v>0.55339805825242716</v>
      </c>
      <c r="F919">
        <f t="shared" si="115"/>
        <v>140</v>
      </c>
      <c r="G919">
        <f t="shared" si="116"/>
        <v>77.475728155339809</v>
      </c>
      <c r="H919" t="str">
        <f>_xlfn.XLOOKUP(A919,Fact_Events!$D$2:$D$20,Fact_Events!$A$2:$A$20, "")</f>
        <v/>
      </c>
      <c r="I919">
        <f t="shared" si="117"/>
        <v>0</v>
      </c>
      <c r="J919" t="str">
        <f>_xlfn.XLOOKUP(H919, Fact_Events!$A$2:$A$20, Fact_Events!$F$2:$F$20, "")</f>
        <v/>
      </c>
      <c r="K919" t="str">
        <f t="shared" si="118"/>
        <v>Low</v>
      </c>
      <c r="L919">
        <f t="shared" si="119"/>
        <v>0.55000000000000004</v>
      </c>
      <c r="M919">
        <f>_xlfn.XLOOKUP(B919, Dim_Hotel!$A$2:$A$11, Dim_Hotel!$I$2:$I$11)
 + (IF(J919="",0,J919)
    * _xlfn.XLOOKUP(B919, Dim_Hotel!$A$2:$A$11, Dim_Hotel!$J$2:$J$11))</f>
        <v>140</v>
      </c>
    </row>
    <row r="920" spans="1:13" x14ac:dyDescent="0.25">
      <c r="A920" s="1">
        <f t="shared" si="112"/>
        <v>46114</v>
      </c>
      <c r="B920" t="str" cm="1">
        <f t="array" ref="B920">INDEX(HotelList,MOD(ROW()-2,10)+1)</f>
        <v>H009</v>
      </c>
      <c r="C920">
        <f>_xlfn.XLOOKUP(B920,Dim_Hotel!$A$2:$A$11,Dim_Hotel!$F$2:$F$11)</f>
        <v>114</v>
      </c>
      <c r="D920">
        <f t="shared" si="113"/>
        <v>63</v>
      </c>
      <c r="E920">
        <f t="shared" si="114"/>
        <v>0.55263157894736847</v>
      </c>
      <c r="F920">
        <f t="shared" si="115"/>
        <v>185</v>
      </c>
      <c r="G920">
        <f t="shared" si="116"/>
        <v>102.23684210526316</v>
      </c>
      <c r="H920" t="str">
        <f>_xlfn.XLOOKUP(A920,Fact_Events!$D$2:$D$20,Fact_Events!$A$2:$A$20, "")</f>
        <v/>
      </c>
      <c r="I920">
        <f t="shared" si="117"/>
        <v>0</v>
      </c>
      <c r="J920" t="str">
        <f>_xlfn.XLOOKUP(H920, Fact_Events!$A$2:$A$20, Fact_Events!$F$2:$F$20, "")</f>
        <v/>
      </c>
      <c r="K920" t="str">
        <f t="shared" si="118"/>
        <v>Low</v>
      </c>
      <c r="L920">
        <f t="shared" si="119"/>
        <v>0.55000000000000004</v>
      </c>
      <c r="M920">
        <f>_xlfn.XLOOKUP(B920, Dim_Hotel!$A$2:$A$11, Dim_Hotel!$I$2:$I$11)
 + (IF(J920="",0,J920)
    * _xlfn.XLOOKUP(B920, Dim_Hotel!$A$2:$A$11, Dim_Hotel!$J$2:$J$11))</f>
        <v>185</v>
      </c>
    </row>
    <row r="921" spans="1:13" x14ac:dyDescent="0.25">
      <c r="A921" s="1">
        <f t="shared" si="112"/>
        <v>46114</v>
      </c>
      <c r="B921" t="str" cm="1">
        <f t="array" ref="B921">INDEX(HotelList,MOD(ROW()-2,10)+1)</f>
        <v>H010</v>
      </c>
      <c r="C921">
        <f>_xlfn.XLOOKUP(B921,Dim_Hotel!$A$2:$A$11,Dim_Hotel!$F$2:$F$11)</f>
        <v>89</v>
      </c>
      <c r="D921">
        <f t="shared" si="113"/>
        <v>49</v>
      </c>
      <c r="E921">
        <f t="shared" si="114"/>
        <v>0.550561797752809</v>
      </c>
      <c r="F921">
        <f t="shared" si="115"/>
        <v>150</v>
      </c>
      <c r="G921">
        <f t="shared" si="116"/>
        <v>82.584269662921344</v>
      </c>
      <c r="H921" t="str">
        <f>_xlfn.XLOOKUP(A921,Fact_Events!$D$2:$D$20,Fact_Events!$A$2:$A$20, "")</f>
        <v/>
      </c>
      <c r="I921">
        <f t="shared" si="117"/>
        <v>0</v>
      </c>
      <c r="J921" t="str">
        <f>_xlfn.XLOOKUP(H921, Fact_Events!$A$2:$A$20, Fact_Events!$F$2:$F$20, "")</f>
        <v/>
      </c>
      <c r="K921" t="str">
        <f t="shared" si="118"/>
        <v>Low</v>
      </c>
      <c r="L921">
        <f t="shared" si="119"/>
        <v>0.55000000000000004</v>
      </c>
      <c r="M921">
        <f>_xlfn.XLOOKUP(B921, Dim_Hotel!$A$2:$A$11, Dim_Hotel!$I$2:$I$11)
 + (IF(J921="",0,J921)
    * _xlfn.XLOOKUP(B921, Dim_Hotel!$A$2:$A$11, Dim_Hotel!$J$2:$J$11))</f>
        <v>150</v>
      </c>
    </row>
    <row r="922" spans="1:13" x14ac:dyDescent="0.25">
      <c r="A922" s="1">
        <f t="shared" si="112"/>
        <v>46115</v>
      </c>
      <c r="B922" t="str" cm="1">
        <f t="array" ref="B922">INDEX(HotelList,MOD(ROW()-2,10)+1)</f>
        <v>H001</v>
      </c>
      <c r="C922">
        <f>_xlfn.XLOOKUP(B922,Dim_Hotel!$A$2:$A$11,Dim_Hotel!$F$2:$F$11)</f>
        <v>888</v>
      </c>
      <c r="D922">
        <f t="shared" si="113"/>
        <v>488</v>
      </c>
      <c r="E922">
        <f t="shared" si="114"/>
        <v>0.5495495495495496</v>
      </c>
      <c r="F922">
        <f t="shared" si="115"/>
        <v>260</v>
      </c>
      <c r="G922">
        <f t="shared" si="116"/>
        <v>142.88288288288288</v>
      </c>
      <c r="H922" t="str">
        <f>_xlfn.XLOOKUP(A922,Fact_Events!$D$2:$D$20,Fact_Events!$A$2:$A$20, "")</f>
        <v/>
      </c>
      <c r="I922">
        <f t="shared" si="117"/>
        <v>0</v>
      </c>
      <c r="J922" t="str">
        <f>_xlfn.XLOOKUP(H922, Fact_Events!$A$2:$A$20, Fact_Events!$F$2:$F$20, "")</f>
        <v/>
      </c>
      <c r="K922" t="str">
        <f t="shared" si="118"/>
        <v>Low</v>
      </c>
      <c r="L922">
        <f t="shared" si="119"/>
        <v>0.55000000000000004</v>
      </c>
      <c r="M922">
        <f>_xlfn.XLOOKUP(B922, Dim_Hotel!$A$2:$A$11, Dim_Hotel!$I$2:$I$11)
 + (IF(J922="",0,J922)
    * _xlfn.XLOOKUP(B922, Dim_Hotel!$A$2:$A$11, Dim_Hotel!$J$2:$J$11))</f>
        <v>260</v>
      </c>
    </row>
    <row r="923" spans="1:13" x14ac:dyDescent="0.25">
      <c r="A923" s="1">
        <f t="shared" si="112"/>
        <v>46115</v>
      </c>
      <c r="B923" t="str" cm="1">
        <f t="array" ref="B923">INDEX(HotelList,MOD(ROW()-2,10)+1)</f>
        <v>H002</v>
      </c>
      <c r="C923">
        <f>_xlfn.XLOOKUP(B923,Dim_Hotel!$A$2:$A$11,Dim_Hotel!$F$2:$F$11)</f>
        <v>147</v>
      </c>
      <c r="D923">
        <f t="shared" si="113"/>
        <v>81</v>
      </c>
      <c r="E923">
        <f t="shared" si="114"/>
        <v>0.55102040816326525</v>
      </c>
      <c r="F923">
        <f t="shared" si="115"/>
        <v>175</v>
      </c>
      <c r="G923">
        <f t="shared" si="116"/>
        <v>96.428571428571416</v>
      </c>
      <c r="H923" t="str">
        <f>_xlfn.XLOOKUP(A923,Fact_Events!$D$2:$D$20,Fact_Events!$A$2:$A$20, "")</f>
        <v/>
      </c>
      <c r="I923">
        <f t="shared" si="117"/>
        <v>0</v>
      </c>
      <c r="J923" t="str">
        <f>_xlfn.XLOOKUP(H923, Fact_Events!$A$2:$A$20, Fact_Events!$F$2:$F$20, "")</f>
        <v/>
      </c>
      <c r="K923" t="str">
        <f t="shared" si="118"/>
        <v>Low</v>
      </c>
      <c r="L923">
        <f t="shared" si="119"/>
        <v>0.55000000000000004</v>
      </c>
      <c r="M923">
        <f>_xlfn.XLOOKUP(B923, Dim_Hotel!$A$2:$A$11, Dim_Hotel!$I$2:$I$11)
 + (IF(J923="",0,J923)
    * _xlfn.XLOOKUP(B923, Dim_Hotel!$A$2:$A$11, Dim_Hotel!$J$2:$J$11))</f>
        <v>175</v>
      </c>
    </row>
    <row r="924" spans="1:13" x14ac:dyDescent="0.25">
      <c r="A924" s="1">
        <f t="shared" si="112"/>
        <v>46115</v>
      </c>
      <c r="B924" t="str" cm="1">
        <f t="array" ref="B924">INDEX(HotelList,MOD(ROW()-2,10)+1)</f>
        <v>H003</v>
      </c>
      <c r="C924">
        <f>_xlfn.XLOOKUP(B924,Dim_Hotel!$A$2:$A$11,Dim_Hotel!$F$2:$F$11)</f>
        <v>121</v>
      </c>
      <c r="D924">
        <f t="shared" si="113"/>
        <v>67</v>
      </c>
      <c r="E924">
        <f t="shared" si="114"/>
        <v>0.55371900826446285</v>
      </c>
      <c r="F924">
        <f t="shared" si="115"/>
        <v>145</v>
      </c>
      <c r="G924">
        <f t="shared" si="116"/>
        <v>80.289256198347118</v>
      </c>
      <c r="H924" t="str">
        <f>_xlfn.XLOOKUP(A924,Fact_Events!$D$2:$D$20,Fact_Events!$A$2:$A$20, "")</f>
        <v/>
      </c>
      <c r="I924">
        <f t="shared" si="117"/>
        <v>0</v>
      </c>
      <c r="J924" t="str">
        <f>_xlfn.XLOOKUP(H924, Fact_Events!$A$2:$A$20, Fact_Events!$F$2:$F$20, "")</f>
        <v/>
      </c>
      <c r="K924" t="str">
        <f t="shared" si="118"/>
        <v>Low</v>
      </c>
      <c r="L924">
        <f t="shared" si="119"/>
        <v>0.55000000000000004</v>
      </c>
      <c r="M924">
        <f>_xlfn.XLOOKUP(B924, Dim_Hotel!$A$2:$A$11, Dim_Hotel!$I$2:$I$11)
 + (IF(J924="",0,J924)
    * _xlfn.XLOOKUP(B924, Dim_Hotel!$A$2:$A$11, Dim_Hotel!$J$2:$J$11))</f>
        <v>145</v>
      </c>
    </row>
    <row r="925" spans="1:13" x14ac:dyDescent="0.25">
      <c r="A925" s="1">
        <f t="shared" si="112"/>
        <v>46115</v>
      </c>
      <c r="B925" t="str" cm="1">
        <f t="array" ref="B925">INDEX(HotelList,MOD(ROW()-2,10)+1)</f>
        <v>H004</v>
      </c>
      <c r="C925">
        <f>_xlfn.XLOOKUP(B925,Dim_Hotel!$A$2:$A$11,Dim_Hotel!$F$2:$F$11)</f>
        <v>108</v>
      </c>
      <c r="D925">
        <f t="shared" si="113"/>
        <v>59</v>
      </c>
      <c r="E925">
        <f t="shared" si="114"/>
        <v>0.54629629629629628</v>
      </c>
      <c r="F925">
        <f t="shared" si="115"/>
        <v>135</v>
      </c>
      <c r="G925">
        <f t="shared" si="116"/>
        <v>73.75</v>
      </c>
      <c r="H925" t="str">
        <f>_xlfn.XLOOKUP(A925,Fact_Events!$D$2:$D$20,Fact_Events!$A$2:$A$20, "")</f>
        <v/>
      </c>
      <c r="I925">
        <f t="shared" si="117"/>
        <v>0</v>
      </c>
      <c r="J925" t="str">
        <f>_xlfn.XLOOKUP(H925, Fact_Events!$A$2:$A$20, Fact_Events!$F$2:$F$20, "")</f>
        <v/>
      </c>
      <c r="K925" t="str">
        <f t="shared" si="118"/>
        <v>Low</v>
      </c>
      <c r="L925">
        <f t="shared" si="119"/>
        <v>0.55000000000000004</v>
      </c>
      <c r="M925">
        <f>_xlfn.XLOOKUP(B925, Dim_Hotel!$A$2:$A$11, Dim_Hotel!$I$2:$I$11)
 + (IF(J925="",0,J925)
    * _xlfn.XLOOKUP(B925, Dim_Hotel!$A$2:$A$11, Dim_Hotel!$J$2:$J$11))</f>
        <v>135</v>
      </c>
    </row>
    <row r="926" spans="1:13" x14ac:dyDescent="0.25">
      <c r="A926" s="1">
        <f t="shared" si="112"/>
        <v>46115</v>
      </c>
      <c r="B926" t="str" cm="1">
        <f t="array" ref="B926">INDEX(HotelList,MOD(ROW()-2,10)+1)</f>
        <v>H005</v>
      </c>
      <c r="C926">
        <f>_xlfn.XLOOKUP(B926,Dim_Hotel!$A$2:$A$11,Dim_Hotel!$F$2:$F$11)</f>
        <v>66</v>
      </c>
      <c r="D926">
        <f t="shared" si="113"/>
        <v>36</v>
      </c>
      <c r="E926">
        <f t="shared" si="114"/>
        <v>0.54545454545454541</v>
      </c>
      <c r="F926">
        <f t="shared" si="115"/>
        <v>82</v>
      </c>
      <c r="G926">
        <f t="shared" si="116"/>
        <v>44.727272727272727</v>
      </c>
      <c r="H926" t="str">
        <f>_xlfn.XLOOKUP(A926,Fact_Events!$D$2:$D$20,Fact_Events!$A$2:$A$20, "")</f>
        <v/>
      </c>
      <c r="I926">
        <f t="shared" si="117"/>
        <v>0</v>
      </c>
      <c r="J926" t="str">
        <f>_xlfn.XLOOKUP(H926, Fact_Events!$A$2:$A$20, Fact_Events!$F$2:$F$20, "")</f>
        <v/>
      </c>
      <c r="K926" t="str">
        <f t="shared" si="118"/>
        <v>Low</v>
      </c>
      <c r="L926">
        <f t="shared" si="119"/>
        <v>0.55000000000000004</v>
      </c>
      <c r="M926">
        <f>_xlfn.XLOOKUP(B926, Dim_Hotel!$A$2:$A$11, Dim_Hotel!$I$2:$I$11)
 + (IF(J926="",0,J926)
    * _xlfn.XLOOKUP(B926, Dim_Hotel!$A$2:$A$11, Dim_Hotel!$J$2:$J$11))</f>
        <v>82</v>
      </c>
    </row>
    <row r="927" spans="1:13" x14ac:dyDescent="0.25">
      <c r="A927" s="1">
        <f t="shared" si="112"/>
        <v>46115</v>
      </c>
      <c r="B927" t="str" cm="1">
        <f t="array" ref="B927">INDEX(HotelList,MOD(ROW()-2,10)+1)</f>
        <v>H006</v>
      </c>
      <c r="C927">
        <f>_xlfn.XLOOKUP(B927,Dim_Hotel!$A$2:$A$11,Dim_Hotel!$F$2:$F$11)</f>
        <v>311</v>
      </c>
      <c r="D927">
        <f t="shared" si="113"/>
        <v>171</v>
      </c>
      <c r="E927">
        <f t="shared" si="114"/>
        <v>0.54983922829581988</v>
      </c>
      <c r="F927">
        <f t="shared" si="115"/>
        <v>190</v>
      </c>
      <c r="G927">
        <f t="shared" si="116"/>
        <v>104.46945337620578</v>
      </c>
      <c r="H927" t="str">
        <f>_xlfn.XLOOKUP(A927,Fact_Events!$D$2:$D$20,Fact_Events!$A$2:$A$20, "")</f>
        <v/>
      </c>
      <c r="I927">
        <f t="shared" si="117"/>
        <v>0</v>
      </c>
      <c r="J927" t="str">
        <f>_xlfn.XLOOKUP(H927, Fact_Events!$A$2:$A$20, Fact_Events!$F$2:$F$20, "")</f>
        <v/>
      </c>
      <c r="K927" t="str">
        <f t="shared" si="118"/>
        <v>Low</v>
      </c>
      <c r="L927">
        <f t="shared" si="119"/>
        <v>0.55000000000000004</v>
      </c>
      <c r="M927">
        <f>_xlfn.XLOOKUP(B927, Dim_Hotel!$A$2:$A$11, Dim_Hotel!$I$2:$I$11)
 + (IF(J927="",0,J927)
    * _xlfn.XLOOKUP(B927, Dim_Hotel!$A$2:$A$11, Dim_Hotel!$J$2:$J$11))</f>
        <v>190</v>
      </c>
    </row>
    <row r="928" spans="1:13" x14ac:dyDescent="0.25">
      <c r="A928" s="1">
        <f t="shared" si="112"/>
        <v>46115</v>
      </c>
      <c r="B928" t="str" cm="1">
        <f t="array" ref="B928">INDEX(HotelList,MOD(ROW()-2,10)+1)</f>
        <v>H007</v>
      </c>
      <c r="C928">
        <f>_xlfn.XLOOKUP(B928,Dim_Hotel!$A$2:$A$11,Dim_Hotel!$F$2:$F$11)</f>
        <v>132</v>
      </c>
      <c r="D928">
        <f t="shared" si="113"/>
        <v>73</v>
      </c>
      <c r="E928">
        <f t="shared" si="114"/>
        <v>0.55303030303030298</v>
      </c>
      <c r="F928">
        <f t="shared" si="115"/>
        <v>165</v>
      </c>
      <c r="G928">
        <f t="shared" si="116"/>
        <v>91.249999999999986</v>
      </c>
      <c r="H928" t="str">
        <f>_xlfn.XLOOKUP(A928,Fact_Events!$D$2:$D$20,Fact_Events!$A$2:$A$20, "")</f>
        <v/>
      </c>
      <c r="I928">
        <f t="shared" si="117"/>
        <v>0</v>
      </c>
      <c r="J928" t="str">
        <f>_xlfn.XLOOKUP(H928, Fact_Events!$A$2:$A$20, Fact_Events!$F$2:$F$20, "")</f>
        <v/>
      </c>
      <c r="K928" t="str">
        <f t="shared" si="118"/>
        <v>Low</v>
      </c>
      <c r="L928">
        <f t="shared" si="119"/>
        <v>0.55000000000000004</v>
      </c>
      <c r="M928">
        <f>_xlfn.XLOOKUP(B928, Dim_Hotel!$A$2:$A$11, Dim_Hotel!$I$2:$I$11)
 + (IF(J928="",0,J928)
    * _xlfn.XLOOKUP(B928, Dim_Hotel!$A$2:$A$11, Dim_Hotel!$J$2:$J$11))</f>
        <v>165</v>
      </c>
    </row>
    <row r="929" spans="1:13" x14ac:dyDescent="0.25">
      <c r="A929" s="1">
        <f t="shared" si="112"/>
        <v>46115</v>
      </c>
      <c r="B929" t="str" cm="1">
        <f t="array" ref="B929">INDEX(HotelList,MOD(ROW()-2,10)+1)</f>
        <v>H008</v>
      </c>
      <c r="C929">
        <f>_xlfn.XLOOKUP(B929,Dim_Hotel!$A$2:$A$11,Dim_Hotel!$F$2:$F$11)</f>
        <v>103</v>
      </c>
      <c r="D929">
        <f t="shared" si="113"/>
        <v>57</v>
      </c>
      <c r="E929">
        <f t="shared" si="114"/>
        <v>0.55339805825242716</v>
      </c>
      <c r="F929">
        <f t="shared" si="115"/>
        <v>140</v>
      </c>
      <c r="G929">
        <f t="shared" si="116"/>
        <v>77.475728155339809</v>
      </c>
      <c r="H929" t="str">
        <f>_xlfn.XLOOKUP(A929,Fact_Events!$D$2:$D$20,Fact_Events!$A$2:$A$20, "")</f>
        <v/>
      </c>
      <c r="I929">
        <f t="shared" si="117"/>
        <v>0</v>
      </c>
      <c r="J929" t="str">
        <f>_xlfn.XLOOKUP(H929, Fact_Events!$A$2:$A$20, Fact_Events!$F$2:$F$20, "")</f>
        <v/>
      </c>
      <c r="K929" t="str">
        <f t="shared" si="118"/>
        <v>Low</v>
      </c>
      <c r="L929">
        <f t="shared" si="119"/>
        <v>0.55000000000000004</v>
      </c>
      <c r="M929">
        <f>_xlfn.XLOOKUP(B929, Dim_Hotel!$A$2:$A$11, Dim_Hotel!$I$2:$I$11)
 + (IF(J929="",0,J929)
    * _xlfn.XLOOKUP(B929, Dim_Hotel!$A$2:$A$11, Dim_Hotel!$J$2:$J$11))</f>
        <v>140</v>
      </c>
    </row>
    <row r="930" spans="1:13" x14ac:dyDescent="0.25">
      <c r="A930" s="1">
        <f t="shared" si="112"/>
        <v>46115</v>
      </c>
      <c r="B930" t="str" cm="1">
        <f t="array" ref="B930">INDEX(HotelList,MOD(ROW()-2,10)+1)</f>
        <v>H009</v>
      </c>
      <c r="C930">
        <f>_xlfn.XLOOKUP(B930,Dim_Hotel!$A$2:$A$11,Dim_Hotel!$F$2:$F$11)</f>
        <v>114</v>
      </c>
      <c r="D930">
        <f t="shared" si="113"/>
        <v>63</v>
      </c>
      <c r="E930">
        <f t="shared" si="114"/>
        <v>0.55263157894736847</v>
      </c>
      <c r="F930">
        <f t="shared" si="115"/>
        <v>185</v>
      </c>
      <c r="G930">
        <f t="shared" si="116"/>
        <v>102.23684210526316</v>
      </c>
      <c r="H930" t="str">
        <f>_xlfn.XLOOKUP(A930,Fact_Events!$D$2:$D$20,Fact_Events!$A$2:$A$20, "")</f>
        <v/>
      </c>
      <c r="I930">
        <f t="shared" si="117"/>
        <v>0</v>
      </c>
      <c r="J930" t="str">
        <f>_xlfn.XLOOKUP(H930, Fact_Events!$A$2:$A$20, Fact_Events!$F$2:$F$20, "")</f>
        <v/>
      </c>
      <c r="K930" t="str">
        <f t="shared" si="118"/>
        <v>Low</v>
      </c>
      <c r="L930">
        <f t="shared" si="119"/>
        <v>0.55000000000000004</v>
      </c>
      <c r="M930">
        <f>_xlfn.XLOOKUP(B930, Dim_Hotel!$A$2:$A$11, Dim_Hotel!$I$2:$I$11)
 + (IF(J930="",0,J930)
    * _xlfn.XLOOKUP(B930, Dim_Hotel!$A$2:$A$11, Dim_Hotel!$J$2:$J$11))</f>
        <v>185</v>
      </c>
    </row>
    <row r="931" spans="1:13" x14ac:dyDescent="0.25">
      <c r="A931" s="1">
        <f t="shared" si="112"/>
        <v>46115</v>
      </c>
      <c r="B931" t="str" cm="1">
        <f t="array" ref="B931">INDEX(HotelList,MOD(ROW()-2,10)+1)</f>
        <v>H010</v>
      </c>
      <c r="C931">
        <f>_xlfn.XLOOKUP(B931,Dim_Hotel!$A$2:$A$11,Dim_Hotel!$F$2:$F$11)</f>
        <v>89</v>
      </c>
      <c r="D931">
        <f t="shared" si="113"/>
        <v>49</v>
      </c>
      <c r="E931">
        <f t="shared" si="114"/>
        <v>0.550561797752809</v>
      </c>
      <c r="F931">
        <f t="shared" si="115"/>
        <v>150</v>
      </c>
      <c r="G931">
        <f t="shared" si="116"/>
        <v>82.584269662921344</v>
      </c>
      <c r="H931" t="str">
        <f>_xlfn.XLOOKUP(A931,Fact_Events!$D$2:$D$20,Fact_Events!$A$2:$A$20, "")</f>
        <v/>
      </c>
      <c r="I931">
        <f t="shared" si="117"/>
        <v>0</v>
      </c>
      <c r="J931" t="str">
        <f>_xlfn.XLOOKUP(H931, Fact_Events!$A$2:$A$20, Fact_Events!$F$2:$F$20, "")</f>
        <v/>
      </c>
      <c r="K931" t="str">
        <f t="shared" si="118"/>
        <v>Low</v>
      </c>
      <c r="L931">
        <f t="shared" si="119"/>
        <v>0.55000000000000004</v>
      </c>
      <c r="M931">
        <f>_xlfn.XLOOKUP(B931, Dim_Hotel!$A$2:$A$11, Dim_Hotel!$I$2:$I$11)
 + (IF(J931="",0,J931)
    * _xlfn.XLOOKUP(B931, Dim_Hotel!$A$2:$A$11, Dim_Hotel!$J$2:$J$11))</f>
        <v>150</v>
      </c>
    </row>
    <row r="932" spans="1:13" x14ac:dyDescent="0.25">
      <c r="A932" s="1">
        <f t="shared" si="112"/>
        <v>46116</v>
      </c>
      <c r="B932" t="str" cm="1">
        <f t="array" ref="B932">INDEX(HotelList,MOD(ROW()-2,10)+1)</f>
        <v>H001</v>
      </c>
      <c r="C932">
        <f>_xlfn.XLOOKUP(B932,Dim_Hotel!$A$2:$A$11,Dim_Hotel!$F$2:$F$11)</f>
        <v>888</v>
      </c>
      <c r="D932">
        <f t="shared" si="113"/>
        <v>488</v>
      </c>
      <c r="E932">
        <f t="shared" si="114"/>
        <v>0.5495495495495496</v>
      </c>
      <c r="F932">
        <f t="shared" si="115"/>
        <v>260</v>
      </c>
      <c r="G932">
        <f t="shared" si="116"/>
        <v>142.88288288288288</v>
      </c>
      <c r="H932" t="str">
        <f>_xlfn.XLOOKUP(A932,Fact_Events!$D$2:$D$20,Fact_Events!$A$2:$A$20, "")</f>
        <v/>
      </c>
      <c r="I932">
        <f t="shared" si="117"/>
        <v>0</v>
      </c>
      <c r="J932" t="str">
        <f>_xlfn.XLOOKUP(H932, Fact_Events!$A$2:$A$20, Fact_Events!$F$2:$F$20, "")</f>
        <v/>
      </c>
      <c r="K932" t="str">
        <f t="shared" si="118"/>
        <v>Low</v>
      </c>
      <c r="L932">
        <f t="shared" si="119"/>
        <v>0.55000000000000004</v>
      </c>
      <c r="M932">
        <f>_xlfn.XLOOKUP(B932, Dim_Hotel!$A$2:$A$11, Dim_Hotel!$I$2:$I$11)
 + (IF(J932="",0,J932)
    * _xlfn.XLOOKUP(B932, Dim_Hotel!$A$2:$A$11, Dim_Hotel!$J$2:$J$11))</f>
        <v>260</v>
      </c>
    </row>
    <row r="933" spans="1:13" x14ac:dyDescent="0.25">
      <c r="A933" s="1">
        <f t="shared" si="112"/>
        <v>46116</v>
      </c>
      <c r="B933" t="str" cm="1">
        <f t="array" ref="B933">INDEX(HotelList,MOD(ROW()-2,10)+1)</f>
        <v>H002</v>
      </c>
      <c r="C933">
        <f>_xlfn.XLOOKUP(B933,Dim_Hotel!$A$2:$A$11,Dim_Hotel!$F$2:$F$11)</f>
        <v>147</v>
      </c>
      <c r="D933">
        <f t="shared" si="113"/>
        <v>81</v>
      </c>
      <c r="E933">
        <f t="shared" si="114"/>
        <v>0.55102040816326525</v>
      </c>
      <c r="F933">
        <f t="shared" si="115"/>
        <v>175</v>
      </c>
      <c r="G933">
        <f t="shared" si="116"/>
        <v>96.428571428571416</v>
      </c>
      <c r="H933" t="str">
        <f>_xlfn.XLOOKUP(A933,Fact_Events!$D$2:$D$20,Fact_Events!$A$2:$A$20, "")</f>
        <v/>
      </c>
      <c r="I933">
        <f t="shared" si="117"/>
        <v>0</v>
      </c>
      <c r="J933" t="str">
        <f>_xlfn.XLOOKUP(H933, Fact_Events!$A$2:$A$20, Fact_Events!$F$2:$F$20, "")</f>
        <v/>
      </c>
      <c r="K933" t="str">
        <f t="shared" si="118"/>
        <v>Low</v>
      </c>
      <c r="L933">
        <f t="shared" si="119"/>
        <v>0.55000000000000004</v>
      </c>
      <c r="M933">
        <f>_xlfn.XLOOKUP(B933, Dim_Hotel!$A$2:$A$11, Dim_Hotel!$I$2:$I$11)
 + (IF(J933="",0,J933)
    * _xlfn.XLOOKUP(B933, Dim_Hotel!$A$2:$A$11, Dim_Hotel!$J$2:$J$11))</f>
        <v>175</v>
      </c>
    </row>
    <row r="934" spans="1:13" x14ac:dyDescent="0.25">
      <c r="A934" s="1">
        <f t="shared" si="112"/>
        <v>46116</v>
      </c>
      <c r="B934" t="str" cm="1">
        <f t="array" ref="B934">INDEX(HotelList,MOD(ROW()-2,10)+1)</f>
        <v>H003</v>
      </c>
      <c r="C934">
        <f>_xlfn.XLOOKUP(B934,Dim_Hotel!$A$2:$A$11,Dim_Hotel!$F$2:$F$11)</f>
        <v>121</v>
      </c>
      <c r="D934">
        <f t="shared" si="113"/>
        <v>67</v>
      </c>
      <c r="E934">
        <f t="shared" si="114"/>
        <v>0.55371900826446285</v>
      </c>
      <c r="F934">
        <f t="shared" si="115"/>
        <v>145</v>
      </c>
      <c r="G934">
        <f t="shared" si="116"/>
        <v>80.289256198347118</v>
      </c>
      <c r="H934" t="str">
        <f>_xlfn.XLOOKUP(A934,Fact_Events!$D$2:$D$20,Fact_Events!$A$2:$A$20, "")</f>
        <v/>
      </c>
      <c r="I934">
        <f t="shared" si="117"/>
        <v>0</v>
      </c>
      <c r="J934" t="str">
        <f>_xlfn.XLOOKUP(H934, Fact_Events!$A$2:$A$20, Fact_Events!$F$2:$F$20, "")</f>
        <v/>
      </c>
      <c r="K934" t="str">
        <f t="shared" si="118"/>
        <v>Low</v>
      </c>
      <c r="L934">
        <f t="shared" si="119"/>
        <v>0.55000000000000004</v>
      </c>
      <c r="M934">
        <f>_xlfn.XLOOKUP(B934, Dim_Hotel!$A$2:$A$11, Dim_Hotel!$I$2:$I$11)
 + (IF(J934="",0,J934)
    * _xlfn.XLOOKUP(B934, Dim_Hotel!$A$2:$A$11, Dim_Hotel!$J$2:$J$11))</f>
        <v>145</v>
      </c>
    </row>
    <row r="935" spans="1:13" x14ac:dyDescent="0.25">
      <c r="A935" s="1">
        <f t="shared" si="112"/>
        <v>46116</v>
      </c>
      <c r="B935" t="str" cm="1">
        <f t="array" ref="B935">INDEX(HotelList,MOD(ROW()-2,10)+1)</f>
        <v>H004</v>
      </c>
      <c r="C935">
        <f>_xlfn.XLOOKUP(B935,Dim_Hotel!$A$2:$A$11,Dim_Hotel!$F$2:$F$11)</f>
        <v>108</v>
      </c>
      <c r="D935">
        <f t="shared" si="113"/>
        <v>59</v>
      </c>
      <c r="E935">
        <f t="shared" si="114"/>
        <v>0.54629629629629628</v>
      </c>
      <c r="F935">
        <f t="shared" si="115"/>
        <v>135</v>
      </c>
      <c r="G935">
        <f t="shared" si="116"/>
        <v>73.75</v>
      </c>
      <c r="H935" t="str">
        <f>_xlfn.XLOOKUP(A935,Fact_Events!$D$2:$D$20,Fact_Events!$A$2:$A$20, "")</f>
        <v/>
      </c>
      <c r="I935">
        <f t="shared" si="117"/>
        <v>0</v>
      </c>
      <c r="J935" t="str">
        <f>_xlfn.XLOOKUP(H935, Fact_Events!$A$2:$A$20, Fact_Events!$F$2:$F$20, "")</f>
        <v/>
      </c>
      <c r="K935" t="str">
        <f t="shared" si="118"/>
        <v>Low</v>
      </c>
      <c r="L935">
        <f t="shared" si="119"/>
        <v>0.55000000000000004</v>
      </c>
      <c r="M935">
        <f>_xlfn.XLOOKUP(B935, Dim_Hotel!$A$2:$A$11, Dim_Hotel!$I$2:$I$11)
 + (IF(J935="",0,J935)
    * _xlfn.XLOOKUP(B935, Dim_Hotel!$A$2:$A$11, Dim_Hotel!$J$2:$J$11))</f>
        <v>135</v>
      </c>
    </row>
    <row r="936" spans="1:13" x14ac:dyDescent="0.25">
      <c r="A936" s="1">
        <f t="shared" si="112"/>
        <v>46116</v>
      </c>
      <c r="B936" t="str" cm="1">
        <f t="array" ref="B936">INDEX(HotelList,MOD(ROW()-2,10)+1)</f>
        <v>H005</v>
      </c>
      <c r="C936">
        <f>_xlfn.XLOOKUP(B936,Dim_Hotel!$A$2:$A$11,Dim_Hotel!$F$2:$F$11)</f>
        <v>66</v>
      </c>
      <c r="D936">
        <f t="shared" si="113"/>
        <v>36</v>
      </c>
      <c r="E936">
        <f t="shared" si="114"/>
        <v>0.54545454545454541</v>
      </c>
      <c r="F936">
        <f t="shared" si="115"/>
        <v>82</v>
      </c>
      <c r="G936">
        <f t="shared" si="116"/>
        <v>44.727272727272727</v>
      </c>
      <c r="H936" t="str">
        <f>_xlfn.XLOOKUP(A936,Fact_Events!$D$2:$D$20,Fact_Events!$A$2:$A$20, "")</f>
        <v/>
      </c>
      <c r="I936">
        <f t="shared" si="117"/>
        <v>0</v>
      </c>
      <c r="J936" t="str">
        <f>_xlfn.XLOOKUP(H936, Fact_Events!$A$2:$A$20, Fact_Events!$F$2:$F$20, "")</f>
        <v/>
      </c>
      <c r="K936" t="str">
        <f t="shared" si="118"/>
        <v>Low</v>
      </c>
      <c r="L936">
        <f t="shared" si="119"/>
        <v>0.55000000000000004</v>
      </c>
      <c r="M936">
        <f>_xlfn.XLOOKUP(B936, Dim_Hotel!$A$2:$A$11, Dim_Hotel!$I$2:$I$11)
 + (IF(J936="",0,J936)
    * _xlfn.XLOOKUP(B936, Dim_Hotel!$A$2:$A$11, Dim_Hotel!$J$2:$J$11))</f>
        <v>82</v>
      </c>
    </row>
    <row r="937" spans="1:13" x14ac:dyDescent="0.25">
      <c r="A937" s="1">
        <f t="shared" si="112"/>
        <v>46116</v>
      </c>
      <c r="B937" t="str" cm="1">
        <f t="array" ref="B937">INDEX(HotelList,MOD(ROW()-2,10)+1)</f>
        <v>H006</v>
      </c>
      <c r="C937">
        <f>_xlfn.XLOOKUP(B937,Dim_Hotel!$A$2:$A$11,Dim_Hotel!$F$2:$F$11)</f>
        <v>311</v>
      </c>
      <c r="D937">
        <f t="shared" si="113"/>
        <v>171</v>
      </c>
      <c r="E937">
        <f t="shared" si="114"/>
        <v>0.54983922829581988</v>
      </c>
      <c r="F937">
        <f t="shared" si="115"/>
        <v>190</v>
      </c>
      <c r="G937">
        <f t="shared" si="116"/>
        <v>104.46945337620578</v>
      </c>
      <c r="H937" t="str">
        <f>_xlfn.XLOOKUP(A937,Fact_Events!$D$2:$D$20,Fact_Events!$A$2:$A$20, "")</f>
        <v/>
      </c>
      <c r="I937">
        <f t="shared" si="117"/>
        <v>0</v>
      </c>
      <c r="J937" t="str">
        <f>_xlfn.XLOOKUP(H937, Fact_Events!$A$2:$A$20, Fact_Events!$F$2:$F$20, "")</f>
        <v/>
      </c>
      <c r="K937" t="str">
        <f t="shared" si="118"/>
        <v>Low</v>
      </c>
      <c r="L937">
        <f t="shared" si="119"/>
        <v>0.55000000000000004</v>
      </c>
      <c r="M937">
        <f>_xlfn.XLOOKUP(B937, Dim_Hotel!$A$2:$A$11, Dim_Hotel!$I$2:$I$11)
 + (IF(J937="",0,J937)
    * _xlfn.XLOOKUP(B937, Dim_Hotel!$A$2:$A$11, Dim_Hotel!$J$2:$J$11))</f>
        <v>190</v>
      </c>
    </row>
    <row r="938" spans="1:13" x14ac:dyDescent="0.25">
      <c r="A938" s="1">
        <f t="shared" si="112"/>
        <v>46116</v>
      </c>
      <c r="B938" t="str" cm="1">
        <f t="array" ref="B938">INDEX(HotelList,MOD(ROW()-2,10)+1)</f>
        <v>H007</v>
      </c>
      <c r="C938">
        <f>_xlfn.XLOOKUP(B938,Dim_Hotel!$A$2:$A$11,Dim_Hotel!$F$2:$F$11)</f>
        <v>132</v>
      </c>
      <c r="D938">
        <f t="shared" si="113"/>
        <v>73</v>
      </c>
      <c r="E938">
        <f t="shared" si="114"/>
        <v>0.55303030303030298</v>
      </c>
      <c r="F938">
        <f t="shared" si="115"/>
        <v>165</v>
      </c>
      <c r="G938">
        <f t="shared" si="116"/>
        <v>91.249999999999986</v>
      </c>
      <c r="H938" t="str">
        <f>_xlfn.XLOOKUP(A938,Fact_Events!$D$2:$D$20,Fact_Events!$A$2:$A$20, "")</f>
        <v/>
      </c>
      <c r="I938">
        <f t="shared" si="117"/>
        <v>0</v>
      </c>
      <c r="J938" t="str">
        <f>_xlfn.XLOOKUP(H938, Fact_Events!$A$2:$A$20, Fact_Events!$F$2:$F$20, "")</f>
        <v/>
      </c>
      <c r="K938" t="str">
        <f t="shared" si="118"/>
        <v>Low</v>
      </c>
      <c r="L938">
        <f t="shared" si="119"/>
        <v>0.55000000000000004</v>
      </c>
      <c r="M938">
        <f>_xlfn.XLOOKUP(B938, Dim_Hotel!$A$2:$A$11, Dim_Hotel!$I$2:$I$11)
 + (IF(J938="",0,J938)
    * _xlfn.XLOOKUP(B938, Dim_Hotel!$A$2:$A$11, Dim_Hotel!$J$2:$J$11))</f>
        <v>165</v>
      </c>
    </row>
    <row r="939" spans="1:13" x14ac:dyDescent="0.25">
      <c r="A939" s="1">
        <f t="shared" si="112"/>
        <v>46116</v>
      </c>
      <c r="B939" t="str" cm="1">
        <f t="array" ref="B939">INDEX(HotelList,MOD(ROW()-2,10)+1)</f>
        <v>H008</v>
      </c>
      <c r="C939">
        <f>_xlfn.XLOOKUP(B939,Dim_Hotel!$A$2:$A$11,Dim_Hotel!$F$2:$F$11)</f>
        <v>103</v>
      </c>
      <c r="D939">
        <f t="shared" si="113"/>
        <v>57</v>
      </c>
      <c r="E939">
        <f t="shared" si="114"/>
        <v>0.55339805825242716</v>
      </c>
      <c r="F939">
        <f t="shared" si="115"/>
        <v>140</v>
      </c>
      <c r="G939">
        <f t="shared" si="116"/>
        <v>77.475728155339809</v>
      </c>
      <c r="H939" t="str">
        <f>_xlfn.XLOOKUP(A939,Fact_Events!$D$2:$D$20,Fact_Events!$A$2:$A$20, "")</f>
        <v/>
      </c>
      <c r="I939">
        <f t="shared" si="117"/>
        <v>0</v>
      </c>
      <c r="J939" t="str">
        <f>_xlfn.XLOOKUP(H939, Fact_Events!$A$2:$A$20, Fact_Events!$F$2:$F$20, "")</f>
        <v/>
      </c>
      <c r="K939" t="str">
        <f t="shared" si="118"/>
        <v>Low</v>
      </c>
      <c r="L939">
        <f t="shared" si="119"/>
        <v>0.55000000000000004</v>
      </c>
      <c r="M939">
        <f>_xlfn.XLOOKUP(B939, Dim_Hotel!$A$2:$A$11, Dim_Hotel!$I$2:$I$11)
 + (IF(J939="",0,J939)
    * _xlfn.XLOOKUP(B939, Dim_Hotel!$A$2:$A$11, Dim_Hotel!$J$2:$J$11))</f>
        <v>140</v>
      </c>
    </row>
    <row r="940" spans="1:13" x14ac:dyDescent="0.25">
      <c r="A940" s="1">
        <f t="shared" si="112"/>
        <v>46116</v>
      </c>
      <c r="B940" t="str" cm="1">
        <f t="array" ref="B940">INDEX(HotelList,MOD(ROW()-2,10)+1)</f>
        <v>H009</v>
      </c>
      <c r="C940">
        <f>_xlfn.XLOOKUP(B940,Dim_Hotel!$A$2:$A$11,Dim_Hotel!$F$2:$F$11)</f>
        <v>114</v>
      </c>
      <c r="D940">
        <f t="shared" si="113"/>
        <v>63</v>
      </c>
      <c r="E940">
        <f t="shared" si="114"/>
        <v>0.55263157894736847</v>
      </c>
      <c r="F940">
        <f t="shared" si="115"/>
        <v>185</v>
      </c>
      <c r="G940">
        <f t="shared" si="116"/>
        <v>102.23684210526316</v>
      </c>
      <c r="H940" t="str">
        <f>_xlfn.XLOOKUP(A940,Fact_Events!$D$2:$D$20,Fact_Events!$A$2:$A$20, "")</f>
        <v/>
      </c>
      <c r="I940">
        <f t="shared" si="117"/>
        <v>0</v>
      </c>
      <c r="J940" t="str">
        <f>_xlfn.XLOOKUP(H940, Fact_Events!$A$2:$A$20, Fact_Events!$F$2:$F$20, "")</f>
        <v/>
      </c>
      <c r="K940" t="str">
        <f t="shared" si="118"/>
        <v>Low</v>
      </c>
      <c r="L940">
        <f t="shared" si="119"/>
        <v>0.55000000000000004</v>
      </c>
      <c r="M940">
        <f>_xlfn.XLOOKUP(B940, Dim_Hotel!$A$2:$A$11, Dim_Hotel!$I$2:$I$11)
 + (IF(J940="",0,J940)
    * _xlfn.XLOOKUP(B940, Dim_Hotel!$A$2:$A$11, Dim_Hotel!$J$2:$J$11))</f>
        <v>185</v>
      </c>
    </row>
    <row r="941" spans="1:13" x14ac:dyDescent="0.25">
      <c r="A941" s="1">
        <f t="shared" si="112"/>
        <v>46116</v>
      </c>
      <c r="B941" t="str" cm="1">
        <f t="array" ref="B941">INDEX(HotelList,MOD(ROW()-2,10)+1)</f>
        <v>H010</v>
      </c>
      <c r="C941">
        <f>_xlfn.XLOOKUP(B941,Dim_Hotel!$A$2:$A$11,Dim_Hotel!$F$2:$F$11)</f>
        <v>89</v>
      </c>
      <c r="D941">
        <f t="shared" si="113"/>
        <v>49</v>
      </c>
      <c r="E941">
        <f t="shared" si="114"/>
        <v>0.550561797752809</v>
      </c>
      <c r="F941">
        <f t="shared" si="115"/>
        <v>150</v>
      </c>
      <c r="G941">
        <f t="shared" si="116"/>
        <v>82.584269662921344</v>
      </c>
      <c r="H941" t="str">
        <f>_xlfn.XLOOKUP(A941,Fact_Events!$D$2:$D$20,Fact_Events!$A$2:$A$20, "")</f>
        <v/>
      </c>
      <c r="I941">
        <f t="shared" si="117"/>
        <v>0</v>
      </c>
      <c r="J941" t="str">
        <f>_xlfn.XLOOKUP(H941, Fact_Events!$A$2:$A$20, Fact_Events!$F$2:$F$20, "")</f>
        <v/>
      </c>
      <c r="K941" t="str">
        <f t="shared" si="118"/>
        <v>Low</v>
      </c>
      <c r="L941">
        <f t="shared" si="119"/>
        <v>0.55000000000000004</v>
      </c>
      <c r="M941">
        <f>_xlfn.XLOOKUP(B941, Dim_Hotel!$A$2:$A$11, Dim_Hotel!$I$2:$I$11)
 + (IF(J941="",0,J941)
    * _xlfn.XLOOKUP(B941, Dim_Hotel!$A$2:$A$11, Dim_Hotel!$J$2:$J$11))</f>
        <v>150</v>
      </c>
    </row>
    <row r="942" spans="1:13" x14ac:dyDescent="0.25">
      <c r="A942" s="1">
        <f t="shared" si="112"/>
        <v>46117</v>
      </c>
      <c r="B942" t="str" cm="1">
        <f t="array" ref="B942">INDEX(HotelList,MOD(ROW()-2,10)+1)</f>
        <v>H001</v>
      </c>
      <c r="C942">
        <f>_xlfn.XLOOKUP(B942,Dim_Hotel!$A$2:$A$11,Dim_Hotel!$F$2:$F$11)</f>
        <v>888</v>
      </c>
      <c r="D942">
        <f t="shared" si="113"/>
        <v>488</v>
      </c>
      <c r="E942">
        <f t="shared" si="114"/>
        <v>0.5495495495495496</v>
      </c>
      <c r="F942">
        <f t="shared" si="115"/>
        <v>260</v>
      </c>
      <c r="G942">
        <f t="shared" si="116"/>
        <v>142.88288288288288</v>
      </c>
      <c r="H942" t="str">
        <f>_xlfn.XLOOKUP(A942,Fact_Events!$D$2:$D$20,Fact_Events!$A$2:$A$20, "")</f>
        <v/>
      </c>
      <c r="I942">
        <f t="shared" si="117"/>
        <v>0</v>
      </c>
      <c r="J942" t="str">
        <f>_xlfn.XLOOKUP(H942, Fact_Events!$A$2:$A$20, Fact_Events!$F$2:$F$20, "")</f>
        <v/>
      </c>
      <c r="K942" t="str">
        <f t="shared" si="118"/>
        <v>Low</v>
      </c>
      <c r="L942">
        <f t="shared" si="119"/>
        <v>0.55000000000000004</v>
      </c>
      <c r="M942">
        <f>_xlfn.XLOOKUP(B942, Dim_Hotel!$A$2:$A$11, Dim_Hotel!$I$2:$I$11)
 + (IF(J942="",0,J942)
    * _xlfn.XLOOKUP(B942, Dim_Hotel!$A$2:$A$11, Dim_Hotel!$J$2:$J$11))</f>
        <v>260</v>
      </c>
    </row>
    <row r="943" spans="1:13" x14ac:dyDescent="0.25">
      <c r="A943" s="1">
        <f t="shared" si="112"/>
        <v>46117</v>
      </c>
      <c r="B943" t="str" cm="1">
        <f t="array" ref="B943">INDEX(HotelList,MOD(ROW()-2,10)+1)</f>
        <v>H002</v>
      </c>
      <c r="C943">
        <f>_xlfn.XLOOKUP(B943,Dim_Hotel!$A$2:$A$11,Dim_Hotel!$F$2:$F$11)</f>
        <v>147</v>
      </c>
      <c r="D943">
        <f t="shared" si="113"/>
        <v>81</v>
      </c>
      <c r="E943">
        <f t="shared" si="114"/>
        <v>0.55102040816326525</v>
      </c>
      <c r="F943">
        <f t="shared" si="115"/>
        <v>175</v>
      </c>
      <c r="G943">
        <f t="shared" si="116"/>
        <v>96.428571428571416</v>
      </c>
      <c r="H943" t="str">
        <f>_xlfn.XLOOKUP(A943,Fact_Events!$D$2:$D$20,Fact_Events!$A$2:$A$20, "")</f>
        <v/>
      </c>
      <c r="I943">
        <f t="shared" si="117"/>
        <v>0</v>
      </c>
      <c r="J943" t="str">
        <f>_xlfn.XLOOKUP(H943, Fact_Events!$A$2:$A$20, Fact_Events!$F$2:$F$20, "")</f>
        <v/>
      </c>
      <c r="K943" t="str">
        <f t="shared" si="118"/>
        <v>Low</v>
      </c>
      <c r="L943">
        <f t="shared" si="119"/>
        <v>0.55000000000000004</v>
      </c>
      <c r="M943">
        <f>_xlfn.XLOOKUP(B943, Dim_Hotel!$A$2:$A$11, Dim_Hotel!$I$2:$I$11)
 + (IF(J943="",0,J943)
    * _xlfn.XLOOKUP(B943, Dim_Hotel!$A$2:$A$11, Dim_Hotel!$J$2:$J$11))</f>
        <v>175</v>
      </c>
    </row>
    <row r="944" spans="1:13" x14ac:dyDescent="0.25">
      <c r="A944" s="1">
        <f t="shared" si="112"/>
        <v>46117</v>
      </c>
      <c r="B944" t="str" cm="1">
        <f t="array" ref="B944">INDEX(HotelList,MOD(ROW()-2,10)+1)</f>
        <v>H003</v>
      </c>
      <c r="C944">
        <f>_xlfn.XLOOKUP(B944,Dim_Hotel!$A$2:$A$11,Dim_Hotel!$F$2:$F$11)</f>
        <v>121</v>
      </c>
      <c r="D944">
        <f t="shared" si="113"/>
        <v>67</v>
      </c>
      <c r="E944">
        <f t="shared" si="114"/>
        <v>0.55371900826446285</v>
      </c>
      <c r="F944">
        <f t="shared" si="115"/>
        <v>145</v>
      </c>
      <c r="G944">
        <f t="shared" si="116"/>
        <v>80.289256198347118</v>
      </c>
      <c r="H944" t="str">
        <f>_xlfn.XLOOKUP(A944,Fact_Events!$D$2:$D$20,Fact_Events!$A$2:$A$20, "")</f>
        <v/>
      </c>
      <c r="I944">
        <f t="shared" si="117"/>
        <v>0</v>
      </c>
      <c r="J944" t="str">
        <f>_xlfn.XLOOKUP(H944, Fact_Events!$A$2:$A$20, Fact_Events!$F$2:$F$20, "")</f>
        <v/>
      </c>
      <c r="K944" t="str">
        <f t="shared" si="118"/>
        <v>Low</v>
      </c>
      <c r="L944">
        <f t="shared" si="119"/>
        <v>0.55000000000000004</v>
      </c>
      <c r="M944">
        <f>_xlfn.XLOOKUP(B944, Dim_Hotel!$A$2:$A$11, Dim_Hotel!$I$2:$I$11)
 + (IF(J944="",0,J944)
    * _xlfn.XLOOKUP(B944, Dim_Hotel!$A$2:$A$11, Dim_Hotel!$J$2:$J$11))</f>
        <v>145</v>
      </c>
    </row>
    <row r="945" spans="1:13" x14ac:dyDescent="0.25">
      <c r="A945" s="1">
        <f t="shared" si="112"/>
        <v>46117</v>
      </c>
      <c r="B945" t="str" cm="1">
        <f t="array" ref="B945">INDEX(HotelList,MOD(ROW()-2,10)+1)</f>
        <v>H004</v>
      </c>
      <c r="C945">
        <f>_xlfn.XLOOKUP(B945,Dim_Hotel!$A$2:$A$11,Dim_Hotel!$F$2:$F$11)</f>
        <v>108</v>
      </c>
      <c r="D945">
        <f t="shared" si="113"/>
        <v>59</v>
      </c>
      <c r="E945">
        <f t="shared" si="114"/>
        <v>0.54629629629629628</v>
      </c>
      <c r="F945">
        <f t="shared" si="115"/>
        <v>135</v>
      </c>
      <c r="G945">
        <f t="shared" si="116"/>
        <v>73.75</v>
      </c>
      <c r="H945" t="str">
        <f>_xlfn.XLOOKUP(A945,Fact_Events!$D$2:$D$20,Fact_Events!$A$2:$A$20, "")</f>
        <v/>
      </c>
      <c r="I945">
        <f t="shared" si="117"/>
        <v>0</v>
      </c>
      <c r="J945" t="str">
        <f>_xlfn.XLOOKUP(H945, Fact_Events!$A$2:$A$20, Fact_Events!$F$2:$F$20, "")</f>
        <v/>
      </c>
      <c r="K945" t="str">
        <f t="shared" si="118"/>
        <v>Low</v>
      </c>
      <c r="L945">
        <f t="shared" si="119"/>
        <v>0.55000000000000004</v>
      </c>
      <c r="M945">
        <f>_xlfn.XLOOKUP(B945, Dim_Hotel!$A$2:$A$11, Dim_Hotel!$I$2:$I$11)
 + (IF(J945="",0,J945)
    * _xlfn.XLOOKUP(B945, Dim_Hotel!$A$2:$A$11, Dim_Hotel!$J$2:$J$11))</f>
        <v>135</v>
      </c>
    </row>
    <row r="946" spans="1:13" x14ac:dyDescent="0.25">
      <c r="A946" s="1">
        <f t="shared" si="112"/>
        <v>46117</v>
      </c>
      <c r="B946" t="str" cm="1">
        <f t="array" ref="B946">INDEX(HotelList,MOD(ROW()-2,10)+1)</f>
        <v>H005</v>
      </c>
      <c r="C946">
        <f>_xlfn.XLOOKUP(B946,Dim_Hotel!$A$2:$A$11,Dim_Hotel!$F$2:$F$11)</f>
        <v>66</v>
      </c>
      <c r="D946">
        <f t="shared" si="113"/>
        <v>36</v>
      </c>
      <c r="E946">
        <f t="shared" si="114"/>
        <v>0.54545454545454541</v>
      </c>
      <c r="F946">
        <f t="shared" si="115"/>
        <v>82</v>
      </c>
      <c r="G946">
        <f t="shared" si="116"/>
        <v>44.727272727272727</v>
      </c>
      <c r="H946" t="str">
        <f>_xlfn.XLOOKUP(A946,Fact_Events!$D$2:$D$20,Fact_Events!$A$2:$A$20, "")</f>
        <v/>
      </c>
      <c r="I946">
        <f t="shared" si="117"/>
        <v>0</v>
      </c>
      <c r="J946" t="str">
        <f>_xlfn.XLOOKUP(H946, Fact_Events!$A$2:$A$20, Fact_Events!$F$2:$F$20, "")</f>
        <v/>
      </c>
      <c r="K946" t="str">
        <f t="shared" si="118"/>
        <v>Low</v>
      </c>
      <c r="L946">
        <f t="shared" si="119"/>
        <v>0.55000000000000004</v>
      </c>
      <c r="M946">
        <f>_xlfn.XLOOKUP(B946, Dim_Hotel!$A$2:$A$11, Dim_Hotel!$I$2:$I$11)
 + (IF(J946="",0,J946)
    * _xlfn.XLOOKUP(B946, Dim_Hotel!$A$2:$A$11, Dim_Hotel!$J$2:$J$11))</f>
        <v>82</v>
      </c>
    </row>
    <row r="947" spans="1:13" x14ac:dyDescent="0.25">
      <c r="A947" s="1">
        <f t="shared" si="112"/>
        <v>46117</v>
      </c>
      <c r="B947" t="str" cm="1">
        <f t="array" ref="B947">INDEX(HotelList,MOD(ROW()-2,10)+1)</f>
        <v>H006</v>
      </c>
      <c r="C947">
        <f>_xlfn.XLOOKUP(B947,Dim_Hotel!$A$2:$A$11,Dim_Hotel!$F$2:$F$11)</f>
        <v>311</v>
      </c>
      <c r="D947">
        <f t="shared" si="113"/>
        <v>171</v>
      </c>
      <c r="E947">
        <f t="shared" si="114"/>
        <v>0.54983922829581988</v>
      </c>
      <c r="F947">
        <f t="shared" si="115"/>
        <v>190</v>
      </c>
      <c r="G947">
        <f t="shared" si="116"/>
        <v>104.46945337620578</v>
      </c>
      <c r="H947" t="str">
        <f>_xlfn.XLOOKUP(A947,Fact_Events!$D$2:$D$20,Fact_Events!$A$2:$A$20, "")</f>
        <v/>
      </c>
      <c r="I947">
        <f t="shared" si="117"/>
        <v>0</v>
      </c>
      <c r="J947" t="str">
        <f>_xlfn.XLOOKUP(H947, Fact_Events!$A$2:$A$20, Fact_Events!$F$2:$F$20, "")</f>
        <v/>
      </c>
      <c r="K947" t="str">
        <f t="shared" si="118"/>
        <v>Low</v>
      </c>
      <c r="L947">
        <f t="shared" si="119"/>
        <v>0.55000000000000004</v>
      </c>
      <c r="M947">
        <f>_xlfn.XLOOKUP(B947, Dim_Hotel!$A$2:$A$11, Dim_Hotel!$I$2:$I$11)
 + (IF(J947="",0,J947)
    * _xlfn.XLOOKUP(B947, Dim_Hotel!$A$2:$A$11, Dim_Hotel!$J$2:$J$11))</f>
        <v>190</v>
      </c>
    </row>
    <row r="948" spans="1:13" x14ac:dyDescent="0.25">
      <c r="A948" s="1">
        <f t="shared" si="112"/>
        <v>46117</v>
      </c>
      <c r="B948" t="str" cm="1">
        <f t="array" ref="B948">INDEX(HotelList,MOD(ROW()-2,10)+1)</f>
        <v>H007</v>
      </c>
      <c r="C948">
        <f>_xlfn.XLOOKUP(B948,Dim_Hotel!$A$2:$A$11,Dim_Hotel!$F$2:$F$11)</f>
        <v>132</v>
      </c>
      <c r="D948">
        <f t="shared" si="113"/>
        <v>73</v>
      </c>
      <c r="E948">
        <f t="shared" si="114"/>
        <v>0.55303030303030298</v>
      </c>
      <c r="F948">
        <f t="shared" si="115"/>
        <v>165</v>
      </c>
      <c r="G948">
        <f t="shared" si="116"/>
        <v>91.249999999999986</v>
      </c>
      <c r="H948" t="str">
        <f>_xlfn.XLOOKUP(A948,Fact_Events!$D$2:$D$20,Fact_Events!$A$2:$A$20, "")</f>
        <v/>
      </c>
      <c r="I948">
        <f t="shared" si="117"/>
        <v>0</v>
      </c>
      <c r="J948" t="str">
        <f>_xlfn.XLOOKUP(H948, Fact_Events!$A$2:$A$20, Fact_Events!$F$2:$F$20, "")</f>
        <v/>
      </c>
      <c r="K948" t="str">
        <f t="shared" si="118"/>
        <v>Low</v>
      </c>
      <c r="L948">
        <f t="shared" si="119"/>
        <v>0.55000000000000004</v>
      </c>
      <c r="M948">
        <f>_xlfn.XLOOKUP(B948, Dim_Hotel!$A$2:$A$11, Dim_Hotel!$I$2:$I$11)
 + (IF(J948="",0,J948)
    * _xlfn.XLOOKUP(B948, Dim_Hotel!$A$2:$A$11, Dim_Hotel!$J$2:$J$11))</f>
        <v>165</v>
      </c>
    </row>
    <row r="949" spans="1:13" x14ac:dyDescent="0.25">
      <c r="A949" s="1">
        <f t="shared" si="112"/>
        <v>46117</v>
      </c>
      <c r="B949" t="str" cm="1">
        <f t="array" ref="B949">INDEX(HotelList,MOD(ROW()-2,10)+1)</f>
        <v>H008</v>
      </c>
      <c r="C949">
        <f>_xlfn.XLOOKUP(B949,Dim_Hotel!$A$2:$A$11,Dim_Hotel!$F$2:$F$11)</f>
        <v>103</v>
      </c>
      <c r="D949">
        <f t="shared" si="113"/>
        <v>57</v>
      </c>
      <c r="E949">
        <f t="shared" si="114"/>
        <v>0.55339805825242716</v>
      </c>
      <c r="F949">
        <f t="shared" si="115"/>
        <v>140</v>
      </c>
      <c r="G949">
        <f t="shared" si="116"/>
        <v>77.475728155339809</v>
      </c>
      <c r="H949" t="str">
        <f>_xlfn.XLOOKUP(A949,Fact_Events!$D$2:$D$20,Fact_Events!$A$2:$A$20, "")</f>
        <v/>
      </c>
      <c r="I949">
        <f t="shared" si="117"/>
        <v>0</v>
      </c>
      <c r="J949" t="str">
        <f>_xlfn.XLOOKUP(H949, Fact_Events!$A$2:$A$20, Fact_Events!$F$2:$F$20, "")</f>
        <v/>
      </c>
      <c r="K949" t="str">
        <f t="shared" si="118"/>
        <v>Low</v>
      </c>
      <c r="L949">
        <f t="shared" si="119"/>
        <v>0.55000000000000004</v>
      </c>
      <c r="M949">
        <f>_xlfn.XLOOKUP(B949, Dim_Hotel!$A$2:$A$11, Dim_Hotel!$I$2:$I$11)
 + (IF(J949="",0,J949)
    * _xlfn.XLOOKUP(B949, Dim_Hotel!$A$2:$A$11, Dim_Hotel!$J$2:$J$11))</f>
        <v>140</v>
      </c>
    </row>
    <row r="950" spans="1:13" x14ac:dyDescent="0.25">
      <c r="A950" s="1">
        <f t="shared" si="112"/>
        <v>46117</v>
      </c>
      <c r="B950" t="str" cm="1">
        <f t="array" ref="B950">INDEX(HotelList,MOD(ROW()-2,10)+1)</f>
        <v>H009</v>
      </c>
      <c r="C950">
        <f>_xlfn.XLOOKUP(B950,Dim_Hotel!$A$2:$A$11,Dim_Hotel!$F$2:$F$11)</f>
        <v>114</v>
      </c>
      <c r="D950">
        <f t="shared" si="113"/>
        <v>63</v>
      </c>
      <c r="E950">
        <f t="shared" si="114"/>
        <v>0.55263157894736847</v>
      </c>
      <c r="F950">
        <f t="shared" si="115"/>
        <v>185</v>
      </c>
      <c r="G950">
        <f t="shared" si="116"/>
        <v>102.23684210526316</v>
      </c>
      <c r="H950" t="str">
        <f>_xlfn.XLOOKUP(A950,Fact_Events!$D$2:$D$20,Fact_Events!$A$2:$A$20, "")</f>
        <v/>
      </c>
      <c r="I950">
        <f t="shared" si="117"/>
        <v>0</v>
      </c>
      <c r="J950" t="str">
        <f>_xlfn.XLOOKUP(H950, Fact_Events!$A$2:$A$20, Fact_Events!$F$2:$F$20, "")</f>
        <v/>
      </c>
      <c r="K950" t="str">
        <f t="shared" si="118"/>
        <v>Low</v>
      </c>
      <c r="L950">
        <f t="shared" si="119"/>
        <v>0.55000000000000004</v>
      </c>
      <c r="M950">
        <f>_xlfn.XLOOKUP(B950, Dim_Hotel!$A$2:$A$11, Dim_Hotel!$I$2:$I$11)
 + (IF(J950="",0,J950)
    * _xlfn.XLOOKUP(B950, Dim_Hotel!$A$2:$A$11, Dim_Hotel!$J$2:$J$11))</f>
        <v>185</v>
      </c>
    </row>
    <row r="951" spans="1:13" x14ac:dyDescent="0.25">
      <c r="A951" s="1">
        <f t="shared" si="112"/>
        <v>46117</v>
      </c>
      <c r="B951" t="str" cm="1">
        <f t="array" ref="B951">INDEX(HotelList,MOD(ROW()-2,10)+1)</f>
        <v>H010</v>
      </c>
      <c r="C951">
        <f>_xlfn.XLOOKUP(B951,Dim_Hotel!$A$2:$A$11,Dim_Hotel!$F$2:$F$11)</f>
        <v>89</v>
      </c>
      <c r="D951">
        <f t="shared" si="113"/>
        <v>49</v>
      </c>
      <c r="E951">
        <f t="shared" si="114"/>
        <v>0.550561797752809</v>
      </c>
      <c r="F951">
        <f t="shared" si="115"/>
        <v>150</v>
      </c>
      <c r="G951">
        <f t="shared" si="116"/>
        <v>82.584269662921344</v>
      </c>
      <c r="H951" t="str">
        <f>_xlfn.XLOOKUP(A951,Fact_Events!$D$2:$D$20,Fact_Events!$A$2:$A$20, "")</f>
        <v/>
      </c>
      <c r="I951">
        <f t="shared" si="117"/>
        <v>0</v>
      </c>
      <c r="J951" t="str">
        <f>_xlfn.XLOOKUP(H951, Fact_Events!$A$2:$A$20, Fact_Events!$F$2:$F$20, "")</f>
        <v/>
      </c>
      <c r="K951" t="str">
        <f t="shared" si="118"/>
        <v>Low</v>
      </c>
      <c r="L951">
        <f t="shared" si="119"/>
        <v>0.55000000000000004</v>
      </c>
      <c r="M951">
        <f>_xlfn.XLOOKUP(B951, Dim_Hotel!$A$2:$A$11, Dim_Hotel!$I$2:$I$11)
 + (IF(J951="",0,J951)
    * _xlfn.XLOOKUP(B951, Dim_Hotel!$A$2:$A$11, Dim_Hotel!$J$2:$J$11))</f>
        <v>150</v>
      </c>
    </row>
    <row r="952" spans="1:13" x14ac:dyDescent="0.25">
      <c r="A952" s="1">
        <f t="shared" si="112"/>
        <v>46118</v>
      </c>
      <c r="B952" t="str" cm="1">
        <f t="array" ref="B952">INDEX(HotelList,MOD(ROW()-2,10)+1)</f>
        <v>H001</v>
      </c>
      <c r="C952">
        <f>_xlfn.XLOOKUP(B952,Dim_Hotel!$A$2:$A$11,Dim_Hotel!$F$2:$F$11)</f>
        <v>888</v>
      </c>
      <c r="D952">
        <f t="shared" si="113"/>
        <v>488</v>
      </c>
      <c r="E952">
        <f t="shared" si="114"/>
        <v>0.5495495495495496</v>
      </c>
      <c r="F952">
        <f t="shared" si="115"/>
        <v>260</v>
      </c>
      <c r="G952">
        <f t="shared" si="116"/>
        <v>142.88288288288288</v>
      </c>
      <c r="H952" t="str">
        <f>_xlfn.XLOOKUP(A952,Fact_Events!$D$2:$D$20,Fact_Events!$A$2:$A$20, "")</f>
        <v/>
      </c>
      <c r="I952">
        <f t="shared" si="117"/>
        <v>0</v>
      </c>
      <c r="J952" t="str">
        <f>_xlfn.XLOOKUP(H952, Fact_Events!$A$2:$A$20, Fact_Events!$F$2:$F$20, "")</f>
        <v/>
      </c>
      <c r="K952" t="str">
        <f t="shared" si="118"/>
        <v>Low</v>
      </c>
      <c r="L952">
        <f t="shared" si="119"/>
        <v>0.55000000000000004</v>
      </c>
      <c r="M952">
        <f>_xlfn.XLOOKUP(B952, Dim_Hotel!$A$2:$A$11, Dim_Hotel!$I$2:$I$11)
 + (IF(J952="",0,J952)
    * _xlfn.XLOOKUP(B952, Dim_Hotel!$A$2:$A$11, Dim_Hotel!$J$2:$J$11))</f>
        <v>260</v>
      </c>
    </row>
    <row r="953" spans="1:13" x14ac:dyDescent="0.25">
      <c r="A953" s="1">
        <f t="shared" si="112"/>
        <v>46118</v>
      </c>
      <c r="B953" t="str" cm="1">
        <f t="array" ref="B953">INDEX(HotelList,MOD(ROW()-2,10)+1)</f>
        <v>H002</v>
      </c>
      <c r="C953">
        <f>_xlfn.XLOOKUP(B953,Dim_Hotel!$A$2:$A$11,Dim_Hotel!$F$2:$F$11)</f>
        <v>147</v>
      </c>
      <c r="D953">
        <f t="shared" si="113"/>
        <v>81</v>
      </c>
      <c r="E953">
        <f t="shared" si="114"/>
        <v>0.55102040816326525</v>
      </c>
      <c r="F953">
        <f t="shared" si="115"/>
        <v>175</v>
      </c>
      <c r="G953">
        <f t="shared" si="116"/>
        <v>96.428571428571416</v>
      </c>
      <c r="H953" t="str">
        <f>_xlfn.XLOOKUP(A953,Fact_Events!$D$2:$D$20,Fact_Events!$A$2:$A$20, "")</f>
        <v/>
      </c>
      <c r="I953">
        <f t="shared" si="117"/>
        <v>0</v>
      </c>
      <c r="J953" t="str">
        <f>_xlfn.XLOOKUP(H953, Fact_Events!$A$2:$A$20, Fact_Events!$F$2:$F$20, "")</f>
        <v/>
      </c>
      <c r="K953" t="str">
        <f t="shared" si="118"/>
        <v>Low</v>
      </c>
      <c r="L953">
        <f t="shared" si="119"/>
        <v>0.55000000000000004</v>
      </c>
      <c r="M953">
        <f>_xlfn.XLOOKUP(B953, Dim_Hotel!$A$2:$A$11, Dim_Hotel!$I$2:$I$11)
 + (IF(J953="",0,J953)
    * _xlfn.XLOOKUP(B953, Dim_Hotel!$A$2:$A$11, Dim_Hotel!$J$2:$J$11))</f>
        <v>175</v>
      </c>
    </row>
    <row r="954" spans="1:13" x14ac:dyDescent="0.25">
      <c r="A954" s="1">
        <f t="shared" si="112"/>
        <v>46118</v>
      </c>
      <c r="B954" t="str" cm="1">
        <f t="array" ref="B954">INDEX(HotelList,MOD(ROW()-2,10)+1)</f>
        <v>H003</v>
      </c>
      <c r="C954">
        <f>_xlfn.XLOOKUP(B954,Dim_Hotel!$A$2:$A$11,Dim_Hotel!$F$2:$F$11)</f>
        <v>121</v>
      </c>
      <c r="D954">
        <f t="shared" si="113"/>
        <v>67</v>
      </c>
      <c r="E954">
        <f t="shared" si="114"/>
        <v>0.55371900826446285</v>
      </c>
      <c r="F954">
        <f t="shared" si="115"/>
        <v>145</v>
      </c>
      <c r="G954">
        <f t="shared" si="116"/>
        <v>80.289256198347118</v>
      </c>
      <c r="H954" t="str">
        <f>_xlfn.XLOOKUP(A954,Fact_Events!$D$2:$D$20,Fact_Events!$A$2:$A$20, "")</f>
        <v/>
      </c>
      <c r="I954">
        <f t="shared" si="117"/>
        <v>0</v>
      </c>
      <c r="J954" t="str">
        <f>_xlfn.XLOOKUP(H954, Fact_Events!$A$2:$A$20, Fact_Events!$F$2:$F$20, "")</f>
        <v/>
      </c>
      <c r="K954" t="str">
        <f t="shared" si="118"/>
        <v>Low</v>
      </c>
      <c r="L954">
        <f t="shared" si="119"/>
        <v>0.55000000000000004</v>
      </c>
      <c r="M954">
        <f>_xlfn.XLOOKUP(B954, Dim_Hotel!$A$2:$A$11, Dim_Hotel!$I$2:$I$11)
 + (IF(J954="",0,J954)
    * _xlfn.XLOOKUP(B954, Dim_Hotel!$A$2:$A$11, Dim_Hotel!$J$2:$J$11))</f>
        <v>145</v>
      </c>
    </row>
    <row r="955" spans="1:13" x14ac:dyDescent="0.25">
      <c r="A955" s="1">
        <f t="shared" si="112"/>
        <v>46118</v>
      </c>
      <c r="B955" t="str" cm="1">
        <f t="array" ref="B955">INDEX(HotelList,MOD(ROW()-2,10)+1)</f>
        <v>H004</v>
      </c>
      <c r="C955">
        <f>_xlfn.XLOOKUP(B955,Dim_Hotel!$A$2:$A$11,Dim_Hotel!$F$2:$F$11)</f>
        <v>108</v>
      </c>
      <c r="D955">
        <f t="shared" si="113"/>
        <v>59</v>
      </c>
      <c r="E955">
        <f t="shared" si="114"/>
        <v>0.54629629629629628</v>
      </c>
      <c r="F955">
        <f t="shared" si="115"/>
        <v>135</v>
      </c>
      <c r="G955">
        <f t="shared" si="116"/>
        <v>73.75</v>
      </c>
      <c r="H955" t="str">
        <f>_xlfn.XLOOKUP(A955,Fact_Events!$D$2:$D$20,Fact_Events!$A$2:$A$20, "")</f>
        <v/>
      </c>
      <c r="I955">
        <f t="shared" si="117"/>
        <v>0</v>
      </c>
      <c r="J955" t="str">
        <f>_xlfn.XLOOKUP(H955, Fact_Events!$A$2:$A$20, Fact_Events!$F$2:$F$20, "")</f>
        <v/>
      </c>
      <c r="K955" t="str">
        <f t="shared" si="118"/>
        <v>Low</v>
      </c>
      <c r="L955">
        <f t="shared" si="119"/>
        <v>0.55000000000000004</v>
      </c>
      <c r="M955">
        <f>_xlfn.XLOOKUP(B955, Dim_Hotel!$A$2:$A$11, Dim_Hotel!$I$2:$I$11)
 + (IF(J955="",0,J955)
    * _xlfn.XLOOKUP(B955, Dim_Hotel!$A$2:$A$11, Dim_Hotel!$J$2:$J$11))</f>
        <v>135</v>
      </c>
    </row>
    <row r="956" spans="1:13" x14ac:dyDescent="0.25">
      <c r="A956" s="1">
        <f t="shared" si="112"/>
        <v>46118</v>
      </c>
      <c r="B956" t="str" cm="1">
        <f t="array" ref="B956">INDEX(HotelList,MOD(ROW()-2,10)+1)</f>
        <v>H005</v>
      </c>
      <c r="C956">
        <f>_xlfn.XLOOKUP(B956,Dim_Hotel!$A$2:$A$11,Dim_Hotel!$F$2:$F$11)</f>
        <v>66</v>
      </c>
      <c r="D956">
        <f t="shared" si="113"/>
        <v>36</v>
      </c>
      <c r="E956">
        <f t="shared" si="114"/>
        <v>0.54545454545454541</v>
      </c>
      <c r="F956">
        <f t="shared" si="115"/>
        <v>82</v>
      </c>
      <c r="G956">
        <f t="shared" si="116"/>
        <v>44.727272727272727</v>
      </c>
      <c r="H956" t="str">
        <f>_xlfn.XLOOKUP(A956,Fact_Events!$D$2:$D$20,Fact_Events!$A$2:$A$20, "")</f>
        <v/>
      </c>
      <c r="I956">
        <f t="shared" si="117"/>
        <v>0</v>
      </c>
      <c r="J956" t="str">
        <f>_xlfn.XLOOKUP(H956, Fact_Events!$A$2:$A$20, Fact_Events!$F$2:$F$20, "")</f>
        <v/>
      </c>
      <c r="K956" t="str">
        <f t="shared" si="118"/>
        <v>Low</v>
      </c>
      <c r="L956">
        <f t="shared" si="119"/>
        <v>0.55000000000000004</v>
      </c>
      <c r="M956">
        <f>_xlfn.XLOOKUP(B956, Dim_Hotel!$A$2:$A$11, Dim_Hotel!$I$2:$I$11)
 + (IF(J956="",0,J956)
    * _xlfn.XLOOKUP(B956, Dim_Hotel!$A$2:$A$11, Dim_Hotel!$J$2:$J$11))</f>
        <v>82</v>
      </c>
    </row>
    <row r="957" spans="1:13" x14ac:dyDescent="0.25">
      <c r="A957" s="1">
        <f t="shared" si="112"/>
        <v>46118</v>
      </c>
      <c r="B957" t="str" cm="1">
        <f t="array" ref="B957">INDEX(HotelList,MOD(ROW()-2,10)+1)</f>
        <v>H006</v>
      </c>
      <c r="C957">
        <f>_xlfn.XLOOKUP(B957,Dim_Hotel!$A$2:$A$11,Dim_Hotel!$F$2:$F$11)</f>
        <v>311</v>
      </c>
      <c r="D957">
        <f t="shared" si="113"/>
        <v>171</v>
      </c>
      <c r="E957">
        <f t="shared" si="114"/>
        <v>0.54983922829581988</v>
      </c>
      <c r="F957">
        <f t="shared" si="115"/>
        <v>190</v>
      </c>
      <c r="G957">
        <f t="shared" si="116"/>
        <v>104.46945337620578</v>
      </c>
      <c r="H957" t="str">
        <f>_xlfn.XLOOKUP(A957,Fact_Events!$D$2:$D$20,Fact_Events!$A$2:$A$20, "")</f>
        <v/>
      </c>
      <c r="I957">
        <f t="shared" si="117"/>
        <v>0</v>
      </c>
      <c r="J957" t="str">
        <f>_xlfn.XLOOKUP(H957, Fact_Events!$A$2:$A$20, Fact_Events!$F$2:$F$20, "")</f>
        <v/>
      </c>
      <c r="K957" t="str">
        <f t="shared" si="118"/>
        <v>Low</v>
      </c>
      <c r="L957">
        <f t="shared" si="119"/>
        <v>0.55000000000000004</v>
      </c>
      <c r="M957">
        <f>_xlfn.XLOOKUP(B957, Dim_Hotel!$A$2:$A$11, Dim_Hotel!$I$2:$I$11)
 + (IF(J957="",0,J957)
    * _xlfn.XLOOKUP(B957, Dim_Hotel!$A$2:$A$11, Dim_Hotel!$J$2:$J$11))</f>
        <v>190</v>
      </c>
    </row>
    <row r="958" spans="1:13" x14ac:dyDescent="0.25">
      <c r="A958" s="1">
        <f t="shared" si="112"/>
        <v>46118</v>
      </c>
      <c r="B958" t="str" cm="1">
        <f t="array" ref="B958">INDEX(HotelList,MOD(ROW()-2,10)+1)</f>
        <v>H007</v>
      </c>
      <c r="C958">
        <f>_xlfn.XLOOKUP(B958,Dim_Hotel!$A$2:$A$11,Dim_Hotel!$F$2:$F$11)</f>
        <v>132</v>
      </c>
      <c r="D958">
        <f t="shared" si="113"/>
        <v>73</v>
      </c>
      <c r="E958">
        <f t="shared" si="114"/>
        <v>0.55303030303030298</v>
      </c>
      <c r="F958">
        <f t="shared" si="115"/>
        <v>165</v>
      </c>
      <c r="G958">
        <f t="shared" si="116"/>
        <v>91.249999999999986</v>
      </c>
      <c r="H958" t="str">
        <f>_xlfn.XLOOKUP(A958,Fact_Events!$D$2:$D$20,Fact_Events!$A$2:$A$20, "")</f>
        <v/>
      </c>
      <c r="I958">
        <f t="shared" si="117"/>
        <v>0</v>
      </c>
      <c r="J958" t="str">
        <f>_xlfn.XLOOKUP(H958, Fact_Events!$A$2:$A$20, Fact_Events!$F$2:$F$20, "")</f>
        <v/>
      </c>
      <c r="K958" t="str">
        <f t="shared" si="118"/>
        <v>Low</v>
      </c>
      <c r="L958">
        <f t="shared" si="119"/>
        <v>0.55000000000000004</v>
      </c>
      <c r="M958">
        <f>_xlfn.XLOOKUP(B958, Dim_Hotel!$A$2:$A$11, Dim_Hotel!$I$2:$I$11)
 + (IF(J958="",0,J958)
    * _xlfn.XLOOKUP(B958, Dim_Hotel!$A$2:$A$11, Dim_Hotel!$J$2:$J$11))</f>
        <v>165</v>
      </c>
    </row>
    <row r="959" spans="1:13" x14ac:dyDescent="0.25">
      <c r="A959" s="1">
        <f t="shared" si="112"/>
        <v>46118</v>
      </c>
      <c r="B959" t="str" cm="1">
        <f t="array" ref="B959">INDEX(HotelList,MOD(ROW()-2,10)+1)</f>
        <v>H008</v>
      </c>
      <c r="C959">
        <f>_xlfn.XLOOKUP(B959,Dim_Hotel!$A$2:$A$11,Dim_Hotel!$F$2:$F$11)</f>
        <v>103</v>
      </c>
      <c r="D959">
        <f t="shared" si="113"/>
        <v>57</v>
      </c>
      <c r="E959">
        <f t="shared" si="114"/>
        <v>0.55339805825242716</v>
      </c>
      <c r="F959">
        <f t="shared" si="115"/>
        <v>140</v>
      </c>
      <c r="G959">
        <f t="shared" si="116"/>
        <v>77.475728155339809</v>
      </c>
      <c r="H959" t="str">
        <f>_xlfn.XLOOKUP(A959,Fact_Events!$D$2:$D$20,Fact_Events!$A$2:$A$20, "")</f>
        <v/>
      </c>
      <c r="I959">
        <f t="shared" si="117"/>
        <v>0</v>
      </c>
      <c r="J959" t="str">
        <f>_xlfn.XLOOKUP(H959, Fact_Events!$A$2:$A$20, Fact_Events!$F$2:$F$20, "")</f>
        <v/>
      </c>
      <c r="K959" t="str">
        <f t="shared" si="118"/>
        <v>Low</v>
      </c>
      <c r="L959">
        <f t="shared" si="119"/>
        <v>0.55000000000000004</v>
      </c>
      <c r="M959">
        <f>_xlfn.XLOOKUP(B959, Dim_Hotel!$A$2:$A$11, Dim_Hotel!$I$2:$I$11)
 + (IF(J959="",0,J959)
    * _xlfn.XLOOKUP(B959, Dim_Hotel!$A$2:$A$11, Dim_Hotel!$J$2:$J$11))</f>
        <v>140</v>
      </c>
    </row>
    <row r="960" spans="1:13" x14ac:dyDescent="0.25">
      <c r="A960" s="1">
        <f t="shared" si="112"/>
        <v>46118</v>
      </c>
      <c r="B960" t="str" cm="1">
        <f t="array" ref="B960">INDEX(HotelList,MOD(ROW()-2,10)+1)</f>
        <v>H009</v>
      </c>
      <c r="C960">
        <f>_xlfn.XLOOKUP(B960,Dim_Hotel!$A$2:$A$11,Dim_Hotel!$F$2:$F$11)</f>
        <v>114</v>
      </c>
      <c r="D960">
        <f t="shared" si="113"/>
        <v>63</v>
      </c>
      <c r="E960">
        <f t="shared" si="114"/>
        <v>0.55263157894736847</v>
      </c>
      <c r="F960">
        <f t="shared" si="115"/>
        <v>185</v>
      </c>
      <c r="G960">
        <f t="shared" si="116"/>
        <v>102.23684210526316</v>
      </c>
      <c r="H960" t="str">
        <f>_xlfn.XLOOKUP(A960,Fact_Events!$D$2:$D$20,Fact_Events!$A$2:$A$20, "")</f>
        <v/>
      </c>
      <c r="I960">
        <f t="shared" si="117"/>
        <v>0</v>
      </c>
      <c r="J960" t="str">
        <f>_xlfn.XLOOKUP(H960, Fact_Events!$A$2:$A$20, Fact_Events!$F$2:$F$20, "")</f>
        <v/>
      </c>
      <c r="K960" t="str">
        <f t="shared" si="118"/>
        <v>Low</v>
      </c>
      <c r="L960">
        <f t="shared" si="119"/>
        <v>0.55000000000000004</v>
      </c>
      <c r="M960">
        <f>_xlfn.XLOOKUP(B960, Dim_Hotel!$A$2:$A$11, Dim_Hotel!$I$2:$I$11)
 + (IF(J960="",0,J960)
    * _xlfn.XLOOKUP(B960, Dim_Hotel!$A$2:$A$11, Dim_Hotel!$J$2:$J$11))</f>
        <v>185</v>
      </c>
    </row>
    <row r="961" spans="1:13" x14ac:dyDescent="0.25">
      <c r="A961" s="1">
        <f t="shared" si="112"/>
        <v>46118</v>
      </c>
      <c r="B961" t="str" cm="1">
        <f t="array" ref="B961">INDEX(HotelList,MOD(ROW()-2,10)+1)</f>
        <v>H010</v>
      </c>
      <c r="C961">
        <f>_xlfn.XLOOKUP(B961,Dim_Hotel!$A$2:$A$11,Dim_Hotel!$F$2:$F$11)</f>
        <v>89</v>
      </c>
      <c r="D961">
        <f t="shared" si="113"/>
        <v>49</v>
      </c>
      <c r="E961">
        <f t="shared" si="114"/>
        <v>0.550561797752809</v>
      </c>
      <c r="F961">
        <f t="shared" si="115"/>
        <v>150</v>
      </c>
      <c r="G961">
        <f t="shared" si="116"/>
        <v>82.584269662921344</v>
      </c>
      <c r="H961" t="str">
        <f>_xlfn.XLOOKUP(A961,Fact_Events!$D$2:$D$20,Fact_Events!$A$2:$A$20, "")</f>
        <v/>
      </c>
      <c r="I961">
        <f t="shared" si="117"/>
        <v>0</v>
      </c>
      <c r="J961" t="str">
        <f>_xlfn.XLOOKUP(H961, Fact_Events!$A$2:$A$20, Fact_Events!$F$2:$F$20, "")</f>
        <v/>
      </c>
      <c r="K961" t="str">
        <f t="shared" si="118"/>
        <v>Low</v>
      </c>
      <c r="L961">
        <f t="shared" si="119"/>
        <v>0.55000000000000004</v>
      </c>
      <c r="M961">
        <f>_xlfn.XLOOKUP(B961, Dim_Hotel!$A$2:$A$11, Dim_Hotel!$I$2:$I$11)
 + (IF(J961="",0,J961)
    * _xlfn.XLOOKUP(B961, Dim_Hotel!$A$2:$A$11, Dim_Hotel!$J$2:$J$11))</f>
        <v>150</v>
      </c>
    </row>
    <row r="962" spans="1:13" x14ac:dyDescent="0.25">
      <c r="A962" s="1">
        <f t="shared" si="112"/>
        <v>46119</v>
      </c>
      <c r="B962" t="str" cm="1">
        <f t="array" ref="B962">INDEX(HotelList,MOD(ROW()-2,10)+1)</f>
        <v>H001</v>
      </c>
      <c r="C962">
        <f>_xlfn.XLOOKUP(B962,Dim_Hotel!$A$2:$A$11,Dim_Hotel!$F$2:$F$11)</f>
        <v>888</v>
      </c>
      <c r="D962">
        <f t="shared" si="113"/>
        <v>488</v>
      </c>
      <c r="E962">
        <f t="shared" si="114"/>
        <v>0.5495495495495496</v>
      </c>
      <c r="F962">
        <f t="shared" si="115"/>
        <v>260</v>
      </c>
      <c r="G962">
        <f t="shared" si="116"/>
        <v>142.88288288288288</v>
      </c>
      <c r="H962" t="str">
        <f>_xlfn.XLOOKUP(A962,Fact_Events!$D$2:$D$20,Fact_Events!$A$2:$A$20, "")</f>
        <v/>
      </c>
      <c r="I962">
        <f t="shared" si="117"/>
        <v>0</v>
      </c>
      <c r="J962" t="str">
        <f>_xlfn.XLOOKUP(H962, Fact_Events!$A$2:$A$20, Fact_Events!$F$2:$F$20, "")</f>
        <v/>
      </c>
      <c r="K962" t="str">
        <f t="shared" si="118"/>
        <v>Low</v>
      </c>
      <c r="L962">
        <f t="shared" si="119"/>
        <v>0.55000000000000004</v>
      </c>
      <c r="M962">
        <f>_xlfn.XLOOKUP(B962, Dim_Hotel!$A$2:$A$11, Dim_Hotel!$I$2:$I$11)
 + (IF(J962="",0,J962)
    * _xlfn.XLOOKUP(B962, Dim_Hotel!$A$2:$A$11, Dim_Hotel!$J$2:$J$11))</f>
        <v>260</v>
      </c>
    </row>
    <row r="963" spans="1:13" x14ac:dyDescent="0.25">
      <c r="A963" s="1">
        <f t="shared" ref="A963:A1026" si="120">DATE(2026,1,1) + INT((ROW()-2)/10)</f>
        <v>46119</v>
      </c>
      <c r="B963" t="str" cm="1">
        <f t="array" ref="B963">INDEX(HotelList,MOD(ROW()-2,10)+1)</f>
        <v>H002</v>
      </c>
      <c r="C963">
        <f>_xlfn.XLOOKUP(B963,Dim_Hotel!$A$2:$A$11,Dim_Hotel!$F$2:$F$11)</f>
        <v>147</v>
      </c>
      <c r="D963">
        <f t="shared" ref="D963:D1026" si="121">ROUND(L963 * C963, 0)</f>
        <v>81</v>
      </c>
      <c r="E963">
        <f t="shared" ref="E963:E1026" si="122">D963/C963</f>
        <v>0.55102040816326525</v>
      </c>
      <c r="F963">
        <f t="shared" ref="F963:F1026" si="123">M963</f>
        <v>175</v>
      </c>
      <c r="G963">
        <f t="shared" ref="G963:G1026" si="124">E963*F963</f>
        <v>96.428571428571416</v>
      </c>
      <c r="H963" t="str">
        <f>_xlfn.XLOOKUP(A963,Fact_Events!$D$2:$D$20,Fact_Events!$A$2:$A$20, "")</f>
        <v/>
      </c>
      <c r="I963">
        <f t="shared" ref="I963:I1026" si="125">IF(H963="",0,1)</f>
        <v>0</v>
      </c>
      <c r="J963" t="str">
        <f>_xlfn.XLOOKUP(H963, Fact_Events!$A$2:$A$20, Fact_Events!$F$2:$F$20, "")</f>
        <v/>
      </c>
      <c r="K963" t="str">
        <f t="shared" ref="K963:K1026" si="126">IF(I963=0,"Low",
   IF(J963&gt;=9,"High","Medium"))</f>
        <v>Low</v>
      </c>
      <c r="L963">
        <f t="shared" ref="L963:L1026" si="127">MIN(1,
  0.55
  + (I963 * 0.25)
  + (IF(J963="",0,J963) / 100)
)</f>
        <v>0.55000000000000004</v>
      </c>
      <c r="M963">
        <f>_xlfn.XLOOKUP(B963, Dim_Hotel!$A$2:$A$11, Dim_Hotel!$I$2:$I$11)
 + (IF(J963="",0,J963)
    * _xlfn.XLOOKUP(B963, Dim_Hotel!$A$2:$A$11, Dim_Hotel!$J$2:$J$11))</f>
        <v>175</v>
      </c>
    </row>
    <row r="964" spans="1:13" x14ac:dyDescent="0.25">
      <c r="A964" s="1">
        <f t="shared" si="120"/>
        <v>46119</v>
      </c>
      <c r="B964" t="str" cm="1">
        <f t="array" ref="B964">INDEX(HotelList,MOD(ROW()-2,10)+1)</f>
        <v>H003</v>
      </c>
      <c r="C964">
        <f>_xlfn.XLOOKUP(B964,Dim_Hotel!$A$2:$A$11,Dim_Hotel!$F$2:$F$11)</f>
        <v>121</v>
      </c>
      <c r="D964">
        <f t="shared" si="121"/>
        <v>67</v>
      </c>
      <c r="E964">
        <f t="shared" si="122"/>
        <v>0.55371900826446285</v>
      </c>
      <c r="F964">
        <f t="shared" si="123"/>
        <v>145</v>
      </c>
      <c r="G964">
        <f t="shared" si="124"/>
        <v>80.289256198347118</v>
      </c>
      <c r="H964" t="str">
        <f>_xlfn.XLOOKUP(A964,Fact_Events!$D$2:$D$20,Fact_Events!$A$2:$A$20, "")</f>
        <v/>
      </c>
      <c r="I964">
        <f t="shared" si="125"/>
        <v>0</v>
      </c>
      <c r="J964" t="str">
        <f>_xlfn.XLOOKUP(H964, Fact_Events!$A$2:$A$20, Fact_Events!$F$2:$F$20, "")</f>
        <v/>
      </c>
      <c r="K964" t="str">
        <f t="shared" si="126"/>
        <v>Low</v>
      </c>
      <c r="L964">
        <f t="shared" si="127"/>
        <v>0.55000000000000004</v>
      </c>
      <c r="M964">
        <f>_xlfn.XLOOKUP(B964, Dim_Hotel!$A$2:$A$11, Dim_Hotel!$I$2:$I$11)
 + (IF(J964="",0,J964)
    * _xlfn.XLOOKUP(B964, Dim_Hotel!$A$2:$A$11, Dim_Hotel!$J$2:$J$11))</f>
        <v>145</v>
      </c>
    </row>
    <row r="965" spans="1:13" x14ac:dyDescent="0.25">
      <c r="A965" s="1">
        <f t="shared" si="120"/>
        <v>46119</v>
      </c>
      <c r="B965" t="str" cm="1">
        <f t="array" ref="B965">INDEX(HotelList,MOD(ROW()-2,10)+1)</f>
        <v>H004</v>
      </c>
      <c r="C965">
        <f>_xlfn.XLOOKUP(B965,Dim_Hotel!$A$2:$A$11,Dim_Hotel!$F$2:$F$11)</f>
        <v>108</v>
      </c>
      <c r="D965">
        <f t="shared" si="121"/>
        <v>59</v>
      </c>
      <c r="E965">
        <f t="shared" si="122"/>
        <v>0.54629629629629628</v>
      </c>
      <c r="F965">
        <f t="shared" si="123"/>
        <v>135</v>
      </c>
      <c r="G965">
        <f t="shared" si="124"/>
        <v>73.75</v>
      </c>
      <c r="H965" t="str">
        <f>_xlfn.XLOOKUP(A965,Fact_Events!$D$2:$D$20,Fact_Events!$A$2:$A$20, "")</f>
        <v/>
      </c>
      <c r="I965">
        <f t="shared" si="125"/>
        <v>0</v>
      </c>
      <c r="J965" t="str">
        <f>_xlfn.XLOOKUP(H965, Fact_Events!$A$2:$A$20, Fact_Events!$F$2:$F$20, "")</f>
        <v/>
      </c>
      <c r="K965" t="str">
        <f t="shared" si="126"/>
        <v>Low</v>
      </c>
      <c r="L965">
        <f t="shared" si="127"/>
        <v>0.55000000000000004</v>
      </c>
      <c r="M965">
        <f>_xlfn.XLOOKUP(B965, Dim_Hotel!$A$2:$A$11, Dim_Hotel!$I$2:$I$11)
 + (IF(J965="",0,J965)
    * _xlfn.XLOOKUP(B965, Dim_Hotel!$A$2:$A$11, Dim_Hotel!$J$2:$J$11))</f>
        <v>135</v>
      </c>
    </row>
    <row r="966" spans="1:13" x14ac:dyDescent="0.25">
      <c r="A966" s="1">
        <f t="shared" si="120"/>
        <v>46119</v>
      </c>
      <c r="B966" t="str" cm="1">
        <f t="array" ref="B966">INDEX(HotelList,MOD(ROW()-2,10)+1)</f>
        <v>H005</v>
      </c>
      <c r="C966">
        <f>_xlfn.XLOOKUP(B966,Dim_Hotel!$A$2:$A$11,Dim_Hotel!$F$2:$F$11)</f>
        <v>66</v>
      </c>
      <c r="D966">
        <f t="shared" si="121"/>
        <v>36</v>
      </c>
      <c r="E966">
        <f t="shared" si="122"/>
        <v>0.54545454545454541</v>
      </c>
      <c r="F966">
        <f t="shared" si="123"/>
        <v>82</v>
      </c>
      <c r="G966">
        <f t="shared" si="124"/>
        <v>44.727272727272727</v>
      </c>
      <c r="H966" t="str">
        <f>_xlfn.XLOOKUP(A966,Fact_Events!$D$2:$D$20,Fact_Events!$A$2:$A$20, "")</f>
        <v/>
      </c>
      <c r="I966">
        <f t="shared" si="125"/>
        <v>0</v>
      </c>
      <c r="J966" t="str">
        <f>_xlfn.XLOOKUP(H966, Fact_Events!$A$2:$A$20, Fact_Events!$F$2:$F$20, "")</f>
        <v/>
      </c>
      <c r="K966" t="str">
        <f t="shared" si="126"/>
        <v>Low</v>
      </c>
      <c r="L966">
        <f t="shared" si="127"/>
        <v>0.55000000000000004</v>
      </c>
      <c r="M966">
        <f>_xlfn.XLOOKUP(B966, Dim_Hotel!$A$2:$A$11, Dim_Hotel!$I$2:$I$11)
 + (IF(J966="",0,J966)
    * _xlfn.XLOOKUP(B966, Dim_Hotel!$A$2:$A$11, Dim_Hotel!$J$2:$J$11))</f>
        <v>82</v>
      </c>
    </row>
    <row r="967" spans="1:13" x14ac:dyDescent="0.25">
      <c r="A967" s="1">
        <f t="shared" si="120"/>
        <v>46119</v>
      </c>
      <c r="B967" t="str" cm="1">
        <f t="array" ref="B967">INDEX(HotelList,MOD(ROW()-2,10)+1)</f>
        <v>H006</v>
      </c>
      <c r="C967">
        <f>_xlfn.XLOOKUP(B967,Dim_Hotel!$A$2:$A$11,Dim_Hotel!$F$2:$F$11)</f>
        <v>311</v>
      </c>
      <c r="D967">
        <f t="shared" si="121"/>
        <v>171</v>
      </c>
      <c r="E967">
        <f t="shared" si="122"/>
        <v>0.54983922829581988</v>
      </c>
      <c r="F967">
        <f t="shared" si="123"/>
        <v>190</v>
      </c>
      <c r="G967">
        <f t="shared" si="124"/>
        <v>104.46945337620578</v>
      </c>
      <c r="H967" t="str">
        <f>_xlfn.XLOOKUP(A967,Fact_Events!$D$2:$D$20,Fact_Events!$A$2:$A$20, "")</f>
        <v/>
      </c>
      <c r="I967">
        <f t="shared" si="125"/>
        <v>0</v>
      </c>
      <c r="J967" t="str">
        <f>_xlfn.XLOOKUP(H967, Fact_Events!$A$2:$A$20, Fact_Events!$F$2:$F$20, "")</f>
        <v/>
      </c>
      <c r="K967" t="str">
        <f t="shared" si="126"/>
        <v>Low</v>
      </c>
      <c r="L967">
        <f t="shared" si="127"/>
        <v>0.55000000000000004</v>
      </c>
      <c r="M967">
        <f>_xlfn.XLOOKUP(B967, Dim_Hotel!$A$2:$A$11, Dim_Hotel!$I$2:$I$11)
 + (IF(J967="",0,J967)
    * _xlfn.XLOOKUP(B967, Dim_Hotel!$A$2:$A$11, Dim_Hotel!$J$2:$J$11))</f>
        <v>190</v>
      </c>
    </row>
    <row r="968" spans="1:13" x14ac:dyDescent="0.25">
      <c r="A968" s="1">
        <f t="shared" si="120"/>
        <v>46119</v>
      </c>
      <c r="B968" t="str" cm="1">
        <f t="array" ref="B968">INDEX(HotelList,MOD(ROW()-2,10)+1)</f>
        <v>H007</v>
      </c>
      <c r="C968">
        <f>_xlfn.XLOOKUP(B968,Dim_Hotel!$A$2:$A$11,Dim_Hotel!$F$2:$F$11)</f>
        <v>132</v>
      </c>
      <c r="D968">
        <f t="shared" si="121"/>
        <v>73</v>
      </c>
      <c r="E968">
        <f t="shared" si="122"/>
        <v>0.55303030303030298</v>
      </c>
      <c r="F968">
        <f t="shared" si="123"/>
        <v>165</v>
      </c>
      <c r="G968">
        <f t="shared" si="124"/>
        <v>91.249999999999986</v>
      </c>
      <c r="H968" t="str">
        <f>_xlfn.XLOOKUP(A968,Fact_Events!$D$2:$D$20,Fact_Events!$A$2:$A$20, "")</f>
        <v/>
      </c>
      <c r="I968">
        <f t="shared" si="125"/>
        <v>0</v>
      </c>
      <c r="J968" t="str">
        <f>_xlfn.XLOOKUP(H968, Fact_Events!$A$2:$A$20, Fact_Events!$F$2:$F$20, "")</f>
        <v/>
      </c>
      <c r="K968" t="str">
        <f t="shared" si="126"/>
        <v>Low</v>
      </c>
      <c r="L968">
        <f t="shared" si="127"/>
        <v>0.55000000000000004</v>
      </c>
      <c r="M968">
        <f>_xlfn.XLOOKUP(B968, Dim_Hotel!$A$2:$A$11, Dim_Hotel!$I$2:$I$11)
 + (IF(J968="",0,J968)
    * _xlfn.XLOOKUP(B968, Dim_Hotel!$A$2:$A$11, Dim_Hotel!$J$2:$J$11))</f>
        <v>165</v>
      </c>
    </row>
    <row r="969" spans="1:13" x14ac:dyDescent="0.25">
      <c r="A969" s="1">
        <f t="shared" si="120"/>
        <v>46119</v>
      </c>
      <c r="B969" t="str" cm="1">
        <f t="array" ref="B969">INDEX(HotelList,MOD(ROW()-2,10)+1)</f>
        <v>H008</v>
      </c>
      <c r="C969">
        <f>_xlfn.XLOOKUP(B969,Dim_Hotel!$A$2:$A$11,Dim_Hotel!$F$2:$F$11)</f>
        <v>103</v>
      </c>
      <c r="D969">
        <f t="shared" si="121"/>
        <v>57</v>
      </c>
      <c r="E969">
        <f t="shared" si="122"/>
        <v>0.55339805825242716</v>
      </c>
      <c r="F969">
        <f t="shared" si="123"/>
        <v>140</v>
      </c>
      <c r="G969">
        <f t="shared" si="124"/>
        <v>77.475728155339809</v>
      </c>
      <c r="H969" t="str">
        <f>_xlfn.XLOOKUP(A969,Fact_Events!$D$2:$D$20,Fact_Events!$A$2:$A$20, "")</f>
        <v/>
      </c>
      <c r="I969">
        <f t="shared" si="125"/>
        <v>0</v>
      </c>
      <c r="J969" t="str">
        <f>_xlfn.XLOOKUP(H969, Fact_Events!$A$2:$A$20, Fact_Events!$F$2:$F$20, "")</f>
        <v/>
      </c>
      <c r="K969" t="str">
        <f t="shared" si="126"/>
        <v>Low</v>
      </c>
      <c r="L969">
        <f t="shared" si="127"/>
        <v>0.55000000000000004</v>
      </c>
      <c r="M969">
        <f>_xlfn.XLOOKUP(B969, Dim_Hotel!$A$2:$A$11, Dim_Hotel!$I$2:$I$11)
 + (IF(J969="",0,J969)
    * _xlfn.XLOOKUP(B969, Dim_Hotel!$A$2:$A$11, Dim_Hotel!$J$2:$J$11))</f>
        <v>140</v>
      </c>
    </row>
    <row r="970" spans="1:13" x14ac:dyDescent="0.25">
      <c r="A970" s="1">
        <f t="shared" si="120"/>
        <v>46119</v>
      </c>
      <c r="B970" t="str" cm="1">
        <f t="array" ref="B970">INDEX(HotelList,MOD(ROW()-2,10)+1)</f>
        <v>H009</v>
      </c>
      <c r="C970">
        <f>_xlfn.XLOOKUP(B970,Dim_Hotel!$A$2:$A$11,Dim_Hotel!$F$2:$F$11)</f>
        <v>114</v>
      </c>
      <c r="D970">
        <f t="shared" si="121"/>
        <v>63</v>
      </c>
      <c r="E970">
        <f t="shared" si="122"/>
        <v>0.55263157894736847</v>
      </c>
      <c r="F970">
        <f t="shared" si="123"/>
        <v>185</v>
      </c>
      <c r="G970">
        <f t="shared" si="124"/>
        <v>102.23684210526316</v>
      </c>
      <c r="H970" t="str">
        <f>_xlfn.XLOOKUP(A970,Fact_Events!$D$2:$D$20,Fact_Events!$A$2:$A$20, "")</f>
        <v/>
      </c>
      <c r="I970">
        <f t="shared" si="125"/>
        <v>0</v>
      </c>
      <c r="J970" t="str">
        <f>_xlfn.XLOOKUP(H970, Fact_Events!$A$2:$A$20, Fact_Events!$F$2:$F$20, "")</f>
        <v/>
      </c>
      <c r="K970" t="str">
        <f t="shared" si="126"/>
        <v>Low</v>
      </c>
      <c r="L970">
        <f t="shared" si="127"/>
        <v>0.55000000000000004</v>
      </c>
      <c r="M970">
        <f>_xlfn.XLOOKUP(B970, Dim_Hotel!$A$2:$A$11, Dim_Hotel!$I$2:$I$11)
 + (IF(J970="",0,J970)
    * _xlfn.XLOOKUP(B970, Dim_Hotel!$A$2:$A$11, Dim_Hotel!$J$2:$J$11))</f>
        <v>185</v>
      </c>
    </row>
    <row r="971" spans="1:13" x14ac:dyDescent="0.25">
      <c r="A971" s="1">
        <f t="shared" si="120"/>
        <v>46119</v>
      </c>
      <c r="B971" t="str" cm="1">
        <f t="array" ref="B971">INDEX(HotelList,MOD(ROW()-2,10)+1)</f>
        <v>H010</v>
      </c>
      <c r="C971">
        <f>_xlfn.XLOOKUP(B971,Dim_Hotel!$A$2:$A$11,Dim_Hotel!$F$2:$F$11)</f>
        <v>89</v>
      </c>
      <c r="D971">
        <f t="shared" si="121"/>
        <v>49</v>
      </c>
      <c r="E971">
        <f t="shared" si="122"/>
        <v>0.550561797752809</v>
      </c>
      <c r="F971">
        <f t="shared" si="123"/>
        <v>150</v>
      </c>
      <c r="G971">
        <f t="shared" si="124"/>
        <v>82.584269662921344</v>
      </c>
      <c r="H971" t="str">
        <f>_xlfn.XLOOKUP(A971,Fact_Events!$D$2:$D$20,Fact_Events!$A$2:$A$20, "")</f>
        <v/>
      </c>
      <c r="I971">
        <f t="shared" si="125"/>
        <v>0</v>
      </c>
      <c r="J971" t="str">
        <f>_xlfn.XLOOKUP(H971, Fact_Events!$A$2:$A$20, Fact_Events!$F$2:$F$20, "")</f>
        <v/>
      </c>
      <c r="K971" t="str">
        <f t="shared" si="126"/>
        <v>Low</v>
      </c>
      <c r="L971">
        <f t="shared" si="127"/>
        <v>0.55000000000000004</v>
      </c>
      <c r="M971">
        <f>_xlfn.XLOOKUP(B971, Dim_Hotel!$A$2:$A$11, Dim_Hotel!$I$2:$I$11)
 + (IF(J971="",0,J971)
    * _xlfn.XLOOKUP(B971, Dim_Hotel!$A$2:$A$11, Dim_Hotel!$J$2:$J$11))</f>
        <v>150</v>
      </c>
    </row>
    <row r="972" spans="1:13" x14ac:dyDescent="0.25">
      <c r="A972" s="1">
        <f t="shared" si="120"/>
        <v>46120</v>
      </c>
      <c r="B972" t="str" cm="1">
        <f t="array" ref="B972">INDEX(HotelList,MOD(ROW()-2,10)+1)</f>
        <v>H001</v>
      </c>
      <c r="C972">
        <f>_xlfn.XLOOKUP(B972,Dim_Hotel!$A$2:$A$11,Dim_Hotel!$F$2:$F$11)</f>
        <v>888</v>
      </c>
      <c r="D972">
        <f t="shared" si="121"/>
        <v>488</v>
      </c>
      <c r="E972">
        <f t="shared" si="122"/>
        <v>0.5495495495495496</v>
      </c>
      <c r="F972">
        <f t="shared" si="123"/>
        <v>260</v>
      </c>
      <c r="G972">
        <f t="shared" si="124"/>
        <v>142.88288288288288</v>
      </c>
      <c r="H972" t="str">
        <f>_xlfn.XLOOKUP(A972,Fact_Events!$D$2:$D$20,Fact_Events!$A$2:$A$20, "")</f>
        <v/>
      </c>
      <c r="I972">
        <f t="shared" si="125"/>
        <v>0</v>
      </c>
      <c r="J972" t="str">
        <f>_xlfn.XLOOKUP(H972, Fact_Events!$A$2:$A$20, Fact_Events!$F$2:$F$20, "")</f>
        <v/>
      </c>
      <c r="K972" t="str">
        <f t="shared" si="126"/>
        <v>Low</v>
      </c>
      <c r="L972">
        <f t="shared" si="127"/>
        <v>0.55000000000000004</v>
      </c>
      <c r="M972">
        <f>_xlfn.XLOOKUP(B972, Dim_Hotel!$A$2:$A$11, Dim_Hotel!$I$2:$I$11)
 + (IF(J972="",0,J972)
    * _xlfn.XLOOKUP(B972, Dim_Hotel!$A$2:$A$11, Dim_Hotel!$J$2:$J$11))</f>
        <v>260</v>
      </c>
    </row>
    <row r="973" spans="1:13" x14ac:dyDescent="0.25">
      <c r="A973" s="1">
        <f t="shared" si="120"/>
        <v>46120</v>
      </c>
      <c r="B973" t="str" cm="1">
        <f t="array" ref="B973">INDEX(HotelList,MOD(ROW()-2,10)+1)</f>
        <v>H002</v>
      </c>
      <c r="C973">
        <f>_xlfn.XLOOKUP(B973,Dim_Hotel!$A$2:$A$11,Dim_Hotel!$F$2:$F$11)</f>
        <v>147</v>
      </c>
      <c r="D973">
        <f t="shared" si="121"/>
        <v>81</v>
      </c>
      <c r="E973">
        <f t="shared" si="122"/>
        <v>0.55102040816326525</v>
      </c>
      <c r="F973">
        <f t="shared" si="123"/>
        <v>175</v>
      </c>
      <c r="G973">
        <f t="shared" si="124"/>
        <v>96.428571428571416</v>
      </c>
      <c r="H973" t="str">
        <f>_xlfn.XLOOKUP(A973,Fact_Events!$D$2:$D$20,Fact_Events!$A$2:$A$20, "")</f>
        <v/>
      </c>
      <c r="I973">
        <f t="shared" si="125"/>
        <v>0</v>
      </c>
      <c r="J973" t="str">
        <f>_xlfn.XLOOKUP(H973, Fact_Events!$A$2:$A$20, Fact_Events!$F$2:$F$20, "")</f>
        <v/>
      </c>
      <c r="K973" t="str">
        <f t="shared" si="126"/>
        <v>Low</v>
      </c>
      <c r="L973">
        <f t="shared" si="127"/>
        <v>0.55000000000000004</v>
      </c>
      <c r="M973">
        <f>_xlfn.XLOOKUP(B973, Dim_Hotel!$A$2:$A$11, Dim_Hotel!$I$2:$I$11)
 + (IF(J973="",0,J973)
    * _xlfn.XLOOKUP(B973, Dim_Hotel!$A$2:$A$11, Dim_Hotel!$J$2:$J$11))</f>
        <v>175</v>
      </c>
    </row>
    <row r="974" spans="1:13" x14ac:dyDescent="0.25">
      <c r="A974" s="1">
        <f t="shared" si="120"/>
        <v>46120</v>
      </c>
      <c r="B974" t="str" cm="1">
        <f t="array" ref="B974">INDEX(HotelList,MOD(ROW()-2,10)+1)</f>
        <v>H003</v>
      </c>
      <c r="C974">
        <f>_xlfn.XLOOKUP(B974,Dim_Hotel!$A$2:$A$11,Dim_Hotel!$F$2:$F$11)</f>
        <v>121</v>
      </c>
      <c r="D974">
        <f t="shared" si="121"/>
        <v>67</v>
      </c>
      <c r="E974">
        <f t="shared" si="122"/>
        <v>0.55371900826446285</v>
      </c>
      <c r="F974">
        <f t="shared" si="123"/>
        <v>145</v>
      </c>
      <c r="G974">
        <f t="shared" si="124"/>
        <v>80.289256198347118</v>
      </c>
      <c r="H974" t="str">
        <f>_xlfn.XLOOKUP(A974,Fact_Events!$D$2:$D$20,Fact_Events!$A$2:$A$20, "")</f>
        <v/>
      </c>
      <c r="I974">
        <f t="shared" si="125"/>
        <v>0</v>
      </c>
      <c r="J974" t="str">
        <f>_xlfn.XLOOKUP(H974, Fact_Events!$A$2:$A$20, Fact_Events!$F$2:$F$20, "")</f>
        <v/>
      </c>
      <c r="K974" t="str">
        <f t="shared" si="126"/>
        <v>Low</v>
      </c>
      <c r="L974">
        <f t="shared" si="127"/>
        <v>0.55000000000000004</v>
      </c>
      <c r="M974">
        <f>_xlfn.XLOOKUP(B974, Dim_Hotel!$A$2:$A$11, Dim_Hotel!$I$2:$I$11)
 + (IF(J974="",0,J974)
    * _xlfn.XLOOKUP(B974, Dim_Hotel!$A$2:$A$11, Dim_Hotel!$J$2:$J$11))</f>
        <v>145</v>
      </c>
    </row>
    <row r="975" spans="1:13" x14ac:dyDescent="0.25">
      <c r="A975" s="1">
        <f t="shared" si="120"/>
        <v>46120</v>
      </c>
      <c r="B975" t="str" cm="1">
        <f t="array" ref="B975">INDEX(HotelList,MOD(ROW()-2,10)+1)</f>
        <v>H004</v>
      </c>
      <c r="C975">
        <f>_xlfn.XLOOKUP(B975,Dim_Hotel!$A$2:$A$11,Dim_Hotel!$F$2:$F$11)</f>
        <v>108</v>
      </c>
      <c r="D975">
        <f t="shared" si="121"/>
        <v>59</v>
      </c>
      <c r="E975">
        <f t="shared" si="122"/>
        <v>0.54629629629629628</v>
      </c>
      <c r="F975">
        <f t="shared" si="123"/>
        <v>135</v>
      </c>
      <c r="G975">
        <f t="shared" si="124"/>
        <v>73.75</v>
      </c>
      <c r="H975" t="str">
        <f>_xlfn.XLOOKUP(A975,Fact_Events!$D$2:$D$20,Fact_Events!$A$2:$A$20, "")</f>
        <v/>
      </c>
      <c r="I975">
        <f t="shared" si="125"/>
        <v>0</v>
      </c>
      <c r="J975" t="str">
        <f>_xlfn.XLOOKUP(H975, Fact_Events!$A$2:$A$20, Fact_Events!$F$2:$F$20, "")</f>
        <v/>
      </c>
      <c r="K975" t="str">
        <f t="shared" si="126"/>
        <v>Low</v>
      </c>
      <c r="L975">
        <f t="shared" si="127"/>
        <v>0.55000000000000004</v>
      </c>
      <c r="M975">
        <f>_xlfn.XLOOKUP(B975, Dim_Hotel!$A$2:$A$11, Dim_Hotel!$I$2:$I$11)
 + (IF(J975="",0,J975)
    * _xlfn.XLOOKUP(B975, Dim_Hotel!$A$2:$A$11, Dim_Hotel!$J$2:$J$11))</f>
        <v>135</v>
      </c>
    </row>
    <row r="976" spans="1:13" x14ac:dyDescent="0.25">
      <c r="A976" s="1">
        <f t="shared" si="120"/>
        <v>46120</v>
      </c>
      <c r="B976" t="str" cm="1">
        <f t="array" ref="B976">INDEX(HotelList,MOD(ROW()-2,10)+1)</f>
        <v>H005</v>
      </c>
      <c r="C976">
        <f>_xlfn.XLOOKUP(B976,Dim_Hotel!$A$2:$A$11,Dim_Hotel!$F$2:$F$11)</f>
        <v>66</v>
      </c>
      <c r="D976">
        <f t="shared" si="121"/>
        <v>36</v>
      </c>
      <c r="E976">
        <f t="shared" si="122"/>
        <v>0.54545454545454541</v>
      </c>
      <c r="F976">
        <f t="shared" si="123"/>
        <v>82</v>
      </c>
      <c r="G976">
        <f t="shared" si="124"/>
        <v>44.727272727272727</v>
      </c>
      <c r="H976" t="str">
        <f>_xlfn.XLOOKUP(A976,Fact_Events!$D$2:$D$20,Fact_Events!$A$2:$A$20, "")</f>
        <v/>
      </c>
      <c r="I976">
        <f t="shared" si="125"/>
        <v>0</v>
      </c>
      <c r="J976" t="str">
        <f>_xlfn.XLOOKUP(H976, Fact_Events!$A$2:$A$20, Fact_Events!$F$2:$F$20, "")</f>
        <v/>
      </c>
      <c r="K976" t="str">
        <f t="shared" si="126"/>
        <v>Low</v>
      </c>
      <c r="L976">
        <f t="shared" si="127"/>
        <v>0.55000000000000004</v>
      </c>
      <c r="M976">
        <f>_xlfn.XLOOKUP(B976, Dim_Hotel!$A$2:$A$11, Dim_Hotel!$I$2:$I$11)
 + (IF(J976="",0,J976)
    * _xlfn.XLOOKUP(B976, Dim_Hotel!$A$2:$A$11, Dim_Hotel!$J$2:$J$11))</f>
        <v>82</v>
      </c>
    </row>
    <row r="977" spans="1:13" x14ac:dyDescent="0.25">
      <c r="A977" s="1">
        <f t="shared" si="120"/>
        <v>46120</v>
      </c>
      <c r="B977" t="str" cm="1">
        <f t="array" ref="B977">INDEX(HotelList,MOD(ROW()-2,10)+1)</f>
        <v>H006</v>
      </c>
      <c r="C977">
        <f>_xlfn.XLOOKUP(B977,Dim_Hotel!$A$2:$A$11,Dim_Hotel!$F$2:$F$11)</f>
        <v>311</v>
      </c>
      <c r="D977">
        <f t="shared" si="121"/>
        <v>171</v>
      </c>
      <c r="E977">
        <f t="shared" si="122"/>
        <v>0.54983922829581988</v>
      </c>
      <c r="F977">
        <f t="shared" si="123"/>
        <v>190</v>
      </c>
      <c r="G977">
        <f t="shared" si="124"/>
        <v>104.46945337620578</v>
      </c>
      <c r="H977" t="str">
        <f>_xlfn.XLOOKUP(A977,Fact_Events!$D$2:$D$20,Fact_Events!$A$2:$A$20, "")</f>
        <v/>
      </c>
      <c r="I977">
        <f t="shared" si="125"/>
        <v>0</v>
      </c>
      <c r="J977" t="str">
        <f>_xlfn.XLOOKUP(H977, Fact_Events!$A$2:$A$20, Fact_Events!$F$2:$F$20, "")</f>
        <v/>
      </c>
      <c r="K977" t="str">
        <f t="shared" si="126"/>
        <v>Low</v>
      </c>
      <c r="L977">
        <f t="shared" si="127"/>
        <v>0.55000000000000004</v>
      </c>
      <c r="M977">
        <f>_xlfn.XLOOKUP(B977, Dim_Hotel!$A$2:$A$11, Dim_Hotel!$I$2:$I$11)
 + (IF(J977="",0,J977)
    * _xlfn.XLOOKUP(B977, Dim_Hotel!$A$2:$A$11, Dim_Hotel!$J$2:$J$11))</f>
        <v>190</v>
      </c>
    </row>
    <row r="978" spans="1:13" x14ac:dyDescent="0.25">
      <c r="A978" s="1">
        <f t="shared" si="120"/>
        <v>46120</v>
      </c>
      <c r="B978" t="str" cm="1">
        <f t="array" ref="B978">INDEX(HotelList,MOD(ROW()-2,10)+1)</f>
        <v>H007</v>
      </c>
      <c r="C978">
        <f>_xlfn.XLOOKUP(B978,Dim_Hotel!$A$2:$A$11,Dim_Hotel!$F$2:$F$11)</f>
        <v>132</v>
      </c>
      <c r="D978">
        <f t="shared" si="121"/>
        <v>73</v>
      </c>
      <c r="E978">
        <f t="shared" si="122"/>
        <v>0.55303030303030298</v>
      </c>
      <c r="F978">
        <f t="shared" si="123"/>
        <v>165</v>
      </c>
      <c r="G978">
        <f t="shared" si="124"/>
        <v>91.249999999999986</v>
      </c>
      <c r="H978" t="str">
        <f>_xlfn.XLOOKUP(A978,Fact_Events!$D$2:$D$20,Fact_Events!$A$2:$A$20, "")</f>
        <v/>
      </c>
      <c r="I978">
        <f t="shared" si="125"/>
        <v>0</v>
      </c>
      <c r="J978" t="str">
        <f>_xlfn.XLOOKUP(H978, Fact_Events!$A$2:$A$20, Fact_Events!$F$2:$F$20, "")</f>
        <v/>
      </c>
      <c r="K978" t="str">
        <f t="shared" si="126"/>
        <v>Low</v>
      </c>
      <c r="L978">
        <f t="shared" si="127"/>
        <v>0.55000000000000004</v>
      </c>
      <c r="M978">
        <f>_xlfn.XLOOKUP(B978, Dim_Hotel!$A$2:$A$11, Dim_Hotel!$I$2:$I$11)
 + (IF(J978="",0,J978)
    * _xlfn.XLOOKUP(B978, Dim_Hotel!$A$2:$A$11, Dim_Hotel!$J$2:$J$11))</f>
        <v>165</v>
      </c>
    </row>
    <row r="979" spans="1:13" x14ac:dyDescent="0.25">
      <c r="A979" s="1">
        <f t="shared" si="120"/>
        <v>46120</v>
      </c>
      <c r="B979" t="str" cm="1">
        <f t="array" ref="B979">INDEX(HotelList,MOD(ROW()-2,10)+1)</f>
        <v>H008</v>
      </c>
      <c r="C979">
        <f>_xlfn.XLOOKUP(B979,Dim_Hotel!$A$2:$A$11,Dim_Hotel!$F$2:$F$11)</f>
        <v>103</v>
      </c>
      <c r="D979">
        <f t="shared" si="121"/>
        <v>57</v>
      </c>
      <c r="E979">
        <f t="shared" si="122"/>
        <v>0.55339805825242716</v>
      </c>
      <c r="F979">
        <f t="shared" si="123"/>
        <v>140</v>
      </c>
      <c r="G979">
        <f t="shared" si="124"/>
        <v>77.475728155339809</v>
      </c>
      <c r="H979" t="str">
        <f>_xlfn.XLOOKUP(A979,Fact_Events!$D$2:$D$20,Fact_Events!$A$2:$A$20, "")</f>
        <v/>
      </c>
      <c r="I979">
        <f t="shared" si="125"/>
        <v>0</v>
      </c>
      <c r="J979" t="str">
        <f>_xlfn.XLOOKUP(H979, Fact_Events!$A$2:$A$20, Fact_Events!$F$2:$F$20, "")</f>
        <v/>
      </c>
      <c r="K979" t="str">
        <f t="shared" si="126"/>
        <v>Low</v>
      </c>
      <c r="L979">
        <f t="shared" si="127"/>
        <v>0.55000000000000004</v>
      </c>
      <c r="M979">
        <f>_xlfn.XLOOKUP(B979, Dim_Hotel!$A$2:$A$11, Dim_Hotel!$I$2:$I$11)
 + (IF(J979="",0,J979)
    * _xlfn.XLOOKUP(B979, Dim_Hotel!$A$2:$A$11, Dim_Hotel!$J$2:$J$11))</f>
        <v>140</v>
      </c>
    </row>
    <row r="980" spans="1:13" x14ac:dyDescent="0.25">
      <c r="A980" s="1">
        <f t="shared" si="120"/>
        <v>46120</v>
      </c>
      <c r="B980" t="str" cm="1">
        <f t="array" ref="B980">INDEX(HotelList,MOD(ROW()-2,10)+1)</f>
        <v>H009</v>
      </c>
      <c r="C980">
        <f>_xlfn.XLOOKUP(B980,Dim_Hotel!$A$2:$A$11,Dim_Hotel!$F$2:$F$11)</f>
        <v>114</v>
      </c>
      <c r="D980">
        <f t="shared" si="121"/>
        <v>63</v>
      </c>
      <c r="E980">
        <f t="shared" si="122"/>
        <v>0.55263157894736847</v>
      </c>
      <c r="F980">
        <f t="shared" si="123"/>
        <v>185</v>
      </c>
      <c r="G980">
        <f t="shared" si="124"/>
        <v>102.23684210526316</v>
      </c>
      <c r="H980" t="str">
        <f>_xlfn.XLOOKUP(A980,Fact_Events!$D$2:$D$20,Fact_Events!$A$2:$A$20, "")</f>
        <v/>
      </c>
      <c r="I980">
        <f t="shared" si="125"/>
        <v>0</v>
      </c>
      <c r="J980" t="str">
        <f>_xlfn.XLOOKUP(H980, Fact_Events!$A$2:$A$20, Fact_Events!$F$2:$F$20, "")</f>
        <v/>
      </c>
      <c r="K980" t="str">
        <f t="shared" si="126"/>
        <v>Low</v>
      </c>
      <c r="L980">
        <f t="shared" si="127"/>
        <v>0.55000000000000004</v>
      </c>
      <c r="M980">
        <f>_xlfn.XLOOKUP(B980, Dim_Hotel!$A$2:$A$11, Dim_Hotel!$I$2:$I$11)
 + (IF(J980="",0,J980)
    * _xlfn.XLOOKUP(B980, Dim_Hotel!$A$2:$A$11, Dim_Hotel!$J$2:$J$11))</f>
        <v>185</v>
      </c>
    </row>
    <row r="981" spans="1:13" x14ac:dyDescent="0.25">
      <c r="A981" s="1">
        <f t="shared" si="120"/>
        <v>46120</v>
      </c>
      <c r="B981" t="str" cm="1">
        <f t="array" ref="B981">INDEX(HotelList,MOD(ROW()-2,10)+1)</f>
        <v>H010</v>
      </c>
      <c r="C981">
        <f>_xlfn.XLOOKUP(B981,Dim_Hotel!$A$2:$A$11,Dim_Hotel!$F$2:$F$11)</f>
        <v>89</v>
      </c>
      <c r="D981">
        <f t="shared" si="121"/>
        <v>49</v>
      </c>
      <c r="E981">
        <f t="shared" si="122"/>
        <v>0.550561797752809</v>
      </c>
      <c r="F981">
        <f t="shared" si="123"/>
        <v>150</v>
      </c>
      <c r="G981">
        <f t="shared" si="124"/>
        <v>82.584269662921344</v>
      </c>
      <c r="H981" t="str">
        <f>_xlfn.XLOOKUP(A981,Fact_Events!$D$2:$D$20,Fact_Events!$A$2:$A$20, "")</f>
        <v/>
      </c>
      <c r="I981">
        <f t="shared" si="125"/>
        <v>0</v>
      </c>
      <c r="J981" t="str">
        <f>_xlfn.XLOOKUP(H981, Fact_Events!$A$2:$A$20, Fact_Events!$F$2:$F$20, "")</f>
        <v/>
      </c>
      <c r="K981" t="str">
        <f t="shared" si="126"/>
        <v>Low</v>
      </c>
      <c r="L981">
        <f t="shared" si="127"/>
        <v>0.55000000000000004</v>
      </c>
      <c r="M981">
        <f>_xlfn.XLOOKUP(B981, Dim_Hotel!$A$2:$A$11, Dim_Hotel!$I$2:$I$11)
 + (IF(J981="",0,J981)
    * _xlfn.XLOOKUP(B981, Dim_Hotel!$A$2:$A$11, Dim_Hotel!$J$2:$J$11))</f>
        <v>150</v>
      </c>
    </row>
    <row r="982" spans="1:13" x14ac:dyDescent="0.25">
      <c r="A982" s="1">
        <f t="shared" si="120"/>
        <v>46121</v>
      </c>
      <c r="B982" t="str" cm="1">
        <f t="array" ref="B982">INDEX(HotelList,MOD(ROW()-2,10)+1)</f>
        <v>H001</v>
      </c>
      <c r="C982">
        <f>_xlfn.XLOOKUP(B982,Dim_Hotel!$A$2:$A$11,Dim_Hotel!$F$2:$F$11)</f>
        <v>888</v>
      </c>
      <c r="D982">
        <f t="shared" si="121"/>
        <v>488</v>
      </c>
      <c r="E982">
        <f t="shared" si="122"/>
        <v>0.5495495495495496</v>
      </c>
      <c r="F982">
        <f t="shared" si="123"/>
        <v>260</v>
      </c>
      <c r="G982">
        <f t="shared" si="124"/>
        <v>142.88288288288288</v>
      </c>
      <c r="H982" t="str">
        <f>_xlfn.XLOOKUP(A982,Fact_Events!$D$2:$D$20,Fact_Events!$A$2:$A$20, "")</f>
        <v/>
      </c>
      <c r="I982">
        <f t="shared" si="125"/>
        <v>0</v>
      </c>
      <c r="J982" t="str">
        <f>_xlfn.XLOOKUP(H982, Fact_Events!$A$2:$A$20, Fact_Events!$F$2:$F$20, "")</f>
        <v/>
      </c>
      <c r="K982" t="str">
        <f t="shared" si="126"/>
        <v>Low</v>
      </c>
      <c r="L982">
        <f t="shared" si="127"/>
        <v>0.55000000000000004</v>
      </c>
      <c r="M982">
        <f>_xlfn.XLOOKUP(B982, Dim_Hotel!$A$2:$A$11, Dim_Hotel!$I$2:$I$11)
 + (IF(J982="",0,J982)
    * _xlfn.XLOOKUP(B982, Dim_Hotel!$A$2:$A$11, Dim_Hotel!$J$2:$J$11))</f>
        <v>260</v>
      </c>
    </row>
    <row r="983" spans="1:13" x14ac:dyDescent="0.25">
      <c r="A983" s="1">
        <f t="shared" si="120"/>
        <v>46121</v>
      </c>
      <c r="B983" t="str" cm="1">
        <f t="array" ref="B983">INDEX(HotelList,MOD(ROW()-2,10)+1)</f>
        <v>H002</v>
      </c>
      <c r="C983">
        <f>_xlfn.XLOOKUP(B983,Dim_Hotel!$A$2:$A$11,Dim_Hotel!$F$2:$F$11)</f>
        <v>147</v>
      </c>
      <c r="D983">
        <f t="shared" si="121"/>
        <v>81</v>
      </c>
      <c r="E983">
        <f t="shared" si="122"/>
        <v>0.55102040816326525</v>
      </c>
      <c r="F983">
        <f t="shared" si="123"/>
        <v>175</v>
      </c>
      <c r="G983">
        <f t="shared" si="124"/>
        <v>96.428571428571416</v>
      </c>
      <c r="H983" t="str">
        <f>_xlfn.XLOOKUP(A983,Fact_Events!$D$2:$D$20,Fact_Events!$A$2:$A$20, "")</f>
        <v/>
      </c>
      <c r="I983">
        <f t="shared" si="125"/>
        <v>0</v>
      </c>
      <c r="J983" t="str">
        <f>_xlfn.XLOOKUP(H983, Fact_Events!$A$2:$A$20, Fact_Events!$F$2:$F$20, "")</f>
        <v/>
      </c>
      <c r="K983" t="str">
        <f t="shared" si="126"/>
        <v>Low</v>
      </c>
      <c r="L983">
        <f t="shared" si="127"/>
        <v>0.55000000000000004</v>
      </c>
      <c r="M983">
        <f>_xlfn.XLOOKUP(B983, Dim_Hotel!$A$2:$A$11, Dim_Hotel!$I$2:$I$11)
 + (IF(J983="",0,J983)
    * _xlfn.XLOOKUP(B983, Dim_Hotel!$A$2:$A$11, Dim_Hotel!$J$2:$J$11))</f>
        <v>175</v>
      </c>
    </row>
    <row r="984" spans="1:13" x14ac:dyDescent="0.25">
      <c r="A984" s="1">
        <f t="shared" si="120"/>
        <v>46121</v>
      </c>
      <c r="B984" t="str" cm="1">
        <f t="array" ref="B984">INDEX(HotelList,MOD(ROW()-2,10)+1)</f>
        <v>H003</v>
      </c>
      <c r="C984">
        <f>_xlfn.XLOOKUP(B984,Dim_Hotel!$A$2:$A$11,Dim_Hotel!$F$2:$F$11)</f>
        <v>121</v>
      </c>
      <c r="D984">
        <f t="shared" si="121"/>
        <v>67</v>
      </c>
      <c r="E984">
        <f t="shared" si="122"/>
        <v>0.55371900826446285</v>
      </c>
      <c r="F984">
        <f t="shared" si="123"/>
        <v>145</v>
      </c>
      <c r="G984">
        <f t="shared" si="124"/>
        <v>80.289256198347118</v>
      </c>
      <c r="H984" t="str">
        <f>_xlfn.XLOOKUP(A984,Fact_Events!$D$2:$D$20,Fact_Events!$A$2:$A$20, "")</f>
        <v/>
      </c>
      <c r="I984">
        <f t="shared" si="125"/>
        <v>0</v>
      </c>
      <c r="J984" t="str">
        <f>_xlfn.XLOOKUP(H984, Fact_Events!$A$2:$A$20, Fact_Events!$F$2:$F$20, "")</f>
        <v/>
      </c>
      <c r="K984" t="str">
        <f t="shared" si="126"/>
        <v>Low</v>
      </c>
      <c r="L984">
        <f t="shared" si="127"/>
        <v>0.55000000000000004</v>
      </c>
      <c r="M984">
        <f>_xlfn.XLOOKUP(B984, Dim_Hotel!$A$2:$A$11, Dim_Hotel!$I$2:$I$11)
 + (IF(J984="",0,J984)
    * _xlfn.XLOOKUP(B984, Dim_Hotel!$A$2:$A$11, Dim_Hotel!$J$2:$J$11))</f>
        <v>145</v>
      </c>
    </row>
    <row r="985" spans="1:13" x14ac:dyDescent="0.25">
      <c r="A985" s="1">
        <f t="shared" si="120"/>
        <v>46121</v>
      </c>
      <c r="B985" t="str" cm="1">
        <f t="array" ref="B985">INDEX(HotelList,MOD(ROW()-2,10)+1)</f>
        <v>H004</v>
      </c>
      <c r="C985">
        <f>_xlfn.XLOOKUP(B985,Dim_Hotel!$A$2:$A$11,Dim_Hotel!$F$2:$F$11)</f>
        <v>108</v>
      </c>
      <c r="D985">
        <f t="shared" si="121"/>
        <v>59</v>
      </c>
      <c r="E985">
        <f t="shared" si="122"/>
        <v>0.54629629629629628</v>
      </c>
      <c r="F985">
        <f t="shared" si="123"/>
        <v>135</v>
      </c>
      <c r="G985">
        <f t="shared" si="124"/>
        <v>73.75</v>
      </c>
      <c r="H985" t="str">
        <f>_xlfn.XLOOKUP(A985,Fact_Events!$D$2:$D$20,Fact_Events!$A$2:$A$20, "")</f>
        <v/>
      </c>
      <c r="I985">
        <f t="shared" si="125"/>
        <v>0</v>
      </c>
      <c r="J985" t="str">
        <f>_xlfn.XLOOKUP(H985, Fact_Events!$A$2:$A$20, Fact_Events!$F$2:$F$20, "")</f>
        <v/>
      </c>
      <c r="K985" t="str">
        <f t="shared" si="126"/>
        <v>Low</v>
      </c>
      <c r="L985">
        <f t="shared" si="127"/>
        <v>0.55000000000000004</v>
      </c>
      <c r="M985">
        <f>_xlfn.XLOOKUP(B985, Dim_Hotel!$A$2:$A$11, Dim_Hotel!$I$2:$I$11)
 + (IF(J985="",0,J985)
    * _xlfn.XLOOKUP(B985, Dim_Hotel!$A$2:$A$11, Dim_Hotel!$J$2:$J$11))</f>
        <v>135</v>
      </c>
    </row>
    <row r="986" spans="1:13" x14ac:dyDescent="0.25">
      <c r="A986" s="1">
        <f t="shared" si="120"/>
        <v>46121</v>
      </c>
      <c r="B986" t="str" cm="1">
        <f t="array" ref="B986">INDEX(HotelList,MOD(ROW()-2,10)+1)</f>
        <v>H005</v>
      </c>
      <c r="C986">
        <f>_xlfn.XLOOKUP(B986,Dim_Hotel!$A$2:$A$11,Dim_Hotel!$F$2:$F$11)</f>
        <v>66</v>
      </c>
      <c r="D986">
        <f t="shared" si="121"/>
        <v>36</v>
      </c>
      <c r="E986">
        <f t="shared" si="122"/>
        <v>0.54545454545454541</v>
      </c>
      <c r="F986">
        <f t="shared" si="123"/>
        <v>82</v>
      </c>
      <c r="G986">
        <f t="shared" si="124"/>
        <v>44.727272727272727</v>
      </c>
      <c r="H986" t="str">
        <f>_xlfn.XLOOKUP(A986,Fact_Events!$D$2:$D$20,Fact_Events!$A$2:$A$20, "")</f>
        <v/>
      </c>
      <c r="I986">
        <f t="shared" si="125"/>
        <v>0</v>
      </c>
      <c r="J986" t="str">
        <f>_xlfn.XLOOKUP(H986, Fact_Events!$A$2:$A$20, Fact_Events!$F$2:$F$20, "")</f>
        <v/>
      </c>
      <c r="K986" t="str">
        <f t="shared" si="126"/>
        <v>Low</v>
      </c>
      <c r="L986">
        <f t="shared" si="127"/>
        <v>0.55000000000000004</v>
      </c>
      <c r="M986">
        <f>_xlfn.XLOOKUP(B986, Dim_Hotel!$A$2:$A$11, Dim_Hotel!$I$2:$I$11)
 + (IF(J986="",0,J986)
    * _xlfn.XLOOKUP(B986, Dim_Hotel!$A$2:$A$11, Dim_Hotel!$J$2:$J$11))</f>
        <v>82</v>
      </c>
    </row>
    <row r="987" spans="1:13" x14ac:dyDescent="0.25">
      <c r="A987" s="1">
        <f t="shared" si="120"/>
        <v>46121</v>
      </c>
      <c r="B987" t="str" cm="1">
        <f t="array" ref="B987">INDEX(HotelList,MOD(ROW()-2,10)+1)</f>
        <v>H006</v>
      </c>
      <c r="C987">
        <f>_xlfn.XLOOKUP(B987,Dim_Hotel!$A$2:$A$11,Dim_Hotel!$F$2:$F$11)</f>
        <v>311</v>
      </c>
      <c r="D987">
        <f t="shared" si="121"/>
        <v>171</v>
      </c>
      <c r="E987">
        <f t="shared" si="122"/>
        <v>0.54983922829581988</v>
      </c>
      <c r="F987">
        <f t="shared" si="123"/>
        <v>190</v>
      </c>
      <c r="G987">
        <f t="shared" si="124"/>
        <v>104.46945337620578</v>
      </c>
      <c r="H987" t="str">
        <f>_xlfn.XLOOKUP(A987,Fact_Events!$D$2:$D$20,Fact_Events!$A$2:$A$20, "")</f>
        <v/>
      </c>
      <c r="I987">
        <f t="shared" si="125"/>
        <v>0</v>
      </c>
      <c r="J987" t="str">
        <f>_xlfn.XLOOKUP(H987, Fact_Events!$A$2:$A$20, Fact_Events!$F$2:$F$20, "")</f>
        <v/>
      </c>
      <c r="K987" t="str">
        <f t="shared" si="126"/>
        <v>Low</v>
      </c>
      <c r="L987">
        <f t="shared" si="127"/>
        <v>0.55000000000000004</v>
      </c>
      <c r="M987">
        <f>_xlfn.XLOOKUP(B987, Dim_Hotel!$A$2:$A$11, Dim_Hotel!$I$2:$I$11)
 + (IF(J987="",0,J987)
    * _xlfn.XLOOKUP(B987, Dim_Hotel!$A$2:$A$11, Dim_Hotel!$J$2:$J$11))</f>
        <v>190</v>
      </c>
    </row>
    <row r="988" spans="1:13" x14ac:dyDescent="0.25">
      <c r="A988" s="1">
        <f t="shared" si="120"/>
        <v>46121</v>
      </c>
      <c r="B988" t="str" cm="1">
        <f t="array" ref="B988">INDEX(HotelList,MOD(ROW()-2,10)+1)</f>
        <v>H007</v>
      </c>
      <c r="C988">
        <f>_xlfn.XLOOKUP(B988,Dim_Hotel!$A$2:$A$11,Dim_Hotel!$F$2:$F$11)</f>
        <v>132</v>
      </c>
      <c r="D988">
        <f t="shared" si="121"/>
        <v>73</v>
      </c>
      <c r="E988">
        <f t="shared" si="122"/>
        <v>0.55303030303030298</v>
      </c>
      <c r="F988">
        <f t="shared" si="123"/>
        <v>165</v>
      </c>
      <c r="G988">
        <f t="shared" si="124"/>
        <v>91.249999999999986</v>
      </c>
      <c r="H988" t="str">
        <f>_xlfn.XLOOKUP(A988,Fact_Events!$D$2:$D$20,Fact_Events!$A$2:$A$20, "")</f>
        <v/>
      </c>
      <c r="I988">
        <f t="shared" si="125"/>
        <v>0</v>
      </c>
      <c r="J988" t="str">
        <f>_xlfn.XLOOKUP(H988, Fact_Events!$A$2:$A$20, Fact_Events!$F$2:$F$20, "")</f>
        <v/>
      </c>
      <c r="K988" t="str">
        <f t="shared" si="126"/>
        <v>Low</v>
      </c>
      <c r="L988">
        <f t="shared" si="127"/>
        <v>0.55000000000000004</v>
      </c>
      <c r="M988">
        <f>_xlfn.XLOOKUP(B988, Dim_Hotel!$A$2:$A$11, Dim_Hotel!$I$2:$I$11)
 + (IF(J988="",0,J988)
    * _xlfn.XLOOKUP(B988, Dim_Hotel!$A$2:$A$11, Dim_Hotel!$J$2:$J$11))</f>
        <v>165</v>
      </c>
    </row>
    <row r="989" spans="1:13" x14ac:dyDescent="0.25">
      <c r="A989" s="1">
        <f t="shared" si="120"/>
        <v>46121</v>
      </c>
      <c r="B989" t="str" cm="1">
        <f t="array" ref="B989">INDEX(HotelList,MOD(ROW()-2,10)+1)</f>
        <v>H008</v>
      </c>
      <c r="C989">
        <f>_xlfn.XLOOKUP(B989,Dim_Hotel!$A$2:$A$11,Dim_Hotel!$F$2:$F$11)</f>
        <v>103</v>
      </c>
      <c r="D989">
        <f t="shared" si="121"/>
        <v>57</v>
      </c>
      <c r="E989">
        <f t="shared" si="122"/>
        <v>0.55339805825242716</v>
      </c>
      <c r="F989">
        <f t="shared" si="123"/>
        <v>140</v>
      </c>
      <c r="G989">
        <f t="shared" si="124"/>
        <v>77.475728155339809</v>
      </c>
      <c r="H989" t="str">
        <f>_xlfn.XLOOKUP(A989,Fact_Events!$D$2:$D$20,Fact_Events!$A$2:$A$20, "")</f>
        <v/>
      </c>
      <c r="I989">
        <f t="shared" si="125"/>
        <v>0</v>
      </c>
      <c r="J989" t="str">
        <f>_xlfn.XLOOKUP(H989, Fact_Events!$A$2:$A$20, Fact_Events!$F$2:$F$20, "")</f>
        <v/>
      </c>
      <c r="K989" t="str">
        <f t="shared" si="126"/>
        <v>Low</v>
      </c>
      <c r="L989">
        <f t="shared" si="127"/>
        <v>0.55000000000000004</v>
      </c>
      <c r="M989">
        <f>_xlfn.XLOOKUP(B989, Dim_Hotel!$A$2:$A$11, Dim_Hotel!$I$2:$I$11)
 + (IF(J989="",0,J989)
    * _xlfn.XLOOKUP(B989, Dim_Hotel!$A$2:$A$11, Dim_Hotel!$J$2:$J$11))</f>
        <v>140</v>
      </c>
    </row>
    <row r="990" spans="1:13" x14ac:dyDescent="0.25">
      <c r="A990" s="1">
        <f t="shared" si="120"/>
        <v>46121</v>
      </c>
      <c r="B990" t="str" cm="1">
        <f t="array" ref="B990">INDEX(HotelList,MOD(ROW()-2,10)+1)</f>
        <v>H009</v>
      </c>
      <c r="C990">
        <f>_xlfn.XLOOKUP(B990,Dim_Hotel!$A$2:$A$11,Dim_Hotel!$F$2:$F$11)</f>
        <v>114</v>
      </c>
      <c r="D990">
        <f t="shared" si="121"/>
        <v>63</v>
      </c>
      <c r="E990">
        <f t="shared" si="122"/>
        <v>0.55263157894736847</v>
      </c>
      <c r="F990">
        <f t="shared" si="123"/>
        <v>185</v>
      </c>
      <c r="G990">
        <f t="shared" si="124"/>
        <v>102.23684210526316</v>
      </c>
      <c r="H990" t="str">
        <f>_xlfn.XLOOKUP(A990,Fact_Events!$D$2:$D$20,Fact_Events!$A$2:$A$20, "")</f>
        <v/>
      </c>
      <c r="I990">
        <f t="shared" si="125"/>
        <v>0</v>
      </c>
      <c r="J990" t="str">
        <f>_xlfn.XLOOKUP(H990, Fact_Events!$A$2:$A$20, Fact_Events!$F$2:$F$20, "")</f>
        <v/>
      </c>
      <c r="K990" t="str">
        <f t="shared" si="126"/>
        <v>Low</v>
      </c>
      <c r="L990">
        <f t="shared" si="127"/>
        <v>0.55000000000000004</v>
      </c>
      <c r="M990">
        <f>_xlfn.XLOOKUP(B990, Dim_Hotel!$A$2:$A$11, Dim_Hotel!$I$2:$I$11)
 + (IF(J990="",0,J990)
    * _xlfn.XLOOKUP(B990, Dim_Hotel!$A$2:$A$11, Dim_Hotel!$J$2:$J$11))</f>
        <v>185</v>
      </c>
    </row>
    <row r="991" spans="1:13" x14ac:dyDescent="0.25">
      <c r="A991" s="1">
        <f t="shared" si="120"/>
        <v>46121</v>
      </c>
      <c r="B991" t="str" cm="1">
        <f t="array" ref="B991">INDEX(HotelList,MOD(ROW()-2,10)+1)</f>
        <v>H010</v>
      </c>
      <c r="C991">
        <f>_xlfn.XLOOKUP(B991,Dim_Hotel!$A$2:$A$11,Dim_Hotel!$F$2:$F$11)</f>
        <v>89</v>
      </c>
      <c r="D991">
        <f t="shared" si="121"/>
        <v>49</v>
      </c>
      <c r="E991">
        <f t="shared" si="122"/>
        <v>0.550561797752809</v>
      </c>
      <c r="F991">
        <f t="shared" si="123"/>
        <v>150</v>
      </c>
      <c r="G991">
        <f t="shared" si="124"/>
        <v>82.584269662921344</v>
      </c>
      <c r="H991" t="str">
        <f>_xlfn.XLOOKUP(A991,Fact_Events!$D$2:$D$20,Fact_Events!$A$2:$A$20, "")</f>
        <v/>
      </c>
      <c r="I991">
        <f t="shared" si="125"/>
        <v>0</v>
      </c>
      <c r="J991" t="str">
        <f>_xlfn.XLOOKUP(H991, Fact_Events!$A$2:$A$20, Fact_Events!$F$2:$F$20, "")</f>
        <v/>
      </c>
      <c r="K991" t="str">
        <f t="shared" si="126"/>
        <v>Low</v>
      </c>
      <c r="L991">
        <f t="shared" si="127"/>
        <v>0.55000000000000004</v>
      </c>
      <c r="M991">
        <f>_xlfn.XLOOKUP(B991, Dim_Hotel!$A$2:$A$11, Dim_Hotel!$I$2:$I$11)
 + (IF(J991="",0,J991)
    * _xlfn.XLOOKUP(B991, Dim_Hotel!$A$2:$A$11, Dim_Hotel!$J$2:$J$11))</f>
        <v>150</v>
      </c>
    </row>
    <row r="992" spans="1:13" x14ac:dyDescent="0.25">
      <c r="A992" s="1">
        <f t="shared" si="120"/>
        <v>46122</v>
      </c>
      <c r="B992" t="str" cm="1">
        <f t="array" ref="B992">INDEX(HotelList,MOD(ROW()-2,10)+1)</f>
        <v>H001</v>
      </c>
      <c r="C992">
        <f>_xlfn.XLOOKUP(B992,Dim_Hotel!$A$2:$A$11,Dim_Hotel!$F$2:$F$11)</f>
        <v>888</v>
      </c>
      <c r="D992">
        <f t="shared" si="121"/>
        <v>488</v>
      </c>
      <c r="E992">
        <f t="shared" si="122"/>
        <v>0.5495495495495496</v>
      </c>
      <c r="F992">
        <f t="shared" si="123"/>
        <v>260</v>
      </c>
      <c r="G992">
        <f t="shared" si="124"/>
        <v>142.88288288288288</v>
      </c>
      <c r="H992" t="str">
        <f>_xlfn.XLOOKUP(A992,Fact_Events!$D$2:$D$20,Fact_Events!$A$2:$A$20, "")</f>
        <v/>
      </c>
      <c r="I992">
        <f t="shared" si="125"/>
        <v>0</v>
      </c>
      <c r="J992" t="str">
        <f>_xlfn.XLOOKUP(H992, Fact_Events!$A$2:$A$20, Fact_Events!$F$2:$F$20, "")</f>
        <v/>
      </c>
      <c r="K992" t="str">
        <f t="shared" si="126"/>
        <v>Low</v>
      </c>
      <c r="L992">
        <f t="shared" si="127"/>
        <v>0.55000000000000004</v>
      </c>
      <c r="M992">
        <f>_xlfn.XLOOKUP(B992, Dim_Hotel!$A$2:$A$11, Dim_Hotel!$I$2:$I$11)
 + (IF(J992="",0,J992)
    * _xlfn.XLOOKUP(B992, Dim_Hotel!$A$2:$A$11, Dim_Hotel!$J$2:$J$11))</f>
        <v>260</v>
      </c>
    </row>
    <row r="993" spans="1:13" x14ac:dyDescent="0.25">
      <c r="A993" s="1">
        <f t="shared" si="120"/>
        <v>46122</v>
      </c>
      <c r="B993" t="str" cm="1">
        <f t="array" ref="B993">INDEX(HotelList,MOD(ROW()-2,10)+1)</f>
        <v>H002</v>
      </c>
      <c r="C993">
        <f>_xlfn.XLOOKUP(B993,Dim_Hotel!$A$2:$A$11,Dim_Hotel!$F$2:$F$11)</f>
        <v>147</v>
      </c>
      <c r="D993">
        <f t="shared" si="121"/>
        <v>81</v>
      </c>
      <c r="E993">
        <f t="shared" si="122"/>
        <v>0.55102040816326525</v>
      </c>
      <c r="F993">
        <f t="shared" si="123"/>
        <v>175</v>
      </c>
      <c r="G993">
        <f t="shared" si="124"/>
        <v>96.428571428571416</v>
      </c>
      <c r="H993" t="str">
        <f>_xlfn.XLOOKUP(A993,Fact_Events!$D$2:$D$20,Fact_Events!$A$2:$A$20, "")</f>
        <v/>
      </c>
      <c r="I993">
        <f t="shared" si="125"/>
        <v>0</v>
      </c>
      <c r="J993" t="str">
        <f>_xlfn.XLOOKUP(H993, Fact_Events!$A$2:$A$20, Fact_Events!$F$2:$F$20, "")</f>
        <v/>
      </c>
      <c r="K993" t="str">
        <f t="shared" si="126"/>
        <v>Low</v>
      </c>
      <c r="L993">
        <f t="shared" si="127"/>
        <v>0.55000000000000004</v>
      </c>
      <c r="M993">
        <f>_xlfn.XLOOKUP(B993, Dim_Hotel!$A$2:$A$11, Dim_Hotel!$I$2:$I$11)
 + (IF(J993="",0,J993)
    * _xlfn.XLOOKUP(B993, Dim_Hotel!$A$2:$A$11, Dim_Hotel!$J$2:$J$11))</f>
        <v>175</v>
      </c>
    </row>
    <row r="994" spans="1:13" x14ac:dyDescent="0.25">
      <c r="A994" s="1">
        <f t="shared" si="120"/>
        <v>46122</v>
      </c>
      <c r="B994" t="str" cm="1">
        <f t="array" ref="B994">INDEX(HotelList,MOD(ROW()-2,10)+1)</f>
        <v>H003</v>
      </c>
      <c r="C994">
        <f>_xlfn.XLOOKUP(B994,Dim_Hotel!$A$2:$A$11,Dim_Hotel!$F$2:$F$11)</f>
        <v>121</v>
      </c>
      <c r="D994">
        <f t="shared" si="121"/>
        <v>67</v>
      </c>
      <c r="E994">
        <f t="shared" si="122"/>
        <v>0.55371900826446285</v>
      </c>
      <c r="F994">
        <f t="shared" si="123"/>
        <v>145</v>
      </c>
      <c r="G994">
        <f t="shared" si="124"/>
        <v>80.289256198347118</v>
      </c>
      <c r="H994" t="str">
        <f>_xlfn.XLOOKUP(A994,Fact_Events!$D$2:$D$20,Fact_Events!$A$2:$A$20, "")</f>
        <v/>
      </c>
      <c r="I994">
        <f t="shared" si="125"/>
        <v>0</v>
      </c>
      <c r="J994" t="str">
        <f>_xlfn.XLOOKUP(H994, Fact_Events!$A$2:$A$20, Fact_Events!$F$2:$F$20, "")</f>
        <v/>
      </c>
      <c r="K994" t="str">
        <f t="shared" si="126"/>
        <v>Low</v>
      </c>
      <c r="L994">
        <f t="shared" si="127"/>
        <v>0.55000000000000004</v>
      </c>
      <c r="M994">
        <f>_xlfn.XLOOKUP(B994, Dim_Hotel!$A$2:$A$11, Dim_Hotel!$I$2:$I$11)
 + (IF(J994="",0,J994)
    * _xlfn.XLOOKUP(B994, Dim_Hotel!$A$2:$A$11, Dim_Hotel!$J$2:$J$11))</f>
        <v>145</v>
      </c>
    </row>
    <row r="995" spans="1:13" x14ac:dyDescent="0.25">
      <c r="A995" s="1">
        <f t="shared" si="120"/>
        <v>46122</v>
      </c>
      <c r="B995" t="str" cm="1">
        <f t="array" ref="B995">INDEX(HotelList,MOD(ROW()-2,10)+1)</f>
        <v>H004</v>
      </c>
      <c r="C995">
        <f>_xlfn.XLOOKUP(B995,Dim_Hotel!$A$2:$A$11,Dim_Hotel!$F$2:$F$11)</f>
        <v>108</v>
      </c>
      <c r="D995">
        <f t="shared" si="121"/>
        <v>59</v>
      </c>
      <c r="E995">
        <f t="shared" si="122"/>
        <v>0.54629629629629628</v>
      </c>
      <c r="F995">
        <f t="shared" si="123"/>
        <v>135</v>
      </c>
      <c r="G995">
        <f t="shared" si="124"/>
        <v>73.75</v>
      </c>
      <c r="H995" t="str">
        <f>_xlfn.XLOOKUP(A995,Fact_Events!$D$2:$D$20,Fact_Events!$A$2:$A$20, "")</f>
        <v/>
      </c>
      <c r="I995">
        <f t="shared" si="125"/>
        <v>0</v>
      </c>
      <c r="J995" t="str">
        <f>_xlfn.XLOOKUP(H995, Fact_Events!$A$2:$A$20, Fact_Events!$F$2:$F$20, "")</f>
        <v/>
      </c>
      <c r="K995" t="str">
        <f t="shared" si="126"/>
        <v>Low</v>
      </c>
      <c r="L995">
        <f t="shared" si="127"/>
        <v>0.55000000000000004</v>
      </c>
      <c r="M995">
        <f>_xlfn.XLOOKUP(B995, Dim_Hotel!$A$2:$A$11, Dim_Hotel!$I$2:$I$11)
 + (IF(J995="",0,J995)
    * _xlfn.XLOOKUP(B995, Dim_Hotel!$A$2:$A$11, Dim_Hotel!$J$2:$J$11))</f>
        <v>135</v>
      </c>
    </row>
    <row r="996" spans="1:13" x14ac:dyDescent="0.25">
      <c r="A996" s="1">
        <f t="shared" si="120"/>
        <v>46122</v>
      </c>
      <c r="B996" t="str" cm="1">
        <f t="array" ref="B996">INDEX(HotelList,MOD(ROW()-2,10)+1)</f>
        <v>H005</v>
      </c>
      <c r="C996">
        <f>_xlfn.XLOOKUP(B996,Dim_Hotel!$A$2:$A$11,Dim_Hotel!$F$2:$F$11)</f>
        <v>66</v>
      </c>
      <c r="D996">
        <f t="shared" si="121"/>
        <v>36</v>
      </c>
      <c r="E996">
        <f t="shared" si="122"/>
        <v>0.54545454545454541</v>
      </c>
      <c r="F996">
        <f t="shared" si="123"/>
        <v>82</v>
      </c>
      <c r="G996">
        <f t="shared" si="124"/>
        <v>44.727272727272727</v>
      </c>
      <c r="H996" t="str">
        <f>_xlfn.XLOOKUP(A996,Fact_Events!$D$2:$D$20,Fact_Events!$A$2:$A$20, "")</f>
        <v/>
      </c>
      <c r="I996">
        <f t="shared" si="125"/>
        <v>0</v>
      </c>
      <c r="J996" t="str">
        <f>_xlfn.XLOOKUP(H996, Fact_Events!$A$2:$A$20, Fact_Events!$F$2:$F$20, "")</f>
        <v/>
      </c>
      <c r="K996" t="str">
        <f t="shared" si="126"/>
        <v>Low</v>
      </c>
      <c r="L996">
        <f t="shared" si="127"/>
        <v>0.55000000000000004</v>
      </c>
      <c r="M996">
        <f>_xlfn.XLOOKUP(B996, Dim_Hotel!$A$2:$A$11, Dim_Hotel!$I$2:$I$11)
 + (IF(J996="",0,J996)
    * _xlfn.XLOOKUP(B996, Dim_Hotel!$A$2:$A$11, Dim_Hotel!$J$2:$J$11))</f>
        <v>82</v>
      </c>
    </row>
    <row r="997" spans="1:13" x14ac:dyDescent="0.25">
      <c r="A997" s="1">
        <f t="shared" si="120"/>
        <v>46122</v>
      </c>
      <c r="B997" t="str" cm="1">
        <f t="array" ref="B997">INDEX(HotelList,MOD(ROW()-2,10)+1)</f>
        <v>H006</v>
      </c>
      <c r="C997">
        <f>_xlfn.XLOOKUP(B997,Dim_Hotel!$A$2:$A$11,Dim_Hotel!$F$2:$F$11)</f>
        <v>311</v>
      </c>
      <c r="D997">
        <f t="shared" si="121"/>
        <v>171</v>
      </c>
      <c r="E997">
        <f t="shared" si="122"/>
        <v>0.54983922829581988</v>
      </c>
      <c r="F997">
        <f t="shared" si="123"/>
        <v>190</v>
      </c>
      <c r="G997">
        <f t="shared" si="124"/>
        <v>104.46945337620578</v>
      </c>
      <c r="H997" t="str">
        <f>_xlfn.XLOOKUP(A997,Fact_Events!$D$2:$D$20,Fact_Events!$A$2:$A$20, "")</f>
        <v/>
      </c>
      <c r="I997">
        <f t="shared" si="125"/>
        <v>0</v>
      </c>
      <c r="J997" t="str">
        <f>_xlfn.XLOOKUP(H997, Fact_Events!$A$2:$A$20, Fact_Events!$F$2:$F$20, "")</f>
        <v/>
      </c>
      <c r="K997" t="str">
        <f t="shared" si="126"/>
        <v>Low</v>
      </c>
      <c r="L997">
        <f t="shared" si="127"/>
        <v>0.55000000000000004</v>
      </c>
      <c r="M997">
        <f>_xlfn.XLOOKUP(B997, Dim_Hotel!$A$2:$A$11, Dim_Hotel!$I$2:$I$11)
 + (IF(J997="",0,J997)
    * _xlfn.XLOOKUP(B997, Dim_Hotel!$A$2:$A$11, Dim_Hotel!$J$2:$J$11))</f>
        <v>190</v>
      </c>
    </row>
    <row r="998" spans="1:13" x14ac:dyDescent="0.25">
      <c r="A998" s="1">
        <f t="shared" si="120"/>
        <v>46122</v>
      </c>
      <c r="B998" t="str" cm="1">
        <f t="array" ref="B998">INDEX(HotelList,MOD(ROW()-2,10)+1)</f>
        <v>H007</v>
      </c>
      <c r="C998">
        <f>_xlfn.XLOOKUP(B998,Dim_Hotel!$A$2:$A$11,Dim_Hotel!$F$2:$F$11)</f>
        <v>132</v>
      </c>
      <c r="D998">
        <f t="shared" si="121"/>
        <v>73</v>
      </c>
      <c r="E998">
        <f t="shared" si="122"/>
        <v>0.55303030303030298</v>
      </c>
      <c r="F998">
        <f t="shared" si="123"/>
        <v>165</v>
      </c>
      <c r="G998">
        <f t="shared" si="124"/>
        <v>91.249999999999986</v>
      </c>
      <c r="H998" t="str">
        <f>_xlfn.XLOOKUP(A998,Fact_Events!$D$2:$D$20,Fact_Events!$A$2:$A$20, "")</f>
        <v/>
      </c>
      <c r="I998">
        <f t="shared" si="125"/>
        <v>0</v>
      </c>
      <c r="J998" t="str">
        <f>_xlfn.XLOOKUP(H998, Fact_Events!$A$2:$A$20, Fact_Events!$F$2:$F$20, "")</f>
        <v/>
      </c>
      <c r="K998" t="str">
        <f t="shared" si="126"/>
        <v>Low</v>
      </c>
      <c r="L998">
        <f t="shared" si="127"/>
        <v>0.55000000000000004</v>
      </c>
      <c r="M998">
        <f>_xlfn.XLOOKUP(B998, Dim_Hotel!$A$2:$A$11, Dim_Hotel!$I$2:$I$11)
 + (IF(J998="",0,J998)
    * _xlfn.XLOOKUP(B998, Dim_Hotel!$A$2:$A$11, Dim_Hotel!$J$2:$J$11))</f>
        <v>165</v>
      </c>
    </row>
    <row r="999" spans="1:13" x14ac:dyDescent="0.25">
      <c r="A999" s="1">
        <f t="shared" si="120"/>
        <v>46122</v>
      </c>
      <c r="B999" t="str" cm="1">
        <f t="array" ref="B999">INDEX(HotelList,MOD(ROW()-2,10)+1)</f>
        <v>H008</v>
      </c>
      <c r="C999">
        <f>_xlfn.XLOOKUP(B999,Dim_Hotel!$A$2:$A$11,Dim_Hotel!$F$2:$F$11)</f>
        <v>103</v>
      </c>
      <c r="D999">
        <f t="shared" si="121"/>
        <v>57</v>
      </c>
      <c r="E999">
        <f t="shared" si="122"/>
        <v>0.55339805825242716</v>
      </c>
      <c r="F999">
        <f t="shared" si="123"/>
        <v>140</v>
      </c>
      <c r="G999">
        <f t="shared" si="124"/>
        <v>77.475728155339809</v>
      </c>
      <c r="H999" t="str">
        <f>_xlfn.XLOOKUP(A999,Fact_Events!$D$2:$D$20,Fact_Events!$A$2:$A$20, "")</f>
        <v/>
      </c>
      <c r="I999">
        <f t="shared" si="125"/>
        <v>0</v>
      </c>
      <c r="J999" t="str">
        <f>_xlfn.XLOOKUP(H999, Fact_Events!$A$2:$A$20, Fact_Events!$F$2:$F$20, "")</f>
        <v/>
      </c>
      <c r="K999" t="str">
        <f t="shared" si="126"/>
        <v>Low</v>
      </c>
      <c r="L999">
        <f t="shared" si="127"/>
        <v>0.55000000000000004</v>
      </c>
      <c r="M999">
        <f>_xlfn.XLOOKUP(B999, Dim_Hotel!$A$2:$A$11, Dim_Hotel!$I$2:$I$11)
 + (IF(J999="",0,J999)
    * _xlfn.XLOOKUP(B999, Dim_Hotel!$A$2:$A$11, Dim_Hotel!$J$2:$J$11))</f>
        <v>140</v>
      </c>
    </row>
    <row r="1000" spans="1:13" x14ac:dyDescent="0.25">
      <c r="A1000" s="1">
        <f t="shared" si="120"/>
        <v>46122</v>
      </c>
      <c r="B1000" t="str" cm="1">
        <f t="array" ref="B1000">INDEX(HotelList,MOD(ROW()-2,10)+1)</f>
        <v>H009</v>
      </c>
      <c r="C1000">
        <f>_xlfn.XLOOKUP(B1000,Dim_Hotel!$A$2:$A$11,Dim_Hotel!$F$2:$F$11)</f>
        <v>114</v>
      </c>
      <c r="D1000">
        <f t="shared" si="121"/>
        <v>63</v>
      </c>
      <c r="E1000">
        <f t="shared" si="122"/>
        <v>0.55263157894736847</v>
      </c>
      <c r="F1000">
        <f t="shared" si="123"/>
        <v>185</v>
      </c>
      <c r="G1000">
        <f t="shared" si="124"/>
        <v>102.23684210526316</v>
      </c>
      <c r="H1000" t="str">
        <f>_xlfn.XLOOKUP(A1000,Fact_Events!$D$2:$D$20,Fact_Events!$A$2:$A$20, "")</f>
        <v/>
      </c>
      <c r="I1000">
        <f t="shared" si="125"/>
        <v>0</v>
      </c>
      <c r="J1000" t="str">
        <f>_xlfn.XLOOKUP(H1000, Fact_Events!$A$2:$A$20, Fact_Events!$F$2:$F$20, "")</f>
        <v/>
      </c>
      <c r="K1000" t="str">
        <f t="shared" si="126"/>
        <v>Low</v>
      </c>
      <c r="L1000">
        <f t="shared" si="127"/>
        <v>0.55000000000000004</v>
      </c>
      <c r="M1000">
        <f>_xlfn.XLOOKUP(B1000, Dim_Hotel!$A$2:$A$11, Dim_Hotel!$I$2:$I$11)
 + (IF(J1000="",0,J1000)
    * _xlfn.XLOOKUP(B1000, Dim_Hotel!$A$2:$A$11, Dim_Hotel!$J$2:$J$11))</f>
        <v>185</v>
      </c>
    </row>
    <row r="1001" spans="1:13" x14ac:dyDescent="0.25">
      <c r="A1001" s="1">
        <f t="shared" si="120"/>
        <v>46122</v>
      </c>
      <c r="B1001" t="str" cm="1">
        <f t="array" ref="B1001">INDEX(HotelList,MOD(ROW()-2,10)+1)</f>
        <v>H010</v>
      </c>
      <c r="C1001">
        <f>_xlfn.XLOOKUP(B1001,Dim_Hotel!$A$2:$A$11,Dim_Hotel!$F$2:$F$11)</f>
        <v>89</v>
      </c>
      <c r="D1001">
        <f t="shared" si="121"/>
        <v>49</v>
      </c>
      <c r="E1001">
        <f t="shared" si="122"/>
        <v>0.550561797752809</v>
      </c>
      <c r="F1001">
        <f t="shared" si="123"/>
        <v>150</v>
      </c>
      <c r="G1001">
        <f t="shared" si="124"/>
        <v>82.584269662921344</v>
      </c>
      <c r="H1001" t="str">
        <f>_xlfn.XLOOKUP(A1001,Fact_Events!$D$2:$D$20,Fact_Events!$A$2:$A$20, "")</f>
        <v/>
      </c>
      <c r="I1001">
        <f t="shared" si="125"/>
        <v>0</v>
      </c>
      <c r="J1001" t="str">
        <f>_xlfn.XLOOKUP(H1001, Fact_Events!$A$2:$A$20, Fact_Events!$F$2:$F$20, "")</f>
        <v/>
      </c>
      <c r="K1001" t="str">
        <f t="shared" si="126"/>
        <v>Low</v>
      </c>
      <c r="L1001">
        <f t="shared" si="127"/>
        <v>0.55000000000000004</v>
      </c>
      <c r="M1001">
        <f>_xlfn.XLOOKUP(B1001, Dim_Hotel!$A$2:$A$11, Dim_Hotel!$I$2:$I$11)
 + (IF(J1001="",0,J1001)
    * _xlfn.XLOOKUP(B1001, Dim_Hotel!$A$2:$A$11, Dim_Hotel!$J$2:$J$11))</f>
        <v>150</v>
      </c>
    </row>
    <row r="1002" spans="1:13" x14ac:dyDescent="0.25">
      <c r="A1002" s="1">
        <f t="shared" si="120"/>
        <v>46123</v>
      </c>
      <c r="B1002" t="str" cm="1">
        <f t="array" ref="B1002">INDEX(HotelList,MOD(ROW()-2,10)+1)</f>
        <v>H001</v>
      </c>
      <c r="C1002">
        <f>_xlfn.XLOOKUP(B1002,Dim_Hotel!$A$2:$A$11,Dim_Hotel!$F$2:$F$11)</f>
        <v>888</v>
      </c>
      <c r="D1002">
        <f t="shared" si="121"/>
        <v>488</v>
      </c>
      <c r="E1002">
        <f t="shared" si="122"/>
        <v>0.5495495495495496</v>
      </c>
      <c r="F1002">
        <f t="shared" si="123"/>
        <v>260</v>
      </c>
      <c r="G1002">
        <f t="shared" si="124"/>
        <v>142.88288288288288</v>
      </c>
      <c r="H1002" t="str">
        <f>_xlfn.XLOOKUP(A1002,Fact_Events!$D$2:$D$20,Fact_Events!$A$2:$A$20, "")</f>
        <v/>
      </c>
      <c r="I1002">
        <f t="shared" si="125"/>
        <v>0</v>
      </c>
      <c r="J1002" t="str">
        <f>_xlfn.XLOOKUP(H1002, Fact_Events!$A$2:$A$20, Fact_Events!$F$2:$F$20, "")</f>
        <v/>
      </c>
      <c r="K1002" t="str">
        <f t="shared" si="126"/>
        <v>Low</v>
      </c>
      <c r="L1002">
        <f t="shared" si="127"/>
        <v>0.55000000000000004</v>
      </c>
      <c r="M1002">
        <f>_xlfn.XLOOKUP(B1002, Dim_Hotel!$A$2:$A$11, Dim_Hotel!$I$2:$I$11)
 + (IF(J1002="",0,J1002)
    * _xlfn.XLOOKUP(B1002, Dim_Hotel!$A$2:$A$11, Dim_Hotel!$J$2:$J$11))</f>
        <v>260</v>
      </c>
    </row>
    <row r="1003" spans="1:13" x14ac:dyDescent="0.25">
      <c r="A1003" s="1">
        <f t="shared" si="120"/>
        <v>46123</v>
      </c>
      <c r="B1003" t="str" cm="1">
        <f t="array" ref="B1003">INDEX(HotelList,MOD(ROW()-2,10)+1)</f>
        <v>H002</v>
      </c>
      <c r="C1003">
        <f>_xlfn.XLOOKUP(B1003,Dim_Hotel!$A$2:$A$11,Dim_Hotel!$F$2:$F$11)</f>
        <v>147</v>
      </c>
      <c r="D1003">
        <f t="shared" si="121"/>
        <v>81</v>
      </c>
      <c r="E1003">
        <f t="shared" si="122"/>
        <v>0.55102040816326525</v>
      </c>
      <c r="F1003">
        <f t="shared" si="123"/>
        <v>175</v>
      </c>
      <c r="G1003">
        <f t="shared" si="124"/>
        <v>96.428571428571416</v>
      </c>
      <c r="H1003" t="str">
        <f>_xlfn.XLOOKUP(A1003,Fact_Events!$D$2:$D$20,Fact_Events!$A$2:$A$20, "")</f>
        <v/>
      </c>
      <c r="I1003">
        <f t="shared" si="125"/>
        <v>0</v>
      </c>
      <c r="J1003" t="str">
        <f>_xlfn.XLOOKUP(H1003, Fact_Events!$A$2:$A$20, Fact_Events!$F$2:$F$20, "")</f>
        <v/>
      </c>
      <c r="K1003" t="str">
        <f t="shared" si="126"/>
        <v>Low</v>
      </c>
      <c r="L1003">
        <f t="shared" si="127"/>
        <v>0.55000000000000004</v>
      </c>
      <c r="M1003">
        <f>_xlfn.XLOOKUP(B1003, Dim_Hotel!$A$2:$A$11, Dim_Hotel!$I$2:$I$11)
 + (IF(J1003="",0,J1003)
    * _xlfn.XLOOKUP(B1003, Dim_Hotel!$A$2:$A$11, Dim_Hotel!$J$2:$J$11))</f>
        <v>175</v>
      </c>
    </row>
    <row r="1004" spans="1:13" x14ac:dyDescent="0.25">
      <c r="A1004" s="1">
        <f t="shared" si="120"/>
        <v>46123</v>
      </c>
      <c r="B1004" t="str" cm="1">
        <f t="array" ref="B1004">INDEX(HotelList,MOD(ROW()-2,10)+1)</f>
        <v>H003</v>
      </c>
      <c r="C1004">
        <f>_xlfn.XLOOKUP(B1004,Dim_Hotel!$A$2:$A$11,Dim_Hotel!$F$2:$F$11)</f>
        <v>121</v>
      </c>
      <c r="D1004">
        <f t="shared" si="121"/>
        <v>67</v>
      </c>
      <c r="E1004">
        <f t="shared" si="122"/>
        <v>0.55371900826446285</v>
      </c>
      <c r="F1004">
        <f t="shared" si="123"/>
        <v>145</v>
      </c>
      <c r="G1004">
        <f t="shared" si="124"/>
        <v>80.289256198347118</v>
      </c>
      <c r="H1004" t="str">
        <f>_xlfn.XLOOKUP(A1004,Fact_Events!$D$2:$D$20,Fact_Events!$A$2:$A$20, "")</f>
        <v/>
      </c>
      <c r="I1004">
        <f t="shared" si="125"/>
        <v>0</v>
      </c>
      <c r="J1004" t="str">
        <f>_xlfn.XLOOKUP(H1004, Fact_Events!$A$2:$A$20, Fact_Events!$F$2:$F$20, "")</f>
        <v/>
      </c>
      <c r="K1004" t="str">
        <f t="shared" si="126"/>
        <v>Low</v>
      </c>
      <c r="L1004">
        <f t="shared" si="127"/>
        <v>0.55000000000000004</v>
      </c>
      <c r="M1004">
        <f>_xlfn.XLOOKUP(B1004, Dim_Hotel!$A$2:$A$11, Dim_Hotel!$I$2:$I$11)
 + (IF(J1004="",0,J1004)
    * _xlfn.XLOOKUP(B1004, Dim_Hotel!$A$2:$A$11, Dim_Hotel!$J$2:$J$11))</f>
        <v>145</v>
      </c>
    </row>
    <row r="1005" spans="1:13" x14ac:dyDescent="0.25">
      <c r="A1005" s="1">
        <f t="shared" si="120"/>
        <v>46123</v>
      </c>
      <c r="B1005" t="str" cm="1">
        <f t="array" ref="B1005">INDEX(HotelList,MOD(ROW()-2,10)+1)</f>
        <v>H004</v>
      </c>
      <c r="C1005">
        <f>_xlfn.XLOOKUP(B1005,Dim_Hotel!$A$2:$A$11,Dim_Hotel!$F$2:$F$11)</f>
        <v>108</v>
      </c>
      <c r="D1005">
        <f t="shared" si="121"/>
        <v>59</v>
      </c>
      <c r="E1005">
        <f t="shared" si="122"/>
        <v>0.54629629629629628</v>
      </c>
      <c r="F1005">
        <f t="shared" si="123"/>
        <v>135</v>
      </c>
      <c r="G1005">
        <f t="shared" si="124"/>
        <v>73.75</v>
      </c>
      <c r="H1005" t="str">
        <f>_xlfn.XLOOKUP(A1005,Fact_Events!$D$2:$D$20,Fact_Events!$A$2:$A$20, "")</f>
        <v/>
      </c>
      <c r="I1005">
        <f t="shared" si="125"/>
        <v>0</v>
      </c>
      <c r="J1005" t="str">
        <f>_xlfn.XLOOKUP(H1005, Fact_Events!$A$2:$A$20, Fact_Events!$F$2:$F$20, "")</f>
        <v/>
      </c>
      <c r="K1005" t="str">
        <f t="shared" si="126"/>
        <v>Low</v>
      </c>
      <c r="L1005">
        <f t="shared" si="127"/>
        <v>0.55000000000000004</v>
      </c>
      <c r="M1005">
        <f>_xlfn.XLOOKUP(B1005, Dim_Hotel!$A$2:$A$11, Dim_Hotel!$I$2:$I$11)
 + (IF(J1005="",0,J1005)
    * _xlfn.XLOOKUP(B1005, Dim_Hotel!$A$2:$A$11, Dim_Hotel!$J$2:$J$11))</f>
        <v>135</v>
      </c>
    </row>
    <row r="1006" spans="1:13" x14ac:dyDescent="0.25">
      <c r="A1006" s="1">
        <f t="shared" si="120"/>
        <v>46123</v>
      </c>
      <c r="B1006" t="str" cm="1">
        <f t="array" ref="B1006">INDEX(HotelList,MOD(ROW()-2,10)+1)</f>
        <v>H005</v>
      </c>
      <c r="C1006">
        <f>_xlfn.XLOOKUP(B1006,Dim_Hotel!$A$2:$A$11,Dim_Hotel!$F$2:$F$11)</f>
        <v>66</v>
      </c>
      <c r="D1006">
        <f t="shared" si="121"/>
        <v>36</v>
      </c>
      <c r="E1006">
        <f t="shared" si="122"/>
        <v>0.54545454545454541</v>
      </c>
      <c r="F1006">
        <f t="shared" si="123"/>
        <v>82</v>
      </c>
      <c r="G1006">
        <f t="shared" si="124"/>
        <v>44.727272727272727</v>
      </c>
      <c r="H1006" t="str">
        <f>_xlfn.XLOOKUP(A1006,Fact_Events!$D$2:$D$20,Fact_Events!$A$2:$A$20, "")</f>
        <v/>
      </c>
      <c r="I1006">
        <f t="shared" si="125"/>
        <v>0</v>
      </c>
      <c r="J1006" t="str">
        <f>_xlfn.XLOOKUP(H1006, Fact_Events!$A$2:$A$20, Fact_Events!$F$2:$F$20, "")</f>
        <v/>
      </c>
      <c r="K1006" t="str">
        <f t="shared" si="126"/>
        <v>Low</v>
      </c>
      <c r="L1006">
        <f t="shared" si="127"/>
        <v>0.55000000000000004</v>
      </c>
      <c r="M1006">
        <f>_xlfn.XLOOKUP(B1006, Dim_Hotel!$A$2:$A$11, Dim_Hotel!$I$2:$I$11)
 + (IF(J1006="",0,J1006)
    * _xlfn.XLOOKUP(B1006, Dim_Hotel!$A$2:$A$11, Dim_Hotel!$J$2:$J$11))</f>
        <v>82</v>
      </c>
    </row>
    <row r="1007" spans="1:13" x14ac:dyDescent="0.25">
      <c r="A1007" s="1">
        <f t="shared" si="120"/>
        <v>46123</v>
      </c>
      <c r="B1007" t="str" cm="1">
        <f t="array" ref="B1007">INDEX(HotelList,MOD(ROW()-2,10)+1)</f>
        <v>H006</v>
      </c>
      <c r="C1007">
        <f>_xlfn.XLOOKUP(B1007,Dim_Hotel!$A$2:$A$11,Dim_Hotel!$F$2:$F$11)</f>
        <v>311</v>
      </c>
      <c r="D1007">
        <f t="shared" si="121"/>
        <v>171</v>
      </c>
      <c r="E1007">
        <f t="shared" si="122"/>
        <v>0.54983922829581988</v>
      </c>
      <c r="F1007">
        <f t="shared" si="123"/>
        <v>190</v>
      </c>
      <c r="G1007">
        <f t="shared" si="124"/>
        <v>104.46945337620578</v>
      </c>
      <c r="H1007" t="str">
        <f>_xlfn.XLOOKUP(A1007,Fact_Events!$D$2:$D$20,Fact_Events!$A$2:$A$20, "")</f>
        <v/>
      </c>
      <c r="I1007">
        <f t="shared" si="125"/>
        <v>0</v>
      </c>
      <c r="J1007" t="str">
        <f>_xlfn.XLOOKUP(H1007, Fact_Events!$A$2:$A$20, Fact_Events!$F$2:$F$20, "")</f>
        <v/>
      </c>
      <c r="K1007" t="str">
        <f t="shared" si="126"/>
        <v>Low</v>
      </c>
      <c r="L1007">
        <f t="shared" si="127"/>
        <v>0.55000000000000004</v>
      </c>
      <c r="M1007">
        <f>_xlfn.XLOOKUP(B1007, Dim_Hotel!$A$2:$A$11, Dim_Hotel!$I$2:$I$11)
 + (IF(J1007="",0,J1007)
    * _xlfn.XLOOKUP(B1007, Dim_Hotel!$A$2:$A$11, Dim_Hotel!$J$2:$J$11))</f>
        <v>190</v>
      </c>
    </row>
    <row r="1008" spans="1:13" x14ac:dyDescent="0.25">
      <c r="A1008" s="1">
        <f t="shared" si="120"/>
        <v>46123</v>
      </c>
      <c r="B1008" t="str" cm="1">
        <f t="array" ref="B1008">INDEX(HotelList,MOD(ROW()-2,10)+1)</f>
        <v>H007</v>
      </c>
      <c r="C1008">
        <f>_xlfn.XLOOKUP(B1008,Dim_Hotel!$A$2:$A$11,Dim_Hotel!$F$2:$F$11)</f>
        <v>132</v>
      </c>
      <c r="D1008">
        <f t="shared" si="121"/>
        <v>73</v>
      </c>
      <c r="E1008">
        <f t="shared" si="122"/>
        <v>0.55303030303030298</v>
      </c>
      <c r="F1008">
        <f t="shared" si="123"/>
        <v>165</v>
      </c>
      <c r="G1008">
        <f t="shared" si="124"/>
        <v>91.249999999999986</v>
      </c>
      <c r="H1008" t="str">
        <f>_xlfn.XLOOKUP(A1008,Fact_Events!$D$2:$D$20,Fact_Events!$A$2:$A$20, "")</f>
        <v/>
      </c>
      <c r="I1008">
        <f t="shared" si="125"/>
        <v>0</v>
      </c>
      <c r="J1008" t="str">
        <f>_xlfn.XLOOKUP(H1008, Fact_Events!$A$2:$A$20, Fact_Events!$F$2:$F$20, "")</f>
        <v/>
      </c>
      <c r="K1008" t="str">
        <f t="shared" si="126"/>
        <v>Low</v>
      </c>
      <c r="L1008">
        <f t="shared" si="127"/>
        <v>0.55000000000000004</v>
      </c>
      <c r="M1008">
        <f>_xlfn.XLOOKUP(B1008, Dim_Hotel!$A$2:$A$11, Dim_Hotel!$I$2:$I$11)
 + (IF(J1008="",0,J1008)
    * _xlfn.XLOOKUP(B1008, Dim_Hotel!$A$2:$A$11, Dim_Hotel!$J$2:$J$11))</f>
        <v>165</v>
      </c>
    </row>
    <row r="1009" spans="1:13" x14ac:dyDescent="0.25">
      <c r="A1009" s="1">
        <f t="shared" si="120"/>
        <v>46123</v>
      </c>
      <c r="B1009" t="str" cm="1">
        <f t="array" ref="B1009">INDEX(HotelList,MOD(ROW()-2,10)+1)</f>
        <v>H008</v>
      </c>
      <c r="C1009">
        <f>_xlfn.XLOOKUP(B1009,Dim_Hotel!$A$2:$A$11,Dim_Hotel!$F$2:$F$11)</f>
        <v>103</v>
      </c>
      <c r="D1009">
        <f t="shared" si="121"/>
        <v>57</v>
      </c>
      <c r="E1009">
        <f t="shared" si="122"/>
        <v>0.55339805825242716</v>
      </c>
      <c r="F1009">
        <f t="shared" si="123"/>
        <v>140</v>
      </c>
      <c r="G1009">
        <f t="shared" si="124"/>
        <v>77.475728155339809</v>
      </c>
      <c r="H1009" t="str">
        <f>_xlfn.XLOOKUP(A1009,Fact_Events!$D$2:$D$20,Fact_Events!$A$2:$A$20, "")</f>
        <v/>
      </c>
      <c r="I1009">
        <f t="shared" si="125"/>
        <v>0</v>
      </c>
      <c r="J1009" t="str">
        <f>_xlfn.XLOOKUP(H1009, Fact_Events!$A$2:$A$20, Fact_Events!$F$2:$F$20, "")</f>
        <v/>
      </c>
      <c r="K1009" t="str">
        <f t="shared" si="126"/>
        <v>Low</v>
      </c>
      <c r="L1009">
        <f t="shared" si="127"/>
        <v>0.55000000000000004</v>
      </c>
      <c r="M1009">
        <f>_xlfn.XLOOKUP(B1009, Dim_Hotel!$A$2:$A$11, Dim_Hotel!$I$2:$I$11)
 + (IF(J1009="",0,J1009)
    * _xlfn.XLOOKUP(B1009, Dim_Hotel!$A$2:$A$11, Dim_Hotel!$J$2:$J$11))</f>
        <v>140</v>
      </c>
    </row>
    <row r="1010" spans="1:13" x14ac:dyDescent="0.25">
      <c r="A1010" s="1">
        <f t="shared" si="120"/>
        <v>46123</v>
      </c>
      <c r="B1010" t="str" cm="1">
        <f t="array" ref="B1010">INDEX(HotelList,MOD(ROW()-2,10)+1)</f>
        <v>H009</v>
      </c>
      <c r="C1010">
        <f>_xlfn.XLOOKUP(B1010,Dim_Hotel!$A$2:$A$11,Dim_Hotel!$F$2:$F$11)</f>
        <v>114</v>
      </c>
      <c r="D1010">
        <f t="shared" si="121"/>
        <v>63</v>
      </c>
      <c r="E1010">
        <f t="shared" si="122"/>
        <v>0.55263157894736847</v>
      </c>
      <c r="F1010">
        <f t="shared" si="123"/>
        <v>185</v>
      </c>
      <c r="G1010">
        <f t="shared" si="124"/>
        <v>102.23684210526316</v>
      </c>
      <c r="H1010" t="str">
        <f>_xlfn.XLOOKUP(A1010,Fact_Events!$D$2:$D$20,Fact_Events!$A$2:$A$20, "")</f>
        <v/>
      </c>
      <c r="I1010">
        <f t="shared" si="125"/>
        <v>0</v>
      </c>
      <c r="J1010" t="str">
        <f>_xlfn.XLOOKUP(H1010, Fact_Events!$A$2:$A$20, Fact_Events!$F$2:$F$20, "")</f>
        <v/>
      </c>
      <c r="K1010" t="str">
        <f t="shared" si="126"/>
        <v>Low</v>
      </c>
      <c r="L1010">
        <f t="shared" si="127"/>
        <v>0.55000000000000004</v>
      </c>
      <c r="M1010">
        <f>_xlfn.XLOOKUP(B1010, Dim_Hotel!$A$2:$A$11, Dim_Hotel!$I$2:$I$11)
 + (IF(J1010="",0,J1010)
    * _xlfn.XLOOKUP(B1010, Dim_Hotel!$A$2:$A$11, Dim_Hotel!$J$2:$J$11))</f>
        <v>185</v>
      </c>
    </row>
    <row r="1011" spans="1:13" x14ac:dyDescent="0.25">
      <c r="A1011" s="1">
        <f t="shared" si="120"/>
        <v>46123</v>
      </c>
      <c r="B1011" t="str" cm="1">
        <f t="array" ref="B1011">INDEX(HotelList,MOD(ROW()-2,10)+1)</f>
        <v>H010</v>
      </c>
      <c r="C1011">
        <f>_xlfn.XLOOKUP(B1011,Dim_Hotel!$A$2:$A$11,Dim_Hotel!$F$2:$F$11)</f>
        <v>89</v>
      </c>
      <c r="D1011">
        <f t="shared" si="121"/>
        <v>49</v>
      </c>
      <c r="E1011">
        <f t="shared" si="122"/>
        <v>0.550561797752809</v>
      </c>
      <c r="F1011">
        <f t="shared" si="123"/>
        <v>150</v>
      </c>
      <c r="G1011">
        <f t="shared" si="124"/>
        <v>82.584269662921344</v>
      </c>
      <c r="H1011" t="str">
        <f>_xlfn.XLOOKUP(A1011,Fact_Events!$D$2:$D$20,Fact_Events!$A$2:$A$20, "")</f>
        <v/>
      </c>
      <c r="I1011">
        <f t="shared" si="125"/>
        <v>0</v>
      </c>
      <c r="J1011" t="str">
        <f>_xlfn.XLOOKUP(H1011, Fact_Events!$A$2:$A$20, Fact_Events!$F$2:$F$20, "")</f>
        <v/>
      </c>
      <c r="K1011" t="str">
        <f t="shared" si="126"/>
        <v>Low</v>
      </c>
      <c r="L1011">
        <f t="shared" si="127"/>
        <v>0.55000000000000004</v>
      </c>
      <c r="M1011">
        <f>_xlfn.XLOOKUP(B1011, Dim_Hotel!$A$2:$A$11, Dim_Hotel!$I$2:$I$11)
 + (IF(J1011="",0,J1011)
    * _xlfn.XLOOKUP(B1011, Dim_Hotel!$A$2:$A$11, Dim_Hotel!$J$2:$J$11))</f>
        <v>150</v>
      </c>
    </row>
    <row r="1012" spans="1:13" x14ac:dyDescent="0.25">
      <c r="A1012" s="1">
        <f t="shared" si="120"/>
        <v>46124</v>
      </c>
      <c r="B1012" t="str" cm="1">
        <f t="array" ref="B1012">INDEX(HotelList,MOD(ROW()-2,10)+1)</f>
        <v>H001</v>
      </c>
      <c r="C1012">
        <f>_xlfn.XLOOKUP(B1012,Dim_Hotel!$A$2:$A$11,Dim_Hotel!$F$2:$F$11)</f>
        <v>888</v>
      </c>
      <c r="D1012">
        <f t="shared" si="121"/>
        <v>488</v>
      </c>
      <c r="E1012">
        <f t="shared" si="122"/>
        <v>0.5495495495495496</v>
      </c>
      <c r="F1012">
        <f t="shared" si="123"/>
        <v>260</v>
      </c>
      <c r="G1012">
        <f t="shared" si="124"/>
        <v>142.88288288288288</v>
      </c>
      <c r="H1012" t="str">
        <f>_xlfn.XLOOKUP(A1012,Fact_Events!$D$2:$D$20,Fact_Events!$A$2:$A$20, "")</f>
        <v/>
      </c>
      <c r="I1012">
        <f t="shared" si="125"/>
        <v>0</v>
      </c>
      <c r="J1012" t="str">
        <f>_xlfn.XLOOKUP(H1012, Fact_Events!$A$2:$A$20, Fact_Events!$F$2:$F$20, "")</f>
        <v/>
      </c>
      <c r="K1012" t="str">
        <f t="shared" si="126"/>
        <v>Low</v>
      </c>
      <c r="L1012">
        <f t="shared" si="127"/>
        <v>0.55000000000000004</v>
      </c>
      <c r="M1012">
        <f>_xlfn.XLOOKUP(B1012, Dim_Hotel!$A$2:$A$11, Dim_Hotel!$I$2:$I$11)
 + (IF(J1012="",0,J1012)
    * _xlfn.XLOOKUP(B1012, Dim_Hotel!$A$2:$A$11, Dim_Hotel!$J$2:$J$11))</f>
        <v>260</v>
      </c>
    </row>
    <row r="1013" spans="1:13" x14ac:dyDescent="0.25">
      <c r="A1013" s="1">
        <f t="shared" si="120"/>
        <v>46124</v>
      </c>
      <c r="B1013" t="str" cm="1">
        <f t="array" ref="B1013">INDEX(HotelList,MOD(ROW()-2,10)+1)</f>
        <v>H002</v>
      </c>
      <c r="C1013">
        <f>_xlfn.XLOOKUP(B1013,Dim_Hotel!$A$2:$A$11,Dim_Hotel!$F$2:$F$11)</f>
        <v>147</v>
      </c>
      <c r="D1013">
        <f t="shared" si="121"/>
        <v>81</v>
      </c>
      <c r="E1013">
        <f t="shared" si="122"/>
        <v>0.55102040816326525</v>
      </c>
      <c r="F1013">
        <f t="shared" si="123"/>
        <v>175</v>
      </c>
      <c r="G1013">
        <f t="shared" si="124"/>
        <v>96.428571428571416</v>
      </c>
      <c r="H1013" t="str">
        <f>_xlfn.XLOOKUP(A1013,Fact_Events!$D$2:$D$20,Fact_Events!$A$2:$A$20, "")</f>
        <v/>
      </c>
      <c r="I1013">
        <f t="shared" si="125"/>
        <v>0</v>
      </c>
      <c r="J1013" t="str">
        <f>_xlfn.XLOOKUP(H1013, Fact_Events!$A$2:$A$20, Fact_Events!$F$2:$F$20, "")</f>
        <v/>
      </c>
      <c r="K1013" t="str">
        <f t="shared" si="126"/>
        <v>Low</v>
      </c>
      <c r="L1013">
        <f t="shared" si="127"/>
        <v>0.55000000000000004</v>
      </c>
      <c r="M1013">
        <f>_xlfn.XLOOKUP(B1013, Dim_Hotel!$A$2:$A$11, Dim_Hotel!$I$2:$I$11)
 + (IF(J1013="",0,J1013)
    * _xlfn.XLOOKUP(B1013, Dim_Hotel!$A$2:$A$11, Dim_Hotel!$J$2:$J$11))</f>
        <v>175</v>
      </c>
    </row>
    <row r="1014" spans="1:13" x14ac:dyDescent="0.25">
      <c r="A1014" s="1">
        <f t="shared" si="120"/>
        <v>46124</v>
      </c>
      <c r="B1014" t="str" cm="1">
        <f t="array" ref="B1014">INDEX(HotelList,MOD(ROW()-2,10)+1)</f>
        <v>H003</v>
      </c>
      <c r="C1014">
        <f>_xlfn.XLOOKUP(B1014,Dim_Hotel!$A$2:$A$11,Dim_Hotel!$F$2:$F$11)</f>
        <v>121</v>
      </c>
      <c r="D1014">
        <f t="shared" si="121"/>
        <v>67</v>
      </c>
      <c r="E1014">
        <f t="shared" si="122"/>
        <v>0.55371900826446285</v>
      </c>
      <c r="F1014">
        <f t="shared" si="123"/>
        <v>145</v>
      </c>
      <c r="G1014">
        <f t="shared" si="124"/>
        <v>80.289256198347118</v>
      </c>
      <c r="H1014" t="str">
        <f>_xlfn.XLOOKUP(A1014,Fact_Events!$D$2:$D$20,Fact_Events!$A$2:$A$20, "")</f>
        <v/>
      </c>
      <c r="I1014">
        <f t="shared" si="125"/>
        <v>0</v>
      </c>
      <c r="J1014" t="str">
        <f>_xlfn.XLOOKUP(H1014, Fact_Events!$A$2:$A$20, Fact_Events!$F$2:$F$20, "")</f>
        <v/>
      </c>
      <c r="K1014" t="str">
        <f t="shared" si="126"/>
        <v>Low</v>
      </c>
      <c r="L1014">
        <f t="shared" si="127"/>
        <v>0.55000000000000004</v>
      </c>
      <c r="M1014">
        <f>_xlfn.XLOOKUP(B1014, Dim_Hotel!$A$2:$A$11, Dim_Hotel!$I$2:$I$11)
 + (IF(J1014="",0,J1014)
    * _xlfn.XLOOKUP(B1014, Dim_Hotel!$A$2:$A$11, Dim_Hotel!$J$2:$J$11))</f>
        <v>145</v>
      </c>
    </row>
    <row r="1015" spans="1:13" x14ac:dyDescent="0.25">
      <c r="A1015" s="1">
        <f t="shared" si="120"/>
        <v>46124</v>
      </c>
      <c r="B1015" t="str" cm="1">
        <f t="array" ref="B1015">INDEX(HotelList,MOD(ROW()-2,10)+1)</f>
        <v>H004</v>
      </c>
      <c r="C1015">
        <f>_xlfn.XLOOKUP(B1015,Dim_Hotel!$A$2:$A$11,Dim_Hotel!$F$2:$F$11)</f>
        <v>108</v>
      </c>
      <c r="D1015">
        <f t="shared" si="121"/>
        <v>59</v>
      </c>
      <c r="E1015">
        <f t="shared" si="122"/>
        <v>0.54629629629629628</v>
      </c>
      <c r="F1015">
        <f t="shared" si="123"/>
        <v>135</v>
      </c>
      <c r="G1015">
        <f t="shared" si="124"/>
        <v>73.75</v>
      </c>
      <c r="H1015" t="str">
        <f>_xlfn.XLOOKUP(A1015,Fact_Events!$D$2:$D$20,Fact_Events!$A$2:$A$20, "")</f>
        <v/>
      </c>
      <c r="I1015">
        <f t="shared" si="125"/>
        <v>0</v>
      </c>
      <c r="J1015" t="str">
        <f>_xlfn.XLOOKUP(H1015, Fact_Events!$A$2:$A$20, Fact_Events!$F$2:$F$20, "")</f>
        <v/>
      </c>
      <c r="K1015" t="str">
        <f t="shared" si="126"/>
        <v>Low</v>
      </c>
      <c r="L1015">
        <f t="shared" si="127"/>
        <v>0.55000000000000004</v>
      </c>
      <c r="M1015">
        <f>_xlfn.XLOOKUP(B1015, Dim_Hotel!$A$2:$A$11, Dim_Hotel!$I$2:$I$11)
 + (IF(J1015="",0,J1015)
    * _xlfn.XLOOKUP(B1015, Dim_Hotel!$A$2:$A$11, Dim_Hotel!$J$2:$J$11))</f>
        <v>135</v>
      </c>
    </row>
    <row r="1016" spans="1:13" x14ac:dyDescent="0.25">
      <c r="A1016" s="1">
        <f t="shared" si="120"/>
        <v>46124</v>
      </c>
      <c r="B1016" t="str" cm="1">
        <f t="array" ref="B1016">INDEX(HotelList,MOD(ROW()-2,10)+1)</f>
        <v>H005</v>
      </c>
      <c r="C1016">
        <f>_xlfn.XLOOKUP(B1016,Dim_Hotel!$A$2:$A$11,Dim_Hotel!$F$2:$F$11)</f>
        <v>66</v>
      </c>
      <c r="D1016">
        <f t="shared" si="121"/>
        <v>36</v>
      </c>
      <c r="E1016">
        <f t="shared" si="122"/>
        <v>0.54545454545454541</v>
      </c>
      <c r="F1016">
        <f t="shared" si="123"/>
        <v>82</v>
      </c>
      <c r="G1016">
        <f t="shared" si="124"/>
        <v>44.727272727272727</v>
      </c>
      <c r="H1016" t="str">
        <f>_xlfn.XLOOKUP(A1016,Fact_Events!$D$2:$D$20,Fact_Events!$A$2:$A$20, "")</f>
        <v/>
      </c>
      <c r="I1016">
        <f t="shared" si="125"/>
        <v>0</v>
      </c>
      <c r="J1016" t="str">
        <f>_xlfn.XLOOKUP(H1016, Fact_Events!$A$2:$A$20, Fact_Events!$F$2:$F$20, "")</f>
        <v/>
      </c>
      <c r="K1016" t="str">
        <f t="shared" si="126"/>
        <v>Low</v>
      </c>
      <c r="L1016">
        <f t="shared" si="127"/>
        <v>0.55000000000000004</v>
      </c>
      <c r="M1016">
        <f>_xlfn.XLOOKUP(B1016, Dim_Hotel!$A$2:$A$11, Dim_Hotel!$I$2:$I$11)
 + (IF(J1016="",0,J1016)
    * _xlfn.XLOOKUP(B1016, Dim_Hotel!$A$2:$A$11, Dim_Hotel!$J$2:$J$11))</f>
        <v>82</v>
      </c>
    </row>
    <row r="1017" spans="1:13" x14ac:dyDescent="0.25">
      <c r="A1017" s="1">
        <f t="shared" si="120"/>
        <v>46124</v>
      </c>
      <c r="B1017" t="str" cm="1">
        <f t="array" ref="B1017">INDEX(HotelList,MOD(ROW()-2,10)+1)</f>
        <v>H006</v>
      </c>
      <c r="C1017">
        <f>_xlfn.XLOOKUP(B1017,Dim_Hotel!$A$2:$A$11,Dim_Hotel!$F$2:$F$11)</f>
        <v>311</v>
      </c>
      <c r="D1017">
        <f t="shared" si="121"/>
        <v>171</v>
      </c>
      <c r="E1017">
        <f t="shared" si="122"/>
        <v>0.54983922829581988</v>
      </c>
      <c r="F1017">
        <f t="shared" si="123"/>
        <v>190</v>
      </c>
      <c r="G1017">
        <f t="shared" si="124"/>
        <v>104.46945337620578</v>
      </c>
      <c r="H1017" t="str">
        <f>_xlfn.XLOOKUP(A1017,Fact_Events!$D$2:$D$20,Fact_Events!$A$2:$A$20, "")</f>
        <v/>
      </c>
      <c r="I1017">
        <f t="shared" si="125"/>
        <v>0</v>
      </c>
      <c r="J1017" t="str">
        <f>_xlfn.XLOOKUP(H1017, Fact_Events!$A$2:$A$20, Fact_Events!$F$2:$F$20, "")</f>
        <v/>
      </c>
      <c r="K1017" t="str">
        <f t="shared" si="126"/>
        <v>Low</v>
      </c>
      <c r="L1017">
        <f t="shared" si="127"/>
        <v>0.55000000000000004</v>
      </c>
      <c r="M1017">
        <f>_xlfn.XLOOKUP(B1017, Dim_Hotel!$A$2:$A$11, Dim_Hotel!$I$2:$I$11)
 + (IF(J1017="",0,J1017)
    * _xlfn.XLOOKUP(B1017, Dim_Hotel!$A$2:$A$11, Dim_Hotel!$J$2:$J$11))</f>
        <v>190</v>
      </c>
    </row>
    <row r="1018" spans="1:13" x14ac:dyDescent="0.25">
      <c r="A1018" s="1">
        <f t="shared" si="120"/>
        <v>46124</v>
      </c>
      <c r="B1018" t="str" cm="1">
        <f t="array" ref="B1018">INDEX(HotelList,MOD(ROW()-2,10)+1)</f>
        <v>H007</v>
      </c>
      <c r="C1018">
        <f>_xlfn.XLOOKUP(B1018,Dim_Hotel!$A$2:$A$11,Dim_Hotel!$F$2:$F$11)</f>
        <v>132</v>
      </c>
      <c r="D1018">
        <f t="shared" si="121"/>
        <v>73</v>
      </c>
      <c r="E1018">
        <f t="shared" si="122"/>
        <v>0.55303030303030298</v>
      </c>
      <c r="F1018">
        <f t="shared" si="123"/>
        <v>165</v>
      </c>
      <c r="G1018">
        <f t="shared" si="124"/>
        <v>91.249999999999986</v>
      </c>
      <c r="H1018" t="str">
        <f>_xlfn.XLOOKUP(A1018,Fact_Events!$D$2:$D$20,Fact_Events!$A$2:$A$20, "")</f>
        <v/>
      </c>
      <c r="I1018">
        <f t="shared" si="125"/>
        <v>0</v>
      </c>
      <c r="J1018" t="str">
        <f>_xlfn.XLOOKUP(H1018, Fact_Events!$A$2:$A$20, Fact_Events!$F$2:$F$20, "")</f>
        <v/>
      </c>
      <c r="K1018" t="str">
        <f t="shared" si="126"/>
        <v>Low</v>
      </c>
      <c r="L1018">
        <f t="shared" si="127"/>
        <v>0.55000000000000004</v>
      </c>
      <c r="M1018">
        <f>_xlfn.XLOOKUP(B1018, Dim_Hotel!$A$2:$A$11, Dim_Hotel!$I$2:$I$11)
 + (IF(J1018="",0,J1018)
    * _xlfn.XLOOKUP(B1018, Dim_Hotel!$A$2:$A$11, Dim_Hotel!$J$2:$J$11))</f>
        <v>165</v>
      </c>
    </row>
    <row r="1019" spans="1:13" x14ac:dyDescent="0.25">
      <c r="A1019" s="1">
        <f t="shared" si="120"/>
        <v>46124</v>
      </c>
      <c r="B1019" t="str" cm="1">
        <f t="array" ref="B1019">INDEX(HotelList,MOD(ROW()-2,10)+1)</f>
        <v>H008</v>
      </c>
      <c r="C1019">
        <f>_xlfn.XLOOKUP(B1019,Dim_Hotel!$A$2:$A$11,Dim_Hotel!$F$2:$F$11)</f>
        <v>103</v>
      </c>
      <c r="D1019">
        <f t="shared" si="121"/>
        <v>57</v>
      </c>
      <c r="E1019">
        <f t="shared" si="122"/>
        <v>0.55339805825242716</v>
      </c>
      <c r="F1019">
        <f t="shared" si="123"/>
        <v>140</v>
      </c>
      <c r="G1019">
        <f t="shared" si="124"/>
        <v>77.475728155339809</v>
      </c>
      <c r="H1019" t="str">
        <f>_xlfn.XLOOKUP(A1019,Fact_Events!$D$2:$D$20,Fact_Events!$A$2:$A$20, "")</f>
        <v/>
      </c>
      <c r="I1019">
        <f t="shared" si="125"/>
        <v>0</v>
      </c>
      <c r="J1019" t="str">
        <f>_xlfn.XLOOKUP(H1019, Fact_Events!$A$2:$A$20, Fact_Events!$F$2:$F$20, "")</f>
        <v/>
      </c>
      <c r="K1019" t="str">
        <f t="shared" si="126"/>
        <v>Low</v>
      </c>
      <c r="L1019">
        <f t="shared" si="127"/>
        <v>0.55000000000000004</v>
      </c>
      <c r="M1019">
        <f>_xlfn.XLOOKUP(B1019, Dim_Hotel!$A$2:$A$11, Dim_Hotel!$I$2:$I$11)
 + (IF(J1019="",0,J1019)
    * _xlfn.XLOOKUP(B1019, Dim_Hotel!$A$2:$A$11, Dim_Hotel!$J$2:$J$11))</f>
        <v>140</v>
      </c>
    </row>
    <row r="1020" spans="1:13" x14ac:dyDescent="0.25">
      <c r="A1020" s="1">
        <f t="shared" si="120"/>
        <v>46124</v>
      </c>
      <c r="B1020" t="str" cm="1">
        <f t="array" ref="B1020">INDEX(HotelList,MOD(ROW()-2,10)+1)</f>
        <v>H009</v>
      </c>
      <c r="C1020">
        <f>_xlfn.XLOOKUP(B1020,Dim_Hotel!$A$2:$A$11,Dim_Hotel!$F$2:$F$11)</f>
        <v>114</v>
      </c>
      <c r="D1020">
        <f t="shared" si="121"/>
        <v>63</v>
      </c>
      <c r="E1020">
        <f t="shared" si="122"/>
        <v>0.55263157894736847</v>
      </c>
      <c r="F1020">
        <f t="shared" si="123"/>
        <v>185</v>
      </c>
      <c r="G1020">
        <f t="shared" si="124"/>
        <v>102.23684210526316</v>
      </c>
      <c r="H1020" t="str">
        <f>_xlfn.XLOOKUP(A1020,Fact_Events!$D$2:$D$20,Fact_Events!$A$2:$A$20, "")</f>
        <v/>
      </c>
      <c r="I1020">
        <f t="shared" si="125"/>
        <v>0</v>
      </c>
      <c r="J1020" t="str">
        <f>_xlfn.XLOOKUP(H1020, Fact_Events!$A$2:$A$20, Fact_Events!$F$2:$F$20, "")</f>
        <v/>
      </c>
      <c r="K1020" t="str">
        <f t="shared" si="126"/>
        <v>Low</v>
      </c>
      <c r="L1020">
        <f t="shared" si="127"/>
        <v>0.55000000000000004</v>
      </c>
      <c r="M1020">
        <f>_xlfn.XLOOKUP(B1020, Dim_Hotel!$A$2:$A$11, Dim_Hotel!$I$2:$I$11)
 + (IF(J1020="",0,J1020)
    * _xlfn.XLOOKUP(B1020, Dim_Hotel!$A$2:$A$11, Dim_Hotel!$J$2:$J$11))</f>
        <v>185</v>
      </c>
    </row>
    <row r="1021" spans="1:13" x14ac:dyDescent="0.25">
      <c r="A1021" s="1">
        <f t="shared" si="120"/>
        <v>46124</v>
      </c>
      <c r="B1021" t="str" cm="1">
        <f t="array" ref="B1021">INDEX(HotelList,MOD(ROW()-2,10)+1)</f>
        <v>H010</v>
      </c>
      <c r="C1021">
        <f>_xlfn.XLOOKUP(B1021,Dim_Hotel!$A$2:$A$11,Dim_Hotel!$F$2:$F$11)</f>
        <v>89</v>
      </c>
      <c r="D1021">
        <f t="shared" si="121"/>
        <v>49</v>
      </c>
      <c r="E1021">
        <f t="shared" si="122"/>
        <v>0.550561797752809</v>
      </c>
      <c r="F1021">
        <f t="shared" si="123"/>
        <v>150</v>
      </c>
      <c r="G1021">
        <f t="shared" si="124"/>
        <v>82.584269662921344</v>
      </c>
      <c r="H1021" t="str">
        <f>_xlfn.XLOOKUP(A1021,Fact_Events!$D$2:$D$20,Fact_Events!$A$2:$A$20, "")</f>
        <v/>
      </c>
      <c r="I1021">
        <f t="shared" si="125"/>
        <v>0</v>
      </c>
      <c r="J1021" t="str">
        <f>_xlfn.XLOOKUP(H1021, Fact_Events!$A$2:$A$20, Fact_Events!$F$2:$F$20, "")</f>
        <v/>
      </c>
      <c r="K1021" t="str">
        <f t="shared" si="126"/>
        <v>Low</v>
      </c>
      <c r="L1021">
        <f t="shared" si="127"/>
        <v>0.55000000000000004</v>
      </c>
      <c r="M1021">
        <f>_xlfn.XLOOKUP(B1021, Dim_Hotel!$A$2:$A$11, Dim_Hotel!$I$2:$I$11)
 + (IF(J1021="",0,J1021)
    * _xlfn.XLOOKUP(B1021, Dim_Hotel!$A$2:$A$11, Dim_Hotel!$J$2:$J$11))</f>
        <v>150</v>
      </c>
    </row>
    <row r="1022" spans="1:13" x14ac:dyDescent="0.25">
      <c r="A1022" s="1">
        <f t="shared" si="120"/>
        <v>46125</v>
      </c>
      <c r="B1022" t="str" cm="1">
        <f t="array" ref="B1022">INDEX(HotelList,MOD(ROW()-2,10)+1)</f>
        <v>H001</v>
      </c>
      <c r="C1022">
        <f>_xlfn.XLOOKUP(B1022,Dim_Hotel!$A$2:$A$11,Dim_Hotel!$F$2:$F$11)</f>
        <v>888</v>
      </c>
      <c r="D1022">
        <f t="shared" si="121"/>
        <v>488</v>
      </c>
      <c r="E1022">
        <f t="shared" si="122"/>
        <v>0.5495495495495496</v>
      </c>
      <c r="F1022">
        <f t="shared" si="123"/>
        <v>260</v>
      </c>
      <c r="G1022">
        <f t="shared" si="124"/>
        <v>142.88288288288288</v>
      </c>
      <c r="H1022" t="str">
        <f>_xlfn.XLOOKUP(A1022,Fact_Events!$D$2:$D$20,Fact_Events!$A$2:$A$20, "")</f>
        <v/>
      </c>
      <c r="I1022">
        <f t="shared" si="125"/>
        <v>0</v>
      </c>
      <c r="J1022" t="str">
        <f>_xlfn.XLOOKUP(H1022, Fact_Events!$A$2:$A$20, Fact_Events!$F$2:$F$20, "")</f>
        <v/>
      </c>
      <c r="K1022" t="str">
        <f t="shared" si="126"/>
        <v>Low</v>
      </c>
      <c r="L1022">
        <f t="shared" si="127"/>
        <v>0.55000000000000004</v>
      </c>
      <c r="M1022">
        <f>_xlfn.XLOOKUP(B1022, Dim_Hotel!$A$2:$A$11, Dim_Hotel!$I$2:$I$11)
 + (IF(J1022="",0,J1022)
    * _xlfn.XLOOKUP(B1022, Dim_Hotel!$A$2:$A$11, Dim_Hotel!$J$2:$J$11))</f>
        <v>260</v>
      </c>
    </row>
    <row r="1023" spans="1:13" x14ac:dyDescent="0.25">
      <c r="A1023" s="1">
        <f t="shared" si="120"/>
        <v>46125</v>
      </c>
      <c r="B1023" t="str" cm="1">
        <f t="array" ref="B1023">INDEX(HotelList,MOD(ROW()-2,10)+1)</f>
        <v>H002</v>
      </c>
      <c r="C1023">
        <f>_xlfn.XLOOKUP(B1023,Dim_Hotel!$A$2:$A$11,Dim_Hotel!$F$2:$F$11)</f>
        <v>147</v>
      </c>
      <c r="D1023">
        <f t="shared" si="121"/>
        <v>81</v>
      </c>
      <c r="E1023">
        <f t="shared" si="122"/>
        <v>0.55102040816326525</v>
      </c>
      <c r="F1023">
        <f t="shared" si="123"/>
        <v>175</v>
      </c>
      <c r="G1023">
        <f t="shared" si="124"/>
        <v>96.428571428571416</v>
      </c>
      <c r="H1023" t="str">
        <f>_xlfn.XLOOKUP(A1023,Fact_Events!$D$2:$D$20,Fact_Events!$A$2:$A$20, "")</f>
        <v/>
      </c>
      <c r="I1023">
        <f t="shared" si="125"/>
        <v>0</v>
      </c>
      <c r="J1023" t="str">
        <f>_xlfn.XLOOKUP(H1023, Fact_Events!$A$2:$A$20, Fact_Events!$F$2:$F$20, "")</f>
        <v/>
      </c>
      <c r="K1023" t="str">
        <f t="shared" si="126"/>
        <v>Low</v>
      </c>
      <c r="L1023">
        <f t="shared" si="127"/>
        <v>0.55000000000000004</v>
      </c>
      <c r="M1023">
        <f>_xlfn.XLOOKUP(B1023, Dim_Hotel!$A$2:$A$11, Dim_Hotel!$I$2:$I$11)
 + (IF(J1023="",0,J1023)
    * _xlfn.XLOOKUP(B1023, Dim_Hotel!$A$2:$A$11, Dim_Hotel!$J$2:$J$11))</f>
        <v>175</v>
      </c>
    </row>
    <row r="1024" spans="1:13" x14ac:dyDescent="0.25">
      <c r="A1024" s="1">
        <f t="shared" si="120"/>
        <v>46125</v>
      </c>
      <c r="B1024" t="str" cm="1">
        <f t="array" ref="B1024">INDEX(HotelList,MOD(ROW()-2,10)+1)</f>
        <v>H003</v>
      </c>
      <c r="C1024">
        <f>_xlfn.XLOOKUP(B1024,Dim_Hotel!$A$2:$A$11,Dim_Hotel!$F$2:$F$11)</f>
        <v>121</v>
      </c>
      <c r="D1024">
        <f t="shared" si="121"/>
        <v>67</v>
      </c>
      <c r="E1024">
        <f t="shared" si="122"/>
        <v>0.55371900826446285</v>
      </c>
      <c r="F1024">
        <f t="shared" si="123"/>
        <v>145</v>
      </c>
      <c r="G1024">
        <f t="shared" si="124"/>
        <v>80.289256198347118</v>
      </c>
      <c r="H1024" t="str">
        <f>_xlfn.XLOOKUP(A1024,Fact_Events!$D$2:$D$20,Fact_Events!$A$2:$A$20, "")</f>
        <v/>
      </c>
      <c r="I1024">
        <f t="shared" si="125"/>
        <v>0</v>
      </c>
      <c r="J1024" t="str">
        <f>_xlfn.XLOOKUP(H1024, Fact_Events!$A$2:$A$20, Fact_Events!$F$2:$F$20, "")</f>
        <v/>
      </c>
      <c r="K1024" t="str">
        <f t="shared" si="126"/>
        <v>Low</v>
      </c>
      <c r="L1024">
        <f t="shared" si="127"/>
        <v>0.55000000000000004</v>
      </c>
      <c r="M1024">
        <f>_xlfn.XLOOKUP(B1024, Dim_Hotel!$A$2:$A$11, Dim_Hotel!$I$2:$I$11)
 + (IF(J1024="",0,J1024)
    * _xlfn.XLOOKUP(B1024, Dim_Hotel!$A$2:$A$11, Dim_Hotel!$J$2:$J$11))</f>
        <v>145</v>
      </c>
    </row>
    <row r="1025" spans="1:13" x14ac:dyDescent="0.25">
      <c r="A1025" s="1">
        <f t="shared" si="120"/>
        <v>46125</v>
      </c>
      <c r="B1025" t="str" cm="1">
        <f t="array" ref="B1025">INDEX(HotelList,MOD(ROW()-2,10)+1)</f>
        <v>H004</v>
      </c>
      <c r="C1025">
        <f>_xlfn.XLOOKUP(B1025,Dim_Hotel!$A$2:$A$11,Dim_Hotel!$F$2:$F$11)</f>
        <v>108</v>
      </c>
      <c r="D1025">
        <f t="shared" si="121"/>
        <v>59</v>
      </c>
      <c r="E1025">
        <f t="shared" si="122"/>
        <v>0.54629629629629628</v>
      </c>
      <c r="F1025">
        <f t="shared" si="123"/>
        <v>135</v>
      </c>
      <c r="G1025">
        <f t="shared" si="124"/>
        <v>73.75</v>
      </c>
      <c r="H1025" t="str">
        <f>_xlfn.XLOOKUP(A1025,Fact_Events!$D$2:$D$20,Fact_Events!$A$2:$A$20, "")</f>
        <v/>
      </c>
      <c r="I1025">
        <f t="shared" si="125"/>
        <v>0</v>
      </c>
      <c r="J1025" t="str">
        <f>_xlfn.XLOOKUP(H1025, Fact_Events!$A$2:$A$20, Fact_Events!$F$2:$F$20, "")</f>
        <v/>
      </c>
      <c r="K1025" t="str">
        <f t="shared" si="126"/>
        <v>Low</v>
      </c>
      <c r="L1025">
        <f t="shared" si="127"/>
        <v>0.55000000000000004</v>
      </c>
      <c r="M1025">
        <f>_xlfn.XLOOKUP(B1025, Dim_Hotel!$A$2:$A$11, Dim_Hotel!$I$2:$I$11)
 + (IF(J1025="",0,J1025)
    * _xlfn.XLOOKUP(B1025, Dim_Hotel!$A$2:$A$11, Dim_Hotel!$J$2:$J$11))</f>
        <v>135</v>
      </c>
    </row>
    <row r="1026" spans="1:13" x14ac:dyDescent="0.25">
      <c r="A1026" s="1">
        <f t="shared" si="120"/>
        <v>46125</v>
      </c>
      <c r="B1026" t="str" cm="1">
        <f t="array" ref="B1026">INDEX(HotelList,MOD(ROW()-2,10)+1)</f>
        <v>H005</v>
      </c>
      <c r="C1026">
        <f>_xlfn.XLOOKUP(B1026,Dim_Hotel!$A$2:$A$11,Dim_Hotel!$F$2:$F$11)</f>
        <v>66</v>
      </c>
      <c r="D1026">
        <f t="shared" si="121"/>
        <v>36</v>
      </c>
      <c r="E1026">
        <f t="shared" si="122"/>
        <v>0.54545454545454541</v>
      </c>
      <c r="F1026">
        <f t="shared" si="123"/>
        <v>82</v>
      </c>
      <c r="G1026">
        <f t="shared" si="124"/>
        <v>44.727272727272727</v>
      </c>
      <c r="H1026" t="str">
        <f>_xlfn.XLOOKUP(A1026,Fact_Events!$D$2:$D$20,Fact_Events!$A$2:$A$20, "")</f>
        <v/>
      </c>
      <c r="I1026">
        <f t="shared" si="125"/>
        <v>0</v>
      </c>
      <c r="J1026" t="str">
        <f>_xlfn.XLOOKUP(H1026, Fact_Events!$A$2:$A$20, Fact_Events!$F$2:$F$20, "")</f>
        <v/>
      </c>
      <c r="K1026" t="str">
        <f t="shared" si="126"/>
        <v>Low</v>
      </c>
      <c r="L1026">
        <f t="shared" si="127"/>
        <v>0.55000000000000004</v>
      </c>
      <c r="M1026">
        <f>_xlfn.XLOOKUP(B1026, Dim_Hotel!$A$2:$A$11, Dim_Hotel!$I$2:$I$11)
 + (IF(J1026="",0,J1026)
    * _xlfn.XLOOKUP(B1026, Dim_Hotel!$A$2:$A$11, Dim_Hotel!$J$2:$J$11))</f>
        <v>82</v>
      </c>
    </row>
    <row r="1027" spans="1:13" x14ac:dyDescent="0.25">
      <c r="A1027" s="1">
        <f t="shared" ref="A1027:A1090" si="128">DATE(2026,1,1) + INT((ROW()-2)/10)</f>
        <v>46125</v>
      </c>
      <c r="B1027" t="str" cm="1">
        <f t="array" ref="B1027">INDEX(HotelList,MOD(ROW()-2,10)+1)</f>
        <v>H006</v>
      </c>
      <c r="C1027">
        <f>_xlfn.XLOOKUP(B1027,Dim_Hotel!$A$2:$A$11,Dim_Hotel!$F$2:$F$11)</f>
        <v>311</v>
      </c>
      <c r="D1027">
        <f t="shared" ref="D1027:D1090" si="129">ROUND(L1027 * C1027, 0)</f>
        <v>171</v>
      </c>
      <c r="E1027">
        <f t="shared" ref="E1027:E1090" si="130">D1027/C1027</f>
        <v>0.54983922829581988</v>
      </c>
      <c r="F1027">
        <f t="shared" ref="F1027:F1090" si="131">M1027</f>
        <v>190</v>
      </c>
      <c r="G1027">
        <f t="shared" ref="G1027:G1090" si="132">E1027*F1027</f>
        <v>104.46945337620578</v>
      </c>
      <c r="H1027" t="str">
        <f>_xlfn.XLOOKUP(A1027,Fact_Events!$D$2:$D$20,Fact_Events!$A$2:$A$20, "")</f>
        <v/>
      </c>
      <c r="I1027">
        <f t="shared" ref="I1027:I1090" si="133">IF(H1027="",0,1)</f>
        <v>0</v>
      </c>
      <c r="J1027" t="str">
        <f>_xlfn.XLOOKUP(H1027, Fact_Events!$A$2:$A$20, Fact_Events!$F$2:$F$20, "")</f>
        <v/>
      </c>
      <c r="K1027" t="str">
        <f t="shared" ref="K1027:K1090" si="134">IF(I1027=0,"Low",
   IF(J1027&gt;=9,"High","Medium"))</f>
        <v>Low</v>
      </c>
      <c r="L1027">
        <f t="shared" ref="L1027:L1090" si="135">MIN(1,
  0.55
  + (I1027 * 0.25)
  + (IF(J1027="",0,J1027) / 100)
)</f>
        <v>0.55000000000000004</v>
      </c>
      <c r="M1027">
        <f>_xlfn.XLOOKUP(B1027, Dim_Hotel!$A$2:$A$11, Dim_Hotel!$I$2:$I$11)
 + (IF(J1027="",0,J1027)
    * _xlfn.XLOOKUP(B1027, Dim_Hotel!$A$2:$A$11, Dim_Hotel!$J$2:$J$11))</f>
        <v>190</v>
      </c>
    </row>
    <row r="1028" spans="1:13" x14ac:dyDescent="0.25">
      <c r="A1028" s="1">
        <f t="shared" si="128"/>
        <v>46125</v>
      </c>
      <c r="B1028" t="str" cm="1">
        <f t="array" ref="B1028">INDEX(HotelList,MOD(ROW()-2,10)+1)</f>
        <v>H007</v>
      </c>
      <c r="C1028">
        <f>_xlfn.XLOOKUP(B1028,Dim_Hotel!$A$2:$A$11,Dim_Hotel!$F$2:$F$11)</f>
        <v>132</v>
      </c>
      <c r="D1028">
        <f t="shared" si="129"/>
        <v>73</v>
      </c>
      <c r="E1028">
        <f t="shared" si="130"/>
        <v>0.55303030303030298</v>
      </c>
      <c r="F1028">
        <f t="shared" si="131"/>
        <v>165</v>
      </c>
      <c r="G1028">
        <f t="shared" si="132"/>
        <v>91.249999999999986</v>
      </c>
      <c r="H1028" t="str">
        <f>_xlfn.XLOOKUP(A1028,Fact_Events!$D$2:$D$20,Fact_Events!$A$2:$A$20, "")</f>
        <v/>
      </c>
      <c r="I1028">
        <f t="shared" si="133"/>
        <v>0</v>
      </c>
      <c r="J1028" t="str">
        <f>_xlfn.XLOOKUP(H1028, Fact_Events!$A$2:$A$20, Fact_Events!$F$2:$F$20, "")</f>
        <v/>
      </c>
      <c r="K1028" t="str">
        <f t="shared" si="134"/>
        <v>Low</v>
      </c>
      <c r="L1028">
        <f t="shared" si="135"/>
        <v>0.55000000000000004</v>
      </c>
      <c r="M1028">
        <f>_xlfn.XLOOKUP(B1028, Dim_Hotel!$A$2:$A$11, Dim_Hotel!$I$2:$I$11)
 + (IF(J1028="",0,J1028)
    * _xlfn.XLOOKUP(B1028, Dim_Hotel!$A$2:$A$11, Dim_Hotel!$J$2:$J$11))</f>
        <v>165</v>
      </c>
    </row>
    <row r="1029" spans="1:13" x14ac:dyDescent="0.25">
      <c r="A1029" s="1">
        <f t="shared" si="128"/>
        <v>46125</v>
      </c>
      <c r="B1029" t="str" cm="1">
        <f t="array" ref="B1029">INDEX(HotelList,MOD(ROW()-2,10)+1)</f>
        <v>H008</v>
      </c>
      <c r="C1029">
        <f>_xlfn.XLOOKUP(B1029,Dim_Hotel!$A$2:$A$11,Dim_Hotel!$F$2:$F$11)</f>
        <v>103</v>
      </c>
      <c r="D1029">
        <f t="shared" si="129"/>
        <v>57</v>
      </c>
      <c r="E1029">
        <f t="shared" si="130"/>
        <v>0.55339805825242716</v>
      </c>
      <c r="F1029">
        <f t="shared" si="131"/>
        <v>140</v>
      </c>
      <c r="G1029">
        <f t="shared" si="132"/>
        <v>77.475728155339809</v>
      </c>
      <c r="H1029" t="str">
        <f>_xlfn.XLOOKUP(A1029,Fact_Events!$D$2:$D$20,Fact_Events!$A$2:$A$20, "")</f>
        <v/>
      </c>
      <c r="I1029">
        <f t="shared" si="133"/>
        <v>0</v>
      </c>
      <c r="J1029" t="str">
        <f>_xlfn.XLOOKUP(H1029, Fact_Events!$A$2:$A$20, Fact_Events!$F$2:$F$20, "")</f>
        <v/>
      </c>
      <c r="K1029" t="str">
        <f t="shared" si="134"/>
        <v>Low</v>
      </c>
      <c r="L1029">
        <f t="shared" si="135"/>
        <v>0.55000000000000004</v>
      </c>
      <c r="M1029">
        <f>_xlfn.XLOOKUP(B1029, Dim_Hotel!$A$2:$A$11, Dim_Hotel!$I$2:$I$11)
 + (IF(J1029="",0,J1029)
    * _xlfn.XLOOKUP(B1029, Dim_Hotel!$A$2:$A$11, Dim_Hotel!$J$2:$J$11))</f>
        <v>140</v>
      </c>
    </row>
    <row r="1030" spans="1:13" x14ac:dyDescent="0.25">
      <c r="A1030" s="1">
        <f t="shared" si="128"/>
        <v>46125</v>
      </c>
      <c r="B1030" t="str" cm="1">
        <f t="array" ref="B1030">INDEX(HotelList,MOD(ROW()-2,10)+1)</f>
        <v>H009</v>
      </c>
      <c r="C1030">
        <f>_xlfn.XLOOKUP(B1030,Dim_Hotel!$A$2:$A$11,Dim_Hotel!$F$2:$F$11)</f>
        <v>114</v>
      </c>
      <c r="D1030">
        <f t="shared" si="129"/>
        <v>63</v>
      </c>
      <c r="E1030">
        <f t="shared" si="130"/>
        <v>0.55263157894736847</v>
      </c>
      <c r="F1030">
        <f t="shared" si="131"/>
        <v>185</v>
      </c>
      <c r="G1030">
        <f t="shared" si="132"/>
        <v>102.23684210526316</v>
      </c>
      <c r="H1030" t="str">
        <f>_xlfn.XLOOKUP(A1030,Fact_Events!$D$2:$D$20,Fact_Events!$A$2:$A$20, "")</f>
        <v/>
      </c>
      <c r="I1030">
        <f t="shared" si="133"/>
        <v>0</v>
      </c>
      <c r="J1030" t="str">
        <f>_xlfn.XLOOKUP(H1030, Fact_Events!$A$2:$A$20, Fact_Events!$F$2:$F$20, "")</f>
        <v/>
      </c>
      <c r="K1030" t="str">
        <f t="shared" si="134"/>
        <v>Low</v>
      </c>
      <c r="L1030">
        <f t="shared" si="135"/>
        <v>0.55000000000000004</v>
      </c>
      <c r="M1030">
        <f>_xlfn.XLOOKUP(B1030, Dim_Hotel!$A$2:$A$11, Dim_Hotel!$I$2:$I$11)
 + (IF(J1030="",0,J1030)
    * _xlfn.XLOOKUP(B1030, Dim_Hotel!$A$2:$A$11, Dim_Hotel!$J$2:$J$11))</f>
        <v>185</v>
      </c>
    </row>
    <row r="1031" spans="1:13" x14ac:dyDescent="0.25">
      <c r="A1031" s="1">
        <f t="shared" si="128"/>
        <v>46125</v>
      </c>
      <c r="B1031" t="str" cm="1">
        <f t="array" ref="B1031">INDEX(HotelList,MOD(ROW()-2,10)+1)</f>
        <v>H010</v>
      </c>
      <c r="C1031">
        <f>_xlfn.XLOOKUP(B1031,Dim_Hotel!$A$2:$A$11,Dim_Hotel!$F$2:$F$11)</f>
        <v>89</v>
      </c>
      <c r="D1031">
        <f t="shared" si="129"/>
        <v>49</v>
      </c>
      <c r="E1031">
        <f t="shared" si="130"/>
        <v>0.550561797752809</v>
      </c>
      <c r="F1031">
        <f t="shared" si="131"/>
        <v>150</v>
      </c>
      <c r="G1031">
        <f t="shared" si="132"/>
        <v>82.584269662921344</v>
      </c>
      <c r="H1031" t="str">
        <f>_xlfn.XLOOKUP(A1031,Fact_Events!$D$2:$D$20,Fact_Events!$A$2:$A$20, "")</f>
        <v/>
      </c>
      <c r="I1031">
        <f t="shared" si="133"/>
        <v>0</v>
      </c>
      <c r="J1031" t="str">
        <f>_xlfn.XLOOKUP(H1031, Fact_Events!$A$2:$A$20, Fact_Events!$F$2:$F$20, "")</f>
        <v/>
      </c>
      <c r="K1031" t="str">
        <f t="shared" si="134"/>
        <v>Low</v>
      </c>
      <c r="L1031">
        <f t="shared" si="135"/>
        <v>0.55000000000000004</v>
      </c>
      <c r="M1031">
        <f>_xlfn.XLOOKUP(B1031, Dim_Hotel!$A$2:$A$11, Dim_Hotel!$I$2:$I$11)
 + (IF(J1031="",0,J1031)
    * _xlfn.XLOOKUP(B1031, Dim_Hotel!$A$2:$A$11, Dim_Hotel!$J$2:$J$11))</f>
        <v>150</v>
      </c>
    </row>
    <row r="1032" spans="1:13" x14ac:dyDescent="0.25">
      <c r="A1032" s="1">
        <f t="shared" si="128"/>
        <v>46126</v>
      </c>
      <c r="B1032" t="str" cm="1">
        <f t="array" ref="B1032">INDEX(HotelList,MOD(ROW()-2,10)+1)</f>
        <v>H001</v>
      </c>
      <c r="C1032">
        <f>_xlfn.XLOOKUP(B1032,Dim_Hotel!$A$2:$A$11,Dim_Hotel!$F$2:$F$11)</f>
        <v>888</v>
      </c>
      <c r="D1032">
        <f t="shared" si="129"/>
        <v>488</v>
      </c>
      <c r="E1032">
        <f t="shared" si="130"/>
        <v>0.5495495495495496</v>
      </c>
      <c r="F1032">
        <f t="shared" si="131"/>
        <v>260</v>
      </c>
      <c r="G1032">
        <f t="shared" si="132"/>
        <v>142.88288288288288</v>
      </c>
      <c r="H1032" t="str">
        <f>_xlfn.XLOOKUP(A1032,Fact_Events!$D$2:$D$20,Fact_Events!$A$2:$A$20, "")</f>
        <v/>
      </c>
      <c r="I1032">
        <f t="shared" si="133"/>
        <v>0</v>
      </c>
      <c r="J1032" t="str">
        <f>_xlfn.XLOOKUP(H1032, Fact_Events!$A$2:$A$20, Fact_Events!$F$2:$F$20, "")</f>
        <v/>
      </c>
      <c r="K1032" t="str">
        <f t="shared" si="134"/>
        <v>Low</v>
      </c>
      <c r="L1032">
        <f t="shared" si="135"/>
        <v>0.55000000000000004</v>
      </c>
      <c r="M1032">
        <f>_xlfn.XLOOKUP(B1032, Dim_Hotel!$A$2:$A$11, Dim_Hotel!$I$2:$I$11)
 + (IF(J1032="",0,J1032)
    * _xlfn.XLOOKUP(B1032, Dim_Hotel!$A$2:$A$11, Dim_Hotel!$J$2:$J$11))</f>
        <v>260</v>
      </c>
    </row>
    <row r="1033" spans="1:13" x14ac:dyDescent="0.25">
      <c r="A1033" s="1">
        <f t="shared" si="128"/>
        <v>46126</v>
      </c>
      <c r="B1033" t="str" cm="1">
        <f t="array" ref="B1033">INDEX(HotelList,MOD(ROW()-2,10)+1)</f>
        <v>H002</v>
      </c>
      <c r="C1033">
        <f>_xlfn.XLOOKUP(B1033,Dim_Hotel!$A$2:$A$11,Dim_Hotel!$F$2:$F$11)</f>
        <v>147</v>
      </c>
      <c r="D1033">
        <f t="shared" si="129"/>
        <v>81</v>
      </c>
      <c r="E1033">
        <f t="shared" si="130"/>
        <v>0.55102040816326525</v>
      </c>
      <c r="F1033">
        <f t="shared" si="131"/>
        <v>175</v>
      </c>
      <c r="G1033">
        <f t="shared" si="132"/>
        <v>96.428571428571416</v>
      </c>
      <c r="H1033" t="str">
        <f>_xlfn.XLOOKUP(A1033,Fact_Events!$D$2:$D$20,Fact_Events!$A$2:$A$20, "")</f>
        <v/>
      </c>
      <c r="I1033">
        <f t="shared" si="133"/>
        <v>0</v>
      </c>
      <c r="J1033" t="str">
        <f>_xlfn.XLOOKUP(H1033, Fact_Events!$A$2:$A$20, Fact_Events!$F$2:$F$20, "")</f>
        <v/>
      </c>
      <c r="K1033" t="str">
        <f t="shared" si="134"/>
        <v>Low</v>
      </c>
      <c r="L1033">
        <f t="shared" si="135"/>
        <v>0.55000000000000004</v>
      </c>
      <c r="M1033">
        <f>_xlfn.XLOOKUP(B1033, Dim_Hotel!$A$2:$A$11, Dim_Hotel!$I$2:$I$11)
 + (IF(J1033="",0,J1033)
    * _xlfn.XLOOKUP(B1033, Dim_Hotel!$A$2:$A$11, Dim_Hotel!$J$2:$J$11))</f>
        <v>175</v>
      </c>
    </row>
    <row r="1034" spans="1:13" x14ac:dyDescent="0.25">
      <c r="A1034" s="1">
        <f t="shared" si="128"/>
        <v>46126</v>
      </c>
      <c r="B1034" t="str" cm="1">
        <f t="array" ref="B1034">INDEX(HotelList,MOD(ROW()-2,10)+1)</f>
        <v>H003</v>
      </c>
      <c r="C1034">
        <f>_xlfn.XLOOKUP(B1034,Dim_Hotel!$A$2:$A$11,Dim_Hotel!$F$2:$F$11)</f>
        <v>121</v>
      </c>
      <c r="D1034">
        <f t="shared" si="129"/>
        <v>67</v>
      </c>
      <c r="E1034">
        <f t="shared" si="130"/>
        <v>0.55371900826446285</v>
      </c>
      <c r="F1034">
        <f t="shared" si="131"/>
        <v>145</v>
      </c>
      <c r="G1034">
        <f t="shared" si="132"/>
        <v>80.289256198347118</v>
      </c>
      <c r="H1034" t="str">
        <f>_xlfn.XLOOKUP(A1034,Fact_Events!$D$2:$D$20,Fact_Events!$A$2:$A$20, "")</f>
        <v/>
      </c>
      <c r="I1034">
        <f t="shared" si="133"/>
        <v>0</v>
      </c>
      <c r="J1034" t="str">
        <f>_xlfn.XLOOKUP(H1034, Fact_Events!$A$2:$A$20, Fact_Events!$F$2:$F$20, "")</f>
        <v/>
      </c>
      <c r="K1034" t="str">
        <f t="shared" si="134"/>
        <v>Low</v>
      </c>
      <c r="L1034">
        <f t="shared" si="135"/>
        <v>0.55000000000000004</v>
      </c>
      <c r="M1034">
        <f>_xlfn.XLOOKUP(B1034, Dim_Hotel!$A$2:$A$11, Dim_Hotel!$I$2:$I$11)
 + (IF(J1034="",0,J1034)
    * _xlfn.XLOOKUP(B1034, Dim_Hotel!$A$2:$A$11, Dim_Hotel!$J$2:$J$11))</f>
        <v>145</v>
      </c>
    </row>
    <row r="1035" spans="1:13" x14ac:dyDescent="0.25">
      <c r="A1035" s="1">
        <f t="shared" si="128"/>
        <v>46126</v>
      </c>
      <c r="B1035" t="str" cm="1">
        <f t="array" ref="B1035">INDEX(HotelList,MOD(ROW()-2,10)+1)</f>
        <v>H004</v>
      </c>
      <c r="C1035">
        <f>_xlfn.XLOOKUP(B1035,Dim_Hotel!$A$2:$A$11,Dim_Hotel!$F$2:$F$11)</f>
        <v>108</v>
      </c>
      <c r="D1035">
        <f t="shared" si="129"/>
        <v>59</v>
      </c>
      <c r="E1035">
        <f t="shared" si="130"/>
        <v>0.54629629629629628</v>
      </c>
      <c r="F1035">
        <f t="shared" si="131"/>
        <v>135</v>
      </c>
      <c r="G1035">
        <f t="shared" si="132"/>
        <v>73.75</v>
      </c>
      <c r="H1035" t="str">
        <f>_xlfn.XLOOKUP(A1035,Fact_Events!$D$2:$D$20,Fact_Events!$A$2:$A$20, "")</f>
        <v/>
      </c>
      <c r="I1035">
        <f t="shared" si="133"/>
        <v>0</v>
      </c>
      <c r="J1035" t="str">
        <f>_xlfn.XLOOKUP(H1035, Fact_Events!$A$2:$A$20, Fact_Events!$F$2:$F$20, "")</f>
        <v/>
      </c>
      <c r="K1035" t="str">
        <f t="shared" si="134"/>
        <v>Low</v>
      </c>
      <c r="L1035">
        <f t="shared" si="135"/>
        <v>0.55000000000000004</v>
      </c>
      <c r="M1035">
        <f>_xlfn.XLOOKUP(B1035, Dim_Hotel!$A$2:$A$11, Dim_Hotel!$I$2:$I$11)
 + (IF(J1035="",0,J1035)
    * _xlfn.XLOOKUP(B1035, Dim_Hotel!$A$2:$A$11, Dim_Hotel!$J$2:$J$11))</f>
        <v>135</v>
      </c>
    </row>
    <row r="1036" spans="1:13" x14ac:dyDescent="0.25">
      <c r="A1036" s="1">
        <f t="shared" si="128"/>
        <v>46126</v>
      </c>
      <c r="B1036" t="str" cm="1">
        <f t="array" ref="B1036">INDEX(HotelList,MOD(ROW()-2,10)+1)</f>
        <v>H005</v>
      </c>
      <c r="C1036">
        <f>_xlfn.XLOOKUP(B1036,Dim_Hotel!$A$2:$A$11,Dim_Hotel!$F$2:$F$11)</f>
        <v>66</v>
      </c>
      <c r="D1036">
        <f t="shared" si="129"/>
        <v>36</v>
      </c>
      <c r="E1036">
        <f t="shared" si="130"/>
        <v>0.54545454545454541</v>
      </c>
      <c r="F1036">
        <f t="shared" si="131"/>
        <v>82</v>
      </c>
      <c r="G1036">
        <f t="shared" si="132"/>
        <v>44.727272727272727</v>
      </c>
      <c r="H1036" t="str">
        <f>_xlfn.XLOOKUP(A1036,Fact_Events!$D$2:$D$20,Fact_Events!$A$2:$A$20, "")</f>
        <v/>
      </c>
      <c r="I1036">
        <f t="shared" si="133"/>
        <v>0</v>
      </c>
      <c r="J1036" t="str">
        <f>_xlfn.XLOOKUP(H1036, Fact_Events!$A$2:$A$20, Fact_Events!$F$2:$F$20, "")</f>
        <v/>
      </c>
      <c r="K1036" t="str">
        <f t="shared" si="134"/>
        <v>Low</v>
      </c>
      <c r="L1036">
        <f t="shared" si="135"/>
        <v>0.55000000000000004</v>
      </c>
      <c r="M1036">
        <f>_xlfn.XLOOKUP(B1036, Dim_Hotel!$A$2:$A$11, Dim_Hotel!$I$2:$I$11)
 + (IF(J1036="",0,J1036)
    * _xlfn.XLOOKUP(B1036, Dim_Hotel!$A$2:$A$11, Dim_Hotel!$J$2:$J$11))</f>
        <v>82</v>
      </c>
    </row>
    <row r="1037" spans="1:13" x14ac:dyDescent="0.25">
      <c r="A1037" s="1">
        <f t="shared" si="128"/>
        <v>46126</v>
      </c>
      <c r="B1037" t="str" cm="1">
        <f t="array" ref="B1037">INDEX(HotelList,MOD(ROW()-2,10)+1)</f>
        <v>H006</v>
      </c>
      <c r="C1037">
        <f>_xlfn.XLOOKUP(B1037,Dim_Hotel!$A$2:$A$11,Dim_Hotel!$F$2:$F$11)</f>
        <v>311</v>
      </c>
      <c r="D1037">
        <f t="shared" si="129"/>
        <v>171</v>
      </c>
      <c r="E1037">
        <f t="shared" si="130"/>
        <v>0.54983922829581988</v>
      </c>
      <c r="F1037">
        <f t="shared" si="131"/>
        <v>190</v>
      </c>
      <c r="G1037">
        <f t="shared" si="132"/>
        <v>104.46945337620578</v>
      </c>
      <c r="H1037" t="str">
        <f>_xlfn.XLOOKUP(A1037,Fact_Events!$D$2:$D$20,Fact_Events!$A$2:$A$20, "")</f>
        <v/>
      </c>
      <c r="I1037">
        <f t="shared" si="133"/>
        <v>0</v>
      </c>
      <c r="J1037" t="str">
        <f>_xlfn.XLOOKUP(H1037, Fact_Events!$A$2:$A$20, Fact_Events!$F$2:$F$20, "")</f>
        <v/>
      </c>
      <c r="K1037" t="str">
        <f t="shared" si="134"/>
        <v>Low</v>
      </c>
      <c r="L1037">
        <f t="shared" si="135"/>
        <v>0.55000000000000004</v>
      </c>
      <c r="M1037">
        <f>_xlfn.XLOOKUP(B1037, Dim_Hotel!$A$2:$A$11, Dim_Hotel!$I$2:$I$11)
 + (IF(J1037="",0,J1037)
    * _xlfn.XLOOKUP(B1037, Dim_Hotel!$A$2:$A$11, Dim_Hotel!$J$2:$J$11))</f>
        <v>190</v>
      </c>
    </row>
    <row r="1038" spans="1:13" x14ac:dyDescent="0.25">
      <c r="A1038" s="1">
        <f t="shared" si="128"/>
        <v>46126</v>
      </c>
      <c r="B1038" t="str" cm="1">
        <f t="array" ref="B1038">INDEX(HotelList,MOD(ROW()-2,10)+1)</f>
        <v>H007</v>
      </c>
      <c r="C1038">
        <f>_xlfn.XLOOKUP(B1038,Dim_Hotel!$A$2:$A$11,Dim_Hotel!$F$2:$F$11)</f>
        <v>132</v>
      </c>
      <c r="D1038">
        <f t="shared" si="129"/>
        <v>73</v>
      </c>
      <c r="E1038">
        <f t="shared" si="130"/>
        <v>0.55303030303030298</v>
      </c>
      <c r="F1038">
        <f t="shared" si="131"/>
        <v>165</v>
      </c>
      <c r="G1038">
        <f t="shared" si="132"/>
        <v>91.249999999999986</v>
      </c>
      <c r="H1038" t="str">
        <f>_xlfn.XLOOKUP(A1038,Fact_Events!$D$2:$D$20,Fact_Events!$A$2:$A$20, "")</f>
        <v/>
      </c>
      <c r="I1038">
        <f t="shared" si="133"/>
        <v>0</v>
      </c>
      <c r="J1038" t="str">
        <f>_xlfn.XLOOKUP(H1038, Fact_Events!$A$2:$A$20, Fact_Events!$F$2:$F$20, "")</f>
        <v/>
      </c>
      <c r="K1038" t="str">
        <f t="shared" si="134"/>
        <v>Low</v>
      </c>
      <c r="L1038">
        <f t="shared" si="135"/>
        <v>0.55000000000000004</v>
      </c>
      <c r="M1038">
        <f>_xlfn.XLOOKUP(B1038, Dim_Hotel!$A$2:$A$11, Dim_Hotel!$I$2:$I$11)
 + (IF(J1038="",0,J1038)
    * _xlfn.XLOOKUP(B1038, Dim_Hotel!$A$2:$A$11, Dim_Hotel!$J$2:$J$11))</f>
        <v>165</v>
      </c>
    </row>
    <row r="1039" spans="1:13" x14ac:dyDescent="0.25">
      <c r="A1039" s="1">
        <f t="shared" si="128"/>
        <v>46126</v>
      </c>
      <c r="B1039" t="str" cm="1">
        <f t="array" ref="B1039">INDEX(HotelList,MOD(ROW()-2,10)+1)</f>
        <v>H008</v>
      </c>
      <c r="C1039">
        <f>_xlfn.XLOOKUP(B1039,Dim_Hotel!$A$2:$A$11,Dim_Hotel!$F$2:$F$11)</f>
        <v>103</v>
      </c>
      <c r="D1039">
        <f t="shared" si="129"/>
        <v>57</v>
      </c>
      <c r="E1039">
        <f t="shared" si="130"/>
        <v>0.55339805825242716</v>
      </c>
      <c r="F1039">
        <f t="shared" si="131"/>
        <v>140</v>
      </c>
      <c r="G1039">
        <f t="shared" si="132"/>
        <v>77.475728155339809</v>
      </c>
      <c r="H1039" t="str">
        <f>_xlfn.XLOOKUP(A1039,Fact_Events!$D$2:$D$20,Fact_Events!$A$2:$A$20, "")</f>
        <v/>
      </c>
      <c r="I1039">
        <f t="shared" si="133"/>
        <v>0</v>
      </c>
      <c r="J1039" t="str">
        <f>_xlfn.XLOOKUP(H1039, Fact_Events!$A$2:$A$20, Fact_Events!$F$2:$F$20, "")</f>
        <v/>
      </c>
      <c r="K1039" t="str">
        <f t="shared" si="134"/>
        <v>Low</v>
      </c>
      <c r="L1039">
        <f t="shared" si="135"/>
        <v>0.55000000000000004</v>
      </c>
      <c r="M1039">
        <f>_xlfn.XLOOKUP(B1039, Dim_Hotel!$A$2:$A$11, Dim_Hotel!$I$2:$I$11)
 + (IF(J1039="",0,J1039)
    * _xlfn.XLOOKUP(B1039, Dim_Hotel!$A$2:$A$11, Dim_Hotel!$J$2:$J$11))</f>
        <v>140</v>
      </c>
    </row>
    <row r="1040" spans="1:13" x14ac:dyDescent="0.25">
      <c r="A1040" s="1">
        <f t="shared" si="128"/>
        <v>46126</v>
      </c>
      <c r="B1040" t="str" cm="1">
        <f t="array" ref="B1040">INDEX(HotelList,MOD(ROW()-2,10)+1)</f>
        <v>H009</v>
      </c>
      <c r="C1040">
        <f>_xlfn.XLOOKUP(B1040,Dim_Hotel!$A$2:$A$11,Dim_Hotel!$F$2:$F$11)</f>
        <v>114</v>
      </c>
      <c r="D1040">
        <f t="shared" si="129"/>
        <v>63</v>
      </c>
      <c r="E1040">
        <f t="shared" si="130"/>
        <v>0.55263157894736847</v>
      </c>
      <c r="F1040">
        <f t="shared" si="131"/>
        <v>185</v>
      </c>
      <c r="G1040">
        <f t="shared" si="132"/>
        <v>102.23684210526316</v>
      </c>
      <c r="H1040" t="str">
        <f>_xlfn.XLOOKUP(A1040,Fact_Events!$D$2:$D$20,Fact_Events!$A$2:$A$20, "")</f>
        <v/>
      </c>
      <c r="I1040">
        <f t="shared" si="133"/>
        <v>0</v>
      </c>
      <c r="J1040" t="str">
        <f>_xlfn.XLOOKUP(H1040, Fact_Events!$A$2:$A$20, Fact_Events!$F$2:$F$20, "")</f>
        <v/>
      </c>
      <c r="K1040" t="str">
        <f t="shared" si="134"/>
        <v>Low</v>
      </c>
      <c r="L1040">
        <f t="shared" si="135"/>
        <v>0.55000000000000004</v>
      </c>
      <c r="M1040">
        <f>_xlfn.XLOOKUP(B1040, Dim_Hotel!$A$2:$A$11, Dim_Hotel!$I$2:$I$11)
 + (IF(J1040="",0,J1040)
    * _xlfn.XLOOKUP(B1040, Dim_Hotel!$A$2:$A$11, Dim_Hotel!$J$2:$J$11))</f>
        <v>185</v>
      </c>
    </row>
    <row r="1041" spans="1:13" x14ac:dyDescent="0.25">
      <c r="A1041" s="1">
        <f t="shared" si="128"/>
        <v>46126</v>
      </c>
      <c r="B1041" t="str" cm="1">
        <f t="array" ref="B1041">INDEX(HotelList,MOD(ROW()-2,10)+1)</f>
        <v>H010</v>
      </c>
      <c r="C1041">
        <f>_xlfn.XLOOKUP(B1041,Dim_Hotel!$A$2:$A$11,Dim_Hotel!$F$2:$F$11)</f>
        <v>89</v>
      </c>
      <c r="D1041">
        <f t="shared" si="129"/>
        <v>49</v>
      </c>
      <c r="E1041">
        <f t="shared" si="130"/>
        <v>0.550561797752809</v>
      </c>
      <c r="F1041">
        <f t="shared" si="131"/>
        <v>150</v>
      </c>
      <c r="G1041">
        <f t="shared" si="132"/>
        <v>82.584269662921344</v>
      </c>
      <c r="H1041" t="str">
        <f>_xlfn.XLOOKUP(A1041,Fact_Events!$D$2:$D$20,Fact_Events!$A$2:$A$20, "")</f>
        <v/>
      </c>
      <c r="I1041">
        <f t="shared" si="133"/>
        <v>0</v>
      </c>
      <c r="J1041" t="str">
        <f>_xlfn.XLOOKUP(H1041, Fact_Events!$A$2:$A$20, Fact_Events!$F$2:$F$20, "")</f>
        <v/>
      </c>
      <c r="K1041" t="str">
        <f t="shared" si="134"/>
        <v>Low</v>
      </c>
      <c r="L1041">
        <f t="shared" si="135"/>
        <v>0.55000000000000004</v>
      </c>
      <c r="M1041">
        <f>_xlfn.XLOOKUP(B1041, Dim_Hotel!$A$2:$A$11, Dim_Hotel!$I$2:$I$11)
 + (IF(J1041="",0,J1041)
    * _xlfn.XLOOKUP(B1041, Dim_Hotel!$A$2:$A$11, Dim_Hotel!$J$2:$J$11))</f>
        <v>150</v>
      </c>
    </row>
    <row r="1042" spans="1:13" x14ac:dyDescent="0.25">
      <c r="A1042" s="1">
        <f t="shared" si="128"/>
        <v>46127</v>
      </c>
      <c r="B1042" t="str" cm="1">
        <f t="array" ref="B1042">INDEX(HotelList,MOD(ROW()-2,10)+1)</f>
        <v>H001</v>
      </c>
      <c r="C1042">
        <f>_xlfn.XLOOKUP(B1042,Dim_Hotel!$A$2:$A$11,Dim_Hotel!$F$2:$F$11)</f>
        <v>888</v>
      </c>
      <c r="D1042">
        <f t="shared" si="129"/>
        <v>488</v>
      </c>
      <c r="E1042">
        <f t="shared" si="130"/>
        <v>0.5495495495495496</v>
      </c>
      <c r="F1042">
        <f t="shared" si="131"/>
        <v>260</v>
      </c>
      <c r="G1042">
        <f t="shared" si="132"/>
        <v>142.88288288288288</v>
      </c>
      <c r="H1042" t="str">
        <f>_xlfn.XLOOKUP(A1042,Fact_Events!$D$2:$D$20,Fact_Events!$A$2:$A$20, "")</f>
        <v/>
      </c>
      <c r="I1042">
        <f t="shared" si="133"/>
        <v>0</v>
      </c>
      <c r="J1042" t="str">
        <f>_xlfn.XLOOKUP(H1042, Fact_Events!$A$2:$A$20, Fact_Events!$F$2:$F$20, "")</f>
        <v/>
      </c>
      <c r="K1042" t="str">
        <f t="shared" si="134"/>
        <v>Low</v>
      </c>
      <c r="L1042">
        <f t="shared" si="135"/>
        <v>0.55000000000000004</v>
      </c>
      <c r="M1042">
        <f>_xlfn.XLOOKUP(B1042, Dim_Hotel!$A$2:$A$11, Dim_Hotel!$I$2:$I$11)
 + (IF(J1042="",0,J1042)
    * _xlfn.XLOOKUP(B1042, Dim_Hotel!$A$2:$A$11, Dim_Hotel!$J$2:$J$11))</f>
        <v>260</v>
      </c>
    </row>
    <row r="1043" spans="1:13" x14ac:dyDescent="0.25">
      <c r="A1043" s="1">
        <f t="shared" si="128"/>
        <v>46127</v>
      </c>
      <c r="B1043" t="str" cm="1">
        <f t="array" ref="B1043">INDEX(HotelList,MOD(ROW()-2,10)+1)</f>
        <v>H002</v>
      </c>
      <c r="C1043">
        <f>_xlfn.XLOOKUP(B1043,Dim_Hotel!$A$2:$A$11,Dim_Hotel!$F$2:$F$11)</f>
        <v>147</v>
      </c>
      <c r="D1043">
        <f t="shared" si="129"/>
        <v>81</v>
      </c>
      <c r="E1043">
        <f t="shared" si="130"/>
        <v>0.55102040816326525</v>
      </c>
      <c r="F1043">
        <f t="shared" si="131"/>
        <v>175</v>
      </c>
      <c r="G1043">
        <f t="shared" si="132"/>
        <v>96.428571428571416</v>
      </c>
      <c r="H1043" t="str">
        <f>_xlfn.XLOOKUP(A1043,Fact_Events!$D$2:$D$20,Fact_Events!$A$2:$A$20, "")</f>
        <v/>
      </c>
      <c r="I1043">
        <f t="shared" si="133"/>
        <v>0</v>
      </c>
      <c r="J1043" t="str">
        <f>_xlfn.XLOOKUP(H1043, Fact_Events!$A$2:$A$20, Fact_Events!$F$2:$F$20, "")</f>
        <v/>
      </c>
      <c r="K1043" t="str">
        <f t="shared" si="134"/>
        <v>Low</v>
      </c>
      <c r="L1043">
        <f t="shared" si="135"/>
        <v>0.55000000000000004</v>
      </c>
      <c r="M1043">
        <f>_xlfn.XLOOKUP(B1043, Dim_Hotel!$A$2:$A$11, Dim_Hotel!$I$2:$I$11)
 + (IF(J1043="",0,J1043)
    * _xlfn.XLOOKUP(B1043, Dim_Hotel!$A$2:$A$11, Dim_Hotel!$J$2:$J$11))</f>
        <v>175</v>
      </c>
    </row>
    <row r="1044" spans="1:13" x14ac:dyDescent="0.25">
      <c r="A1044" s="1">
        <f t="shared" si="128"/>
        <v>46127</v>
      </c>
      <c r="B1044" t="str" cm="1">
        <f t="array" ref="B1044">INDEX(HotelList,MOD(ROW()-2,10)+1)</f>
        <v>H003</v>
      </c>
      <c r="C1044">
        <f>_xlfn.XLOOKUP(B1044,Dim_Hotel!$A$2:$A$11,Dim_Hotel!$F$2:$F$11)</f>
        <v>121</v>
      </c>
      <c r="D1044">
        <f t="shared" si="129"/>
        <v>67</v>
      </c>
      <c r="E1044">
        <f t="shared" si="130"/>
        <v>0.55371900826446285</v>
      </c>
      <c r="F1044">
        <f t="shared" si="131"/>
        <v>145</v>
      </c>
      <c r="G1044">
        <f t="shared" si="132"/>
        <v>80.289256198347118</v>
      </c>
      <c r="H1044" t="str">
        <f>_xlfn.XLOOKUP(A1044,Fact_Events!$D$2:$D$20,Fact_Events!$A$2:$A$20, "")</f>
        <v/>
      </c>
      <c r="I1044">
        <f t="shared" si="133"/>
        <v>0</v>
      </c>
      <c r="J1044" t="str">
        <f>_xlfn.XLOOKUP(H1044, Fact_Events!$A$2:$A$20, Fact_Events!$F$2:$F$20, "")</f>
        <v/>
      </c>
      <c r="K1044" t="str">
        <f t="shared" si="134"/>
        <v>Low</v>
      </c>
      <c r="L1044">
        <f t="shared" si="135"/>
        <v>0.55000000000000004</v>
      </c>
      <c r="M1044">
        <f>_xlfn.XLOOKUP(B1044, Dim_Hotel!$A$2:$A$11, Dim_Hotel!$I$2:$I$11)
 + (IF(J1044="",0,J1044)
    * _xlfn.XLOOKUP(B1044, Dim_Hotel!$A$2:$A$11, Dim_Hotel!$J$2:$J$11))</f>
        <v>145</v>
      </c>
    </row>
    <row r="1045" spans="1:13" x14ac:dyDescent="0.25">
      <c r="A1045" s="1">
        <f t="shared" si="128"/>
        <v>46127</v>
      </c>
      <c r="B1045" t="str" cm="1">
        <f t="array" ref="B1045">INDEX(HotelList,MOD(ROW()-2,10)+1)</f>
        <v>H004</v>
      </c>
      <c r="C1045">
        <f>_xlfn.XLOOKUP(B1045,Dim_Hotel!$A$2:$A$11,Dim_Hotel!$F$2:$F$11)</f>
        <v>108</v>
      </c>
      <c r="D1045">
        <f t="shared" si="129"/>
        <v>59</v>
      </c>
      <c r="E1045">
        <f t="shared" si="130"/>
        <v>0.54629629629629628</v>
      </c>
      <c r="F1045">
        <f t="shared" si="131"/>
        <v>135</v>
      </c>
      <c r="G1045">
        <f t="shared" si="132"/>
        <v>73.75</v>
      </c>
      <c r="H1045" t="str">
        <f>_xlfn.XLOOKUP(A1045,Fact_Events!$D$2:$D$20,Fact_Events!$A$2:$A$20, "")</f>
        <v/>
      </c>
      <c r="I1045">
        <f t="shared" si="133"/>
        <v>0</v>
      </c>
      <c r="J1045" t="str">
        <f>_xlfn.XLOOKUP(H1045, Fact_Events!$A$2:$A$20, Fact_Events!$F$2:$F$20, "")</f>
        <v/>
      </c>
      <c r="K1045" t="str">
        <f t="shared" si="134"/>
        <v>Low</v>
      </c>
      <c r="L1045">
        <f t="shared" si="135"/>
        <v>0.55000000000000004</v>
      </c>
      <c r="M1045">
        <f>_xlfn.XLOOKUP(B1045, Dim_Hotel!$A$2:$A$11, Dim_Hotel!$I$2:$I$11)
 + (IF(J1045="",0,J1045)
    * _xlfn.XLOOKUP(B1045, Dim_Hotel!$A$2:$A$11, Dim_Hotel!$J$2:$J$11))</f>
        <v>135</v>
      </c>
    </row>
    <row r="1046" spans="1:13" x14ac:dyDescent="0.25">
      <c r="A1046" s="1">
        <f t="shared" si="128"/>
        <v>46127</v>
      </c>
      <c r="B1046" t="str" cm="1">
        <f t="array" ref="B1046">INDEX(HotelList,MOD(ROW()-2,10)+1)</f>
        <v>H005</v>
      </c>
      <c r="C1046">
        <f>_xlfn.XLOOKUP(B1046,Dim_Hotel!$A$2:$A$11,Dim_Hotel!$F$2:$F$11)</f>
        <v>66</v>
      </c>
      <c r="D1046">
        <f t="shared" si="129"/>
        <v>36</v>
      </c>
      <c r="E1046">
        <f t="shared" si="130"/>
        <v>0.54545454545454541</v>
      </c>
      <c r="F1046">
        <f t="shared" si="131"/>
        <v>82</v>
      </c>
      <c r="G1046">
        <f t="shared" si="132"/>
        <v>44.727272727272727</v>
      </c>
      <c r="H1046" t="str">
        <f>_xlfn.XLOOKUP(A1046,Fact_Events!$D$2:$D$20,Fact_Events!$A$2:$A$20, "")</f>
        <v/>
      </c>
      <c r="I1046">
        <f t="shared" si="133"/>
        <v>0</v>
      </c>
      <c r="J1046" t="str">
        <f>_xlfn.XLOOKUP(H1046, Fact_Events!$A$2:$A$20, Fact_Events!$F$2:$F$20, "")</f>
        <v/>
      </c>
      <c r="K1046" t="str">
        <f t="shared" si="134"/>
        <v>Low</v>
      </c>
      <c r="L1046">
        <f t="shared" si="135"/>
        <v>0.55000000000000004</v>
      </c>
      <c r="M1046">
        <f>_xlfn.XLOOKUP(B1046, Dim_Hotel!$A$2:$A$11, Dim_Hotel!$I$2:$I$11)
 + (IF(J1046="",0,J1046)
    * _xlfn.XLOOKUP(B1046, Dim_Hotel!$A$2:$A$11, Dim_Hotel!$J$2:$J$11))</f>
        <v>82</v>
      </c>
    </row>
    <row r="1047" spans="1:13" x14ac:dyDescent="0.25">
      <c r="A1047" s="1">
        <f t="shared" si="128"/>
        <v>46127</v>
      </c>
      <c r="B1047" t="str" cm="1">
        <f t="array" ref="B1047">INDEX(HotelList,MOD(ROW()-2,10)+1)</f>
        <v>H006</v>
      </c>
      <c r="C1047">
        <f>_xlfn.XLOOKUP(B1047,Dim_Hotel!$A$2:$A$11,Dim_Hotel!$F$2:$F$11)</f>
        <v>311</v>
      </c>
      <c r="D1047">
        <f t="shared" si="129"/>
        <v>171</v>
      </c>
      <c r="E1047">
        <f t="shared" si="130"/>
        <v>0.54983922829581988</v>
      </c>
      <c r="F1047">
        <f t="shared" si="131"/>
        <v>190</v>
      </c>
      <c r="G1047">
        <f t="shared" si="132"/>
        <v>104.46945337620578</v>
      </c>
      <c r="H1047" t="str">
        <f>_xlfn.XLOOKUP(A1047,Fact_Events!$D$2:$D$20,Fact_Events!$A$2:$A$20, "")</f>
        <v/>
      </c>
      <c r="I1047">
        <f t="shared" si="133"/>
        <v>0</v>
      </c>
      <c r="J1047" t="str">
        <f>_xlfn.XLOOKUP(H1047, Fact_Events!$A$2:$A$20, Fact_Events!$F$2:$F$20, "")</f>
        <v/>
      </c>
      <c r="K1047" t="str">
        <f t="shared" si="134"/>
        <v>Low</v>
      </c>
      <c r="L1047">
        <f t="shared" si="135"/>
        <v>0.55000000000000004</v>
      </c>
      <c r="M1047">
        <f>_xlfn.XLOOKUP(B1047, Dim_Hotel!$A$2:$A$11, Dim_Hotel!$I$2:$I$11)
 + (IF(J1047="",0,J1047)
    * _xlfn.XLOOKUP(B1047, Dim_Hotel!$A$2:$A$11, Dim_Hotel!$J$2:$J$11))</f>
        <v>190</v>
      </c>
    </row>
    <row r="1048" spans="1:13" x14ac:dyDescent="0.25">
      <c r="A1048" s="1">
        <f t="shared" si="128"/>
        <v>46127</v>
      </c>
      <c r="B1048" t="str" cm="1">
        <f t="array" ref="B1048">INDEX(HotelList,MOD(ROW()-2,10)+1)</f>
        <v>H007</v>
      </c>
      <c r="C1048">
        <f>_xlfn.XLOOKUP(B1048,Dim_Hotel!$A$2:$A$11,Dim_Hotel!$F$2:$F$11)</f>
        <v>132</v>
      </c>
      <c r="D1048">
        <f t="shared" si="129"/>
        <v>73</v>
      </c>
      <c r="E1048">
        <f t="shared" si="130"/>
        <v>0.55303030303030298</v>
      </c>
      <c r="F1048">
        <f t="shared" si="131"/>
        <v>165</v>
      </c>
      <c r="G1048">
        <f t="shared" si="132"/>
        <v>91.249999999999986</v>
      </c>
      <c r="H1048" t="str">
        <f>_xlfn.XLOOKUP(A1048,Fact_Events!$D$2:$D$20,Fact_Events!$A$2:$A$20, "")</f>
        <v/>
      </c>
      <c r="I1048">
        <f t="shared" si="133"/>
        <v>0</v>
      </c>
      <c r="J1048" t="str">
        <f>_xlfn.XLOOKUP(H1048, Fact_Events!$A$2:$A$20, Fact_Events!$F$2:$F$20, "")</f>
        <v/>
      </c>
      <c r="K1048" t="str">
        <f t="shared" si="134"/>
        <v>Low</v>
      </c>
      <c r="L1048">
        <f t="shared" si="135"/>
        <v>0.55000000000000004</v>
      </c>
      <c r="M1048">
        <f>_xlfn.XLOOKUP(B1048, Dim_Hotel!$A$2:$A$11, Dim_Hotel!$I$2:$I$11)
 + (IF(J1048="",0,J1048)
    * _xlfn.XLOOKUP(B1048, Dim_Hotel!$A$2:$A$11, Dim_Hotel!$J$2:$J$11))</f>
        <v>165</v>
      </c>
    </row>
    <row r="1049" spans="1:13" x14ac:dyDescent="0.25">
      <c r="A1049" s="1">
        <f t="shared" si="128"/>
        <v>46127</v>
      </c>
      <c r="B1049" t="str" cm="1">
        <f t="array" ref="B1049">INDEX(HotelList,MOD(ROW()-2,10)+1)</f>
        <v>H008</v>
      </c>
      <c r="C1049">
        <f>_xlfn.XLOOKUP(B1049,Dim_Hotel!$A$2:$A$11,Dim_Hotel!$F$2:$F$11)</f>
        <v>103</v>
      </c>
      <c r="D1049">
        <f t="shared" si="129"/>
        <v>57</v>
      </c>
      <c r="E1049">
        <f t="shared" si="130"/>
        <v>0.55339805825242716</v>
      </c>
      <c r="F1049">
        <f t="shared" si="131"/>
        <v>140</v>
      </c>
      <c r="G1049">
        <f t="shared" si="132"/>
        <v>77.475728155339809</v>
      </c>
      <c r="H1049" t="str">
        <f>_xlfn.XLOOKUP(A1049,Fact_Events!$D$2:$D$20,Fact_Events!$A$2:$A$20, "")</f>
        <v/>
      </c>
      <c r="I1049">
        <f t="shared" si="133"/>
        <v>0</v>
      </c>
      <c r="J1049" t="str">
        <f>_xlfn.XLOOKUP(H1049, Fact_Events!$A$2:$A$20, Fact_Events!$F$2:$F$20, "")</f>
        <v/>
      </c>
      <c r="K1049" t="str">
        <f t="shared" si="134"/>
        <v>Low</v>
      </c>
      <c r="L1049">
        <f t="shared" si="135"/>
        <v>0.55000000000000004</v>
      </c>
      <c r="M1049">
        <f>_xlfn.XLOOKUP(B1049, Dim_Hotel!$A$2:$A$11, Dim_Hotel!$I$2:$I$11)
 + (IF(J1049="",0,J1049)
    * _xlfn.XLOOKUP(B1049, Dim_Hotel!$A$2:$A$11, Dim_Hotel!$J$2:$J$11))</f>
        <v>140</v>
      </c>
    </row>
    <row r="1050" spans="1:13" x14ac:dyDescent="0.25">
      <c r="A1050" s="1">
        <f t="shared" si="128"/>
        <v>46127</v>
      </c>
      <c r="B1050" t="str" cm="1">
        <f t="array" ref="B1050">INDEX(HotelList,MOD(ROW()-2,10)+1)</f>
        <v>H009</v>
      </c>
      <c r="C1050">
        <f>_xlfn.XLOOKUP(B1050,Dim_Hotel!$A$2:$A$11,Dim_Hotel!$F$2:$F$11)</f>
        <v>114</v>
      </c>
      <c r="D1050">
        <f t="shared" si="129"/>
        <v>63</v>
      </c>
      <c r="E1050">
        <f t="shared" si="130"/>
        <v>0.55263157894736847</v>
      </c>
      <c r="F1050">
        <f t="shared" si="131"/>
        <v>185</v>
      </c>
      <c r="G1050">
        <f t="shared" si="132"/>
        <v>102.23684210526316</v>
      </c>
      <c r="H1050" t="str">
        <f>_xlfn.XLOOKUP(A1050,Fact_Events!$D$2:$D$20,Fact_Events!$A$2:$A$20, "")</f>
        <v/>
      </c>
      <c r="I1050">
        <f t="shared" si="133"/>
        <v>0</v>
      </c>
      <c r="J1050" t="str">
        <f>_xlfn.XLOOKUP(H1050, Fact_Events!$A$2:$A$20, Fact_Events!$F$2:$F$20, "")</f>
        <v/>
      </c>
      <c r="K1050" t="str">
        <f t="shared" si="134"/>
        <v>Low</v>
      </c>
      <c r="L1050">
        <f t="shared" si="135"/>
        <v>0.55000000000000004</v>
      </c>
      <c r="M1050">
        <f>_xlfn.XLOOKUP(B1050, Dim_Hotel!$A$2:$A$11, Dim_Hotel!$I$2:$I$11)
 + (IF(J1050="",0,J1050)
    * _xlfn.XLOOKUP(B1050, Dim_Hotel!$A$2:$A$11, Dim_Hotel!$J$2:$J$11))</f>
        <v>185</v>
      </c>
    </row>
    <row r="1051" spans="1:13" x14ac:dyDescent="0.25">
      <c r="A1051" s="1">
        <f t="shared" si="128"/>
        <v>46127</v>
      </c>
      <c r="B1051" t="str" cm="1">
        <f t="array" ref="B1051">INDEX(HotelList,MOD(ROW()-2,10)+1)</f>
        <v>H010</v>
      </c>
      <c r="C1051">
        <f>_xlfn.XLOOKUP(B1051,Dim_Hotel!$A$2:$A$11,Dim_Hotel!$F$2:$F$11)</f>
        <v>89</v>
      </c>
      <c r="D1051">
        <f t="shared" si="129"/>
        <v>49</v>
      </c>
      <c r="E1051">
        <f t="shared" si="130"/>
        <v>0.550561797752809</v>
      </c>
      <c r="F1051">
        <f t="shared" si="131"/>
        <v>150</v>
      </c>
      <c r="G1051">
        <f t="shared" si="132"/>
        <v>82.584269662921344</v>
      </c>
      <c r="H1051" t="str">
        <f>_xlfn.XLOOKUP(A1051,Fact_Events!$D$2:$D$20,Fact_Events!$A$2:$A$20, "")</f>
        <v/>
      </c>
      <c r="I1051">
        <f t="shared" si="133"/>
        <v>0</v>
      </c>
      <c r="J1051" t="str">
        <f>_xlfn.XLOOKUP(H1051, Fact_Events!$A$2:$A$20, Fact_Events!$F$2:$F$20, "")</f>
        <v/>
      </c>
      <c r="K1051" t="str">
        <f t="shared" si="134"/>
        <v>Low</v>
      </c>
      <c r="L1051">
        <f t="shared" si="135"/>
        <v>0.55000000000000004</v>
      </c>
      <c r="M1051">
        <f>_xlfn.XLOOKUP(B1051, Dim_Hotel!$A$2:$A$11, Dim_Hotel!$I$2:$I$11)
 + (IF(J1051="",0,J1051)
    * _xlfn.XLOOKUP(B1051, Dim_Hotel!$A$2:$A$11, Dim_Hotel!$J$2:$J$11))</f>
        <v>150</v>
      </c>
    </row>
    <row r="1052" spans="1:13" x14ac:dyDescent="0.25">
      <c r="A1052" s="1">
        <f t="shared" si="128"/>
        <v>46128</v>
      </c>
      <c r="B1052" t="str" cm="1">
        <f t="array" ref="B1052">INDEX(HotelList,MOD(ROW()-2,10)+1)</f>
        <v>H001</v>
      </c>
      <c r="C1052">
        <f>_xlfn.XLOOKUP(B1052,Dim_Hotel!$A$2:$A$11,Dim_Hotel!$F$2:$F$11)</f>
        <v>888</v>
      </c>
      <c r="D1052">
        <f t="shared" si="129"/>
        <v>488</v>
      </c>
      <c r="E1052">
        <f t="shared" si="130"/>
        <v>0.5495495495495496</v>
      </c>
      <c r="F1052">
        <f t="shared" si="131"/>
        <v>260</v>
      </c>
      <c r="G1052">
        <f t="shared" si="132"/>
        <v>142.88288288288288</v>
      </c>
      <c r="H1052" t="str">
        <f>_xlfn.XLOOKUP(A1052,Fact_Events!$D$2:$D$20,Fact_Events!$A$2:$A$20, "")</f>
        <v/>
      </c>
      <c r="I1052">
        <f t="shared" si="133"/>
        <v>0</v>
      </c>
      <c r="J1052" t="str">
        <f>_xlfn.XLOOKUP(H1052, Fact_Events!$A$2:$A$20, Fact_Events!$F$2:$F$20, "")</f>
        <v/>
      </c>
      <c r="K1052" t="str">
        <f t="shared" si="134"/>
        <v>Low</v>
      </c>
      <c r="L1052">
        <f t="shared" si="135"/>
        <v>0.55000000000000004</v>
      </c>
      <c r="M1052">
        <f>_xlfn.XLOOKUP(B1052, Dim_Hotel!$A$2:$A$11, Dim_Hotel!$I$2:$I$11)
 + (IF(J1052="",0,J1052)
    * _xlfn.XLOOKUP(B1052, Dim_Hotel!$A$2:$A$11, Dim_Hotel!$J$2:$J$11))</f>
        <v>260</v>
      </c>
    </row>
    <row r="1053" spans="1:13" x14ac:dyDescent="0.25">
      <c r="A1053" s="1">
        <f t="shared" si="128"/>
        <v>46128</v>
      </c>
      <c r="B1053" t="str" cm="1">
        <f t="array" ref="B1053">INDEX(HotelList,MOD(ROW()-2,10)+1)</f>
        <v>H002</v>
      </c>
      <c r="C1053">
        <f>_xlfn.XLOOKUP(B1053,Dim_Hotel!$A$2:$A$11,Dim_Hotel!$F$2:$F$11)</f>
        <v>147</v>
      </c>
      <c r="D1053">
        <f t="shared" si="129"/>
        <v>81</v>
      </c>
      <c r="E1053">
        <f t="shared" si="130"/>
        <v>0.55102040816326525</v>
      </c>
      <c r="F1053">
        <f t="shared" si="131"/>
        <v>175</v>
      </c>
      <c r="G1053">
        <f t="shared" si="132"/>
        <v>96.428571428571416</v>
      </c>
      <c r="H1053" t="str">
        <f>_xlfn.XLOOKUP(A1053,Fact_Events!$D$2:$D$20,Fact_Events!$A$2:$A$20, "")</f>
        <v/>
      </c>
      <c r="I1053">
        <f t="shared" si="133"/>
        <v>0</v>
      </c>
      <c r="J1053" t="str">
        <f>_xlfn.XLOOKUP(H1053, Fact_Events!$A$2:$A$20, Fact_Events!$F$2:$F$20, "")</f>
        <v/>
      </c>
      <c r="K1053" t="str">
        <f t="shared" si="134"/>
        <v>Low</v>
      </c>
      <c r="L1053">
        <f t="shared" si="135"/>
        <v>0.55000000000000004</v>
      </c>
      <c r="M1053">
        <f>_xlfn.XLOOKUP(B1053, Dim_Hotel!$A$2:$A$11, Dim_Hotel!$I$2:$I$11)
 + (IF(J1053="",0,J1053)
    * _xlfn.XLOOKUP(B1053, Dim_Hotel!$A$2:$A$11, Dim_Hotel!$J$2:$J$11))</f>
        <v>175</v>
      </c>
    </row>
    <row r="1054" spans="1:13" x14ac:dyDescent="0.25">
      <c r="A1054" s="1">
        <f t="shared" si="128"/>
        <v>46128</v>
      </c>
      <c r="B1054" t="str" cm="1">
        <f t="array" ref="B1054">INDEX(HotelList,MOD(ROW()-2,10)+1)</f>
        <v>H003</v>
      </c>
      <c r="C1054">
        <f>_xlfn.XLOOKUP(B1054,Dim_Hotel!$A$2:$A$11,Dim_Hotel!$F$2:$F$11)</f>
        <v>121</v>
      </c>
      <c r="D1054">
        <f t="shared" si="129"/>
        <v>67</v>
      </c>
      <c r="E1054">
        <f t="shared" si="130"/>
        <v>0.55371900826446285</v>
      </c>
      <c r="F1054">
        <f t="shared" si="131"/>
        <v>145</v>
      </c>
      <c r="G1054">
        <f t="shared" si="132"/>
        <v>80.289256198347118</v>
      </c>
      <c r="H1054" t="str">
        <f>_xlfn.XLOOKUP(A1054,Fact_Events!$D$2:$D$20,Fact_Events!$A$2:$A$20, "")</f>
        <v/>
      </c>
      <c r="I1054">
        <f t="shared" si="133"/>
        <v>0</v>
      </c>
      <c r="J1054" t="str">
        <f>_xlfn.XLOOKUP(H1054, Fact_Events!$A$2:$A$20, Fact_Events!$F$2:$F$20, "")</f>
        <v/>
      </c>
      <c r="K1054" t="str">
        <f t="shared" si="134"/>
        <v>Low</v>
      </c>
      <c r="L1054">
        <f t="shared" si="135"/>
        <v>0.55000000000000004</v>
      </c>
      <c r="M1054">
        <f>_xlfn.XLOOKUP(B1054, Dim_Hotel!$A$2:$A$11, Dim_Hotel!$I$2:$I$11)
 + (IF(J1054="",0,J1054)
    * _xlfn.XLOOKUP(B1054, Dim_Hotel!$A$2:$A$11, Dim_Hotel!$J$2:$J$11))</f>
        <v>145</v>
      </c>
    </row>
    <row r="1055" spans="1:13" x14ac:dyDescent="0.25">
      <c r="A1055" s="1">
        <f t="shared" si="128"/>
        <v>46128</v>
      </c>
      <c r="B1055" t="str" cm="1">
        <f t="array" ref="B1055">INDEX(HotelList,MOD(ROW()-2,10)+1)</f>
        <v>H004</v>
      </c>
      <c r="C1055">
        <f>_xlfn.XLOOKUP(B1055,Dim_Hotel!$A$2:$A$11,Dim_Hotel!$F$2:$F$11)</f>
        <v>108</v>
      </c>
      <c r="D1055">
        <f t="shared" si="129"/>
        <v>59</v>
      </c>
      <c r="E1055">
        <f t="shared" si="130"/>
        <v>0.54629629629629628</v>
      </c>
      <c r="F1055">
        <f t="shared" si="131"/>
        <v>135</v>
      </c>
      <c r="G1055">
        <f t="shared" si="132"/>
        <v>73.75</v>
      </c>
      <c r="H1055" t="str">
        <f>_xlfn.XLOOKUP(A1055,Fact_Events!$D$2:$D$20,Fact_Events!$A$2:$A$20, "")</f>
        <v/>
      </c>
      <c r="I1055">
        <f t="shared" si="133"/>
        <v>0</v>
      </c>
      <c r="J1055" t="str">
        <f>_xlfn.XLOOKUP(H1055, Fact_Events!$A$2:$A$20, Fact_Events!$F$2:$F$20, "")</f>
        <v/>
      </c>
      <c r="K1055" t="str">
        <f t="shared" si="134"/>
        <v>Low</v>
      </c>
      <c r="L1055">
        <f t="shared" si="135"/>
        <v>0.55000000000000004</v>
      </c>
      <c r="M1055">
        <f>_xlfn.XLOOKUP(B1055, Dim_Hotel!$A$2:$A$11, Dim_Hotel!$I$2:$I$11)
 + (IF(J1055="",0,J1055)
    * _xlfn.XLOOKUP(B1055, Dim_Hotel!$A$2:$A$11, Dim_Hotel!$J$2:$J$11))</f>
        <v>135</v>
      </c>
    </row>
    <row r="1056" spans="1:13" x14ac:dyDescent="0.25">
      <c r="A1056" s="1">
        <f t="shared" si="128"/>
        <v>46128</v>
      </c>
      <c r="B1056" t="str" cm="1">
        <f t="array" ref="B1056">INDEX(HotelList,MOD(ROW()-2,10)+1)</f>
        <v>H005</v>
      </c>
      <c r="C1056">
        <f>_xlfn.XLOOKUP(B1056,Dim_Hotel!$A$2:$A$11,Dim_Hotel!$F$2:$F$11)</f>
        <v>66</v>
      </c>
      <c r="D1056">
        <f t="shared" si="129"/>
        <v>36</v>
      </c>
      <c r="E1056">
        <f t="shared" si="130"/>
        <v>0.54545454545454541</v>
      </c>
      <c r="F1056">
        <f t="shared" si="131"/>
        <v>82</v>
      </c>
      <c r="G1056">
        <f t="shared" si="132"/>
        <v>44.727272727272727</v>
      </c>
      <c r="H1056" t="str">
        <f>_xlfn.XLOOKUP(A1056,Fact_Events!$D$2:$D$20,Fact_Events!$A$2:$A$20, "")</f>
        <v/>
      </c>
      <c r="I1056">
        <f t="shared" si="133"/>
        <v>0</v>
      </c>
      <c r="J1056" t="str">
        <f>_xlfn.XLOOKUP(H1056, Fact_Events!$A$2:$A$20, Fact_Events!$F$2:$F$20, "")</f>
        <v/>
      </c>
      <c r="K1056" t="str">
        <f t="shared" si="134"/>
        <v>Low</v>
      </c>
      <c r="L1056">
        <f t="shared" si="135"/>
        <v>0.55000000000000004</v>
      </c>
      <c r="M1056">
        <f>_xlfn.XLOOKUP(B1056, Dim_Hotel!$A$2:$A$11, Dim_Hotel!$I$2:$I$11)
 + (IF(J1056="",0,J1056)
    * _xlfn.XLOOKUP(B1056, Dim_Hotel!$A$2:$A$11, Dim_Hotel!$J$2:$J$11))</f>
        <v>82</v>
      </c>
    </row>
    <row r="1057" spans="1:13" x14ac:dyDescent="0.25">
      <c r="A1057" s="1">
        <f t="shared" si="128"/>
        <v>46128</v>
      </c>
      <c r="B1057" t="str" cm="1">
        <f t="array" ref="B1057">INDEX(HotelList,MOD(ROW()-2,10)+1)</f>
        <v>H006</v>
      </c>
      <c r="C1057">
        <f>_xlfn.XLOOKUP(B1057,Dim_Hotel!$A$2:$A$11,Dim_Hotel!$F$2:$F$11)</f>
        <v>311</v>
      </c>
      <c r="D1057">
        <f t="shared" si="129"/>
        <v>171</v>
      </c>
      <c r="E1057">
        <f t="shared" si="130"/>
        <v>0.54983922829581988</v>
      </c>
      <c r="F1057">
        <f t="shared" si="131"/>
        <v>190</v>
      </c>
      <c r="G1057">
        <f t="shared" si="132"/>
        <v>104.46945337620578</v>
      </c>
      <c r="H1057" t="str">
        <f>_xlfn.XLOOKUP(A1057,Fact_Events!$D$2:$D$20,Fact_Events!$A$2:$A$20, "")</f>
        <v/>
      </c>
      <c r="I1057">
        <f t="shared" si="133"/>
        <v>0</v>
      </c>
      <c r="J1057" t="str">
        <f>_xlfn.XLOOKUP(H1057, Fact_Events!$A$2:$A$20, Fact_Events!$F$2:$F$20, "")</f>
        <v/>
      </c>
      <c r="K1057" t="str">
        <f t="shared" si="134"/>
        <v>Low</v>
      </c>
      <c r="L1057">
        <f t="shared" si="135"/>
        <v>0.55000000000000004</v>
      </c>
      <c r="M1057">
        <f>_xlfn.XLOOKUP(B1057, Dim_Hotel!$A$2:$A$11, Dim_Hotel!$I$2:$I$11)
 + (IF(J1057="",0,J1057)
    * _xlfn.XLOOKUP(B1057, Dim_Hotel!$A$2:$A$11, Dim_Hotel!$J$2:$J$11))</f>
        <v>190</v>
      </c>
    </row>
    <row r="1058" spans="1:13" x14ac:dyDescent="0.25">
      <c r="A1058" s="1">
        <f t="shared" si="128"/>
        <v>46128</v>
      </c>
      <c r="B1058" t="str" cm="1">
        <f t="array" ref="B1058">INDEX(HotelList,MOD(ROW()-2,10)+1)</f>
        <v>H007</v>
      </c>
      <c r="C1058">
        <f>_xlfn.XLOOKUP(B1058,Dim_Hotel!$A$2:$A$11,Dim_Hotel!$F$2:$F$11)</f>
        <v>132</v>
      </c>
      <c r="D1058">
        <f t="shared" si="129"/>
        <v>73</v>
      </c>
      <c r="E1058">
        <f t="shared" si="130"/>
        <v>0.55303030303030298</v>
      </c>
      <c r="F1058">
        <f t="shared" si="131"/>
        <v>165</v>
      </c>
      <c r="G1058">
        <f t="shared" si="132"/>
        <v>91.249999999999986</v>
      </c>
      <c r="H1058" t="str">
        <f>_xlfn.XLOOKUP(A1058,Fact_Events!$D$2:$D$20,Fact_Events!$A$2:$A$20, "")</f>
        <v/>
      </c>
      <c r="I1058">
        <f t="shared" si="133"/>
        <v>0</v>
      </c>
      <c r="J1058" t="str">
        <f>_xlfn.XLOOKUP(H1058, Fact_Events!$A$2:$A$20, Fact_Events!$F$2:$F$20, "")</f>
        <v/>
      </c>
      <c r="K1058" t="str">
        <f t="shared" si="134"/>
        <v>Low</v>
      </c>
      <c r="L1058">
        <f t="shared" si="135"/>
        <v>0.55000000000000004</v>
      </c>
      <c r="M1058">
        <f>_xlfn.XLOOKUP(B1058, Dim_Hotel!$A$2:$A$11, Dim_Hotel!$I$2:$I$11)
 + (IF(J1058="",0,J1058)
    * _xlfn.XLOOKUP(B1058, Dim_Hotel!$A$2:$A$11, Dim_Hotel!$J$2:$J$11))</f>
        <v>165</v>
      </c>
    </row>
    <row r="1059" spans="1:13" x14ac:dyDescent="0.25">
      <c r="A1059" s="1">
        <f t="shared" si="128"/>
        <v>46128</v>
      </c>
      <c r="B1059" t="str" cm="1">
        <f t="array" ref="B1059">INDEX(HotelList,MOD(ROW()-2,10)+1)</f>
        <v>H008</v>
      </c>
      <c r="C1059">
        <f>_xlfn.XLOOKUP(B1059,Dim_Hotel!$A$2:$A$11,Dim_Hotel!$F$2:$F$11)</f>
        <v>103</v>
      </c>
      <c r="D1059">
        <f t="shared" si="129"/>
        <v>57</v>
      </c>
      <c r="E1059">
        <f t="shared" si="130"/>
        <v>0.55339805825242716</v>
      </c>
      <c r="F1059">
        <f t="shared" si="131"/>
        <v>140</v>
      </c>
      <c r="G1059">
        <f t="shared" si="132"/>
        <v>77.475728155339809</v>
      </c>
      <c r="H1059" t="str">
        <f>_xlfn.XLOOKUP(A1059,Fact_Events!$D$2:$D$20,Fact_Events!$A$2:$A$20, "")</f>
        <v/>
      </c>
      <c r="I1059">
        <f t="shared" si="133"/>
        <v>0</v>
      </c>
      <c r="J1059" t="str">
        <f>_xlfn.XLOOKUP(H1059, Fact_Events!$A$2:$A$20, Fact_Events!$F$2:$F$20, "")</f>
        <v/>
      </c>
      <c r="K1059" t="str">
        <f t="shared" si="134"/>
        <v>Low</v>
      </c>
      <c r="L1059">
        <f t="shared" si="135"/>
        <v>0.55000000000000004</v>
      </c>
      <c r="M1059">
        <f>_xlfn.XLOOKUP(B1059, Dim_Hotel!$A$2:$A$11, Dim_Hotel!$I$2:$I$11)
 + (IF(J1059="",0,J1059)
    * _xlfn.XLOOKUP(B1059, Dim_Hotel!$A$2:$A$11, Dim_Hotel!$J$2:$J$11))</f>
        <v>140</v>
      </c>
    </row>
    <row r="1060" spans="1:13" x14ac:dyDescent="0.25">
      <c r="A1060" s="1">
        <f t="shared" si="128"/>
        <v>46128</v>
      </c>
      <c r="B1060" t="str" cm="1">
        <f t="array" ref="B1060">INDEX(HotelList,MOD(ROW()-2,10)+1)</f>
        <v>H009</v>
      </c>
      <c r="C1060">
        <f>_xlfn.XLOOKUP(B1060,Dim_Hotel!$A$2:$A$11,Dim_Hotel!$F$2:$F$11)</f>
        <v>114</v>
      </c>
      <c r="D1060">
        <f t="shared" si="129"/>
        <v>63</v>
      </c>
      <c r="E1060">
        <f t="shared" si="130"/>
        <v>0.55263157894736847</v>
      </c>
      <c r="F1060">
        <f t="shared" si="131"/>
        <v>185</v>
      </c>
      <c r="G1060">
        <f t="shared" si="132"/>
        <v>102.23684210526316</v>
      </c>
      <c r="H1060" t="str">
        <f>_xlfn.XLOOKUP(A1060,Fact_Events!$D$2:$D$20,Fact_Events!$A$2:$A$20, "")</f>
        <v/>
      </c>
      <c r="I1060">
        <f t="shared" si="133"/>
        <v>0</v>
      </c>
      <c r="J1060" t="str">
        <f>_xlfn.XLOOKUP(H1060, Fact_Events!$A$2:$A$20, Fact_Events!$F$2:$F$20, "")</f>
        <v/>
      </c>
      <c r="K1060" t="str">
        <f t="shared" si="134"/>
        <v>Low</v>
      </c>
      <c r="L1060">
        <f t="shared" si="135"/>
        <v>0.55000000000000004</v>
      </c>
      <c r="M1060">
        <f>_xlfn.XLOOKUP(B1060, Dim_Hotel!$A$2:$A$11, Dim_Hotel!$I$2:$I$11)
 + (IF(J1060="",0,J1060)
    * _xlfn.XLOOKUP(B1060, Dim_Hotel!$A$2:$A$11, Dim_Hotel!$J$2:$J$11))</f>
        <v>185</v>
      </c>
    </row>
    <row r="1061" spans="1:13" x14ac:dyDescent="0.25">
      <c r="A1061" s="1">
        <f t="shared" si="128"/>
        <v>46128</v>
      </c>
      <c r="B1061" t="str" cm="1">
        <f t="array" ref="B1061">INDEX(HotelList,MOD(ROW()-2,10)+1)</f>
        <v>H010</v>
      </c>
      <c r="C1061">
        <f>_xlfn.XLOOKUP(B1061,Dim_Hotel!$A$2:$A$11,Dim_Hotel!$F$2:$F$11)</f>
        <v>89</v>
      </c>
      <c r="D1061">
        <f t="shared" si="129"/>
        <v>49</v>
      </c>
      <c r="E1061">
        <f t="shared" si="130"/>
        <v>0.550561797752809</v>
      </c>
      <c r="F1061">
        <f t="shared" si="131"/>
        <v>150</v>
      </c>
      <c r="G1061">
        <f t="shared" si="132"/>
        <v>82.584269662921344</v>
      </c>
      <c r="H1061" t="str">
        <f>_xlfn.XLOOKUP(A1061,Fact_Events!$D$2:$D$20,Fact_Events!$A$2:$A$20, "")</f>
        <v/>
      </c>
      <c r="I1061">
        <f t="shared" si="133"/>
        <v>0</v>
      </c>
      <c r="J1061" t="str">
        <f>_xlfn.XLOOKUP(H1061, Fact_Events!$A$2:$A$20, Fact_Events!$F$2:$F$20, "")</f>
        <v/>
      </c>
      <c r="K1061" t="str">
        <f t="shared" si="134"/>
        <v>Low</v>
      </c>
      <c r="L1061">
        <f t="shared" si="135"/>
        <v>0.55000000000000004</v>
      </c>
      <c r="M1061">
        <f>_xlfn.XLOOKUP(B1061, Dim_Hotel!$A$2:$A$11, Dim_Hotel!$I$2:$I$11)
 + (IF(J1061="",0,J1061)
    * _xlfn.XLOOKUP(B1061, Dim_Hotel!$A$2:$A$11, Dim_Hotel!$J$2:$J$11))</f>
        <v>150</v>
      </c>
    </row>
    <row r="1062" spans="1:13" x14ac:dyDescent="0.25">
      <c r="A1062" s="1">
        <f t="shared" si="128"/>
        <v>46129</v>
      </c>
      <c r="B1062" t="str" cm="1">
        <f t="array" ref="B1062">INDEX(HotelList,MOD(ROW()-2,10)+1)</f>
        <v>H001</v>
      </c>
      <c r="C1062">
        <f>_xlfn.XLOOKUP(B1062,Dim_Hotel!$A$2:$A$11,Dim_Hotel!$F$2:$F$11)</f>
        <v>888</v>
      </c>
      <c r="D1062">
        <f t="shared" si="129"/>
        <v>488</v>
      </c>
      <c r="E1062">
        <f t="shared" si="130"/>
        <v>0.5495495495495496</v>
      </c>
      <c r="F1062">
        <f t="shared" si="131"/>
        <v>260</v>
      </c>
      <c r="G1062">
        <f t="shared" si="132"/>
        <v>142.88288288288288</v>
      </c>
      <c r="H1062" t="str">
        <f>_xlfn.XLOOKUP(A1062,Fact_Events!$D$2:$D$20,Fact_Events!$A$2:$A$20, "")</f>
        <v/>
      </c>
      <c r="I1062">
        <f t="shared" si="133"/>
        <v>0</v>
      </c>
      <c r="J1062" t="str">
        <f>_xlfn.XLOOKUP(H1062, Fact_Events!$A$2:$A$20, Fact_Events!$F$2:$F$20, "")</f>
        <v/>
      </c>
      <c r="K1062" t="str">
        <f t="shared" si="134"/>
        <v>Low</v>
      </c>
      <c r="L1062">
        <f t="shared" si="135"/>
        <v>0.55000000000000004</v>
      </c>
      <c r="M1062">
        <f>_xlfn.XLOOKUP(B1062, Dim_Hotel!$A$2:$A$11, Dim_Hotel!$I$2:$I$11)
 + (IF(J1062="",0,J1062)
    * _xlfn.XLOOKUP(B1062, Dim_Hotel!$A$2:$A$11, Dim_Hotel!$J$2:$J$11))</f>
        <v>260</v>
      </c>
    </row>
    <row r="1063" spans="1:13" x14ac:dyDescent="0.25">
      <c r="A1063" s="1">
        <f t="shared" si="128"/>
        <v>46129</v>
      </c>
      <c r="B1063" t="str" cm="1">
        <f t="array" ref="B1063">INDEX(HotelList,MOD(ROW()-2,10)+1)</f>
        <v>H002</v>
      </c>
      <c r="C1063">
        <f>_xlfn.XLOOKUP(B1063,Dim_Hotel!$A$2:$A$11,Dim_Hotel!$F$2:$F$11)</f>
        <v>147</v>
      </c>
      <c r="D1063">
        <f t="shared" si="129"/>
        <v>81</v>
      </c>
      <c r="E1063">
        <f t="shared" si="130"/>
        <v>0.55102040816326525</v>
      </c>
      <c r="F1063">
        <f t="shared" si="131"/>
        <v>175</v>
      </c>
      <c r="G1063">
        <f t="shared" si="132"/>
        <v>96.428571428571416</v>
      </c>
      <c r="H1063" t="str">
        <f>_xlfn.XLOOKUP(A1063,Fact_Events!$D$2:$D$20,Fact_Events!$A$2:$A$20, "")</f>
        <v/>
      </c>
      <c r="I1063">
        <f t="shared" si="133"/>
        <v>0</v>
      </c>
      <c r="J1063" t="str">
        <f>_xlfn.XLOOKUP(H1063, Fact_Events!$A$2:$A$20, Fact_Events!$F$2:$F$20, "")</f>
        <v/>
      </c>
      <c r="K1063" t="str">
        <f t="shared" si="134"/>
        <v>Low</v>
      </c>
      <c r="L1063">
        <f t="shared" si="135"/>
        <v>0.55000000000000004</v>
      </c>
      <c r="M1063">
        <f>_xlfn.XLOOKUP(B1063, Dim_Hotel!$A$2:$A$11, Dim_Hotel!$I$2:$I$11)
 + (IF(J1063="",0,J1063)
    * _xlfn.XLOOKUP(B1063, Dim_Hotel!$A$2:$A$11, Dim_Hotel!$J$2:$J$11))</f>
        <v>175</v>
      </c>
    </row>
    <row r="1064" spans="1:13" x14ac:dyDescent="0.25">
      <c r="A1064" s="1">
        <f t="shared" si="128"/>
        <v>46129</v>
      </c>
      <c r="B1064" t="str" cm="1">
        <f t="array" ref="B1064">INDEX(HotelList,MOD(ROW()-2,10)+1)</f>
        <v>H003</v>
      </c>
      <c r="C1064">
        <f>_xlfn.XLOOKUP(B1064,Dim_Hotel!$A$2:$A$11,Dim_Hotel!$F$2:$F$11)</f>
        <v>121</v>
      </c>
      <c r="D1064">
        <f t="shared" si="129"/>
        <v>67</v>
      </c>
      <c r="E1064">
        <f t="shared" si="130"/>
        <v>0.55371900826446285</v>
      </c>
      <c r="F1064">
        <f t="shared" si="131"/>
        <v>145</v>
      </c>
      <c r="G1064">
        <f t="shared" si="132"/>
        <v>80.289256198347118</v>
      </c>
      <c r="H1064" t="str">
        <f>_xlfn.XLOOKUP(A1064,Fact_Events!$D$2:$D$20,Fact_Events!$A$2:$A$20, "")</f>
        <v/>
      </c>
      <c r="I1064">
        <f t="shared" si="133"/>
        <v>0</v>
      </c>
      <c r="J1064" t="str">
        <f>_xlfn.XLOOKUP(H1064, Fact_Events!$A$2:$A$20, Fact_Events!$F$2:$F$20, "")</f>
        <v/>
      </c>
      <c r="K1064" t="str">
        <f t="shared" si="134"/>
        <v>Low</v>
      </c>
      <c r="L1064">
        <f t="shared" si="135"/>
        <v>0.55000000000000004</v>
      </c>
      <c r="M1064">
        <f>_xlfn.XLOOKUP(B1064, Dim_Hotel!$A$2:$A$11, Dim_Hotel!$I$2:$I$11)
 + (IF(J1064="",0,J1064)
    * _xlfn.XLOOKUP(B1064, Dim_Hotel!$A$2:$A$11, Dim_Hotel!$J$2:$J$11))</f>
        <v>145</v>
      </c>
    </row>
    <row r="1065" spans="1:13" x14ac:dyDescent="0.25">
      <c r="A1065" s="1">
        <f t="shared" si="128"/>
        <v>46129</v>
      </c>
      <c r="B1065" t="str" cm="1">
        <f t="array" ref="B1065">INDEX(HotelList,MOD(ROW()-2,10)+1)</f>
        <v>H004</v>
      </c>
      <c r="C1065">
        <f>_xlfn.XLOOKUP(B1065,Dim_Hotel!$A$2:$A$11,Dim_Hotel!$F$2:$F$11)</f>
        <v>108</v>
      </c>
      <c r="D1065">
        <f t="shared" si="129"/>
        <v>59</v>
      </c>
      <c r="E1065">
        <f t="shared" si="130"/>
        <v>0.54629629629629628</v>
      </c>
      <c r="F1065">
        <f t="shared" si="131"/>
        <v>135</v>
      </c>
      <c r="G1065">
        <f t="shared" si="132"/>
        <v>73.75</v>
      </c>
      <c r="H1065" t="str">
        <f>_xlfn.XLOOKUP(A1065,Fact_Events!$D$2:$D$20,Fact_Events!$A$2:$A$20, "")</f>
        <v/>
      </c>
      <c r="I1065">
        <f t="shared" si="133"/>
        <v>0</v>
      </c>
      <c r="J1065" t="str">
        <f>_xlfn.XLOOKUP(H1065, Fact_Events!$A$2:$A$20, Fact_Events!$F$2:$F$20, "")</f>
        <v/>
      </c>
      <c r="K1065" t="str">
        <f t="shared" si="134"/>
        <v>Low</v>
      </c>
      <c r="L1065">
        <f t="shared" si="135"/>
        <v>0.55000000000000004</v>
      </c>
      <c r="M1065">
        <f>_xlfn.XLOOKUP(B1065, Dim_Hotel!$A$2:$A$11, Dim_Hotel!$I$2:$I$11)
 + (IF(J1065="",0,J1065)
    * _xlfn.XLOOKUP(B1065, Dim_Hotel!$A$2:$A$11, Dim_Hotel!$J$2:$J$11))</f>
        <v>135</v>
      </c>
    </row>
    <row r="1066" spans="1:13" x14ac:dyDescent="0.25">
      <c r="A1066" s="1">
        <f t="shared" si="128"/>
        <v>46129</v>
      </c>
      <c r="B1066" t="str" cm="1">
        <f t="array" ref="B1066">INDEX(HotelList,MOD(ROW()-2,10)+1)</f>
        <v>H005</v>
      </c>
      <c r="C1066">
        <f>_xlfn.XLOOKUP(B1066,Dim_Hotel!$A$2:$A$11,Dim_Hotel!$F$2:$F$11)</f>
        <v>66</v>
      </c>
      <c r="D1066">
        <f t="shared" si="129"/>
        <v>36</v>
      </c>
      <c r="E1066">
        <f t="shared" si="130"/>
        <v>0.54545454545454541</v>
      </c>
      <c r="F1066">
        <f t="shared" si="131"/>
        <v>82</v>
      </c>
      <c r="G1066">
        <f t="shared" si="132"/>
        <v>44.727272727272727</v>
      </c>
      <c r="H1066" t="str">
        <f>_xlfn.XLOOKUP(A1066,Fact_Events!$D$2:$D$20,Fact_Events!$A$2:$A$20, "")</f>
        <v/>
      </c>
      <c r="I1066">
        <f t="shared" si="133"/>
        <v>0</v>
      </c>
      <c r="J1066" t="str">
        <f>_xlfn.XLOOKUP(H1066, Fact_Events!$A$2:$A$20, Fact_Events!$F$2:$F$20, "")</f>
        <v/>
      </c>
      <c r="K1066" t="str">
        <f t="shared" si="134"/>
        <v>Low</v>
      </c>
      <c r="L1066">
        <f t="shared" si="135"/>
        <v>0.55000000000000004</v>
      </c>
      <c r="M1066">
        <f>_xlfn.XLOOKUP(B1066, Dim_Hotel!$A$2:$A$11, Dim_Hotel!$I$2:$I$11)
 + (IF(J1066="",0,J1066)
    * _xlfn.XLOOKUP(B1066, Dim_Hotel!$A$2:$A$11, Dim_Hotel!$J$2:$J$11))</f>
        <v>82</v>
      </c>
    </row>
    <row r="1067" spans="1:13" x14ac:dyDescent="0.25">
      <c r="A1067" s="1">
        <f t="shared" si="128"/>
        <v>46129</v>
      </c>
      <c r="B1067" t="str" cm="1">
        <f t="array" ref="B1067">INDEX(HotelList,MOD(ROW()-2,10)+1)</f>
        <v>H006</v>
      </c>
      <c r="C1067">
        <f>_xlfn.XLOOKUP(B1067,Dim_Hotel!$A$2:$A$11,Dim_Hotel!$F$2:$F$11)</f>
        <v>311</v>
      </c>
      <c r="D1067">
        <f t="shared" si="129"/>
        <v>171</v>
      </c>
      <c r="E1067">
        <f t="shared" si="130"/>
        <v>0.54983922829581988</v>
      </c>
      <c r="F1067">
        <f t="shared" si="131"/>
        <v>190</v>
      </c>
      <c r="G1067">
        <f t="shared" si="132"/>
        <v>104.46945337620578</v>
      </c>
      <c r="H1067" t="str">
        <f>_xlfn.XLOOKUP(A1067,Fact_Events!$D$2:$D$20,Fact_Events!$A$2:$A$20, "")</f>
        <v/>
      </c>
      <c r="I1067">
        <f t="shared" si="133"/>
        <v>0</v>
      </c>
      <c r="J1067" t="str">
        <f>_xlfn.XLOOKUP(H1067, Fact_Events!$A$2:$A$20, Fact_Events!$F$2:$F$20, "")</f>
        <v/>
      </c>
      <c r="K1067" t="str">
        <f t="shared" si="134"/>
        <v>Low</v>
      </c>
      <c r="L1067">
        <f t="shared" si="135"/>
        <v>0.55000000000000004</v>
      </c>
      <c r="M1067">
        <f>_xlfn.XLOOKUP(B1067, Dim_Hotel!$A$2:$A$11, Dim_Hotel!$I$2:$I$11)
 + (IF(J1067="",0,J1067)
    * _xlfn.XLOOKUP(B1067, Dim_Hotel!$A$2:$A$11, Dim_Hotel!$J$2:$J$11))</f>
        <v>190</v>
      </c>
    </row>
    <row r="1068" spans="1:13" x14ac:dyDescent="0.25">
      <c r="A1068" s="1">
        <f t="shared" si="128"/>
        <v>46129</v>
      </c>
      <c r="B1068" t="str" cm="1">
        <f t="array" ref="B1068">INDEX(HotelList,MOD(ROW()-2,10)+1)</f>
        <v>H007</v>
      </c>
      <c r="C1068">
        <f>_xlfn.XLOOKUP(B1068,Dim_Hotel!$A$2:$A$11,Dim_Hotel!$F$2:$F$11)</f>
        <v>132</v>
      </c>
      <c r="D1068">
        <f t="shared" si="129"/>
        <v>73</v>
      </c>
      <c r="E1068">
        <f t="shared" si="130"/>
        <v>0.55303030303030298</v>
      </c>
      <c r="F1068">
        <f t="shared" si="131"/>
        <v>165</v>
      </c>
      <c r="G1068">
        <f t="shared" si="132"/>
        <v>91.249999999999986</v>
      </c>
      <c r="H1068" t="str">
        <f>_xlfn.XLOOKUP(A1068,Fact_Events!$D$2:$D$20,Fact_Events!$A$2:$A$20, "")</f>
        <v/>
      </c>
      <c r="I1068">
        <f t="shared" si="133"/>
        <v>0</v>
      </c>
      <c r="J1068" t="str">
        <f>_xlfn.XLOOKUP(H1068, Fact_Events!$A$2:$A$20, Fact_Events!$F$2:$F$20, "")</f>
        <v/>
      </c>
      <c r="K1068" t="str">
        <f t="shared" si="134"/>
        <v>Low</v>
      </c>
      <c r="L1068">
        <f t="shared" si="135"/>
        <v>0.55000000000000004</v>
      </c>
      <c r="M1068">
        <f>_xlfn.XLOOKUP(B1068, Dim_Hotel!$A$2:$A$11, Dim_Hotel!$I$2:$I$11)
 + (IF(J1068="",0,J1068)
    * _xlfn.XLOOKUP(B1068, Dim_Hotel!$A$2:$A$11, Dim_Hotel!$J$2:$J$11))</f>
        <v>165</v>
      </c>
    </row>
    <row r="1069" spans="1:13" x14ac:dyDescent="0.25">
      <c r="A1069" s="1">
        <f t="shared" si="128"/>
        <v>46129</v>
      </c>
      <c r="B1069" t="str" cm="1">
        <f t="array" ref="B1069">INDEX(HotelList,MOD(ROW()-2,10)+1)</f>
        <v>H008</v>
      </c>
      <c r="C1069">
        <f>_xlfn.XLOOKUP(B1069,Dim_Hotel!$A$2:$A$11,Dim_Hotel!$F$2:$F$11)</f>
        <v>103</v>
      </c>
      <c r="D1069">
        <f t="shared" si="129"/>
        <v>57</v>
      </c>
      <c r="E1069">
        <f t="shared" si="130"/>
        <v>0.55339805825242716</v>
      </c>
      <c r="F1069">
        <f t="shared" si="131"/>
        <v>140</v>
      </c>
      <c r="G1069">
        <f t="shared" si="132"/>
        <v>77.475728155339809</v>
      </c>
      <c r="H1069" t="str">
        <f>_xlfn.XLOOKUP(A1069,Fact_Events!$D$2:$D$20,Fact_Events!$A$2:$A$20, "")</f>
        <v/>
      </c>
      <c r="I1069">
        <f t="shared" si="133"/>
        <v>0</v>
      </c>
      <c r="J1069" t="str">
        <f>_xlfn.XLOOKUP(H1069, Fact_Events!$A$2:$A$20, Fact_Events!$F$2:$F$20, "")</f>
        <v/>
      </c>
      <c r="K1069" t="str">
        <f t="shared" si="134"/>
        <v>Low</v>
      </c>
      <c r="L1069">
        <f t="shared" si="135"/>
        <v>0.55000000000000004</v>
      </c>
      <c r="M1069">
        <f>_xlfn.XLOOKUP(B1069, Dim_Hotel!$A$2:$A$11, Dim_Hotel!$I$2:$I$11)
 + (IF(J1069="",0,J1069)
    * _xlfn.XLOOKUP(B1069, Dim_Hotel!$A$2:$A$11, Dim_Hotel!$J$2:$J$11))</f>
        <v>140</v>
      </c>
    </row>
    <row r="1070" spans="1:13" x14ac:dyDescent="0.25">
      <c r="A1070" s="1">
        <f t="shared" si="128"/>
        <v>46129</v>
      </c>
      <c r="B1070" t="str" cm="1">
        <f t="array" ref="B1070">INDEX(HotelList,MOD(ROW()-2,10)+1)</f>
        <v>H009</v>
      </c>
      <c r="C1070">
        <f>_xlfn.XLOOKUP(B1070,Dim_Hotel!$A$2:$A$11,Dim_Hotel!$F$2:$F$11)</f>
        <v>114</v>
      </c>
      <c r="D1070">
        <f t="shared" si="129"/>
        <v>63</v>
      </c>
      <c r="E1070">
        <f t="shared" si="130"/>
        <v>0.55263157894736847</v>
      </c>
      <c r="F1070">
        <f t="shared" si="131"/>
        <v>185</v>
      </c>
      <c r="G1070">
        <f t="shared" si="132"/>
        <v>102.23684210526316</v>
      </c>
      <c r="H1070" t="str">
        <f>_xlfn.XLOOKUP(A1070,Fact_Events!$D$2:$D$20,Fact_Events!$A$2:$A$20, "")</f>
        <v/>
      </c>
      <c r="I1070">
        <f t="shared" si="133"/>
        <v>0</v>
      </c>
      <c r="J1070" t="str">
        <f>_xlfn.XLOOKUP(H1070, Fact_Events!$A$2:$A$20, Fact_Events!$F$2:$F$20, "")</f>
        <v/>
      </c>
      <c r="K1070" t="str">
        <f t="shared" si="134"/>
        <v>Low</v>
      </c>
      <c r="L1070">
        <f t="shared" si="135"/>
        <v>0.55000000000000004</v>
      </c>
      <c r="M1070">
        <f>_xlfn.XLOOKUP(B1070, Dim_Hotel!$A$2:$A$11, Dim_Hotel!$I$2:$I$11)
 + (IF(J1070="",0,J1070)
    * _xlfn.XLOOKUP(B1070, Dim_Hotel!$A$2:$A$11, Dim_Hotel!$J$2:$J$11))</f>
        <v>185</v>
      </c>
    </row>
    <row r="1071" spans="1:13" x14ac:dyDescent="0.25">
      <c r="A1071" s="1">
        <f t="shared" si="128"/>
        <v>46129</v>
      </c>
      <c r="B1071" t="str" cm="1">
        <f t="array" ref="B1071">INDEX(HotelList,MOD(ROW()-2,10)+1)</f>
        <v>H010</v>
      </c>
      <c r="C1071">
        <f>_xlfn.XLOOKUP(B1071,Dim_Hotel!$A$2:$A$11,Dim_Hotel!$F$2:$F$11)</f>
        <v>89</v>
      </c>
      <c r="D1071">
        <f t="shared" si="129"/>
        <v>49</v>
      </c>
      <c r="E1071">
        <f t="shared" si="130"/>
        <v>0.550561797752809</v>
      </c>
      <c r="F1071">
        <f t="shared" si="131"/>
        <v>150</v>
      </c>
      <c r="G1071">
        <f t="shared" si="132"/>
        <v>82.584269662921344</v>
      </c>
      <c r="H1071" t="str">
        <f>_xlfn.XLOOKUP(A1071,Fact_Events!$D$2:$D$20,Fact_Events!$A$2:$A$20, "")</f>
        <v/>
      </c>
      <c r="I1071">
        <f t="shared" si="133"/>
        <v>0</v>
      </c>
      <c r="J1071" t="str">
        <f>_xlfn.XLOOKUP(H1071, Fact_Events!$A$2:$A$20, Fact_Events!$F$2:$F$20, "")</f>
        <v/>
      </c>
      <c r="K1071" t="str">
        <f t="shared" si="134"/>
        <v>Low</v>
      </c>
      <c r="L1071">
        <f t="shared" si="135"/>
        <v>0.55000000000000004</v>
      </c>
      <c r="M1071">
        <f>_xlfn.XLOOKUP(B1071, Dim_Hotel!$A$2:$A$11, Dim_Hotel!$I$2:$I$11)
 + (IF(J1071="",0,J1071)
    * _xlfn.XLOOKUP(B1071, Dim_Hotel!$A$2:$A$11, Dim_Hotel!$J$2:$J$11))</f>
        <v>150</v>
      </c>
    </row>
    <row r="1072" spans="1:13" x14ac:dyDescent="0.25">
      <c r="A1072" s="1">
        <f t="shared" si="128"/>
        <v>46130</v>
      </c>
      <c r="B1072" t="str" cm="1">
        <f t="array" ref="B1072">INDEX(HotelList,MOD(ROW()-2,10)+1)</f>
        <v>H001</v>
      </c>
      <c r="C1072">
        <f>_xlfn.XLOOKUP(B1072,Dim_Hotel!$A$2:$A$11,Dim_Hotel!$F$2:$F$11)</f>
        <v>888</v>
      </c>
      <c r="D1072">
        <f t="shared" si="129"/>
        <v>488</v>
      </c>
      <c r="E1072">
        <f t="shared" si="130"/>
        <v>0.5495495495495496</v>
      </c>
      <c r="F1072">
        <f t="shared" si="131"/>
        <v>260</v>
      </c>
      <c r="G1072">
        <f t="shared" si="132"/>
        <v>142.88288288288288</v>
      </c>
      <c r="H1072" t="str">
        <f>_xlfn.XLOOKUP(A1072,Fact_Events!$D$2:$D$20,Fact_Events!$A$2:$A$20, "")</f>
        <v/>
      </c>
      <c r="I1072">
        <f t="shared" si="133"/>
        <v>0</v>
      </c>
      <c r="J1072" t="str">
        <f>_xlfn.XLOOKUP(H1072, Fact_Events!$A$2:$A$20, Fact_Events!$F$2:$F$20, "")</f>
        <v/>
      </c>
      <c r="K1072" t="str">
        <f t="shared" si="134"/>
        <v>Low</v>
      </c>
      <c r="L1072">
        <f t="shared" si="135"/>
        <v>0.55000000000000004</v>
      </c>
      <c r="M1072">
        <f>_xlfn.XLOOKUP(B1072, Dim_Hotel!$A$2:$A$11, Dim_Hotel!$I$2:$I$11)
 + (IF(J1072="",0,J1072)
    * _xlfn.XLOOKUP(B1072, Dim_Hotel!$A$2:$A$11, Dim_Hotel!$J$2:$J$11))</f>
        <v>260</v>
      </c>
    </row>
    <row r="1073" spans="1:13" x14ac:dyDescent="0.25">
      <c r="A1073" s="1">
        <f t="shared" si="128"/>
        <v>46130</v>
      </c>
      <c r="B1073" t="str" cm="1">
        <f t="array" ref="B1073">INDEX(HotelList,MOD(ROW()-2,10)+1)</f>
        <v>H002</v>
      </c>
      <c r="C1073">
        <f>_xlfn.XLOOKUP(B1073,Dim_Hotel!$A$2:$A$11,Dim_Hotel!$F$2:$F$11)</f>
        <v>147</v>
      </c>
      <c r="D1073">
        <f t="shared" si="129"/>
        <v>81</v>
      </c>
      <c r="E1073">
        <f t="shared" si="130"/>
        <v>0.55102040816326525</v>
      </c>
      <c r="F1073">
        <f t="shared" si="131"/>
        <v>175</v>
      </c>
      <c r="G1073">
        <f t="shared" si="132"/>
        <v>96.428571428571416</v>
      </c>
      <c r="H1073" t="str">
        <f>_xlfn.XLOOKUP(A1073,Fact_Events!$D$2:$D$20,Fact_Events!$A$2:$A$20, "")</f>
        <v/>
      </c>
      <c r="I1073">
        <f t="shared" si="133"/>
        <v>0</v>
      </c>
      <c r="J1073" t="str">
        <f>_xlfn.XLOOKUP(H1073, Fact_Events!$A$2:$A$20, Fact_Events!$F$2:$F$20, "")</f>
        <v/>
      </c>
      <c r="K1073" t="str">
        <f t="shared" si="134"/>
        <v>Low</v>
      </c>
      <c r="L1073">
        <f t="shared" si="135"/>
        <v>0.55000000000000004</v>
      </c>
      <c r="M1073">
        <f>_xlfn.XLOOKUP(B1073, Dim_Hotel!$A$2:$A$11, Dim_Hotel!$I$2:$I$11)
 + (IF(J1073="",0,J1073)
    * _xlfn.XLOOKUP(B1073, Dim_Hotel!$A$2:$A$11, Dim_Hotel!$J$2:$J$11))</f>
        <v>175</v>
      </c>
    </row>
    <row r="1074" spans="1:13" x14ac:dyDescent="0.25">
      <c r="A1074" s="1">
        <f t="shared" si="128"/>
        <v>46130</v>
      </c>
      <c r="B1074" t="str" cm="1">
        <f t="array" ref="B1074">INDEX(HotelList,MOD(ROW()-2,10)+1)</f>
        <v>H003</v>
      </c>
      <c r="C1074">
        <f>_xlfn.XLOOKUP(B1074,Dim_Hotel!$A$2:$A$11,Dim_Hotel!$F$2:$F$11)</f>
        <v>121</v>
      </c>
      <c r="D1074">
        <f t="shared" si="129"/>
        <v>67</v>
      </c>
      <c r="E1074">
        <f t="shared" si="130"/>
        <v>0.55371900826446285</v>
      </c>
      <c r="F1074">
        <f t="shared" si="131"/>
        <v>145</v>
      </c>
      <c r="G1074">
        <f t="shared" si="132"/>
        <v>80.289256198347118</v>
      </c>
      <c r="H1074" t="str">
        <f>_xlfn.XLOOKUP(A1074,Fact_Events!$D$2:$D$20,Fact_Events!$A$2:$A$20, "")</f>
        <v/>
      </c>
      <c r="I1074">
        <f t="shared" si="133"/>
        <v>0</v>
      </c>
      <c r="J1074" t="str">
        <f>_xlfn.XLOOKUP(H1074, Fact_Events!$A$2:$A$20, Fact_Events!$F$2:$F$20, "")</f>
        <v/>
      </c>
      <c r="K1074" t="str">
        <f t="shared" si="134"/>
        <v>Low</v>
      </c>
      <c r="L1074">
        <f t="shared" si="135"/>
        <v>0.55000000000000004</v>
      </c>
      <c r="M1074">
        <f>_xlfn.XLOOKUP(B1074, Dim_Hotel!$A$2:$A$11, Dim_Hotel!$I$2:$I$11)
 + (IF(J1074="",0,J1074)
    * _xlfn.XLOOKUP(B1074, Dim_Hotel!$A$2:$A$11, Dim_Hotel!$J$2:$J$11))</f>
        <v>145</v>
      </c>
    </row>
    <row r="1075" spans="1:13" x14ac:dyDescent="0.25">
      <c r="A1075" s="1">
        <f t="shared" si="128"/>
        <v>46130</v>
      </c>
      <c r="B1075" t="str" cm="1">
        <f t="array" ref="B1075">INDEX(HotelList,MOD(ROW()-2,10)+1)</f>
        <v>H004</v>
      </c>
      <c r="C1075">
        <f>_xlfn.XLOOKUP(B1075,Dim_Hotel!$A$2:$A$11,Dim_Hotel!$F$2:$F$11)</f>
        <v>108</v>
      </c>
      <c r="D1075">
        <f t="shared" si="129"/>
        <v>59</v>
      </c>
      <c r="E1075">
        <f t="shared" si="130"/>
        <v>0.54629629629629628</v>
      </c>
      <c r="F1075">
        <f t="shared" si="131"/>
        <v>135</v>
      </c>
      <c r="G1075">
        <f t="shared" si="132"/>
        <v>73.75</v>
      </c>
      <c r="H1075" t="str">
        <f>_xlfn.XLOOKUP(A1075,Fact_Events!$D$2:$D$20,Fact_Events!$A$2:$A$20, "")</f>
        <v/>
      </c>
      <c r="I1075">
        <f t="shared" si="133"/>
        <v>0</v>
      </c>
      <c r="J1075" t="str">
        <f>_xlfn.XLOOKUP(H1075, Fact_Events!$A$2:$A$20, Fact_Events!$F$2:$F$20, "")</f>
        <v/>
      </c>
      <c r="K1075" t="str">
        <f t="shared" si="134"/>
        <v>Low</v>
      </c>
      <c r="L1075">
        <f t="shared" si="135"/>
        <v>0.55000000000000004</v>
      </c>
      <c r="M1075">
        <f>_xlfn.XLOOKUP(B1075, Dim_Hotel!$A$2:$A$11, Dim_Hotel!$I$2:$I$11)
 + (IF(J1075="",0,J1075)
    * _xlfn.XLOOKUP(B1075, Dim_Hotel!$A$2:$A$11, Dim_Hotel!$J$2:$J$11))</f>
        <v>135</v>
      </c>
    </row>
    <row r="1076" spans="1:13" x14ac:dyDescent="0.25">
      <c r="A1076" s="1">
        <f t="shared" si="128"/>
        <v>46130</v>
      </c>
      <c r="B1076" t="str" cm="1">
        <f t="array" ref="B1076">INDEX(HotelList,MOD(ROW()-2,10)+1)</f>
        <v>H005</v>
      </c>
      <c r="C1076">
        <f>_xlfn.XLOOKUP(B1076,Dim_Hotel!$A$2:$A$11,Dim_Hotel!$F$2:$F$11)</f>
        <v>66</v>
      </c>
      <c r="D1076">
        <f t="shared" si="129"/>
        <v>36</v>
      </c>
      <c r="E1076">
        <f t="shared" si="130"/>
        <v>0.54545454545454541</v>
      </c>
      <c r="F1076">
        <f t="shared" si="131"/>
        <v>82</v>
      </c>
      <c r="G1076">
        <f t="shared" si="132"/>
        <v>44.727272727272727</v>
      </c>
      <c r="H1076" t="str">
        <f>_xlfn.XLOOKUP(A1076,Fact_Events!$D$2:$D$20,Fact_Events!$A$2:$A$20, "")</f>
        <v/>
      </c>
      <c r="I1076">
        <f t="shared" si="133"/>
        <v>0</v>
      </c>
      <c r="J1076" t="str">
        <f>_xlfn.XLOOKUP(H1076, Fact_Events!$A$2:$A$20, Fact_Events!$F$2:$F$20, "")</f>
        <v/>
      </c>
      <c r="K1076" t="str">
        <f t="shared" si="134"/>
        <v>Low</v>
      </c>
      <c r="L1076">
        <f t="shared" si="135"/>
        <v>0.55000000000000004</v>
      </c>
      <c r="M1076">
        <f>_xlfn.XLOOKUP(B1076, Dim_Hotel!$A$2:$A$11, Dim_Hotel!$I$2:$I$11)
 + (IF(J1076="",0,J1076)
    * _xlfn.XLOOKUP(B1076, Dim_Hotel!$A$2:$A$11, Dim_Hotel!$J$2:$J$11))</f>
        <v>82</v>
      </c>
    </row>
    <row r="1077" spans="1:13" x14ac:dyDescent="0.25">
      <c r="A1077" s="1">
        <f t="shared" si="128"/>
        <v>46130</v>
      </c>
      <c r="B1077" t="str" cm="1">
        <f t="array" ref="B1077">INDEX(HotelList,MOD(ROW()-2,10)+1)</f>
        <v>H006</v>
      </c>
      <c r="C1077">
        <f>_xlfn.XLOOKUP(B1077,Dim_Hotel!$A$2:$A$11,Dim_Hotel!$F$2:$F$11)</f>
        <v>311</v>
      </c>
      <c r="D1077">
        <f t="shared" si="129"/>
        <v>171</v>
      </c>
      <c r="E1077">
        <f t="shared" si="130"/>
        <v>0.54983922829581988</v>
      </c>
      <c r="F1077">
        <f t="shared" si="131"/>
        <v>190</v>
      </c>
      <c r="G1077">
        <f t="shared" si="132"/>
        <v>104.46945337620578</v>
      </c>
      <c r="H1077" t="str">
        <f>_xlfn.XLOOKUP(A1077,Fact_Events!$D$2:$D$20,Fact_Events!$A$2:$A$20, "")</f>
        <v/>
      </c>
      <c r="I1077">
        <f t="shared" si="133"/>
        <v>0</v>
      </c>
      <c r="J1077" t="str">
        <f>_xlfn.XLOOKUP(H1077, Fact_Events!$A$2:$A$20, Fact_Events!$F$2:$F$20, "")</f>
        <v/>
      </c>
      <c r="K1077" t="str">
        <f t="shared" si="134"/>
        <v>Low</v>
      </c>
      <c r="L1077">
        <f t="shared" si="135"/>
        <v>0.55000000000000004</v>
      </c>
      <c r="M1077">
        <f>_xlfn.XLOOKUP(B1077, Dim_Hotel!$A$2:$A$11, Dim_Hotel!$I$2:$I$11)
 + (IF(J1077="",0,J1077)
    * _xlfn.XLOOKUP(B1077, Dim_Hotel!$A$2:$A$11, Dim_Hotel!$J$2:$J$11))</f>
        <v>190</v>
      </c>
    </row>
    <row r="1078" spans="1:13" x14ac:dyDescent="0.25">
      <c r="A1078" s="1">
        <f t="shared" si="128"/>
        <v>46130</v>
      </c>
      <c r="B1078" t="str" cm="1">
        <f t="array" ref="B1078">INDEX(HotelList,MOD(ROW()-2,10)+1)</f>
        <v>H007</v>
      </c>
      <c r="C1078">
        <f>_xlfn.XLOOKUP(B1078,Dim_Hotel!$A$2:$A$11,Dim_Hotel!$F$2:$F$11)</f>
        <v>132</v>
      </c>
      <c r="D1078">
        <f t="shared" si="129"/>
        <v>73</v>
      </c>
      <c r="E1078">
        <f t="shared" si="130"/>
        <v>0.55303030303030298</v>
      </c>
      <c r="F1078">
        <f t="shared" si="131"/>
        <v>165</v>
      </c>
      <c r="G1078">
        <f t="shared" si="132"/>
        <v>91.249999999999986</v>
      </c>
      <c r="H1078" t="str">
        <f>_xlfn.XLOOKUP(A1078,Fact_Events!$D$2:$D$20,Fact_Events!$A$2:$A$20, "")</f>
        <v/>
      </c>
      <c r="I1078">
        <f t="shared" si="133"/>
        <v>0</v>
      </c>
      <c r="J1078" t="str">
        <f>_xlfn.XLOOKUP(H1078, Fact_Events!$A$2:$A$20, Fact_Events!$F$2:$F$20, "")</f>
        <v/>
      </c>
      <c r="K1078" t="str">
        <f t="shared" si="134"/>
        <v>Low</v>
      </c>
      <c r="L1078">
        <f t="shared" si="135"/>
        <v>0.55000000000000004</v>
      </c>
      <c r="M1078">
        <f>_xlfn.XLOOKUP(B1078, Dim_Hotel!$A$2:$A$11, Dim_Hotel!$I$2:$I$11)
 + (IF(J1078="",0,J1078)
    * _xlfn.XLOOKUP(B1078, Dim_Hotel!$A$2:$A$11, Dim_Hotel!$J$2:$J$11))</f>
        <v>165</v>
      </c>
    </row>
    <row r="1079" spans="1:13" x14ac:dyDescent="0.25">
      <c r="A1079" s="1">
        <f t="shared" si="128"/>
        <v>46130</v>
      </c>
      <c r="B1079" t="str" cm="1">
        <f t="array" ref="B1079">INDEX(HotelList,MOD(ROW()-2,10)+1)</f>
        <v>H008</v>
      </c>
      <c r="C1079">
        <f>_xlfn.XLOOKUP(B1079,Dim_Hotel!$A$2:$A$11,Dim_Hotel!$F$2:$F$11)</f>
        <v>103</v>
      </c>
      <c r="D1079">
        <f t="shared" si="129"/>
        <v>57</v>
      </c>
      <c r="E1079">
        <f t="shared" si="130"/>
        <v>0.55339805825242716</v>
      </c>
      <c r="F1079">
        <f t="shared" si="131"/>
        <v>140</v>
      </c>
      <c r="G1079">
        <f t="shared" si="132"/>
        <v>77.475728155339809</v>
      </c>
      <c r="H1079" t="str">
        <f>_xlfn.XLOOKUP(A1079,Fact_Events!$D$2:$D$20,Fact_Events!$A$2:$A$20, "")</f>
        <v/>
      </c>
      <c r="I1079">
        <f t="shared" si="133"/>
        <v>0</v>
      </c>
      <c r="J1079" t="str">
        <f>_xlfn.XLOOKUP(H1079, Fact_Events!$A$2:$A$20, Fact_Events!$F$2:$F$20, "")</f>
        <v/>
      </c>
      <c r="K1079" t="str">
        <f t="shared" si="134"/>
        <v>Low</v>
      </c>
      <c r="L1079">
        <f t="shared" si="135"/>
        <v>0.55000000000000004</v>
      </c>
      <c r="M1079">
        <f>_xlfn.XLOOKUP(B1079, Dim_Hotel!$A$2:$A$11, Dim_Hotel!$I$2:$I$11)
 + (IF(J1079="",0,J1079)
    * _xlfn.XLOOKUP(B1079, Dim_Hotel!$A$2:$A$11, Dim_Hotel!$J$2:$J$11))</f>
        <v>140</v>
      </c>
    </row>
    <row r="1080" spans="1:13" x14ac:dyDescent="0.25">
      <c r="A1080" s="1">
        <f t="shared" si="128"/>
        <v>46130</v>
      </c>
      <c r="B1080" t="str" cm="1">
        <f t="array" ref="B1080">INDEX(HotelList,MOD(ROW()-2,10)+1)</f>
        <v>H009</v>
      </c>
      <c r="C1080">
        <f>_xlfn.XLOOKUP(B1080,Dim_Hotel!$A$2:$A$11,Dim_Hotel!$F$2:$F$11)</f>
        <v>114</v>
      </c>
      <c r="D1080">
        <f t="shared" si="129"/>
        <v>63</v>
      </c>
      <c r="E1080">
        <f t="shared" si="130"/>
        <v>0.55263157894736847</v>
      </c>
      <c r="F1080">
        <f t="shared" si="131"/>
        <v>185</v>
      </c>
      <c r="G1080">
        <f t="shared" si="132"/>
        <v>102.23684210526316</v>
      </c>
      <c r="H1080" t="str">
        <f>_xlfn.XLOOKUP(A1080,Fact_Events!$D$2:$D$20,Fact_Events!$A$2:$A$20, "")</f>
        <v/>
      </c>
      <c r="I1080">
        <f t="shared" si="133"/>
        <v>0</v>
      </c>
      <c r="J1080" t="str">
        <f>_xlfn.XLOOKUP(H1080, Fact_Events!$A$2:$A$20, Fact_Events!$F$2:$F$20, "")</f>
        <v/>
      </c>
      <c r="K1080" t="str">
        <f t="shared" si="134"/>
        <v>Low</v>
      </c>
      <c r="L1080">
        <f t="shared" si="135"/>
        <v>0.55000000000000004</v>
      </c>
      <c r="M1080">
        <f>_xlfn.XLOOKUP(B1080, Dim_Hotel!$A$2:$A$11, Dim_Hotel!$I$2:$I$11)
 + (IF(J1080="",0,J1080)
    * _xlfn.XLOOKUP(B1080, Dim_Hotel!$A$2:$A$11, Dim_Hotel!$J$2:$J$11))</f>
        <v>185</v>
      </c>
    </row>
    <row r="1081" spans="1:13" x14ac:dyDescent="0.25">
      <c r="A1081" s="1">
        <f t="shared" si="128"/>
        <v>46130</v>
      </c>
      <c r="B1081" t="str" cm="1">
        <f t="array" ref="B1081">INDEX(HotelList,MOD(ROW()-2,10)+1)</f>
        <v>H010</v>
      </c>
      <c r="C1081">
        <f>_xlfn.XLOOKUP(B1081,Dim_Hotel!$A$2:$A$11,Dim_Hotel!$F$2:$F$11)</f>
        <v>89</v>
      </c>
      <c r="D1081">
        <f t="shared" si="129"/>
        <v>49</v>
      </c>
      <c r="E1081">
        <f t="shared" si="130"/>
        <v>0.550561797752809</v>
      </c>
      <c r="F1081">
        <f t="shared" si="131"/>
        <v>150</v>
      </c>
      <c r="G1081">
        <f t="shared" si="132"/>
        <v>82.584269662921344</v>
      </c>
      <c r="H1081" t="str">
        <f>_xlfn.XLOOKUP(A1081,Fact_Events!$D$2:$D$20,Fact_Events!$A$2:$A$20, "")</f>
        <v/>
      </c>
      <c r="I1081">
        <f t="shared" si="133"/>
        <v>0</v>
      </c>
      <c r="J1081" t="str">
        <f>_xlfn.XLOOKUP(H1081, Fact_Events!$A$2:$A$20, Fact_Events!$F$2:$F$20, "")</f>
        <v/>
      </c>
      <c r="K1081" t="str">
        <f t="shared" si="134"/>
        <v>Low</v>
      </c>
      <c r="L1081">
        <f t="shared" si="135"/>
        <v>0.55000000000000004</v>
      </c>
      <c r="M1081">
        <f>_xlfn.XLOOKUP(B1081, Dim_Hotel!$A$2:$A$11, Dim_Hotel!$I$2:$I$11)
 + (IF(J1081="",0,J1081)
    * _xlfn.XLOOKUP(B1081, Dim_Hotel!$A$2:$A$11, Dim_Hotel!$J$2:$J$11))</f>
        <v>150</v>
      </c>
    </row>
    <row r="1082" spans="1:13" x14ac:dyDescent="0.25">
      <c r="A1082" s="1">
        <f t="shared" si="128"/>
        <v>46131</v>
      </c>
      <c r="B1082" t="str" cm="1">
        <f t="array" ref="B1082">INDEX(HotelList,MOD(ROW()-2,10)+1)</f>
        <v>H001</v>
      </c>
      <c r="C1082">
        <f>_xlfn.XLOOKUP(B1082,Dim_Hotel!$A$2:$A$11,Dim_Hotel!$F$2:$F$11)</f>
        <v>888</v>
      </c>
      <c r="D1082">
        <f t="shared" si="129"/>
        <v>488</v>
      </c>
      <c r="E1082">
        <f t="shared" si="130"/>
        <v>0.5495495495495496</v>
      </c>
      <c r="F1082">
        <f t="shared" si="131"/>
        <v>260</v>
      </c>
      <c r="G1082">
        <f t="shared" si="132"/>
        <v>142.88288288288288</v>
      </c>
      <c r="H1082" t="str">
        <f>_xlfn.XLOOKUP(A1082,Fact_Events!$D$2:$D$20,Fact_Events!$A$2:$A$20, "")</f>
        <v/>
      </c>
      <c r="I1082">
        <f t="shared" si="133"/>
        <v>0</v>
      </c>
      <c r="J1082" t="str">
        <f>_xlfn.XLOOKUP(H1082, Fact_Events!$A$2:$A$20, Fact_Events!$F$2:$F$20, "")</f>
        <v/>
      </c>
      <c r="K1082" t="str">
        <f t="shared" si="134"/>
        <v>Low</v>
      </c>
      <c r="L1082">
        <f t="shared" si="135"/>
        <v>0.55000000000000004</v>
      </c>
      <c r="M1082">
        <f>_xlfn.XLOOKUP(B1082, Dim_Hotel!$A$2:$A$11, Dim_Hotel!$I$2:$I$11)
 + (IF(J1082="",0,J1082)
    * _xlfn.XLOOKUP(B1082, Dim_Hotel!$A$2:$A$11, Dim_Hotel!$J$2:$J$11))</f>
        <v>260</v>
      </c>
    </row>
    <row r="1083" spans="1:13" x14ac:dyDescent="0.25">
      <c r="A1083" s="1">
        <f t="shared" si="128"/>
        <v>46131</v>
      </c>
      <c r="B1083" t="str" cm="1">
        <f t="array" ref="B1083">INDEX(HotelList,MOD(ROW()-2,10)+1)</f>
        <v>H002</v>
      </c>
      <c r="C1083">
        <f>_xlfn.XLOOKUP(B1083,Dim_Hotel!$A$2:$A$11,Dim_Hotel!$F$2:$F$11)</f>
        <v>147</v>
      </c>
      <c r="D1083">
        <f t="shared" si="129"/>
        <v>81</v>
      </c>
      <c r="E1083">
        <f t="shared" si="130"/>
        <v>0.55102040816326525</v>
      </c>
      <c r="F1083">
        <f t="shared" si="131"/>
        <v>175</v>
      </c>
      <c r="G1083">
        <f t="shared" si="132"/>
        <v>96.428571428571416</v>
      </c>
      <c r="H1083" t="str">
        <f>_xlfn.XLOOKUP(A1083,Fact_Events!$D$2:$D$20,Fact_Events!$A$2:$A$20, "")</f>
        <v/>
      </c>
      <c r="I1083">
        <f t="shared" si="133"/>
        <v>0</v>
      </c>
      <c r="J1083" t="str">
        <f>_xlfn.XLOOKUP(H1083, Fact_Events!$A$2:$A$20, Fact_Events!$F$2:$F$20, "")</f>
        <v/>
      </c>
      <c r="K1083" t="str">
        <f t="shared" si="134"/>
        <v>Low</v>
      </c>
      <c r="L1083">
        <f t="shared" si="135"/>
        <v>0.55000000000000004</v>
      </c>
      <c r="M1083">
        <f>_xlfn.XLOOKUP(B1083, Dim_Hotel!$A$2:$A$11, Dim_Hotel!$I$2:$I$11)
 + (IF(J1083="",0,J1083)
    * _xlfn.XLOOKUP(B1083, Dim_Hotel!$A$2:$A$11, Dim_Hotel!$J$2:$J$11))</f>
        <v>175</v>
      </c>
    </row>
    <row r="1084" spans="1:13" x14ac:dyDescent="0.25">
      <c r="A1084" s="1">
        <f t="shared" si="128"/>
        <v>46131</v>
      </c>
      <c r="B1084" t="str" cm="1">
        <f t="array" ref="B1084">INDEX(HotelList,MOD(ROW()-2,10)+1)</f>
        <v>H003</v>
      </c>
      <c r="C1084">
        <f>_xlfn.XLOOKUP(B1084,Dim_Hotel!$A$2:$A$11,Dim_Hotel!$F$2:$F$11)</f>
        <v>121</v>
      </c>
      <c r="D1084">
        <f t="shared" si="129"/>
        <v>67</v>
      </c>
      <c r="E1084">
        <f t="shared" si="130"/>
        <v>0.55371900826446285</v>
      </c>
      <c r="F1084">
        <f t="shared" si="131"/>
        <v>145</v>
      </c>
      <c r="G1084">
        <f t="shared" si="132"/>
        <v>80.289256198347118</v>
      </c>
      <c r="H1084" t="str">
        <f>_xlfn.XLOOKUP(A1084,Fact_Events!$D$2:$D$20,Fact_Events!$A$2:$A$20, "")</f>
        <v/>
      </c>
      <c r="I1084">
        <f t="shared" si="133"/>
        <v>0</v>
      </c>
      <c r="J1084" t="str">
        <f>_xlfn.XLOOKUP(H1084, Fact_Events!$A$2:$A$20, Fact_Events!$F$2:$F$20, "")</f>
        <v/>
      </c>
      <c r="K1084" t="str">
        <f t="shared" si="134"/>
        <v>Low</v>
      </c>
      <c r="L1084">
        <f t="shared" si="135"/>
        <v>0.55000000000000004</v>
      </c>
      <c r="M1084">
        <f>_xlfn.XLOOKUP(B1084, Dim_Hotel!$A$2:$A$11, Dim_Hotel!$I$2:$I$11)
 + (IF(J1084="",0,J1084)
    * _xlfn.XLOOKUP(B1084, Dim_Hotel!$A$2:$A$11, Dim_Hotel!$J$2:$J$11))</f>
        <v>145</v>
      </c>
    </row>
    <row r="1085" spans="1:13" x14ac:dyDescent="0.25">
      <c r="A1085" s="1">
        <f t="shared" si="128"/>
        <v>46131</v>
      </c>
      <c r="B1085" t="str" cm="1">
        <f t="array" ref="B1085">INDEX(HotelList,MOD(ROW()-2,10)+1)</f>
        <v>H004</v>
      </c>
      <c r="C1085">
        <f>_xlfn.XLOOKUP(B1085,Dim_Hotel!$A$2:$A$11,Dim_Hotel!$F$2:$F$11)</f>
        <v>108</v>
      </c>
      <c r="D1085">
        <f t="shared" si="129"/>
        <v>59</v>
      </c>
      <c r="E1085">
        <f t="shared" si="130"/>
        <v>0.54629629629629628</v>
      </c>
      <c r="F1085">
        <f t="shared" si="131"/>
        <v>135</v>
      </c>
      <c r="G1085">
        <f t="shared" si="132"/>
        <v>73.75</v>
      </c>
      <c r="H1085" t="str">
        <f>_xlfn.XLOOKUP(A1085,Fact_Events!$D$2:$D$20,Fact_Events!$A$2:$A$20, "")</f>
        <v/>
      </c>
      <c r="I1085">
        <f t="shared" si="133"/>
        <v>0</v>
      </c>
      <c r="J1085" t="str">
        <f>_xlfn.XLOOKUP(H1085, Fact_Events!$A$2:$A$20, Fact_Events!$F$2:$F$20, "")</f>
        <v/>
      </c>
      <c r="K1085" t="str">
        <f t="shared" si="134"/>
        <v>Low</v>
      </c>
      <c r="L1085">
        <f t="shared" si="135"/>
        <v>0.55000000000000004</v>
      </c>
      <c r="M1085">
        <f>_xlfn.XLOOKUP(B1085, Dim_Hotel!$A$2:$A$11, Dim_Hotel!$I$2:$I$11)
 + (IF(J1085="",0,J1085)
    * _xlfn.XLOOKUP(B1085, Dim_Hotel!$A$2:$A$11, Dim_Hotel!$J$2:$J$11))</f>
        <v>135</v>
      </c>
    </row>
    <row r="1086" spans="1:13" x14ac:dyDescent="0.25">
      <c r="A1086" s="1">
        <f t="shared" si="128"/>
        <v>46131</v>
      </c>
      <c r="B1086" t="str" cm="1">
        <f t="array" ref="B1086">INDEX(HotelList,MOD(ROW()-2,10)+1)</f>
        <v>H005</v>
      </c>
      <c r="C1086">
        <f>_xlfn.XLOOKUP(B1086,Dim_Hotel!$A$2:$A$11,Dim_Hotel!$F$2:$F$11)</f>
        <v>66</v>
      </c>
      <c r="D1086">
        <f t="shared" si="129"/>
        <v>36</v>
      </c>
      <c r="E1086">
        <f t="shared" si="130"/>
        <v>0.54545454545454541</v>
      </c>
      <c r="F1086">
        <f t="shared" si="131"/>
        <v>82</v>
      </c>
      <c r="G1086">
        <f t="shared" si="132"/>
        <v>44.727272727272727</v>
      </c>
      <c r="H1086" t="str">
        <f>_xlfn.XLOOKUP(A1086,Fact_Events!$D$2:$D$20,Fact_Events!$A$2:$A$20, "")</f>
        <v/>
      </c>
      <c r="I1086">
        <f t="shared" si="133"/>
        <v>0</v>
      </c>
      <c r="J1086" t="str">
        <f>_xlfn.XLOOKUP(H1086, Fact_Events!$A$2:$A$20, Fact_Events!$F$2:$F$20, "")</f>
        <v/>
      </c>
      <c r="K1086" t="str">
        <f t="shared" si="134"/>
        <v>Low</v>
      </c>
      <c r="L1086">
        <f t="shared" si="135"/>
        <v>0.55000000000000004</v>
      </c>
      <c r="M1086">
        <f>_xlfn.XLOOKUP(B1086, Dim_Hotel!$A$2:$A$11, Dim_Hotel!$I$2:$I$11)
 + (IF(J1086="",0,J1086)
    * _xlfn.XLOOKUP(B1086, Dim_Hotel!$A$2:$A$11, Dim_Hotel!$J$2:$J$11))</f>
        <v>82</v>
      </c>
    </row>
    <row r="1087" spans="1:13" x14ac:dyDescent="0.25">
      <c r="A1087" s="1">
        <f t="shared" si="128"/>
        <v>46131</v>
      </c>
      <c r="B1087" t="str" cm="1">
        <f t="array" ref="B1087">INDEX(HotelList,MOD(ROW()-2,10)+1)</f>
        <v>H006</v>
      </c>
      <c r="C1087">
        <f>_xlfn.XLOOKUP(B1087,Dim_Hotel!$A$2:$A$11,Dim_Hotel!$F$2:$F$11)</f>
        <v>311</v>
      </c>
      <c r="D1087">
        <f t="shared" si="129"/>
        <v>171</v>
      </c>
      <c r="E1087">
        <f t="shared" si="130"/>
        <v>0.54983922829581988</v>
      </c>
      <c r="F1087">
        <f t="shared" si="131"/>
        <v>190</v>
      </c>
      <c r="G1087">
        <f t="shared" si="132"/>
        <v>104.46945337620578</v>
      </c>
      <c r="H1087" t="str">
        <f>_xlfn.XLOOKUP(A1087,Fact_Events!$D$2:$D$20,Fact_Events!$A$2:$A$20, "")</f>
        <v/>
      </c>
      <c r="I1087">
        <f t="shared" si="133"/>
        <v>0</v>
      </c>
      <c r="J1087" t="str">
        <f>_xlfn.XLOOKUP(H1087, Fact_Events!$A$2:$A$20, Fact_Events!$F$2:$F$20, "")</f>
        <v/>
      </c>
      <c r="K1087" t="str">
        <f t="shared" si="134"/>
        <v>Low</v>
      </c>
      <c r="L1087">
        <f t="shared" si="135"/>
        <v>0.55000000000000004</v>
      </c>
      <c r="M1087">
        <f>_xlfn.XLOOKUP(B1087, Dim_Hotel!$A$2:$A$11, Dim_Hotel!$I$2:$I$11)
 + (IF(J1087="",0,J1087)
    * _xlfn.XLOOKUP(B1087, Dim_Hotel!$A$2:$A$11, Dim_Hotel!$J$2:$J$11))</f>
        <v>190</v>
      </c>
    </row>
    <row r="1088" spans="1:13" x14ac:dyDescent="0.25">
      <c r="A1088" s="1">
        <f t="shared" si="128"/>
        <v>46131</v>
      </c>
      <c r="B1088" t="str" cm="1">
        <f t="array" ref="B1088">INDEX(HotelList,MOD(ROW()-2,10)+1)</f>
        <v>H007</v>
      </c>
      <c r="C1088">
        <f>_xlfn.XLOOKUP(B1088,Dim_Hotel!$A$2:$A$11,Dim_Hotel!$F$2:$F$11)</f>
        <v>132</v>
      </c>
      <c r="D1088">
        <f t="shared" si="129"/>
        <v>73</v>
      </c>
      <c r="E1088">
        <f t="shared" si="130"/>
        <v>0.55303030303030298</v>
      </c>
      <c r="F1088">
        <f t="shared" si="131"/>
        <v>165</v>
      </c>
      <c r="G1088">
        <f t="shared" si="132"/>
        <v>91.249999999999986</v>
      </c>
      <c r="H1088" t="str">
        <f>_xlfn.XLOOKUP(A1088,Fact_Events!$D$2:$D$20,Fact_Events!$A$2:$A$20, "")</f>
        <v/>
      </c>
      <c r="I1088">
        <f t="shared" si="133"/>
        <v>0</v>
      </c>
      <c r="J1088" t="str">
        <f>_xlfn.XLOOKUP(H1088, Fact_Events!$A$2:$A$20, Fact_Events!$F$2:$F$20, "")</f>
        <v/>
      </c>
      <c r="K1088" t="str">
        <f t="shared" si="134"/>
        <v>Low</v>
      </c>
      <c r="L1088">
        <f t="shared" si="135"/>
        <v>0.55000000000000004</v>
      </c>
      <c r="M1088">
        <f>_xlfn.XLOOKUP(B1088, Dim_Hotel!$A$2:$A$11, Dim_Hotel!$I$2:$I$11)
 + (IF(J1088="",0,J1088)
    * _xlfn.XLOOKUP(B1088, Dim_Hotel!$A$2:$A$11, Dim_Hotel!$J$2:$J$11))</f>
        <v>165</v>
      </c>
    </row>
    <row r="1089" spans="1:13" x14ac:dyDescent="0.25">
      <c r="A1089" s="1">
        <f t="shared" si="128"/>
        <v>46131</v>
      </c>
      <c r="B1089" t="str" cm="1">
        <f t="array" ref="B1089">INDEX(HotelList,MOD(ROW()-2,10)+1)</f>
        <v>H008</v>
      </c>
      <c r="C1089">
        <f>_xlfn.XLOOKUP(B1089,Dim_Hotel!$A$2:$A$11,Dim_Hotel!$F$2:$F$11)</f>
        <v>103</v>
      </c>
      <c r="D1089">
        <f t="shared" si="129"/>
        <v>57</v>
      </c>
      <c r="E1089">
        <f t="shared" si="130"/>
        <v>0.55339805825242716</v>
      </c>
      <c r="F1089">
        <f t="shared" si="131"/>
        <v>140</v>
      </c>
      <c r="G1089">
        <f t="shared" si="132"/>
        <v>77.475728155339809</v>
      </c>
      <c r="H1089" t="str">
        <f>_xlfn.XLOOKUP(A1089,Fact_Events!$D$2:$D$20,Fact_Events!$A$2:$A$20, "")</f>
        <v/>
      </c>
      <c r="I1089">
        <f t="shared" si="133"/>
        <v>0</v>
      </c>
      <c r="J1089" t="str">
        <f>_xlfn.XLOOKUP(H1089, Fact_Events!$A$2:$A$20, Fact_Events!$F$2:$F$20, "")</f>
        <v/>
      </c>
      <c r="K1089" t="str">
        <f t="shared" si="134"/>
        <v>Low</v>
      </c>
      <c r="L1089">
        <f t="shared" si="135"/>
        <v>0.55000000000000004</v>
      </c>
      <c r="M1089">
        <f>_xlfn.XLOOKUP(B1089, Dim_Hotel!$A$2:$A$11, Dim_Hotel!$I$2:$I$11)
 + (IF(J1089="",0,J1089)
    * _xlfn.XLOOKUP(B1089, Dim_Hotel!$A$2:$A$11, Dim_Hotel!$J$2:$J$11))</f>
        <v>140</v>
      </c>
    </row>
    <row r="1090" spans="1:13" x14ac:dyDescent="0.25">
      <c r="A1090" s="1">
        <f t="shared" si="128"/>
        <v>46131</v>
      </c>
      <c r="B1090" t="str" cm="1">
        <f t="array" ref="B1090">INDEX(HotelList,MOD(ROW()-2,10)+1)</f>
        <v>H009</v>
      </c>
      <c r="C1090">
        <f>_xlfn.XLOOKUP(B1090,Dim_Hotel!$A$2:$A$11,Dim_Hotel!$F$2:$F$11)</f>
        <v>114</v>
      </c>
      <c r="D1090">
        <f t="shared" si="129"/>
        <v>63</v>
      </c>
      <c r="E1090">
        <f t="shared" si="130"/>
        <v>0.55263157894736847</v>
      </c>
      <c r="F1090">
        <f t="shared" si="131"/>
        <v>185</v>
      </c>
      <c r="G1090">
        <f t="shared" si="132"/>
        <v>102.23684210526316</v>
      </c>
      <c r="H1090" t="str">
        <f>_xlfn.XLOOKUP(A1090,Fact_Events!$D$2:$D$20,Fact_Events!$A$2:$A$20, "")</f>
        <v/>
      </c>
      <c r="I1090">
        <f t="shared" si="133"/>
        <v>0</v>
      </c>
      <c r="J1090" t="str">
        <f>_xlfn.XLOOKUP(H1090, Fact_Events!$A$2:$A$20, Fact_Events!$F$2:$F$20, "")</f>
        <v/>
      </c>
      <c r="K1090" t="str">
        <f t="shared" si="134"/>
        <v>Low</v>
      </c>
      <c r="L1090">
        <f t="shared" si="135"/>
        <v>0.55000000000000004</v>
      </c>
      <c r="M1090">
        <f>_xlfn.XLOOKUP(B1090, Dim_Hotel!$A$2:$A$11, Dim_Hotel!$I$2:$I$11)
 + (IF(J1090="",0,J1090)
    * _xlfn.XLOOKUP(B1090, Dim_Hotel!$A$2:$A$11, Dim_Hotel!$J$2:$J$11))</f>
        <v>185</v>
      </c>
    </row>
    <row r="1091" spans="1:13" x14ac:dyDescent="0.25">
      <c r="A1091" s="1">
        <f t="shared" ref="A1091:A1154" si="136">DATE(2026,1,1) + INT((ROW()-2)/10)</f>
        <v>46131</v>
      </c>
      <c r="B1091" t="str" cm="1">
        <f t="array" ref="B1091">INDEX(HotelList,MOD(ROW()-2,10)+1)</f>
        <v>H010</v>
      </c>
      <c r="C1091">
        <f>_xlfn.XLOOKUP(B1091,Dim_Hotel!$A$2:$A$11,Dim_Hotel!$F$2:$F$11)</f>
        <v>89</v>
      </c>
      <c r="D1091">
        <f t="shared" ref="D1091:D1154" si="137">ROUND(L1091 * C1091, 0)</f>
        <v>49</v>
      </c>
      <c r="E1091">
        <f t="shared" ref="E1091:E1154" si="138">D1091/C1091</f>
        <v>0.550561797752809</v>
      </c>
      <c r="F1091">
        <f t="shared" ref="F1091:F1154" si="139">M1091</f>
        <v>150</v>
      </c>
      <c r="G1091">
        <f t="shared" ref="G1091:G1154" si="140">E1091*F1091</f>
        <v>82.584269662921344</v>
      </c>
      <c r="H1091" t="str">
        <f>_xlfn.XLOOKUP(A1091,Fact_Events!$D$2:$D$20,Fact_Events!$A$2:$A$20, "")</f>
        <v/>
      </c>
      <c r="I1091">
        <f t="shared" ref="I1091:I1154" si="141">IF(H1091="",0,1)</f>
        <v>0</v>
      </c>
      <c r="J1091" t="str">
        <f>_xlfn.XLOOKUP(H1091, Fact_Events!$A$2:$A$20, Fact_Events!$F$2:$F$20, "")</f>
        <v/>
      </c>
      <c r="K1091" t="str">
        <f t="shared" ref="K1091:K1154" si="142">IF(I1091=0,"Low",
   IF(J1091&gt;=9,"High","Medium"))</f>
        <v>Low</v>
      </c>
      <c r="L1091">
        <f t="shared" ref="L1091:L1154" si="143">MIN(1,
  0.55
  + (I1091 * 0.25)
  + (IF(J1091="",0,J1091) / 100)
)</f>
        <v>0.55000000000000004</v>
      </c>
      <c r="M1091">
        <f>_xlfn.XLOOKUP(B1091, Dim_Hotel!$A$2:$A$11, Dim_Hotel!$I$2:$I$11)
 + (IF(J1091="",0,J1091)
    * _xlfn.XLOOKUP(B1091, Dim_Hotel!$A$2:$A$11, Dim_Hotel!$J$2:$J$11))</f>
        <v>150</v>
      </c>
    </row>
    <row r="1092" spans="1:13" x14ac:dyDescent="0.25">
      <c r="A1092" s="1">
        <f t="shared" si="136"/>
        <v>46132</v>
      </c>
      <c r="B1092" t="str" cm="1">
        <f t="array" ref="B1092">INDEX(HotelList,MOD(ROW()-2,10)+1)</f>
        <v>H001</v>
      </c>
      <c r="C1092">
        <f>_xlfn.XLOOKUP(B1092,Dim_Hotel!$A$2:$A$11,Dim_Hotel!$F$2:$F$11)</f>
        <v>888</v>
      </c>
      <c r="D1092">
        <f t="shared" si="137"/>
        <v>488</v>
      </c>
      <c r="E1092">
        <f t="shared" si="138"/>
        <v>0.5495495495495496</v>
      </c>
      <c r="F1092">
        <f t="shared" si="139"/>
        <v>260</v>
      </c>
      <c r="G1092">
        <f t="shared" si="140"/>
        <v>142.88288288288288</v>
      </c>
      <c r="H1092" t="str">
        <f>_xlfn.XLOOKUP(A1092,Fact_Events!$D$2:$D$20,Fact_Events!$A$2:$A$20, "")</f>
        <v/>
      </c>
      <c r="I1092">
        <f t="shared" si="141"/>
        <v>0</v>
      </c>
      <c r="J1092" t="str">
        <f>_xlfn.XLOOKUP(H1092, Fact_Events!$A$2:$A$20, Fact_Events!$F$2:$F$20, "")</f>
        <v/>
      </c>
      <c r="K1092" t="str">
        <f t="shared" si="142"/>
        <v>Low</v>
      </c>
      <c r="L1092">
        <f t="shared" si="143"/>
        <v>0.55000000000000004</v>
      </c>
      <c r="M1092">
        <f>_xlfn.XLOOKUP(B1092, Dim_Hotel!$A$2:$A$11, Dim_Hotel!$I$2:$I$11)
 + (IF(J1092="",0,J1092)
    * _xlfn.XLOOKUP(B1092, Dim_Hotel!$A$2:$A$11, Dim_Hotel!$J$2:$J$11))</f>
        <v>260</v>
      </c>
    </row>
    <row r="1093" spans="1:13" x14ac:dyDescent="0.25">
      <c r="A1093" s="1">
        <f t="shared" si="136"/>
        <v>46132</v>
      </c>
      <c r="B1093" t="str" cm="1">
        <f t="array" ref="B1093">INDEX(HotelList,MOD(ROW()-2,10)+1)</f>
        <v>H002</v>
      </c>
      <c r="C1093">
        <f>_xlfn.XLOOKUP(B1093,Dim_Hotel!$A$2:$A$11,Dim_Hotel!$F$2:$F$11)</f>
        <v>147</v>
      </c>
      <c r="D1093">
        <f t="shared" si="137"/>
        <v>81</v>
      </c>
      <c r="E1093">
        <f t="shared" si="138"/>
        <v>0.55102040816326525</v>
      </c>
      <c r="F1093">
        <f t="shared" si="139"/>
        <v>175</v>
      </c>
      <c r="G1093">
        <f t="shared" si="140"/>
        <v>96.428571428571416</v>
      </c>
      <c r="H1093" t="str">
        <f>_xlfn.XLOOKUP(A1093,Fact_Events!$D$2:$D$20,Fact_Events!$A$2:$A$20, "")</f>
        <v/>
      </c>
      <c r="I1093">
        <f t="shared" si="141"/>
        <v>0</v>
      </c>
      <c r="J1093" t="str">
        <f>_xlfn.XLOOKUP(H1093, Fact_Events!$A$2:$A$20, Fact_Events!$F$2:$F$20, "")</f>
        <v/>
      </c>
      <c r="K1093" t="str">
        <f t="shared" si="142"/>
        <v>Low</v>
      </c>
      <c r="L1093">
        <f t="shared" si="143"/>
        <v>0.55000000000000004</v>
      </c>
      <c r="M1093">
        <f>_xlfn.XLOOKUP(B1093, Dim_Hotel!$A$2:$A$11, Dim_Hotel!$I$2:$I$11)
 + (IF(J1093="",0,J1093)
    * _xlfn.XLOOKUP(B1093, Dim_Hotel!$A$2:$A$11, Dim_Hotel!$J$2:$J$11))</f>
        <v>175</v>
      </c>
    </row>
    <row r="1094" spans="1:13" x14ac:dyDescent="0.25">
      <c r="A1094" s="1">
        <f t="shared" si="136"/>
        <v>46132</v>
      </c>
      <c r="B1094" t="str" cm="1">
        <f t="array" ref="B1094">INDEX(HotelList,MOD(ROW()-2,10)+1)</f>
        <v>H003</v>
      </c>
      <c r="C1094">
        <f>_xlfn.XLOOKUP(B1094,Dim_Hotel!$A$2:$A$11,Dim_Hotel!$F$2:$F$11)</f>
        <v>121</v>
      </c>
      <c r="D1094">
        <f t="shared" si="137"/>
        <v>67</v>
      </c>
      <c r="E1094">
        <f t="shared" si="138"/>
        <v>0.55371900826446285</v>
      </c>
      <c r="F1094">
        <f t="shared" si="139"/>
        <v>145</v>
      </c>
      <c r="G1094">
        <f t="shared" si="140"/>
        <v>80.289256198347118</v>
      </c>
      <c r="H1094" t="str">
        <f>_xlfn.XLOOKUP(A1094,Fact_Events!$D$2:$D$20,Fact_Events!$A$2:$A$20, "")</f>
        <v/>
      </c>
      <c r="I1094">
        <f t="shared" si="141"/>
        <v>0</v>
      </c>
      <c r="J1094" t="str">
        <f>_xlfn.XLOOKUP(H1094, Fact_Events!$A$2:$A$20, Fact_Events!$F$2:$F$20, "")</f>
        <v/>
      </c>
      <c r="K1094" t="str">
        <f t="shared" si="142"/>
        <v>Low</v>
      </c>
      <c r="L1094">
        <f t="shared" si="143"/>
        <v>0.55000000000000004</v>
      </c>
      <c r="M1094">
        <f>_xlfn.XLOOKUP(B1094, Dim_Hotel!$A$2:$A$11, Dim_Hotel!$I$2:$I$11)
 + (IF(J1094="",0,J1094)
    * _xlfn.XLOOKUP(B1094, Dim_Hotel!$A$2:$A$11, Dim_Hotel!$J$2:$J$11))</f>
        <v>145</v>
      </c>
    </row>
    <row r="1095" spans="1:13" x14ac:dyDescent="0.25">
      <c r="A1095" s="1">
        <f t="shared" si="136"/>
        <v>46132</v>
      </c>
      <c r="B1095" t="str" cm="1">
        <f t="array" ref="B1095">INDEX(HotelList,MOD(ROW()-2,10)+1)</f>
        <v>H004</v>
      </c>
      <c r="C1095">
        <f>_xlfn.XLOOKUP(B1095,Dim_Hotel!$A$2:$A$11,Dim_Hotel!$F$2:$F$11)</f>
        <v>108</v>
      </c>
      <c r="D1095">
        <f t="shared" si="137"/>
        <v>59</v>
      </c>
      <c r="E1095">
        <f t="shared" si="138"/>
        <v>0.54629629629629628</v>
      </c>
      <c r="F1095">
        <f t="shared" si="139"/>
        <v>135</v>
      </c>
      <c r="G1095">
        <f t="shared" si="140"/>
        <v>73.75</v>
      </c>
      <c r="H1095" t="str">
        <f>_xlfn.XLOOKUP(A1095,Fact_Events!$D$2:$D$20,Fact_Events!$A$2:$A$20, "")</f>
        <v/>
      </c>
      <c r="I1095">
        <f t="shared" si="141"/>
        <v>0</v>
      </c>
      <c r="J1095" t="str">
        <f>_xlfn.XLOOKUP(H1095, Fact_Events!$A$2:$A$20, Fact_Events!$F$2:$F$20, "")</f>
        <v/>
      </c>
      <c r="K1095" t="str">
        <f t="shared" si="142"/>
        <v>Low</v>
      </c>
      <c r="L1095">
        <f t="shared" si="143"/>
        <v>0.55000000000000004</v>
      </c>
      <c r="M1095">
        <f>_xlfn.XLOOKUP(B1095, Dim_Hotel!$A$2:$A$11, Dim_Hotel!$I$2:$I$11)
 + (IF(J1095="",0,J1095)
    * _xlfn.XLOOKUP(B1095, Dim_Hotel!$A$2:$A$11, Dim_Hotel!$J$2:$J$11))</f>
        <v>135</v>
      </c>
    </row>
    <row r="1096" spans="1:13" x14ac:dyDescent="0.25">
      <c r="A1096" s="1">
        <f t="shared" si="136"/>
        <v>46132</v>
      </c>
      <c r="B1096" t="str" cm="1">
        <f t="array" ref="B1096">INDEX(HotelList,MOD(ROW()-2,10)+1)</f>
        <v>H005</v>
      </c>
      <c r="C1096">
        <f>_xlfn.XLOOKUP(B1096,Dim_Hotel!$A$2:$A$11,Dim_Hotel!$F$2:$F$11)</f>
        <v>66</v>
      </c>
      <c r="D1096">
        <f t="shared" si="137"/>
        <v>36</v>
      </c>
      <c r="E1096">
        <f t="shared" si="138"/>
        <v>0.54545454545454541</v>
      </c>
      <c r="F1096">
        <f t="shared" si="139"/>
        <v>82</v>
      </c>
      <c r="G1096">
        <f t="shared" si="140"/>
        <v>44.727272727272727</v>
      </c>
      <c r="H1096" t="str">
        <f>_xlfn.XLOOKUP(A1096,Fact_Events!$D$2:$D$20,Fact_Events!$A$2:$A$20, "")</f>
        <v/>
      </c>
      <c r="I1096">
        <f t="shared" si="141"/>
        <v>0</v>
      </c>
      <c r="J1096" t="str">
        <f>_xlfn.XLOOKUP(H1096, Fact_Events!$A$2:$A$20, Fact_Events!$F$2:$F$20, "")</f>
        <v/>
      </c>
      <c r="K1096" t="str">
        <f t="shared" si="142"/>
        <v>Low</v>
      </c>
      <c r="L1096">
        <f t="shared" si="143"/>
        <v>0.55000000000000004</v>
      </c>
      <c r="M1096">
        <f>_xlfn.XLOOKUP(B1096, Dim_Hotel!$A$2:$A$11, Dim_Hotel!$I$2:$I$11)
 + (IF(J1096="",0,J1096)
    * _xlfn.XLOOKUP(B1096, Dim_Hotel!$A$2:$A$11, Dim_Hotel!$J$2:$J$11))</f>
        <v>82</v>
      </c>
    </row>
    <row r="1097" spans="1:13" x14ac:dyDescent="0.25">
      <c r="A1097" s="1">
        <f t="shared" si="136"/>
        <v>46132</v>
      </c>
      <c r="B1097" t="str" cm="1">
        <f t="array" ref="B1097">INDEX(HotelList,MOD(ROW()-2,10)+1)</f>
        <v>H006</v>
      </c>
      <c r="C1097">
        <f>_xlfn.XLOOKUP(B1097,Dim_Hotel!$A$2:$A$11,Dim_Hotel!$F$2:$F$11)</f>
        <v>311</v>
      </c>
      <c r="D1097">
        <f t="shared" si="137"/>
        <v>171</v>
      </c>
      <c r="E1097">
        <f t="shared" si="138"/>
        <v>0.54983922829581988</v>
      </c>
      <c r="F1097">
        <f t="shared" si="139"/>
        <v>190</v>
      </c>
      <c r="G1097">
        <f t="shared" si="140"/>
        <v>104.46945337620578</v>
      </c>
      <c r="H1097" t="str">
        <f>_xlfn.XLOOKUP(A1097,Fact_Events!$D$2:$D$20,Fact_Events!$A$2:$A$20, "")</f>
        <v/>
      </c>
      <c r="I1097">
        <f t="shared" si="141"/>
        <v>0</v>
      </c>
      <c r="J1097" t="str">
        <f>_xlfn.XLOOKUP(H1097, Fact_Events!$A$2:$A$20, Fact_Events!$F$2:$F$20, "")</f>
        <v/>
      </c>
      <c r="K1097" t="str">
        <f t="shared" si="142"/>
        <v>Low</v>
      </c>
      <c r="L1097">
        <f t="shared" si="143"/>
        <v>0.55000000000000004</v>
      </c>
      <c r="M1097">
        <f>_xlfn.XLOOKUP(B1097, Dim_Hotel!$A$2:$A$11, Dim_Hotel!$I$2:$I$11)
 + (IF(J1097="",0,J1097)
    * _xlfn.XLOOKUP(B1097, Dim_Hotel!$A$2:$A$11, Dim_Hotel!$J$2:$J$11))</f>
        <v>190</v>
      </c>
    </row>
    <row r="1098" spans="1:13" x14ac:dyDescent="0.25">
      <c r="A1098" s="1">
        <f t="shared" si="136"/>
        <v>46132</v>
      </c>
      <c r="B1098" t="str" cm="1">
        <f t="array" ref="B1098">INDEX(HotelList,MOD(ROW()-2,10)+1)</f>
        <v>H007</v>
      </c>
      <c r="C1098">
        <f>_xlfn.XLOOKUP(B1098,Dim_Hotel!$A$2:$A$11,Dim_Hotel!$F$2:$F$11)</f>
        <v>132</v>
      </c>
      <c r="D1098">
        <f t="shared" si="137"/>
        <v>73</v>
      </c>
      <c r="E1098">
        <f t="shared" si="138"/>
        <v>0.55303030303030298</v>
      </c>
      <c r="F1098">
        <f t="shared" si="139"/>
        <v>165</v>
      </c>
      <c r="G1098">
        <f t="shared" si="140"/>
        <v>91.249999999999986</v>
      </c>
      <c r="H1098" t="str">
        <f>_xlfn.XLOOKUP(A1098,Fact_Events!$D$2:$D$20,Fact_Events!$A$2:$A$20, "")</f>
        <v/>
      </c>
      <c r="I1098">
        <f t="shared" si="141"/>
        <v>0</v>
      </c>
      <c r="J1098" t="str">
        <f>_xlfn.XLOOKUP(H1098, Fact_Events!$A$2:$A$20, Fact_Events!$F$2:$F$20, "")</f>
        <v/>
      </c>
      <c r="K1098" t="str">
        <f t="shared" si="142"/>
        <v>Low</v>
      </c>
      <c r="L1098">
        <f t="shared" si="143"/>
        <v>0.55000000000000004</v>
      </c>
      <c r="M1098">
        <f>_xlfn.XLOOKUP(B1098, Dim_Hotel!$A$2:$A$11, Dim_Hotel!$I$2:$I$11)
 + (IF(J1098="",0,J1098)
    * _xlfn.XLOOKUP(B1098, Dim_Hotel!$A$2:$A$11, Dim_Hotel!$J$2:$J$11))</f>
        <v>165</v>
      </c>
    </row>
    <row r="1099" spans="1:13" x14ac:dyDescent="0.25">
      <c r="A1099" s="1">
        <f t="shared" si="136"/>
        <v>46132</v>
      </c>
      <c r="B1099" t="str" cm="1">
        <f t="array" ref="B1099">INDEX(HotelList,MOD(ROW()-2,10)+1)</f>
        <v>H008</v>
      </c>
      <c r="C1099">
        <f>_xlfn.XLOOKUP(B1099,Dim_Hotel!$A$2:$A$11,Dim_Hotel!$F$2:$F$11)</f>
        <v>103</v>
      </c>
      <c r="D1099">
        <f t="shared" si="137"/>
        <v>57</v>
      </c>
      <c r="E1099">
        <f t="shared" si="138"/>
        <v>0.55339805825242716</v>
      </c>
      <c r="F1099">
        <f t="shared" si="139"/>
        <v>140</v>
      </c>
      <c r="G1099">
        <f t="shared" si="140"/>
        <v>77.475728155339809</v>
      </c>
      <c r="H1099" t="str">
        <f>_xlfn.XLOOKUP(A1099,Fact_Events!$D$2:$D$20,Fact_Events!$A$2:$A$20, "")</f>
        <v/>
      </c>
      <c r="I1099">
        <f t="shared" si="141"/>
        <v>0</v>
      </c>
      <c r="J1099" t="str">
        <f>_xlfn.XLOOKUP(H1099, Fact_Events!$A$2:$A$20, Fact_Events!$F$2:$F$20, "")</f>
        <v/>
      </c>
      <c r="K1099" t="str">
        <f t="shared" si="142"/>
        <v>Low</v>
      </c>
      <c r="L1099">
        <f t="shared" si="143"/>
        <v>0.55000000000000004</v>
      </c>
      <c r="M1099">
        <f>_xlfn.XLOOKUP(B1099, Dim_Hotel!$A$2:$A$11, Dim_Hotel!$I$2:$I$11)
 + (IF(J1099="",0,J1099)
    * _xlfn.XLOOKUP(B1099, Dim_Hotel!$A$2:$A$11, Dim_Hotel!$J$2:$J$11))</f>
        <v>140</v>
      </c>
    </row>
    <row r="1100" spans="1:13" x14ac:dyDescent="0.25">
      <c r="A1100" s="1">
        <f t="shared" si="136"/>
        <v>46132</v>
      </c>
      <c r="B1100" t="str" cm="1">
        <f t="array" ref="B1100">INDEX(HotelList,MOD(ROW()-2,10)+1)</f>
        <v>H009</v>
      </c>
      <c r="C1100">
        <f>_xlfn.XLOOKUP(B1100,Dim_Hotel!$A$2:$A$11,Dim_Hotel!$F$2:$F$11)</f>
        <v>114</v>
      </c>
      <c r="D1100">
        <f t="shared" si="137"/>
        <v>63</v>
      </c>
      <c r="E1100">
        <f t="shared" si="138"/>
        <v>0.55263157894736847</v>
      </c>
      <c r="F1100">
        <f t="shared" si="139"/>
        <v>185</v>
      </c>
      <c r="G1100">
        <f t="shared" si="140"/>
        <v>102.23684210526316</v>
      </c>
      <c r="H1100" t="str">
        <f>_xlfn.XLOOKUP(A1100,Fact_Events!$D$2:$D$20,Fact_Events!$A$2:$A$20, "")</f>
        <v/>
      </c>
      <c r="I1100">
        <f t="shared" si="141"/>
        <v>0</v>
      </c>
      <c r="J1100" t="str">
        <f>_xlfn.XLOOKUP(H1100, Fact_Events!$A$2:$A$20, Fact_Events!$F$2:$F$20, "")</f>
        <v/>
      </c>
      <c r="K1100" t="str">
        <f t="shared" si="142"/>
        <v>Low</v>
      </c>
      <c r="L1100">
        <f t="shared" si="143"/>
        <v>0.55000000000000004</v>
      </c>
      <c r="M1100">
        <f>_xlfn.XLOOKUP(B1100, Dim_Hotel!$A$2:$A$11, Dim_Hotel!$I$2:$I$11)
 + (IF(J1100="",0,J1100)
    * _xlfn.XLOOKUP(B1100, Dim_Hotel!$A$2:$A$11, Dim_Hotel!$J$2:$J$11))</f>
        <v>185</v>
      </c>
    </row>
    <row r="1101" spans="1:13" x14ac:dyDescent="0.25">
      <c r="A1101" s="1">
        <f t="shared" si="136"/>
        <v>46132</v>
      </c>
      <c r="B1101" t="str" cm="1">
        <f t="array" ref="B1101">INDEX(HotelList,MOD(ROW()-2,10)+1)</f>
        <v>H010</v>
      </c>
      <c r="C1101">
        <f>_xlfn.XLOOKUP(B1101,Dim_Hotel!$A$2:$A$11,Dim_Hotel!$F$2:$F$11)</f>
        <v>89</v>
      </c>
      <c r="D1101">
        <f t="shared" si="137"/>
        <v>49</v>
      </c>
      <c r="E1101">
        <f t="shared" si="138"/>
        <v>0.550561797752809</v>
      </c>
      <c r="F1101">
        <f t="shared" si="139"/>
        <v>150</v>
      </c>
      <c r="G1101">
        <f t="shared" si="140"/>
        <v>82.584269662921344</v>
      </c>
      <c r="H1101" t="str">
        <f>_xlfn.XLOOKUP(A1101,Fact_Events!$D$2:$D$20,Fact_Events!$A$2:$A$20, "")</f>
        <v/>
      </c>
      <c r="I1101">
        <f t="shared" si="141"/>
        <v>0</v>
      </c>
      <c r="J1101" t="str">
        <f>_xlfn.XLOOKUP(H1101, Fact_Events!$A$2:$A$20, Fact_Events!$F$2:$F$20, "")</f>
        <v/>
      </c>
      <c r="K1101" t="str">
        <f t="shared" si="142"/>
        <v>Low</v>
      </c>
      <c r="L1101">
        <f t="shared" si="143"/>
        <v>0.55000000000000004</v>
      </c>
      <c r="M1101">
        <f>_xlfn.XLOOKUP(B1101, Dim_Hotel!$A$2:$A$11, Dim_Hotel!$I$2:$I$11)
 + (IF(J1101="",0,J1101)
    * _xlfn.XLOOKUP(B1101, Dim_Hotel!$A$2:$A$11, Dim_Hotel!$J$2:$J$11))</f>
        <v>150</v>
      </c>
    </row>
    <row r="1102" spans="1:13" x14ac:dyDescent="0.25">
      <c r="A1102" s="1">
        <f t="shared" si="136"/>
        <v>46133</v>
      </c>
      <c r="B1102" t="str" cm="1">
        <f t="array" ref="B1102">INDEX(HotelList,MOD(ROW()-2,10)+1)</f>
        <v>H001</v>
      </c>
      <c r="C1102">
        <f>_xlfn.XLOOKUP(B1102,Dim_Hotel!$A$2:$A$11,Dim_Hotel!$F$2:$F$11)</f>
        <v>888</v>
      </c>
      <c r="D1102">
        <f t="shared" si="137"/>
        <v>488</v>
      </c>
      <c r="E1102">
        <f t="shared" si="138"/>
        <v>0.5495495495495496</v>
      </c>
      <c r="F1102">
        <f t="shared" si="139"/>
        <v>260</v>
      </c>
      <c r="G1102">
        <f t="shared" si="140"/>
        <v>142.88288288288288</v>
      </c>
      <c r="H1102" t="str">
        <f>_xlfn.XLOOKUP(A1102,Fact_Events!$D$2:$D$20,Fact_Events!$A$2:$A$20, "")</f>
        <v/>
      </c>
      <c r="I1102">
        <f t="shared" si="141"/>
        <v>0</v>
      </c>
      <c r="J1102" t="str">
        <f>_xlfn.XLOOKUP(H1102, Fact_Events!$A$2:$A$20, Fact_Events!$F$2:$F$20, "")</f>
        <v/>
      </c>
      <c r="K1102" t="str">
        <f t="shared" si="142"/>
        <v>Low</v>
      </c>
      <c r="L1102">
        <f t="shared" si="143"/>
        <v>0.55000000000000004</v>
      </c>
      <c r="M1102">
        <f>_xlfn.XLOOKUP(B1102, Dim_Hotel!$A$2:$A$11, Dim_Hotel!$I$2:$I$11)
 + (IF(J1102="",0,J1102)
    * _xlfn.XLOOKUP(B1102, Dim_Hotel!$A$2:$A$11, Dim_Hotel!$J$2:$J$11))</f>
        <v>260</v>
      </c>
    </row>
    <row r="1103" spans="1:13" x14ac:dyDescent="0.25">
      <c r="A1103" s="1">
        <f t="shared" si="136"/>
        <v>46133</v>
      </c>
      <c r="B1103" t="str" cm="1">
        <f t="array" ref="B1103">INDEX(HotelList,MOD(ROW()-2,10)+1)</f>
        <v>H002</v>
      </c>
      <c r="C1103">
        <f>_xlfn.XLOOKUP(B1103,Dim_Hotel!$A$2:$A$11,Dim_Hotel!$F$2:$F$11)</f>
        <v>147</v>
      </c>
      <c r="D1103">
        <f t="shared" si="137"/>
        <v>81</v>
      </c>
      <c r="E1103">
        <f t="shared" si="138"/>
        <v>0.55102040816326525</v>
      </c>
      <c r="F1103">
        <f t="shared" si="139"/>
        <v>175</v>
      </c>
      <c r="G1103">
        <f t="shared" si="140"/>
        <v>96.428571428571416</v>
      </c>
      <c r="H1103" t="str">
        <f>_xlfn.XLOOKUP(A1103,Fact_Events!$D$2:$D$20,Fact_Events!$A$2:$A$20, "")</f>
        <v/>
      </c>
      <c r="I1103">
        <f t="shared" si="141"/>
        <v>0</v>
      </c>
      <c r="J1103" t="str">
        <f>_xlfn.XLOOKUP(H1103, Fact_Events!$A$2:$A$20, Fact_Events!$F$2:$F$20, "")</f>
        <v/>
      </c>
      <c r="K1103" t="str">
        <f t="shared" si="142"/>
        <v>Low</v>
      </c>
      <c r="L1103">
        <f t="shared" si="143"/>
        <v>0.55000000000000004</v>
      </c>
      <c r="M1103">
        <f>_xlfn.XLOOKUP(B1103, Dim_Hotel!$A$2:$A$11, Dim_Hotel!$I$2:$I$11)
 + (IF(J1103="",0,J1103)
    * _xlfn.XLOOKUP(B1103, Dim_Hotel!$A$2:$A$11, Dim_Hotel!$J$2:$J$11))</f>
        <v>175</v>
      </c>
    </row>
    <row r="1104" spans="1:13" x14ac:dyDescent="0.25">
      <c r="A1104" s="1">
        <f t="shared" si="136"/>
        <v>46133</v>
      </c>
      <c r="B1104" t="str" cm="1">
        <f t="array" ref="B1104">INDEX(HotelList,MOD(ROW()-2,10)+1)</f>
        <v>H003</v>
      </c>
      <c r="C1104">
        <f>_xlfn.XLOOKUP(B1104,Dim_Hotel!$A$2:$A$11,Dim_Hotel!$F$2:$F$11)</f>
        <v>121</v>
      </c>
      <c r="D1104">
        <f t="shared" si="137"/>
        <v>67</v>
      </c>
      <c r="E1104">
        <f t="shared" si="138"/>
        <v>0.55371900826446285</v>
      </c>
      <c r="F1104">
        <f t="shared" si="139"/>
        <v>145</v>
      </c>
      <c r="G1104">
        <f t="shared" si="140"/>
        <v>80.289256198347118</v>
      </c>
      <c r="H1104" t="str">
        <f>_xlfn.XLOOKUP(A1104,Fact_Events!$D$2:$D$20,Fact_Events!$A$2:$A$20, "")</f>
        <v/>
      </c>
      <c r="I1104">
        <f t="shared" si="141"/>
        <v>0</v>
      </c>
      <c r="J1104" t="str">
        <f>_xlfn.XLOOKUP(H1104, Fact_Events!$A$2:$A$20, Fact_Events!$F$2:$F$20, "")</f>
        <v/>
      </c>
      <c r="K1104" t="str">
        <f t="shared" si="142"/>
        <v>Low</v>
      </c>
      <c r="L1104">
        <f t="shared" si="143"/>
        <v>0.55000000000000004</v>
      </c>
      <c r="M1104">
        <f>_xlfn.XLOOKUP(B1104, Dim_Hotel!$A$2:$A$11, Dim_Hotel!$I$2:$I$11)
 + (IF(J1104="",0,J1104)
    * _xlfn.XLOOKUP(B1104, Dim_Hotel!$A$2:$A$11, Dim_Hotel!$J$2:$J$11))</f>
        <v>145</v>
      </c>
    </row>
    <row r="1105" spans="1:13" x14ac:dyDescent="0.25">
      <c r="A1105" s="1">
        <f t="shared" si="136"/>
        <v>46133</v>
      </c>
      <c r="B1105" t="str" cm="1">
        <f t="array" ref="B1105">INDEX(HotelList,MOD(ROW()-2,10)+1)</f>
        <v>H004</v>
      </c>
      <c r="C1105">
        <f>_xlfn.XLOOKUP(B1105,Dim_Hotel!$A$2:$A$11,Dim_Hotel!$F$2:$F$11)</f>
        <v>108</v>
      </c>
      <c r="D1105">
        <f t="shared" si="137"/>
        <v>59</v>
      </c>
      <c r="E1105">
        <f t="shared" si="138"/>
        <v>0.54629629629629628</v>
      </c>
      <c r="F1105">
        <f t="shared" si="139"/>
        <v>135</v>
      </c>
      <c r="G1105">
        <f t="shared" si="140"/>
        <v>73.75</v>
      </c>
      <c r="H1105" t="str">
        <f>_xlfn.XLOOKUP(A1105,Fact_Events!$D$2:$D$20,Fact_Events!$A$2:$A$20, "")</f>
        <v/>
      </c>
      <c r="I1105">
        <f t="shared" si="141"/>
        <v>0</v>
      </c>
      <c r="J1105" t="str">
        <f>_xlfn.XLOOKUP(H1105, Fact_Events!$A$2:$A$20, Fact_Events!$F$2:$F$20, "")</f>
        <v/>
      </c>
      <c r="K1105" t="str">
        <f t="shared" si="142"/>
        <v>Low</v>
      </c>
      <c r="L1105">
        <f t="shared" si="143"/>
        <v>0.55000000000000004</v>
      </c>
      <c r="M1105">
        <f>_xlfn.XLOOKUP(B1105, Dim_Hotel!$A$2:$A$11, Dim_Hotel!$I$2:$I$11)
 + (IF(J1105="",0,J1105)
    * _xlfn.XLOOKUP(B1105, Dim_Hotel!$A$2:$A$11, Dim_Hotel!$J$2:$J$11))</f>
        <v>135</v>
      </c>
    </row>
    <row r="1106" spans="1:13" x14ac:dyDescent="0.25">
      <c r="A1106" s="1">
        <f t="shared" si="136"/>
        <v>46133</v>
      </c>
      <c r="B1106" t="str" cm="1">
        <f t="array" ref="B1106">INDEX(HotelList,MOD(ROW()-2,10)+1)</f>
        <v>H005</v>
      </c>
      <c r="C1106">
        <f>_xlfn.XLOOKUP(B1106,Dim_Hotel!$A$2:$A$11,Dim_Hotel!$F$2:$F$11)</f>
        <v>66</v>
      </c>
      <c r="D1106">
        <f t="shared" si="137"/>
        <v>36</v>
      </c>
      <c r="E1106">
        <f t="shared" si="138"/>
        <v>0.54545454545454541</v>
      </c>
      <c r="F1106">
        <f t="shared" si="139"/>
        <v>82</v>
      </c>
      <c r="G1106">
        <f t="shared" si="140"/>
        <v>44.727272727272727</v>
      </c>
      <c r="H1106" t="str">
        <f>_xlfn.XLOOKUP(A1106,Fact_Events!$D$2:$D$20,Fact_Events!$A$2:$A$20, "")</f>
        <v/>
      </c>
      <c r="I1106">
        <f t="shared" si="141"/>
        <v>0</v>
      </c>
      <c r="J1106" t="str">
        <f>_xlfn.XLOOKUP(H1106, Fact_Events!$A$2:$A$20, Fact_Events!$F$2:$F$20, "")</f>
        <v/>
      </c>
      <c r="K1106" t="str">
        <f t="shared" si="142"/>
        <v>Low</v>
      </c>
      <c r="L1106">
        <f t="shared" si="143"/>
        <v>0.55000000000000004</v>
      </c>
      <c r="M1106">
        <f>_xlfn.XLOOKUP(B1106, Dim_Hotel!$A$2:$A$11, Dim_Hotel!$I$2:$I$11)
 + (IF(J1106="",0,J1106)
    * _xlfn.XLOOKUP(B1106, Dim_Hotel!$A$2:$A$11, Dim_Hotel!$J$2:$J$11))</f>
        <v>82</v>
      </c>
    </row>
    <row r="1107" spans="1:13" x14ac:dyDescent="0.25">
      <c r="A1107" s="1">
        <f t="shared" si="136"/>
        <v>46133</v>
      </c>
      <c r="B1107" t="str" cm="1">
        <f t="array" ref="B1107">INDEX(HotelList,MOD(ROW()-2,10)+1)</f>
        <v>H006</v>
      </c>
      <c r="C1107">
        <f>_xlfn.XLOOKUP(B1107,Dim_Hotel!$A$2:$A$11,Dim_Hotel!$F$2:$F$11)</f>
        <v>311</v>
      </c>
      <c r="D1107">
        <f t="shared" si="137"/>
        <v>171</v>
      </c>
      <c r="E1107">
        <f t="shared" si="138"/>
        <v>0.54983922829581988</v>
      </c>
      <c r="F1107">
        <f t="shared" si="139"/>
        <v>190</v>
      </c>
      <c r="G1107">
        <f t="shared" si="140"/>
        <v>104.46945337620578</v>
      </c>
      <c r="H1107" t="str">
        <f>_xlfn.XLOOKUP(A1107,Fact_Events!$D$2:$D$20,Fact_Events!$A$2:$A$20, "")</f>
        <v/>
      </c>
      <c r="I1107">
        <f t="shared" si="141"/>
        <v>0</v>
      </c>
      <c r="J1107" t="str">
        <f>_xlfn.XLOOKUP(H1107, Fact_Events!$A$2:$A$20, Fact_Events!$F$2:$F$20, "")</f>
        <v/>
      </c>
      <c r="K1107" t="str">
        <f t="shared" si="142"/>
        <v>Low</v>
      </c>
      <c r="L1107">
        <f t="shared" si="143"/>
        <v>0.55000000000000004</v>
      </c>
      <c r="M1107">
        <f>_xlfn.XLOOKUP(B1107, Dim_Hotel!$A$2:$A$11, Dim_Hotel!$I$2:$I$11)
 + (IF(J1107="",0,J1107)
    * _xlfn.XLOOKUP(B1107, Dim_Hotel!$A$2:$A$11, Dim_Hotel!$J$2:$J$11))</f>
        <v>190</v>
      </c>
    </row>
    <row r="1108" spans="1:13" x14ac:dyDescent="0.25">
      <c r="A1108" s="1">
        <f t="shared" si="136"/>
        <v>46133</v>
      </c>
      <c r="B1108" t="str" cm="1">
        <f t="array" ref="B1108">INDEX(HotelList,MOD(ROW()-2,10)+1)</f>
        <v>H007</v>
      </c>
      <c r="C1108">
        <f>_xlfn.XLOOKUP(B1108,Dim_Hotel!$A$2:$A$11,Dim_Hotel!$F$2:$F$11)</f>
        <v>132</v>
      </c>
      <c r="D1108">
        <f t="shared" si="137"/>
        <v>73</v>
      </c>
      <c r="E1108">
        <f t="shared" si="138"/>
        <v>0.55303030303030298</v>
      </c>
      <c r="F1108">
        <f t="shared" si="139"/>
        <v>165</v>
      </c>
      <c r="G1108">
        <f t="shared" si="140"/>
        <v>91.249999999999986</v>
      </c>
      <c r="H1108" t="str">
        <f>_xlfn.XLOOKUP(A1108,Fact_Events!$D$2:$D$20,Fact_Events!$A$2:$A$20, "")</f>
        <v/>
      </c>
      <c r="I1108">
        <f t="shared" si="141"/>
        <v>0</v>
      </c>
      <c r="J1108" t="str">
        <f>_xlfn.XLOOKUP(H1108, Fact_Events!$A$2:$A$20, Fact_Events!$F$2:$F$20, "")</f>
        <v/>
      </c>
      <c r="K1108" t="str">
        <f t="shared" si="142"/>
        <v>Low</v>
      </c>
      <c r="L1108">
        <f t="shared" si="143"/>
        <v>0.55000000000000004</v>
      </c>
      <c r="M1108">
        <f>_xlfn.XLOOKUP(B1108, Dim_Hotel!$A$2:$A$11, Dim_Hotel!$I$2:$I$11)
 + (IF(J1108="",0,J1108)
    * _xlfn.XLOOKUP(B1108, Dim_Hotel!$A$2:$A$11, Dim_Hotel!$J$2:$J$11))</f>
        <v>165</v>
      </c>
    </row>
    <row r="1109" spans="1:13" x14ac:dyDescent="0.25">
      <c r="A1109" s="1">
        <f t="shared" si="136"/>
        <v>46133</v>
      </c>
      <c r="B1109" t="str" cm="1">
        <f t="array" ref="B1109">INDEX(HotelList,MOD(ROW()-2,10)+1)</f>
        <v>H008</v>
      </c>
      <c r="C1109">
        <f>_xlfn.XLOOKUP(B1109,Dim_Hotel!$A$2:$A$11,Dim_Hotel!$F$2:$F$11)</f>
        <v>103</v>
      </c>
      <c r="D1109">
        <f t="shared" si="137"/>
        <v>57</v>
      </c>
      <c r="E1109">
        <f t="shared" si="138"/>
        <v>0.55339805825242716</v>
      </c>
      <c r="F1109">
        <f t="shared" si="139"/>
        <v>140</v>
      </c>
      <c r="G1109">
        <f t="shared" si="140"/>
        <v>77.475728155339809</v>
      </c>
      <c r="H1109" t="str">
        <f>_xlfn.XLOOKUP(A1109,Fact_Events!$D$2:$D$20,Fact_Events!$A$2:$A$20, "")</f>
        <v/>
      </c>
      <c r="I1109">
        <f t="shared" si="141"/>
        <v>0</v>
      </c>
      <c r="J1109" t="str">
        <f>_xlfn.XLOOKUP(H1109, Fact_Events!$A$2:$A$20, Fact_Events!$F$2:$F$20, "")</f>
        <v/>
      </c>
      <c r="K1109" t="str">
        <f t="shared" si="142"/>
        <v>Low</v>
      </c>
      <c r="L1109">
        <f t="shared" si="143"/>
        <v>0.55000000000000004</v>
      </c>
      <c r="M1109">
        <f>_xlfn.XLOOKUP(B1109, Dim_Hotel!$A$2:$A$11, Dim_Hotel!$I$2:$I$11)
 + (IF(J1109="",0,J1109)
    * _xlfn.XLOOKUP(B1109, Dim_Hotel!$A$2:$A$11, Dim_Hotel!$J$2:$J$11))</f>
        <v>140</v>
      </c>
    </row>
    <row r="1110" spans="1:13" x14ac:dyDescent="0.25">
      <c r="A1110" s="1">
        <f t="shared" si="136"/>
        <v>46133</v>
      </c>
      <c r="B1110" t="str" cm="1">
        <f t="array" ref="B1110">INDEX(HotelList,MOD(ROW()-2,10)+1)</f>
        <v>H009</v>
      </c>
      <c r="C1110">
        <f>_xlfn.XLOOKUP(B1110,Dim_Hotel!$A$2:$A$11,Dim_Hotel!$F$2:$F$11)</f>
        <v>114</v>
      </c>
      <c r="D1110">
        <f t="shared" si="137"/>
        <v>63</v>
      </c>
      <c r="E1110">
        <f t="shared" si="138"/>
        <v>0.55263157894736847</v>
      </c>
      <c r="F1110">
        <f t="shared" si="139"/>
        <v>185</v>
      </c>
      <c r="G1110">
        <f t="shared" si="140"/>
        <v>102.23684210526316</v>
      </c>
      <c r="H1110" t="str">
        <f>_xlfn.XLOOKUP(A1110,Fact_Events!$D$2:$D$20,Fact_Events!$A$2:$A$20, "")</f>
        <v/>
      </c>
      <c r="I1110">
        <f t="shared" si="141"/>
        <v>0</v>
      </c>
      <c r="J1110" t="str">
        <f>_xlfn.XLOOKUP(H1110, Fact_Events!$A$2:$A$20, Fact_Events!$F$2:$F$20, "")</f>
        <v/>
      </c>
      <c r="K1110" t="str">
        <f t="shared" si="142"/>
        <v>Low</v>
      </c>
      <c r="L1110">
        <f t="shared" si="143"/>
        <v>0.55000000000000004</v>
      </c>
      <c r="M1110">
        <f>_xlfn.XLOOKUP(B1110, Dim_Hotel!$A$2:$A$11, Dim_Hotel!$I$2:$I$11)
 + (IF(J1110="",0,J1110)
    * _xlfn.XLOOKUP(B1110, Dim_Hotel!$A$2:$A$11, Dim_Hotel!$J$2:$J$11))</f>
        <v>185</v>
      </c>
    </row>
    <row r="1111" spans="1:13" x14ac:dyDescent="0.25">
      <c r="A1111" s="1">
        <f t="shared" si="136"/>
        <v>46133</v>
      </c>
      <c r="B1111" t="str" cm="1">
        <f t="array" ref="B1111">INDEX(HotelList,MOD(ROW()-2,10)+1)</f>
        <v>H010</v>
      </c>
      <c r="C1111">
        <f>_xlfn.XLOOKUP(B1111,Dim_Hotel!$A$2:$A$11,Dim_Hotel!$F$2:$F$11)</f>
        <v>89</v>
      </c>
      <c r="D1111">
        <f t="shared" si="137"/>
        <v>49</v>
      </c>
      <c r="E1111">
        <f t="shared" si="138"/>
        <v>0.550561797752809</v>
      </c>
      <c r="F1111">
        <f t="shared" si="139"/>
        <v>150</v>
      </c>
      <c r="G1111">
        <f t="shared" si="140"/>
        <v>82.584269662921344</v>
      </c>
      <c r="H1111" t="str">
        <f>_xlfn.XLOOKUP(A1111,Fact_Events!$D$2:$D$20,Fact_Events!$A$2:$A$20, "")</f>
        <v/>
      </c>
      <c r="I1111">
        <f t="shared" si="141"/>
        <v>0</v>
      </c>
      <c r="J1111" t="str">
        <f>_xlfn.XLOOKUP(H1111, Fact_Events!$A$2:$A$20, Fact_Events!$F$2:$F$20, "")</f>
        <v/>
      </c>
      <c r="K1111" t="str">
        <f t="shared" si="142"/>
        <v>Low</v>
      </c>
      <c r="L1111">
        <f t="shared" si="143"/>
        <v>0.55000000000000004</v>
      </c>
      <c r="M1111">
        <f>_xlfn.XLOOKUP(B1111, Dim_Hotel!$A$2:$A$11, Dim_Hotel!$I$2:$I$11)
 + (IF(J1111="",0,J1111)
    * _xlfn.XLOOKUP(B1111, Dim_Hotel!$A$2:$A$11, Dim_Hotel!$J$2:$J$11))</f>
        <v>150</v>
      </c>
    </row>
    <row r="1112" spans="1:13" x14ac:dyDescent="0.25">
      <c r="A1112" s="1">
        <f t="shared" si="136"/>
        <v>46134</v>
      </c>
      <c r="B1112" t="str" cm="1">
        <f t="array" ref="B1112">INDEX(HotelList,MOD(ROW()-2,10)+1)</f>
        <v>H001</v>
      </c>
      <c r="C1112">
        <f>_xlfn.XLOOKUP(B1112,Dim_Hotel!$A$2:$A$11,Dim_Hotel!$F$2:$F$11)</f>
        <v>888</v>
      </c>
      <c r="D1112">
        <f t="shared" si="137"/>
        <v>488</v>
      </c>
      <c r="E1112">
        <f t="shared" si="138"/>
        <v>0.5495495495495496</v>
      </c>
      <c r="F1112">
        <f t="shared" si="139"/>
        <v>260</v>
      </c>
      <c r="G1112">
        <f t="shared" si="140"/>
        <v>142.88288288288288</v>
      </c>
      <c r="H1112" t="str">
        <f>_xlfn.XLOOKUP(A1112,Fact_Events!$D$2:$D$20,Fact_Events!$A$2:$A$20, "")</f>
        <v/>
      </c>
      <c r="I1112">
        <f t="shared" si="141"/>
        <v>0</v>
      </c>
      <c r="J1112" t="str">
        <f>_xlfn.XLOOKUP(H1112, Fact_Events!$A$2:$A$20, Fact_Events!$F$2:$F$20, "")</f>
        <v/>
      </c>
      <c r="K1112" t="str">
        <f t="shared" si="142"/>
        <v>Low</v>
      </c>
      <c r="L1112">
        <f t="shared" si="143"/>
        <v>0.55000000000000004</v>
      </c>
      <c r="M1112">
        <f>_xlfn.XLOOKUP(B1112, Dim_Hotel!$A$2:$A$11, Dim_Hotel!$I$2:$I$11)
 + (IF(J1112="",0,J1112)
    * _xlfn.XLOOKUP(B1112, Dim_Hotel!$A$2:$A$11, Dim_Hotel!$J$2:$J$11))</f>
        <v>260</v>
      </c>
    </row>
    <row r="1113" spans="1:13" x14ac:dyDescent="0.25">
      <c r="A1113" s="1">
        <f t="shared" si="136"/>
        <v>46134</v>
      </c>
      <c r="B1113" t="str" cm="1">
        <f t="array" ref="B1113">INDEX(HotelList,MOD(ROW()-2,10)+1)</f>
        <v>H002</v>
      </c>
      <c r="C1113">
        <f>_xlfn.XLOOKUP(B1113,Dim_Hotel!$A$2:$A$11,Dim_Hotel!$F$2:$F$11)</f>
        <v>147</v>
      </c>
      <c r="D1113">
        <f t="shared" si="137"/>
        <v>81</v>
      </c>
      <c r="E1113">
        <f t="shared" si="138"/>
        <v>0.55102040816326525</v>
      </c>
      <c r="F1113">
        <f t="shared" si="139"/>
        <v>175</v>
      </c>
      <c r="G1113">
        <f t="shared" si="140"/>
        <v>96.428571428571416</v>
      </c>
      <c r="H1113" t="str">
        <f>_xlfn.XLOOKUP(A1113,Fact_Events!$D$2:$D$20,Fact_Events!$A$2:$A$20, "")</f>
        <v/>
      </c>
      <c r="I1113">
        <f t="shared" si="141"/>
        <v>0</v>
      </c>
      <c r="J1113" t="str">
        <f>_xlfn.XLOOKUP(H1113, Fact_Events!$A$2:$A$20, Fact_Events!$F$2:$F$20, "")</f>
        <v/>
      </c>
      <c r="K1113" t="str">
        <f t="shared" si="142"/>
        <v>Low</v>
      </c>
      <c r="L1113">
        <f t="shared" si="143"/>
        <v>0.55000000000000004</v>
      </c>
      <c r="M1113">
        <f>_xlfn.XLOOKUP(B1113, Dim_Hotel!$A$2:$A$11, Dim_Hotel!$I$2:$I$11)
 + (IF(J1113="",0,J1113)
    * _xlfn.XLOOKUP(B1113, Dim_Hotel!$A$2:$A$11, Dim_Hotel!$J$2:$J$11))</f>
        <v>175</v>
      </c>
    </row>
    <row r="1114" spans="1:13" x14ac:dyDescent="0.25">
      <c r="A1114" s="1">
        <f t="shared" si="136"/>
        <v>46134</v>
      </c>
      <c r="B1114" t="str" cm="1">
        <f t="array" ref="B1114">INDEX(HotelList,MOD(ROW()-2,10)+1)</f>
        <v>H003</v>
      </c>
      <c r="C1114">
        <f>_xlfn.XLOOKUP(B1114,Dim_Hotel!$A$2:$A$11,Dim_Hotel!$F$2:$F$11)</f>
        <v>121</v>
      </c>
      <c r="D1114">
        <f t="shared" si="137"/>
        <v>67</v>
      </c>
      <c r="E1114">
        <f t="shared" si="138"/>
        <v>0.55371900826446285</v>
      </c>
      <c r="F1114">
        <f t="shared" si="139"/>
        <v>145</v>
      </c>
      <c r="G1114">
        <f t="shared" si="140"/>
        <v>80.289256198347118</v>
      </c>
      <c r="H1114" t="str">
        <f>_xlfn.XLOOKUP(A1114,Fact_Events!$D$2:$D$20,Fact_Events!$A$2:$A$20, "")</f>
        <v/>
      </c>
      <c r="I1114">
        <f t="shared" si="141"/>
        <v>0</v>
      </c>
      <c r="J1114" t="str">
        <f>_xlfn.XLOOKUP(H1114, Fact_Events!$A$2:$A$20, Fact_Events!$F$2:$F$20, "")</f>
        <v/>
      </c>
      <c r="K1114" t="str">
        <f t="shared" si="142"/>
        <v>Low</v>
      </c>
      <c r="L1114">
        <f t="shared" si="143"/>
        <v>0.55000000000000004</v>
      </c>
      <c r="M1114">
        <f>_xlfn.XLOOKUP(B1114, Dim_Hotel!$A$2:$A$11, Dim_Hotel!$I$2:$I$11)
 + (IF(J1114="",0,J1114)
    * _xlfn.XLOOKUP(B1114, Dim_Hotel!$A$2:$A$11, Dim_Hotel!$J$2:$J$11))</f>
        <v>145</v>
      </c>
    </row>
    <row r="1115" spans="1:13" x14ac:dyDescent="0.25">
      <c r="A1115" s="1">
        <f t="shared" si="136"/>
        <v>46134</v>
      </c>
      <c r="B1115" t="str" cm="1">
        <f t="array" ref="B1115">INDEX(HotelList,MOD(ROW()-2,10)+1)</f>
        <v>H004</v>
      </c>
      <c r="C1115">
        <f>_xlfn.XLOOKUP(B1115,Dim_Hotel!$A$2:$A$11,Dim_Hotel!$F$2:$F$11)</f>
        <v>108</v>
      </c>
      <c r="D1115">
        <f t="shared" si="137"/>
        <v>59</v>
      </c>
      <c r="E1115">
        <f t="shared" si="138"/>
        <v>0.54629629629629628</v>
      </c>
      <c r="F1115">
        <f t="shared" si="139"/>
        <v>135</v>
      </c>
      <c r="G1115">
        <f t="shared" si="140"/>
        <v>73.75</v>
      </c>
      <c r="H1115" t="str">
        <f>_xlfn.XLOOKUP(A1115,Fact_Events!$D$2:$D$20,Fact_Events!$A$2:$A$20, "")</f>
        <v/>
      </c>
      <c r="I1115">
        <f t="shared" si="141"/>
        <v>0</v>
      </c>
      <c r="J1115" t="str">
        <f>_xlfn.XLOOKUP(H1115, Fact_Events!$A$2:$A$20, Fact_Events!$F$2:$F$20, "")</f>
        <v/>
      </c>
      <c r="K1115" t="str">
        <f t="shared" si="142"/>
        <v>Low</v>
      </c>
      <c r="L1115">
        <f t="shared" si="143"/>
        <v>0.55000000000000004</v>
      </c>
      <c r="M1115">
        <f>_xlfn.XLOOKUP(B1115, Dim_Hotel!$A$2:$A$11, Dim_Hotel!$I$2:$I$11)
 + (IF(J1115="",0,J1115)
    * _xlfn.XLOOKUP(B1115, Dim_Hotel!$A$2:$A$11, Dim_Hotel!$J$2:$J$11))</f>
        <v>135</v>
      </c>
    </row>
    <row r="1116" spans="1:13" x14ac:dyDescent="0.25">
      <c r="A1116" s="1">
        <f t="shared" si="136"/>
        <v>46134</v>
      </c>
      <c r="B1116" t="str" cm="1">
        <f t="array" ref="B1116">INDEX(HotelList,MOD(ROW()-2,10)+1)</f>
        <v>H005</v>
      </c>
      <c r="C1116">
        <f>_xlfn.XLOOKUP(B1116,Dim_Hotel!$A$2:$A$11,Dim_Hotel!$F$2:$F$11)</f>
        <v>66</v>
      </c>
      <c r="D1116">
        <f t="shared" si="137"/>
        <v>36</v>
      </c>
      <c r="E1116">
        <f t="shared" si="138"/>
        <v>0.54545454545454541</v>
      </c>
      <c r="F1116">
        <f t="shared" si="139"/>
        <v>82</v>
      </c>
      <c r="G1116">
        <f t="shared" si="140"/>
        <v>44.727272727272727</v>
      </c>
      <c r="H1116" t="str">
        <f>_xlfn.XLOOKUP(A1116,Fact_Events!$D$2:$D$20,Fact_Events!$A$2:$A$20, "")</f>
        <v/>
      </c>
      <c r="I1116">
        <f t="shared" si="141"/>
        <v>0</v>
      </c>
      <c r="J1116" t="str">
        <f>_xlfn.XLOOKUP(H1116, Fact_Events!$A$2:$A$20, Fact_Events!$F$2:$F$20, "")</f>
        <v/>
      </c>
      <c r="K1116" t="str">
        <f t="shared" si="142"/>
        <v>Low</v>
      </c>
      <c r="L1116">
        <f t="shared" si="143"/>
        <v>0.55000000000000004</v>
      </c>
      <c r="M1116">
        <f>_xlfn.XLOOKUP(B1116, Dim_Hotel!$A$2:$A$11, Dim_Hotel!$I$2:$I$11)
 + (IF(J1116="",0,J1116)
    * _xlfn.XLOOKUP(B1116, Dim_Hotel!$A$2:$A$11, Dim_Hotel!$J$2:$J$11))</f>
        <v>82</v>
      </c>
    </row>
    <row r="1117" spans="1:13" x14ac:dyDescent="0.25">
      <c r="A1117" s="1">
        <f t="shared" si="136"/>
        <v>46134</v>
      </c>
      <c r="B1117" t="str" cm="1">
        <f t="array" ref="B1117">INDEX(HotelList,MOD(ROW()-2,10)+1)</f>
        <v>H006</v>
      </c>
      <c r="C1117">
        <f>_xlfn.XLOOKUP(B1117,Dim_Hotel!$A$2:$A$11,Dim_Hotel!$F$2:$F$11)</f>
        <v>311</v>
      </c>
      <c r="D1117">
        <f t="shared" si="137"/>
        <v>171</v>
      </c>
      <c r="E1117">
        <f t="shared" si="138"/>
        <v>0.54983922829581988</v>
      </c>
      <c r="F1117">
        <f t="shared" si="139"/>
        <v>190</v>
      </c>
      <c r="G1117">
        <f t="shared" si="140"/>
        <v>104.46945337620578</v>
      </c>
      <c r="H1117" t="str">
        <f>_xlfn.XLOOKUP(A1117,Fact_Events!$D$2:$D$20,Fact_Events!$A$2:$A$20, "")</f>
        <v/>
      </c>
      <c r="I1117">
        <f t="shared" si="141"/>
        <v>0</v>
      </c>
      <c r="J1117" t="str">
        <f>_xlfn.XLOOKUP(H1117, Fact_Events!$A$2:$A$20, Fact_Events!$F$2:$F$20, "")</f>
        <v/>
      </c>
      <c r="K1117" t="str">
        <f t="shared" si="142"/>
        <v>Low</v>
      </c>
      <c r="L1117">
        <f t="shared" si="143"/>
        <v>0.55000000000000004</v>
      </c>
      <c r="M1117">
        <f>_xlfn.XLOOKUP(B1117, Dim_Hotel!$A$2:$A$11, Dim_Hotel!$I$2:$I$11)
 + (IF(J1117="",0,J1117)
    * _xlfn.XLOOKUP(B1117, Dim_Hotel!$A$2:$A$11, Dim_Hotel!$J$2:$J$11))</f>
        <v>190</v>
      </c>
    </row>
    <row r="1118" spans="1:13" x14ac:dyDescent="0.25">
      <c r="A1118" s="1">
        <f t="shared" si="136"/>
        <v>46134</v>
      </c>
      <c r="B1118" t="str" cm="1">
        <f t="array" ref="B1118">INDEX(HotelList,MOD(ROW()-2,10)+1)</f>
        <v>H007</v>
      </c>
      <c r="C1118">
        <f>_xlfn.XLOOKUP(B1118,Dim_Hotel!$A$2:$A$11,Dim_Hotel!$F$2:$F$11)</f>
        <v>132</v>
      </c>
      <c r="D1118">
        <f t="shared" si="137"/>
        <v>73</v>
      </c>
      <c r="E1118">
        <f t="shared" si="138"/>
        <v>0.55303030303030298</v>
      </c>
      <c r="F1118">
        <f t="shared" si="139"/>
        <v>165</v>
      </c>
      <c r="G1118">
        <f t="shared" si="140"/>
        <v>91.249999999999986</v>
      </c>
      <c r="H1118" t="str">
        <f>_xlfn.XLOOKUP(A1118,Fact_Events!$D$2:$D$20,Fact_Events!$A$2:$A$20, "")</f>
        <v/>
      </c>
      <c r="I1118">
        <f t="shared" si="141"/>
        <v>0</v>
      </c>
      <c r="J1118" t="str">
        <f>_xlfn.XLOOKUP(H1118, Fact_Events!$A$2:$A$20, Fact_Events!$F$2:$F$20, "")</f>
        <v/>
      </c>
      <c r="K1118" t="str">
        <f t="shared" si="142"/>
        <v>Low</v>
      </c>
      <c r="L1118">
        <f t="shared" si="143"/>
        <v>0.55000000000000004</v>
      </c>
      <c r="M1118">
        <f>_xlfn.XLOOKUP(B1118, Dim_Hotel!$A$2:$A$11, Dim_Hotel!$I$2:$I$11)
 + (IF(J1118="",0,J1118)
    * _xlfn.XLOOKUP(B1118, Dim_Hotel!$A$2:$A$11, Dim_Hotel!$J$2:$J$11))</f>
        <v>165</v>
      </c>
    </row>
    <row r="1119" spans="1:13" x14ac:dyDescent="0.25">
      <c r="A1119" s="1">
        <f t="shared" si="136"/>
        <v>46134</v>
      </c>
      <c r="B1119" t="str" cm="1">
        <f t="array" ref="B1119">INDEX(HotelList,MOD(ROW()-2,10)+1)</f>
        <v>H008</v>
      </c>
      <c r="C1119">
        <f>_xlfn.XLOOKUP(B1119,Dim_Hotel!$A$2:$A$11,Dim_Hotel!$F$2:$F$11)</f>
        <v>103</v>
      </c>
      <c r="D1119">
        <f t="shared" si="137"/>
        <v>57</v>
      </c>
      <c r="E1119">
        <f t="shared" si="138"/>
        <v>0.55339805825242716</v>
      </c>
      <c r="F1119">
        <f t="shared" si="139"/>
        <v>140</v>
      </c>
      <c r="G1119">
        <f t="shared" si="140"/>
        <v>77.475728155339809</v>
      </c>
      <c r="H1119" t="str">
        <f>_xlfn.XLOOKUP(A1119,Fact_Events!$D$2:$D$20,Fact_Events!$A$2:$A$20, "")</f>
        <v/>
      </c>
      <c r="I1119">
        <f t="shared" si="141"/>
        <v>0</v>
      </c>
      <c r="J1119" t="str">
        <f>_xlfn.XLOOKUP(H1119, Fact_Events!$A$2:$A$20, Fact_Events!$F$2:$F$20, "")</f>
        <v/>
      </c>
      <c r="K1119" t="str">
        <f t="shared" si="142"/>
        <v>Low</v>
      </c>
      <c r="L1119">
        <f t="shared" si="143"/>
        <v>0.55000000000000004</v>
      </c>
      <c r="M1119">
        <f>_xlfn.XLOOKUP(B1119, Dim_Hotel!$A$2:$A$11, Dim_Hotel!$I$2:$I$11)
 + (IF(J1119="",0,J1119)
    * _xlfn.XLOOKUP(B1119, Dim_Hotel!$A$2:$A$11, Dim_Hotel!$J$2:$J$11))</f>
        <v>140</v>
      </c>
    </row>
    <row r="1120" spans="1:13" x14ac:dyDescent="0.25">
      <c r="A1120" s="1">
        <f t="shared" si="136"/>
        <v>46134</v>
      </c>
      <c r="B1120" t="str" cm="1">
        <f t="array" ref="B1120">INDEX(HotelList,MOD(ROW()-2,10)+1)</f>
        <v>H009</v>
      </c>
      <c r="C1120">
        <f>_xlfn.XLOOKUP(B1120,Dim_Hotel!$A$2:$A$11,Dim_Hotel!$F$2:$F$11)</f>
        <v>114</v>
      </c>
      <c r="D1120">
        <f t="shared" si="137"/>
        <v>63</v>
      </c>
      <c r="E1120">
        <f t="shared" si="138"/>
        <v>0.55263157894736847</v>
      </c>
      <c r="F1120">
        <f t="shared" si="139"/>
        <v>185</v>
      </c>
      <c r="G1120">
        <f t="shared" si="140"/>
        <v>102.23684210526316</v>
      </c>
      <c r="H1120" t="str">
        <f>_xlfn.XLOOKUP(A1120,Fact_Events!$D$2:$D$20,Fact_Events!$A$2:$A$20, "")</f>
        <v/>
      </c>
      <c r="I1120">
        <f t="shared" si="141"/>
        <v>0</v>
      </c>
      <c r="J1120" t="str">
        <f>_xlfn.XLOOKUP(H1120, Fact_Events!$A$2:$A$20, Fact_Events!$F$2:$F$20, "")</f>
        <v/>
      </c>
      <c r="K1120" t="str">
        <f t="shared" si="142"/>
        <v>Low</v>
      </c>
      <c r="L1120">
        <f t="shared" si="143"/>
        <v>0.55000000000000004</v>
      </c>
      <c r="M1120">
        <f>_xlfn.XLOOKUP(B1120, Dim_Hotel!$A$2:$A$11, Dim_Hotel!$I$2:$I$11)
 + (IF(J1120="",0,J1120)
    * _xlfn.XLOOKUP(B1120, Dim_Hotel!$A$2:$A$11, Dim_Hotel!$J$2:$J$11))</f>
        <v>185</v>
      </c>
    </row>
    <row r="1121" spans="1:13" x14ac:dyDescent="0.25">
      <c r="A1121" s="1">
        <f t="shared" si="136"/>
        <v>46134</v>
      </c>
      <c r="B1121" t="str" cm="1">
        <f t="array" ref="B1121">INDEX(HotelList,MOD(ROW()-2,10)+1)</f>
        <v>H010</v>
      </c>
      <c r="C1121">
        <f>_xlfn.XLOOKUP(B1121,Dim_Hotel!$A$2:$A$11,Dim_Hotel!$F$2:$F$11)</f>
        <v>89</v>
      </c>
      <c r="D1121">
        <f t="shared" si="137"/>
        <v>49</v>
      </c>
      <c r="E1121">
        <f t="shared" si="138"/>
        <v>0.550561797752809</v>
      </c>
      <c r="F1121">
        <f t="shared" si="139"/>
        <v>150</v>
      </c>
      <c r="G1121">
        <f t="shared" si="140"/>
        <v>82.584269662921344</v>
      </c>
      <c r="H1121" t="str">
        <f>_xlfn.XLOOKUP(A1121,Fact_Events!$D$2:$D$20,Fact_Events!$A$2:$A$20, "")</f>
        <v/>
      </c>
      <c r="I1121">
        <f t="shared" si="141"/>
        <v>0</v>
      </c>
      <c r="J1121" t="str">
        <f>_xlfn.XLOOKUP(H1121, Fact_Events!$A$2:$A$20, Fact_Events!$F$2:$F$20, "")</f>
        <v/>
      </c>
      <c r="K1121" t="str">
        <f t="shared" si="142"/>
        <v>Low</v>
      </c>
      <c r="L1121">
        <f t="shared" si="143"/>
        <v>0.55000000000000004</v>
      </c>
      <c r="M1121">
        <f>_xlfn.XLOOKUP(B1121, Dim_Hotel!$A$2:$A$11, Dim_Hotel!$I$2:$I$11)
 + (IF(J1121="",0,J1121)
    * _xlfn.XLOOKUP(B1121, Dim_Hotel!$A$2:$A$11, Dim_Hotel!$J$2:$J$11))</f>
        <v>150</v>
      </c>
    </row>
    <row r="1122" spans="1:13" x14ac:dyDescent="0.25">
      <c r="A1122" s="1">
        <f t="shared" si="136"/>
        <v>46135</v>
      </c>
      <c r="B1122" t="str" cm="1">
        <f t="array" ref="B1122">INDEX(HotelList,MOD(ROW()-2,10)+1)</f>
        <v>H001</v>
      </c>
      <c r="C1122">
        <f>_xlfn.XLOOKUP(B1122,Dim_Hotel!$A$2:$A$11,Dim_Hotel!$F$2:$F$11)</f>
        <v>888</v>
      </c>
      <c r="D1122">
        <f t="shared" si="137"/>
        <v>488</v>
      </c>
      <c r="E1122">
        <f t="shared" si="138"/>
        <v>0.5495495495495496</v>
      </c>
      <c r="F1122">
        <f t="shared" si="139"/>
        <v>260</v>
      </c>
      <c r="G1122">
        <f t="shared" si="140"/>
        <v>142.88288288288288</v>
      </c>
      <c r="H1122" t="str">
        <f>_xlfn.XLOOKUP(A1122,Fact_Events!$D$2:$D$20,Fact_Events!$A$2:$A$20, "")</f>
        <v/>
      </c>
      <c r="I1122">
        <f t="shared" si="141"/>
        <v>0</v>
      </c>
      <c r="J1122" t="str">
        <f>_xlfn.XLOOKUP(H1122, Fact_Events!$A$2:$A$20, Fact_Events!$F$2:$F$20, "")</f>
        <v/>
      </c>
      <c r="K1122" t="str">
        <f t="shared" si="142"/>
        <v>Low</v>
      </c>
      <c r="L1122">
        <f t="shared" si="143"/>
        <v>0.55000000000000004</v>
      </c>
      <c r="M1122">
        <f>_xlfn.XLOOKUP(B1122, Dim_Hotel!$A$2:$A$11, Dim_Hotel!$I$2:$I$11)
 + (IF(J1122="",0,J1122)
    * _xlfn.XLOOKUP(B1122, Dim_Hotel!$A$2:$A$11, Dim_Hotel!$J$2:$J$11))</f>
        <v>260</v>
      </c>
    </row>
    <row r="1123" spans="1:13" x14ac:dyDescent="0.25">
      <c r="A1123" s="1">
        <f t="shared" si="136"/>
        <v>46135</v>
      </c>
      <c r="B1123" t="str" cm="1">
        <f t="array" ref="B1123">INDEX(HotelList,MOD(ROW()-2,10)+1)</f>
        <v>H002</v>
      </c>
      <c r="C1123">
        <f>_xlfn.XLOOKUP(B1123,Dim_Hotel!$A$2:$A$11,Dim_Hotel!$F$2:$F$11)</f>
        <v>147</v>
      </c>
      <c r="D1123">
        <f t="shared" si="137"/>
        <v>81</v>
      </c>
      <c r="E1123">
        <f t="shared" si="138"/>
        <v>0.55102040816326525</v>
      </c>
      <c r="F1123">
        <f t="shared" si="139"/>
        <v>175</v>
      </c>
      <c r="G1123">
        <f t="shared" si="140"/>
        <v>96.428571428571416</v>
      </c>
      <c r="H1123" t="str">
        <f>_xlfn.XLOOKUP(A1123,Fact_Events!$D$2:$D$20,Fact_Events!$A$2:$A$20, "")</f>
        <v/>
      </c>
      <c r="I1123">
        <f t="shared" si="141"/>
        <v>0</v>
      </c>
      <c r="J1123" t="str">
        <f>_xlfn.XLOOKUP(H1123, Fact_Events!$A$2:$A$20, Fact_Events!$F$2:$F$20, "")</f>
        <v/>
      </c>
      <c r="K1123" t="str">
        <f t="shared" si="142"/>
        <v>Low</v>
      </c>
      <c r="L1123">
        <f t="shared" si="143"/>
        <v>0.55000000000000004</v>
      </c>
      <c r="M1123">
        <f>_xlfn.XLOOKUP(B1123, Dim_Hotel!$A$2:$A$11, Dim_Hotel!$I$2:$I$11)
 + (IF(J1123="",0,J1123)
    * _xlfn.XLOOKUP(B1123, Dim_Hotel!$A$2:$A$11, Dim_Hotel!$J$2:$J$11))</f>
        <v>175</v>
      </c>
    </row>
    <row r="1124" spans="1:13" x14ac:dyDescent="0.25">
      <c r="A1124" s="1">
        <f t="shared" si="136"/>
        <v>46135</v>
      </c>
      <c r="B1124" t="str" cm="1">
        <f t="array" ref="B1124">INDEX(HotelList,MOD(ROW()-2,10)+1)</f>
        <v>H003</v>
      </c>
      <c r="C1124">
        <f>_xlfn.XLOOKUP(B1124,Dim_Hotel!$A$2:$A$11,Dim_Hotel!$F$2:$F$11)</f>
        <v>121</v>
      </c>
      <c r="D1124">
        <f t="shared" si="137"/>
        <v>67</v>
      </c>
      <c r="E1124">
        <f t="shared" si="138"/>
        <v>0.55371900826446285</v>
      </c>
      <c r="F1124">
        <f t="shared" si="139"/>
        <v>145</v>
      </c>
      <c r="G1124">
        <f t="shared" si="140"/>
        <v>80.289256198347118</v>
      </c>
      <c r="H1124" t="str">
        <f>_xlfn.XLOOKUP(A1124,Fact_Events!$D$2:$D$20,Fact_Events!$A$2:$A$20, "")</f>
        <v/>
      </c>
      <c r="I1124">
        <f t="shared" si="141"/>
        <v>0</v>
      </c>
      <c r="J1124" t="str">
        <f>_xlfn.XLOOKUP(H1124, Fact_Events!$A$2:$A$20, Fact_Events!$F$2:$F$20, "")</f>
        <v/>
      </c>
      <c r="K1124" t="str">
        <f t="shared" si="142"/>
        <v>Low</v>
      </c>
      <c r="L1124">
        <f t="shared" si="143"/>
        <v>0.55000000000000004</v>
      </c>
      <c r="M1124">
        <f>_xlfn.XLOOKUP(B1124, Dim_Hotel!$A$2:$A$11, Dim_Hotel!$I$2:$I$11)
 + (IF(J1124="",0,J1124)
    * _xlfn.XLOOKUP(B1124, Dim_Hotel!$A$2:$A$11, Dim_Hotel!$J$2:$J$11))</f>
        <v>145</v>
      </c>
    </row>
    <row r="1125" spans="1:13" x14ac:dyDescent="0.25">
      <c r="A1125" s="1">
        <f t="shared" si="136"/>
        <v>46135</v>
      </c>
      <c r="B1125" t="str" cm="1">
        <f t="array" ref="B1125">INDEX(HotelList,MOD(ROW()-2,10)+1)</f>
        <v>H004</v>
      </c>
      <c r="C1125">
        <f>_xlfn.XLOOKUP(B1125,Dim_Hotel!$A$2:$A$11,Dim_Hotel!$F$2:$F$11)</f>
        <v>108</v>
      </c>
      <c r="D1125">
        <f t="shared" si="137"/>
        <v>59</v>
      </c>
      <c r="E1125">
        <f t="shared" si="138"/>
        <v>0.54629629629629628</v>
      </c>
      <c r="F1125">
        <f t="shared" si="139"/>
        <v>135</v>
      </c>
      <c r="G1125">
        <f t="shared" si="140"/>
        <v>73.75</v>
      </c>
      <c r="H1125" t="str">
        <f>_xlfn.XLOOKUP(A1125,Fact_Events!$D$2:$D$20,Fact_Events!$A$2:$A$20, "")</f>
        <v/>
      </c>
      <c r="I1125">
        <f t="shared" si="141"/>
        <v>0</v>
      </c>
      <c r="J1125" t="str">
        <f>_xlfn.XLOOKUP(H1125, Fact_Events!$A$2:$A$20, Fact_Events!$F$2:$F$20, "")</f>
        <v/>
      </c>
      <c r="K1125" t="str">
        <f t="shared" si="142"/>
        <v>Low</v>
      </c>
      <c r="L1125">
        <f t="shared" si="143"/>
        <v>0.55000000000000004</v>
      </c>
      <c r="M1125">
        <f>_xlfn.XLOOKUP(B1125, Dim_Hotel!$A$2:$A$11, Dim_Hotel!$I$2:$I$11)
 + (IF(J1125="",0,J1125)
    * _xlfn.XLOOKUP(B1125, Dim_Hotel!$A$2:$A$11, Dim_Hotel!$J$2:$J$11))</f>
        <v>135</v>
      </c>
    </row>
    <row r="1126" spans="1:13" x14ac:dyDescent="0.25">
      <c r="A1126" s="1">
        <f t="shared" si="136"/>
        <v>46135</v>
      </c>
      <c r="B1126" t="str" cm="1">
        <f t="array" ref="B1126">INDEX(HotelList,MOD(ROW()-2,10)+1)</f>
        <v>H005</v>
      </c>
      <c r="C1126">
        <f>_xlfn.XLOOKUP(B1126,Dim_Hotel!$A$2:$A$11,Dim_Hotel!$F$2:$F$11)</f>
        <v>66</v>
      </c>
      <c r="D1126">
        <f t="shared" si="137"/>
        <v>36</v>
      </c>
      <c r="E1126">
        <f t="shared" si="138"/>
        <v>0.54545454545454541</v>
      </c>
      <c r="F1126">
        <f t="shared" si="139"/>
        <v>82</v>
      </c>
      <c r="G1126">
        <f t="shared" si="140"/>
        <v>44.727272727272727</v>
      </c>
      <c r="H1126" t="str">
        <f>_xlfn.XLOOKUP(A1126,Fact_Events!$D$2:$D$20,Fact_Events!$A$2:$A$20, "")</f>
        <v/>
      </c>
      <c r="I1126">
        <f t="shared" si="141"/>
        <v>0</v>
      </c>
      <c r="J1126" t="str">
        <f>_xlfn.XLOOKUP(H1126, Fact_Events!$A$2:$A$20, Fact_Events!$F$2:$F$20, "")</f>
        <v/>
      </c>
      <c r="K1126" t="str">
        <f t="shared" si="142"/>
        <v>Low</v>
      </c>
      <c r="L1126">
        <f t="shared" si="143"/>
        <v>0.55000000000000004</v>
      </c>
      <c r="M1126">
        <f>_xlfn.XLOOKUP(B1126, Dim_Hotel!$A$2:$A$11, Dim_Hotel!$I$2:$I$11)
 + (IF(J1126="",0,J1126)
    * _xlfn.XLOOKUP(B1126, Dim_Hotel!$A$2:$A$11, Dim_Hotel!$J$2:$J$11))</f>
        <v>82</v>
      </c>
    </row>
    <row r="1127" spans="1:13" x14ac:dyDescent="0.25">
      <c r="A1127" s="1">
        <f t="shared" si="136"/>
        <v>46135</v>
      </c>
      <c r="B1127" t="str" cm="1">
        <f t="array" ref="B1127">INDEX(HotelList,MOD(ROW()-2,10)+1)</f>
        <v>H006</v>
      </c>
      <c r="C1127">
        <f>_xlfn.XLOOKUP(B1127,Dim_Hotel!$A$2:$A$11,Dim_Hotel!$F$2:$F$11)</f>
        <v>311</v>
      </c>
      <c r="D1127">
        <f t="shared" si="137"/>
        <v>171</v>
      </c>
      <c r="E1127">
        <f t="shared" si="138"/>
        <v>0.54983922829581988</v>
      </c>
      <c r="F1127">
        <f t="shared" si="139"/>
        <v>190</v>
      </c>
      <c r="G1127">
        <f t="shared" si="140"/>
        <v>104.46945337620578</v>
      </c>
      <c r="H1127" t="str">
        <f>_xlfn.XLOOKUP(A1127,Fact_Events!$D$2:$D$20,Fact_Events!$A$2:$A$20, "")</f>
        <v/>
      </c>
      <c r="I1127">
        <f t="shared" si="141"/>
        <v>0</v>
      </c>
      <c r="J1127" t="str">
        <f>_xlfn.XLOOKUP(H1127, Fact_Events!$A$2:$A$20, Fact_Events!$F$2:$F$20, "")</f>
        <v/>
      </c>
      <c r="K1127" t="str">
        <f t="shared" si="142"/>
        <v>Low</v>
      </c>
      <c r="L1127">
        <f t="shared" si="143"/>
        <v>0.55000000000000004</v>
      </c>
      <c r="M1127">
        <f>_xlfn.XLOOKUP(B1127, Dim_Hotel!$A$2:$A$11, Dim_Hotel!$I$2:$I$11)
 + (IF(J1127="",0,J1127)
    * _xlfn.XLOOKUP(B1127, Dim_Hotel!$A$2:$A$11, Dim_Hotel!$J$2:$J$11))</f>
        <v>190</v>
      </c>
    </row>
    <row r="1128" spans="1:13" x14ac:dyDescent="0.25">
      <c r="A1128" s="1">
        <f t="shared" si="136"/>
        <v>46135</v>
      </c>
      <c r="B1128" t="str" cm="1">
        <f t="array" ref="B1128">INDEX(HotelList,MOD(ROW()-2,10)+1)</f>
        <v>H007</v>
      </c>
      <c r="C1128">
        <f>_xlfn.XLOOKUP(B1128,Dim_Hotel!$A$2:$A$11,Dim_Hotel!$F$2:$F$11)</f>
        <v>132</v>
      </c>
      <c r="D1128">
        <f t="shared" si="137"/>
        <v>73</v>
      </c>
      <c r="E1128">
        <f t="shared" si="138"/>
        <v>0.55303030303030298</v>
      </c>
      <c r="F1128">
        <f t="shared" si="139"/>
        <v>165</v>
      </c>
      <c r="G1128">
        <f t="shared" si="140"/>
        <v>91.249999999999986</v>
      </c>
      <c r="H1128" t="str">
        <f>_xlfn.XLOOKUP(A1128,Fact_Events!$D$2:$D$20,Fact_Events!$A$2:$A$20, "")</f>
        <v/>
      </c>
      <c r="I1128">
        <f t="shared" si="141"/>
        <v>0</v>
      </c>
      <c r="J1128" t="str">
        <f>_xlfn.XLOOKUP(H1128, Fact_Events!$A$2:$A$20, Fact_Events!$F$2:$F$20, "")</f>
        <v/>
      </c>
      <c r="K1128" t="str">
        <f t="shared" si="142"/>
        <v>Low</v>
      </c>
      <c r="L1128">
        <f t="shared" si="143"/>
        <v>0.55000000000000004</v>
      </c>
      <c r="M1128">
        <f>_xlfn.XLOOKUP(B1128, Dim_Hotel!$A$2:$A$11, Dim_Hotel!$I$2:$I$11)
 + (IF(J1128="",0,J1128)
    * _xlfn.XLOOKUP(B1128, Dim_Hotel!$A$2:$A$11, Dim_Hotel!$J$2:$J$11))</f>
        <v>165</v>
      </c>
    </row>
    <row r="1129" spans="1:13" x14ac:dyDescent="0.25">
      <c r="A1129" s="1">
        <f t="shared" si="136"/>
        <v>46135</v>
      </c>
      <c r="B1129" t="str" cm="1">
        <f t="array" ref="B1129">INDEX(HotelList,MOD(ROW()-2,10)+1)</f>
        <v>H008</v>
      </c>
      <c r="C1129">
        <f>_xlfn.XLOOKUP(B1129,Dim_Hotel!$A$2:$A$11,Dim_Hotel!$F$2:$F$11)</f>
        <v>103</v>
      </c>
      <c r="D1129">
        <f t="shared" si="137"/>
        <v>57</v>
      </c>
      <c r="E1129">
        <f t="shared" si="138"/>
        <v>0.55339805825242716</v>
      </c>
      <c r="F1129">
        <f t="shared" si="139"/>
        <v>140</v>
      </c>
      <c r="G1129">
        <f t="shared" si="140"/>
        <v>77.475728155339809</v>
      </c>
      <c r="H1129" t="str">
        <f>_xlfn.XLOOKUP(A1129,Fact_Events!$D$2:$D$20,Fact_Events!$A$2:$A$20, "")</f>
        <v/>
      </c>
      <c r="I1129">
        <f t="shared" si="141"/>
        <v>0</v>
      </c>
      <c r="J1129" t="str">
        <f>_xlfn.XLOOKUP(H1129, Fact_Events!$A$2:$A$20, Fact_Events!$F$2:$F$20, "")</f>
        <v/>
      </c>
      <c r="K1129" t="str">
        <f t="shared" si="142"/>
        <v>Low</v>
      </c>
      <c r="L1129">
        <f t="shared" si="143"/>
        <v>0.55000000000000004</v>
      </c>
      <c r="M1129">
        <f>_xlfn.XLOOKUP(B1129, Dim_Hotel!$A$2:$A$11, Dim_Hotel!$I$2:$I$11)
 + (IF(J1129="",0,J1129)
    * _xlfn.XLOOKUP(B1129, Dim_Hotel!$A$2:$A$11, Dim_Hotel!$J$2:$J$11))</f>
        <v>140</v>
      </c>
    </row>
    <row r="1130" spans="1:13" x14ac:dyDescent="0.25">
      <c r="A1130" s="1">
        <f t="shared" si="136"/>
        <v>46135</v>
      </c>
      <c r="B1130" t="str" cm="1">
        <f t="array" ref="B1130">INDEX(HotelList,MOD(ROW()-2,10)+1)</f>
        <v>H009</v>
      </c>
      <c r="C1130">
        <f>_xlfn.XLOOKUP(B1130,Dim_Hotel!$A$2:$A$11,Dim_Hotel!$F$2:$F$11)</f>
        <v>114</v>
      </c>
      <c r="D1130">
        <f t="shared" si="137"/>
        <v>63</v>
      </c>
      <c r="E1130">
        <f t="shared" si="138"/>
        <v>0.55263157894736847</v>
      </c>
      <c r="F1130">
        <f t="shared" si="139"/>
        <v>185</v>
      </c>
      <c r="G1130">
        <f t="shared" si="140"/>
        <v>102.23684210526316</v>
      </c>
      <c r="H1130" t="str">
        <f>_xlfn.XLOOKUP(A1130,Fact_Events!$D$2:$D$20,Fact_Events!$A$2:$A$20, "")</f>
        <v/>
      </c>
      <c r="I1130">
        <f t="shared" si="141"/>
        <v>0</v>
      </c>
      <c r="J1130" t="str">
        <f>_xlfn.XLOOKUP(H1130, Fact_Events!$A$2:$A$20, Fact_Events!$F$2:$F$20, "")</f>
        <v/>
      </c>
      <c r="K1130" t="str">
        <f t="shared" si="142"/>
        <v>Low</v>
      </c>
      <c r="L1130">
        <f t="shared" si="143"/>
        <v>0.55000000000000004</v>
      </c>
      <c r="M1130">
        <f>_xlfn.XLOOKUP(B1130, Dim_Hotel!$A$2:$A$11, Dim_Hotel!$I$2:$I$11)
 + (IF(J1130="",0,J1130)
    * _xlfn.XLOOKUP(B1130, Dim_Hotel!$A$2:$A$11, Dim_Hotel!$J$2:$J$11))</f>
        <v>185</v>
      </c>
    </row>
    <row r="1131" spans="1:13" x14ac:dyDescent="0.25">
      <c r="A1131" s="1">
        <f t="shared" si="136"/>
        <v>46135</v>
      </c>
      <c r="B1131" t="str" cm="1">
        <f t="array" ref="B1131">INDEX(HotelList,MOD(ROW()-2,10)+1)</f>
        <v>H010</v>
      </c>
      <c r="C1131">
        <f>_xlfn.XLOOKUP(B1131,Dim_Hotel!$A$2:$A$11,Dim_Hotel!$F$2:$F$11)</f>
        <v>89</v>
      </c>
      <c r="D1131">
        <f t="shared" si="137"/>
        <v>49</v>
      </c>
      <c r="E1131">
        <f t="shared" si="138"/>
        <v>0.550561797752809</v>
      </c>
      <c r="F1131">
        <f t="shared" si="139"/>
        <v>150</v>
      </c>
      <c r="G1131">
        <f t="shared" si="140"/>
        <v>82.584269662921344</v>
      </c>
      <c r="H1131" t="str">
        <f>_xlfn.XLOOKUP(A1131,Fact_Events!$D$2:$D$20,Fact_Events!$A$2:$A$20, "")</f>
        <v/>
      </c>
      <c r="I1131">
        <f t="shared" si="141"/>
        <v>0</v>
      </c>
      <c r="J1131" t="str">
        <f>_xlfn.XLOOKUP(H1131, Fact_Events!$A$2:$A$20, Fact_Events!$F$2:$F$20, "")</f>
        <v/>
      </c>
      <c r="K1131" t="str">
        <f t="shared" si="142"/>
        <v>Low</v>
      </c>
      <c r="L1131">
        <f t="shared" si="143"/>
        <v>0.55000000000000004</v>
      </c>
      <c r="M1131">
        <f>_xlfn.XLOOKUP(B1131, Dim_Hotel!$A$2:$A$11, Dim_Hotel!$I$2:$I$11)
 + (IF(J1131="",0,J1131)
    * _xlfn.XLOOKUP(B1131, Dim_Hotel!$A$2:$A$11, Dim_Hotel!$J$2:$J$11))</f>
        <v>150</v>
      </c>
    </row>
    <row r="1132" spans="1:13" x14ac:dyDescent="0.25">
      <c r="A1132" s="1">
        <f t="shared" si="136"/>
        <v>46136</v>
      </c>
      <c r="B1132" t="str" cm="1">
        <f t="array" ref="B1132">INDEX(HotelList,MOD(ROW()-2,10)+1)</f>
        <v>H001</v>
      </c>
      <c r="C1132">
        <f>_xlfn.XLOOKUP(B1132,Dim_Hotel!$A$2:$A$11,Dim_Hotel!$F$2:$F$11)</f>
        <v>888</v>
      </c>
      <c r="D1132">
        <f t="shared" si="137"/>
        <v>746</v>
      </c>
      <c r="E1132">
        <f t="shared" si="138"/>
        <v>0.84009009009009006</v>
      </c>
      <c r="F1132">
        <f t="shared" si="139"/>
        <v>332</v>
      </c>
      <c r="G1132">
        <f t="shared" si="140"/>
        <v>278.90990990990991</v>
      </c>
      <c r="H1132" t="str">
        <f>_xlfn.XLOOKUP(A1132,Fact_Events!$D$2:$D$20,Fact_Events!$A$2:$A$20, "")</f>
        <v>E006</v>
      </c>
      <c r="I1132">
        <f t="shared" si="141"/>
        <v>1</v>
      </c>
      <c r="J1132">
        <f>_xlfn.XLOOKUP(H1132, Fact_Events!$A$2:$A$20, Fact_Events!$F$2:$F$20, "")</f>
        <v>4</v>
      </c>
      <c r="K1132" t="str">
        <f t="shared" si="142"/>
        <v>Medium</v>
      </c>
      <c r="L1132">
        <f t="shared" si="143"/>
        <v>0.84000000000000008</v>
      </c>
      <c r="M1132">
        <f>_xlfn.XLOOKUP(B1132, Dim_Hotel!$A$2:$A$11, Dim_Hotel!$I$2:$I$11)
 + (IF(J1132="",0,J1132)
    * _xlfn.XLOOKUP(B1132, Dim_Hotel!$A$2:$A$11, Dim_Hotel!$J$2:$J$11))</f>
        <v>332</v>
      </c>
    </row>
    <row r="1133" spans="1:13" x14ac:dyDescent="0.25">
      <c r="A1133" s="1">
        <f t="shared" si="136"/>
        <v>46136</v>
      </c>
      <c r="B1133" t="str" cm="1">
        <f t="array" ref="B1133">INDEX(HotelList,MOD(ROW()-2,10)+1)</f>
        <v>H002</v>
      </c>
      <c r="C1133">
        <f>_xlfn.XLOOKUP(B1133,Dim_Hotel!$A$2:$A$11,Dim_Hotel!$F$2:$F$11)</f>
        <v>147</v>
      </c>
      <c r="D1133">
        <f t="shared" si="137"/>
        <v>123</v>
      </c>
      <c r="E1133">
        <f t="shared" si="138"/>
        <v>0.83673469387755106</v>
      </c>
      <c r="F1133">
        <f t="shared" si="139"/>
        <v>231</v>
      </c>
      <c r="G1133">
        <f t="shared" si="140"/>
        <v>193.28571428571431</v>
      </c>
      <c r="H1133" t="str">
        <f>_xlfn.XLOOKUP(A1133,Fact_Events!$D$2:$D$20,Fact_Events!$A$2:$A$20, "")</f>
        <v>E006</v>
      </c>
      <c r="I1133">
        <f t="shared" si="141"/>
        <v>1</v>
      </c>
      <c r="J1133">
        <f>_xlfn.XLOOKUP(H1133, Fact_Events!$A$2:$A$20, Fact_Events!$F$2:$F$20, "")</f>
        <v>4</v>
      </c>
      <c r="K1133" t="str">
        <f t="shared" si="142"/>
        <v>Medium</v>
      </c>
      <c r="L1133">
        <f t="shared" si="143"/>
        <v>0.84000000000000008</v>
      </c>
      <c r="M1133">
        <f>_xlfn.XLOOKUP(B1133, Dim_Hotel!$A$2:$A$11, Dim_Hotel!$I$2:$I$11)
 + (IF(J1133="",0,J1133)
    * _xlfn.XLOOKUP(B1133, Dim_Hotel!$A$2:$A$11, Dim_Hotel!$J$2:$J$11))</f>
        <v>231</v>
      </c>
    </row>
    <row r="1134" spans="1:13" x14ac:dyDescent="0.25">
      <c r="A1134" s="1">
        <f t="shared" si="136"/>
        <v>46136</v>
      </c>
      <c r="B1134" t="str" cm="1">
        <f t="array" ref="B1134">INDEX(HotelList,MOD(ROW()-2,10)+1)</f>
        <v>H003</v>
      </c>
      <c r="C1134">
        <f>_xlfn.XLOOKUP(B1134,Dim_Hotel!$A$2:$A$11,Dim_Hotel!$F$2:$F$11)</f>
        <v>121</v>
      </c>
      <c r="D1134">
        <f t="shared" si="137"/>
        <v>102</v>
      </c>
      <c r="E1134">
        <f t="shared" si="138"/>
        <v>0.84297520661157022</v>
      </c>
      <c r="F1134">
        <f t="shared" si="139"/>
        <v>193</v>
      </c>
      <c r="G1134">
        <f t="shared" si="140"/>
        <v>162.69421487603304</v>
      </c>
      <c r="H1134" t="str">
        <f>_xlfn.XLOOKUP(A1134,Fact_Events!$D$2:$D$20,Fact_Events!$A$2:$A$20, "")</f>
        <v>E006</v>
      </c>
      <c r="I1134">
        <f t="shared" si="141"/>
        <v>1</v>
      </c>
      <c r="J1134">
        <f>_xlfn.XLOOKUP(H1134, Fact_Events!$A$2:$A$20, Fact_Events!$F$2:$F$20, "")</f>
        <v>4</v>
      </c>
      <c r="K1134" t="str">
        <f t="shared" si="142"/>
        <v>Medium</v>
      </c>
      <c r="L1134">
        <f t="shared" si="143"/>
        <v>0.84000000000000008</v>
      </c>
      <c r="M1134">
        <f>_xlfn.XLOOKUP(B1134, Dim_Hotel!$A$2:$A$11, Dim_Hotel!$I$2:$I$11)
 + (IF(J1134="",0,J1134)
    * _xlfn.XLOOKUP(B1134, Dim_Hotel!$A$2:$A$11, Dim_Hotel!$J$2:$J$11))</f>
        <v>193</v>
      </c>
    </row>
    <row r="1135" spans="1:13" x14ac:dyDescent="0.25">
      <c r="A1135" s="1">
        <f t="shared" si="136"/>
        <v>46136</v>
      </c>
      <c r="B1135" t="str" cm="1">
        <f t="array" ref="B1135">INDEX(HotelList,MOD(ROW()-2,10)+1)</f>
        <v>H004</v>
      </c>
      <c r="C1135">
        <f>_xlfn.XLOOKUP(B1135,Dim_Hotel!$A$2:$A$11,Dim_Hotel!$F$2:$F$11)</f>
        <v>108</v>
      </c>
      <c r="D1135">
        <f t="shared" si="137"/>
        <v>91</v>
      </c>
      <c r="E1135">
        <f t="shared" si="138"/>
        <v>0.84259259259259256</v>
      </c>
      <c r="F1135">
        <f t="shared" si="139"/>
        <v>183</v>
      </c>
      <c r="G1135">
        <f t="shared" si="140"/>
        <v>154.19444444444443</v>
      </c>
      <c r="H1135" t="str">
        <f>_xlfn.XLOOKUP(A1135,Fact_Events!$D$2:$D$20,Fact_Events!$A$2:$A$20, "")</f>
        <v>E006</v>
      </c>
      <c r="I1135">
        <f t="shared" si="141"/>
        <v>1</v>
      </c>
      <c r="J1135">
        <f>_xlfn.XLOOKUP(H1135, Fact_Events!$A$2:$A$20, Fact_Events!$F$2:$F$20, "")</f>
        <v>4</v>
      </c>
      <c r="K1135" t="str">
        <f t="shared" si="142"/>
        <v>Medium</v>
      </c>
      <c r="L1135">
        <f t="shared" si="143"/>
        <v>0.84000000000000008</v>
      </c>
      <c r="M1135">
        <f>_xlfn.XLOOKUP(B1135, Dim_Hotel!$A$2:$A$11, Dim_Hotel!$I$2:$I$11)
 + (IF(J1135="",0,J1135)
    * _xlfn.XLOOKUP(B1135, Dim_Hotel!$A$2:$A$11, Dim_Hotel!$J$2:$J$11))</f>
        <v>183</v>
      </c>
    </row>
    <row r="1136" spans="1:13" x14ac:dyDescent="0.25">
      <c r="A1136" s="1">
        <f t="shared" si="136"/>
        <v>46136</v>
      </c>
      <c r="B1136" t="str" cm="1">
        <f t="array" ref="B1136">INDEX(HotelList,MOD(ROW()-2,10)+1)</f>
        <v>H005</v>
      </c>
      <c r="C1136">
        <f>_xlfn.XLOOKUP(B1136,Dim_Hotel!$A$2:$A$11,Dim_Hotel!$F$2:$F$11)</f>
        <v>66</v>
      </c>
      <c r="D1136">
        <f t="shared" si="137"/>
        <v>55</v>
      </c>
      <c r="E1136">
        <f t="shared" si="138"/>
        <v>0.83333333333333337</v>
      </c>
      <c r="F1136">
        <f t="shared" si="139"/>
        <v>114</v>
      </c>
      <c r="G1136">
        <f t="shared" si="140"/>
        <v>95</v>
      </c>
      <c r="H1136" t="str">
        <f>_xlfn.XLOOKUP(A1136,Fact_Events!$D$2:$D$20,Fact_Events!$A$2:$A$20, "")</f>
        <v>E006</v>
      </c>
      <c r="I1136">
        <f t="shared" si="141"/>
        <v>1</v>
      </c>
      <c r="J1136">
        <f>_xlfn.XLOOKUP(H1136, Fact_Events!$A$2:$A$20, Fact_Events!$F$2:$F$20, "")</f>
        <v>4</v>
      </c>
      <c r="K1136" t="str">
        <f t="shared" si="142"/>
        <v>Medium</v>
      </c>
      <c r="L1136">
        <f t="shared" si="143"/>
        <v>0.84000000000000008</v>
      </c>
      <c r="M1136">
        <f>_xlfn.XLOOKUP(B1136, Dim_Hotel!$A$2:$A$11, Dim_Hotel!$I$2:$I$11)
 + (IF(J1136="",0,J1136)
    * _xlfn.XLOOKUP(B1136, Dim_Hotel!$A$2:$A$11, Dim_Hotel!$J$2:$J$11))</f>
        <v>114</v>
      </c>
    </row>
    <row r="1137" spans="1:13" x14ac:dyDescent="0.25">
      <c r="A1137" s="1">
        <f t="shared" si="136"/>
        <v>46136</v>
      </c>
      <c r="B1137" t="str" cm="1">
        <f t="array" ref="B1137">INDEX(HotelList,MOD(ROW()-2,10)+1)</f>
        <v>H006</v>
      </c>
      <c r="C1137">
        <f>_xlfn.XLOOKUP(B1137,Dim_Hotel!$A$2:$A$11,Dim_Hotel!$F$2:$F$11)</f>
        <v>311</v>
      </c>
      <c r="D1137">
        <f t="shared" si="137"/>
        <v>261</v>
      </c>
      <c r="E1137">
        <f t="shared" si="138"/>
        <v>0.83922829581993574</v>
      </c>
      <c r="F1137">
        <f t="shared" si="139"/>
        <v>250</v>
      </c>
      <c r="G1137">
        <f t="shared" si="140"/>
        <v>209.80707395498393</v>
      </c>
      <c r="H1137" t="str">
        <f>_xlfn.XLOOKUP(A1137,Fact_Events!$D$2:$D$20,Fact_Events!$A$2:$A$20, "")</f>
        <v>E006</v>
      </c>
      <c r="I1137">
        <f t="shared" si="141"/>
        <v>1</v>
      </c>
      <c r="J1137">
        <f>_xlfn.XLOOKUP(H1137, Fact_Events!$A$2:$A$20, Fact_Events!$F$2:$F$20, "")</f>
        <v>4</v>
      </c>
      <c r="K1137" t="str">
        <f t="shared" si="142"/>
        <v>Medium</v>
      </c>
      <c r="L1137">
        <f t="shared" si="143"/>
        <v>0.84000000000000008</v>
      </c>
      <c r="M1137">
        <f>_xlfn.XLOOKUP(B1137, Dim_Hotel!$A$2:$A$11, Dim_Hotel!$I$2:$I$11)
 + (IF(J1137="",0,J1137)
    * _xlfn.XLOOKUP(B1137, Dim_Hotel!$A$2:$A$11, Dim_Hotel!$J$2:$J$11))</f>
        <v>250</v>
      </c>
    </row>
    <row r="1138" spans="1:13" x14ac:dyDescent="0.25">
      <c r="A1138" s="1">
        <f t="shared" si="136"/>
        <v>46136</v>
      </c>
      <c r="B1138" t="str" cm="1">
        <f t="array" ref="B1138">INDEX(HotelList,MOD(ROW()-2,10)+1)</f>
        <v>H007</v>
      </c>
      <c r="C1138">
        <f>_xlfn.XLOOKUP(B1138,Dim_Hotel!$A$2:$A$11,Dim_Hotel!$F$2:$F$11)</f>
        <v>132</v>
      </c>
      <c r="D1138">
        <f t="shared" si="137"/>
        <v>111</v>
      </c>
      <c r="E1138">
        <f t="shared" si="138"/>
        <v>0.84090909090909094</v>
      </c>
      <c r="F1138">
        <f t="shared" si="139"/>
        <v>217</v>
      </c>
      <c r="G1138">
        <f t="shared" si="140"/>
        <v>182.47727272727275</v>
      </c>
      <c r="H1138" t="str">
        <f>_xlfn.XLOOKUP(A1138,Fact_Events!$D$2:$D$20,Fact_Events!$A$2:$A$20, "")</f>
        <v>E006</v>
      </c>
      <c r="I1138">
        <f t="shared" si="141"/>
        <v>1</v>
      </c>
      <c r="J1138">
        <f>_xlfn.XLOOKUP(H1138, Fact_Events!$A$2:$A$20, Fact_Events!$F$2:$F$20, "")</f>
        <v>4</v>
      </c>
      <c r="K1138" t="str">
        <f t="shared" si="142"/>
        <v>Medium</v>
      </c>
      <c r="L1138">
        <f t="shared" si="143"/>
        <v>0.84000000000000008</v>
      </c>
      <c r="M1138">
        <f>_xlfn.XLOOKUP(B1138, Dim_Hotel!$A$2:$A$11, Dim_Hotel!$I$2:$I$11)
 + (IF(J1138="",0,J1138)
    * _xlfn.XLOOKUP(B1138, Dim_Hotel!$A$2:$A$11, Dim_Hotel!$J$2:$J$11))</f>
        <v>217</v>
      </c>
    </row>
    <row r="1139" spans="1:13" x14ac:dyDescent="0.25">
      <c r="A1139" s="1">
        <f t="shared" si="136"/>
        <v>46136</v>
      </c>
      <c r="B1139" t="str" cm="1">
        <f t="array" ref="B1139">INDEX(HotelList,MOD(ROW()-2,10)+1)</f>
        <v>H008</v>
      </c>
      <c r="C1139">
        <f>_xlfn.XLOOKUP(B1139,Dim_Hotel!$A$2:$A$11,Dim_Hotel!$F$2:$F$11)</f>
        <v>103</v>
      </c>
      <c r="D1139">
        <f t="shared" si="137"/>
        <v>87</v>
      </c>
      <c r="E1139">
        <f t="shared" si="138"/>
        <v>0.84466019417475724</v>
      </c>
      <c r="F1139">
        <f t="shared" si="139"/>
        <v>188</v>
      </c>
      <c r="G1139">
        <f t="shared" si="140"/>
        <v>158.79611650485435</v>
      </c>
      <c r="H1139" t="str">
        <f>_xlfn.XLOOKUP(A1139,Fact_Events!$D$2:$D$20,Fact_Events!$A$2:$A$20, "")</f>
        <v>E006</v>
      </c>
      <c r="I1139">
        <f t="shared" si="141"/>
        <v>1</v>
      </c>
      <c r="J1139">
        <f>_xlfn.XLOOKUP(H1139, Fact_Events!$A$2:$A$20, Fact_Events!$F$2:$F$20, "")</f>
        <v>4</v>
      </c>
      <c r="K1139" t="str">
        <f t="shared" si="142"/>
        <v>Medium</v>
      </c>
      <c r="L1139">
        <f t="shared" si="143"/>
        <v>0.84000000000000008</v>
      </c>
      <c r="M1139">
        <f>_xlfn.XLOOKUP(B1139, Dim_Hotel!$A$2:$A$11, Dim_Hotel!$I$2:$I$11)
 + (IF(J1139="",0,J1139)
    * _xlfn.XLOOKUP(B1139, Dim_Hotel!$A$2:$A$11, Dim_Hotel!$J$2:$J$11))</f>
        <v>188</v>
      </c>
    </row>
    <row r="1140" spans="1:13" x14ac:dyDescent="0.25">
      <c r="A1140" s="1">
        <f t="shared" si="136"/>
        <v>46136</v>
      </c>
      <c r="B1140" t="str" cm="1">
        <f t="array" ref="B1140">INDEX(HotelList,MOD(ROW()-2,10)+1)</f>
        <v>H009</v>
      </c>
      <c r="C1140">
        <f>_xlfn.XLOOKUP(B1140,Dim_Hotel!$A$2:$A$11,Dim_Hotel!$F$2:$F$11)</f>
        <v>114</v>
      </c>
      <c r="D1140">
        <f t="shared" si="137"/>
        <v>96</v>
      </c>
      <c r="E1140">
        <f t="shared" si="138"/>
        <v>0.84210526315789469</v>
      </c>
      <c r="F1140">
        <f t="shared" si="139"/>
        <v>225</v>
      </c>
      <c r="G1140">
        <f t="shared" si="140"/>
        <v>189.4736842105263</v>
      </c>
      <c r="H1140" t="str">
        <f>_xlfn.XLOOKUP(A1140,Fact_Events!$D$2:$D$20,Fact_Events!$A$2:$A$20, "")</f>
        <v>E006</v>
      </c>
      <c r="I1140">
        <f t="shared" si="141"/>
        <v>1</v>
      </c>
      <c r="J1140">
        <f>_xlfn.XLOOKUP(H1140, Fact_Events!$A$2:$A$20, Fact_Events!$F$2:$F$20, "")</f>
        <v>4</v>
      </c>
      <c r="K1140" t="str">
        <f t="shared" si="142"/>
        <v>Medium</v>
      </c>
      <c r="L1140">
        <f t="shared" si="143"/>
        <v>0.84000000000000008</v>
      </c>
      <c r="M1140">
        <f>_xlfn.XLOOKUP(B1140, Dim_Hotel!$A$2:$A$11, Dim_Hotel!$I$2:$I$11)
 + (IF(J1140="",0,J1140)
    * _xlfn.XLOOKUP(B1140, Dim_Hotel!$A$2:$A$11, Dim_Hotel!$J$2:$J$11))</f>
        <v>225</v>
      </c>
    </row>
    <row r="1141" spans="1:13" x14ac:dyDescent="0.25">
      <c r="A1141" s="1">
        <f t="shared" si="136"/>
        <v>46136</v>
      </c>
      <c r="B1141" t="str" cm="1">
        <f t="array" ref="B1141">INDEX(HotelList,MOD(ROW()-2,10)+1)</f>
        <v>H010</v>
      </c>
      <c r="C1141">
        <f>_xlfn.XLOOKUP(B1141,Dim_Hotel!$A$2:$A$11,Dim_Hotel!$F$2:$F$11)</f>
        <v>89</v>
      </c>
      <c r="D1141">
        <f t="shared" si="137"/>
        <v>75</v>
      </c>
      <c r="E1141">
        <f t="shared" si="138"/>
        <v>0.84269662921348309</v>
      </c>
      <c r="F1141">
        <f t="shared" si="139"/>
        <v>190</v>
      </c>
      <c r="G1141">
        <f t="shared" si="140"/>
        <v>160.11235955056179</v>
      </c>
      <c r="H1141" t="str">
        <f>_xlfn.XLOOKUP(A1141,Fact_Events!$D$2:$D$20,Fact_Events!$A$2:$A$20, "")</f>
        <v>E006</v>
      </c>
      <c r="I1141">
        <f t="shared" si="141"/>
        <v>1</v>
      </c>
      <c r="J1141">
        <f>_xlfn.XLOOKUP(H1141, Fact_Events!$A$2:$A$20, Fact_Events!$F$2:$F$20, "")</f>
        <v>4</v>
      </c>
      <c r="K1141" t="str">
        <f t="shared" si="142"/>
        <v>Medium</v>
      </c>
      <c r="L1141">
        <f t="shared" si="143"/>
        <v>0.84000000000000008</v>
      </c>
      <c r="M1141">
        <f>_xlfn.XLOOKUP(B1141, Dim_Hotel!$A$2:$A$11, Dim_Hotel!$I$2:$I$11)
 + (IF(J1141="",0,J1141)
    * _xlfn.XLOOKUP(B1141, Dim_Hotel!$A$2:$A$11, Dim_Hotel!$J$2:$J$11))</f>
        <v>190</v>
      </c>
    </row>
    <row r="1142" spans="1:13" x14ac:dyDescent="0.25">
      <c r="A1142" s="1">
        <f t="shared" si="136"/>
        <v>46137</v>
      </c>
      <c r="B1142" t="str" cm="1">
        <f t="array" ref="B1142">INDEX(HotelList,MOD(ROW()-2,10)+1)</f>
        <v>H001</v>
      </c>
      <c r="C1142">
        <f>_xlfn.XLOOKUP(B1142,Dim_Hotel!$A$2:$A$11,Dim_Hotel!$F$2:$F$11)</f>
        <v>888</v>
      </c>
      <c r="D1142">
        <f t="shared" si="137"/>
        <v>746</v>
      </c>
      <c r="E1142">
        <f t="shared" si="138"/>
        <v>0.84009009009009006</v>
      </c>
      <c r="F1142">
        <f t="shared" si="139"/>
        <v>332</v>
      </c>
      <c r="G1142">
        <f t="shared" si="140"/>
        <v>278.90990990990991</v>
      </c>
      <c r="H1142" t="str">
        <f>_xlfn.XLOOKUP(A1142,Fact_Events!$D$2:$D$20,Fact_Events!$A$2:$A$20, "")</f>
        <v>E007</v>
      </c>
      <c r="I1142">
        <f t="shared" si="141"/>
        <v>1</v>
      </c>
      <c r="J1142">
        <f>_xlfn.XLOOKUP(H1142, Fact_Events!$A$2:$A$20, Fact_Events!$F$2:$F$20, "")</f>
        <v>4</v>
      </c>
      <c r="K1142" t="str">
        <f t="shared" si="142"/>
        <v>Medium</v>
      </c>
      <c r="L1142">
        <f t="shared" si="143"/>
        <v>0.84000000000000008</v>
      </c>
      <c r="M1142">
        <f>_xlfn.XLOOKUP(B1142, Dim_Hotel!$A$2:$A$11, Dim_Hotel!$I$2:$I$11)
 + (IF(J1142="",0,J1142)
    * _xlfn.XLOOKUP(B1142, Dim_Hotel!$A$2:$A$11, Dim_Hotel!$J$2:$J$11))</f>
        <v>332</v>
      </c>
    </row>
    <row r="1143" spans="1:13" x14ac:dyDescent="0.25">
      <c r="A1143" s="1">
        <f t="shared" si="136"/>
        <v>46137</v>
      </c>
      <c r="B1143" t="str" cm="1">
        <f t="array" ref="B1143">INDEX(HotelList,MOD(ROW()-2,10)+1)</f>
        <v>H002</v>
      </c>
      <c r="C1143">
        <f>_xlfn.XLOOKUP(B1143,Dim_Hotel!$A$2:$A$11,Dim_Hotel!$F$2:$F$11)</f>
        <v>147</v>
      </c>
      <c r="D1143">
        <f t="shared" si="137"/>
        <v>123</v>
      </c>
      <c r="E1143">
        <f t="shared" si="138"/>
        <v>0.83673469387755106</v>
      </c>
      <c r="F1143">
        <f t="shared" si="139"/>
        <v>231</v>
      </c>
      <c r="G1143">
        <f t="shared" si="140"/>
        <v>193.28571428571431</v>
      </c>
      <c r="H1143" t="str">
        <f>_xlfn.XLOOKUP(A1143,Fact_Events!$D$2:$D$20,Fact_Events!$A$2:$A$20, "")</f>
        <v>E007</v>
      </c>
      <c r="I1143">
        <f t="shared" si="141"/>
        <v>1</v>
      </c>
      <c r="J1143">
        <f>_xlfn.XLOOKUP(H1143, Fact_Events!$A$2:$A$20, Fact_Events!$F$2:$F$20, "")</f>
        <v>4</v>
      </c>
      <c r="K1143" t="str">
        <f t="shared" si="142"/>
        <v>Medium</v>
      </c>
      <c r="L1143">
        <f t="shared" si="143"/>
        <v>0.84000000000000008</v>
      </c>
      <c r="M1143">
        <f>_xlfn.XLOOKUP(B1143, Dim_Hotel!$A$2:$A$11, Dim_Hotel!$I$2:$I$11)
 + (IF(J1143="",0,J1143)
    * _xlfn.XLOOKUP(B1143, Dim_Hotel!$A$2:$A$11, Dim_Hotel!$J$2:$J$11))</f>
        <v>231</v>
      </c>
    </row>
    <row r="1144" spans="1:13" x14ac:dyDescent="0.25">
      <c r="A1144" s="1">
        <f t="shared" si="136"/>
        <v>46137</v>
      </c>
      <c r="B1144" t="str" cm="1">
        <f t="array" ref="B1144">INDEX(HotelList,MOD(ROW()-2,10)+1)</f>
        <v>H003</v>
      </c>
      <c r="C1144">
        <f>_xlfn.XLOOKUP(B1144,Dim_Hotel!$A$2:$A$11,Dim_Hotel!$F$2:$F$11)</f>
        <v>121</v>
      </c>
      <c r="D1144">
        <f t="shared" si="137"/>
        <v>102</v>
      </c>
      <c r="E1144">
        <f t="shared" si="138"/>
        <v>0.84297520661157022</v>
      </c>
      <c r="F1144">
        <f t="shared" si="139"/>
        <v>193</v>
      </c>
      <c r="G1144">
        <f t="shared" si="140"/>
        <v>162.69421487603304</v>
      </c>
      <c r="H1144" t="str">
        <f>_xlfn.XLOOKUP(A1144,Fact_Events!$D$2:$D$20,Fact_Events!$A$2:$A$20, "")</f>
        <v>E007</v>
      </c>
      <c r="I1144">
        <f t="shared" si="141"/>
        <v>1</v>
      </c>
      <c r="J1144">
        <f>_xlfn.XLOOKUP(H1144, Fact_Events!$A$2:$A$20, Fact_Events!$F$2:$F$20, "")</f>
        <v>4</v>
      </c>
      <c r="K1144" t="str">
        <f t="shared" si="142"/>
        <v>Medium</v>
      </c>
      <c r="L1144">
        <f t="shared" si="143"/>
        <v>0.84000000000000008</v>
      </c>
      <c r="M1144">
        <f>_xlfn.XLOOKUP(B1144, Dim_Hotel!$A$2:$A$11, Dim_Hotel!$I$2:$I$11)
 + (IF(J1144="",0,J1144)
    * _xlfn.XLOOKUP(B1144, Dim_Hotel!$A$2:$A$11, Dim_Hotel!$J$2:$J$11))</f>
        <v>193</v>
      </c>
    </row>
    <row r="1145" spans="1:13" x14ac:dyDescent="0.25">
      <c r="A1145" s="1">
        <f t="shared" si="136"/>
        <v>46137</v>
      </c>
      <c r="B1145" t="str" cm="1">
        <f t="array" ref="B1145">INDEX(HotelList,MOD(ROW()-2,10)+1)</f>
        <v>H004</v>
      </c>
      <c r="C1145">
        <f>_xlfn.XLOOKUP(B1145,Dim_Hotel!$A$2:$A$11,Dim_Hotel!$F$2:$F$11)</f>
        <v>108</v>
      </c>
      <c r="D1145">
        <f t="shared" si="137"/>
        <v>91</v>
      </c>
      <c r="E1145">
        <f t="shared" si="138"/>
        <v>0.84259259259259256</v>
      </c>
      <c r="F1145">
        <f t="shared" si="139"/>
        <v>183</v>
      </c>
      <c r="G1145">
        <f t="shared" si="140"/>
        <v>154.19444444444443</v>
      </c>
      <c r="H1145" t="str">
        <f>_xlfn.XLOOKUP(A1145,Fact_Events!$D$2:$D$20,Fact_Events!$A$2:$A$20, "")</f>
        <v>E007</v>
      </c>
      <c r="I1145">
        <f t="shared" si="141"/>
        <v>1</v>
      </c>
      <c r="J1145">
        <f>_xlfn.XLOOKUP(H1145, Fact_Events!$A$2:$A$20, Fact_Events!$F$2:$F$20, "")</f>
        <v>4</v>
      </c>
      <c r="K1145" t="str">
        <f t="shared" si="142"/>
        <v>Medium</v>
      </c>
      <c r="L1145">
        <f t="shared" si="143"/>
        <v>0.84000000000000008</v>
      </c>
      <c r="M1145">
        <f>_xlfn.XLOOKUP(B1145, Dim_Hotel!$A$2:$A$11, Dim_Hotel!$I$2:$I$11)
 + (IF(J1145="",0,J1145)
    * _xlfn.XLOOKUP(B1145, Dim_Hotel!$A$2:$A$11, Dim_Hotel!$J$2:$J$11))</f>
        <v>183</v>
      </c>
    </row>
    <row r="1146" spans="1:13" x14ac:dyDescent="0.25">
      <c r="A1146" s="1">
        <f t="shared" si="136"/>
        <v>46137</v>
      </c>
      <c r="B1146" t="str" cm="1">
        <f t="array" ref="B1146">INDEX(HotelList,MOD(ROW()-2,10)+1)</f>
        <v>H005</v>
      </c>
      <c r="C1146">
        <f>_xlfn.XLOOKUP(B1146,Dim_Hotel!$A$2:$A$11,Dim_Hotel!$F$2:$F$11)</f>
        <v>66</v>
      </c>
      <c r="D1146">
        <f t="shared" si="137"/>
        <v>55</v>
      </c>
      <c r="E1146">
        <f t="shared" si="138"/>
        <v>0.83333333333333337</v>
      </c>
      <c r="F1146">
        <f t="shared" si="139"/>
        <v>114</v>
      </c>
      <c r="G1146">
        <f t="shared" si="140"/>
        <v>95</v>
      </c>
      <c r="H1146" t="str">
        <f>_xlfn.XLOOKUP(A1146,Fact_Events!$D$2:$D$20,Fact_Events!$A$2:$A$20, "")</f>
        <v>E007</v>
      </c>
      <c r="I1146">
        <f t="shared" si="141"/>
        <v>1</v>
      </c>
      <c r="J1146">
        <f>_xlfn.XLOOKUP(H1146, Fact_Events!$A$2:$A$20, Fact_Events!$F$2:$F$20, "")</f>
        <v>4</v>
      </c>
      <c r="K1146" t="str">
        <f t="shared" si="142"/>
        <v>Medium</v>
      </c>
      <c r="L1146">
        <f t="shared" si="143"/>
        <v>0.84000000000000008</v>
      </c>
      <c r="M1146">
        <f>_xlfn.XLOOKUP(B1146, Dim_Hotel!$A$2:$A$11, Dim_Hotel!$I$2:$I$11)
 + (IF(J1146="",0,J1146)
    * _xlfn.XLOOKUP(B1146, Dim_Hotel!$A$2:$A$11, Dim_Hotel!$J$2:$J$11))</f>
        <v>114</v>
      </c>
    </row>
    <row r="1147" spans="1:13" x14ac:dyDescent="0.25">
      <c r="A1147" s="1">
        <f t="shared" si="136"/>
        <v>46137</v>
      </c>
      <c r="B1147" t="str" cm="1">
        <f t="array" ref="B1147">INDEX(HotelList,MOD(ROW()-2,10)+1)</f>
        <v>H006</v>
      </c>
      <c r="C1147">
        <f>_xlfn.XLOOKUP(B1147,Dim_Hotel!$A$2:$A$11,Dim_Hotel!$F$2:$F$11)</f>
        <v>311</v>
      </c>
      <c r="D1147">
        <f t="shared" si="137"/>
        <v>261</v>
      </c>
      <c r="E1147">
        <f t="shared" si="138"/>
        <v>0.83922829581993574</v>
      </c>
      <c r="F1147">
        <f t="shared" si="139"/>
        <v>250</v>
      </c>
      <c r="G1147">
        <f t="shared" si="140"/>
        <v>209.80707395498393</v>
      </c>
      <c r="H1147" t="str">
        <f>_xlfn.XLOOKUP(A1147,Fact_Events!$D$2:$D$20,Fact_Events!$A$2:$A$20, "")</f>
        <v>E007</v>
      </c>
      <c r="I1147">
        <f t="shared" si="141"/>
        <v>1</v>
      </c>
      <c r="J1147">
        <f>_xlfn.XLOOKUP(H1147, Fact_Events!$A$2:$A$20, Fact_Events!$F$2:$F$20, "")</f>
        <v>4</v>
      </c>
      <c r="K1147" t="str">
        <f t="shared" si="142"/>
        <v>Medium</v>
      </c>
      <c r="L1147">
        <f t="shared" si="143"/>
        <v>0.84000000000000008</v>
      </c>
      <c r="M1147">
        <f>_xlfn.XLOOKUP(B1147, Dim_Hotel!$A$2:$A$11, Dim_Hotel!$I$2:$I$11)
 + (IF(J1147="",0,J1147)
    * _xlfn.XLOOKUP(B1147, Dim_Hotel!$A$2:$A$11, Dim_Hotel!$J$2:$J$11))</f>
        <v>250</v>
      </c>
    </row>
    <row r="1148" spans="1:13" x14ac:dyDescent="0.25">
      <c r="A1148" s="1">
        <f t="shared" si="136"/>
        <v>46137</v>
      </c>
      <c r="B1148" t="str" cm="1">
        <f t="array" ref="B1148">INDEX(HotelList,MOD(ROW()-2,10)+1)</f>
        <v>H007</v>
      </c>
      <c r="C1148">
        <f>_xlfn.XLOOKUP(B1148,Dim_Hotel!$A$2:$A$11,Dim_Hotel!$F$2:$F$11)</f>
        <v>132</v>
      </c>
      <c r="D1148">
        <f t="shared" si="137"/>
        <v>111</v>
      </c>
      <c r="E1148">
        <f t="shared" si="138"/>
        <v>0.84090909090909094</v>
      </c>
      <c r="F1148">
        <f t="shared" si="139"/>
        <v>217</v>
      </c>
      <c r="G1148">
        <f t="shared" si="140"/>
        <v>182.47727272727275</v>
      </c>
      <c r="H1148" t="str">
        <f>_xlfn.XLOOKUP(A1148,Fact_Events!$D$2:$D$20,Fact_Events!$A$2:$A$20, "")</f>
        <v>E007</v>
      </c>
      <c r="I1148">
        <f t="shared" si="141"/>
        <v>1</v>
      </c>
      <c r="J1148">
        <f>_xlfn.XLOOKUP(H1148, Fact_Events!$A$2:$A$20, Fact_Events!$F$2:$F$20, "")</f>
        <v>4</v>
      </c>
      <c r="K1148" t="str">
        <f t="shared" si="142"/>
        <v>Medium</v>
      </c>
      <c r="L1148">
        <f t="shared" si="143"/>
        <v>0.84000000000000008</v>
      </c>
      <c r="M1148">
        <f>_xlfn.XLOOKUP(B1148, Dim_Hotel!$A$2:$A$11, Dim_Hotel!$I$2:$I$11)
 + (IF(J1148="",0,J1148)
    * _xlfn.XLOOKUP(B1148, Dim_Hotel!$A$2:$A$11, Dim_Hotel!$J$2:$J$11))</f>
        <v>217</v>
      </c>
    </row>
    <row r="1149" spans="1:13" x14ac:dyDescent="0.25">
      <c r="A1149" s="1">
        <f t="shared" si="136"/>
        <v>46137</v>
      </c>
      <c r="B1149" t="str" cm="1">
        <f t="array" ref="B1149">INDEX(HotelList,MOD(ROW()-2,10)+1)</f>
        <v>H008</v>
      </c>
      <c r="C1149">
        <f>_xlfn.XLOOKUP(B1149,Dim_Hotel!$A$2:$A$11,Dim_Hotel!$F$2:$F$11)</f>
        <v>103</v>
      </c>
      <c r="D1149">
        <f t="shared" si="137"/>
        <v>87</v>
      </c>
      <c r="E1149">
        <f t="shared" si="138"/>
        <v>0.84466019417475724</v>
      </c>
      <c r="F1149">
        <f t="shared" si="139"/>
        <v>188</v>
      </c>
      <c r="G1149">
        <f t="shared" si="140"/>
        <v>158.79611650485435</v>
      </c>
      <c r="H1149" t="str">
        <f>_xlfn.XLOOKUP(A1149,Fact_Events!$D$2:$D$20,Fact_Events!$A$2:$A$20, "")</f>
        <v>E007</v>
      </c>
      <c r="I1149">
        <f t="shared" si="141"/>
        <v>1</v>
      </c>
      <c r="J1149">
        <f>_xlfn.XLOOKUP(H1149, Fact_Events!$A$2:$A$20, Fact_Events!$F$2:$F$20, "")</f>
        <v>4</v>
      </c>
      <c r="K1149" t="str">
        <f t="shared" si="142"/>
        <v>Medium</v>
      </c>
      <c r="L1149">
        <f t="shared" si="143"/>
        <v>0.84000000000000008</v>
      </c>
      <c r="M1149">
        <f>_xlfn.XLOOKUP(B1149, Dim_Hotel!$A$2:$A$11, Dim_Hotel!$I$2:$I$11)
 + (IF(J1149="",0,J1149)
    * _xlfn.XLOOKUP(B1149, Dim_Hotel!$A$2:$A$11, Dim_Hotel!$J$2:$J$11))</f>
        <v>188</v>
      </c>
    </row>
    <row r="1150" spans="1:13" x14ac:dyDescent="0.25">
      <c r="A1150" s="1">
        <f t="shared" si="136"/>
        <v>46137</v>
      </c>
      <c r="B1150" t="str" cm="1">
        <f t="array" ref="B1150">INDEX(HotelList,MOD(ROW()-2,10)+1)</f>
        <v>H009</v>
      </c>
      <c r="C1150">
        <f>_xlfn.XLOOKUP(B1150,Dim_Hotel!$A$2:$A$11,Dim_Hotel!$F$2:$F$11)</f>
        <v>114</v>
      </c>
      <c r="D1150">
        <f t="shared" si="137"/>
        <v>96</v>
      </c>
      <c r="E1150">
        <f t="shared" si="138"/>
        <v>0.84210526315789469</v>
      </c>
      <c r="F1150">
        <f t="shared" si="139"/>
        <v>225</v>
      </c>
      <c r="G1150">
        <f t="shared" si="140"/>
        <v>189.4736842105263</v>
      </c>
      <c r="H1150" t="str">
        <f>_xlfn.XLOOKUP(A1150,Fact_Events!$D$2:$D$20,Fact_Events!$A$2:$A$20, "")</f>
        <v>E007</v>
      </c>
      <c r="I1150">
        <f t="shared" si="141"/>
        <v>1</v>
      </c>
      <c r="J1150">
        <f>_xlfn.XLOOKUP(H1150, Fact_Events!$A$2:$A$20, Fact_Events!$F$2:$F$20, "")</f>
        <v>4</v>
      </c>
      <c r="K1150" t="str">
        <f t="shared" si="142"/>
        <v>Medium</v>
      </c>
      <c r="L1150">
        <f t="shared" si="143"/>
        <v>0.84000000000000008</v>
      </c>
      <c r="M1150">
        <f>_xlfn.XLOOKUP(B1150, Dim_Hotel!$A$2:$A$11, Dim_Hotel!$I$2:$I$11)
 + (IF(J1150="",0,J1150)
    * _xlfn.XLOOKUP(B1150, Dim_Hotel!$A$2:$A$11, Dim_Hotel!$J$2:$J$11))</f>
        <v>225</v>
      </c>
    </row>
    <row r="1151" spans="1:13" x14ac:dyDescent="0.25">
      <c r="A1151" s="1">
        <f t="shared" si="136"/>
        <v>46137</v>
      </c>
      <c r="B1151" t="str" cm="1">
        <f t="array" ref="B1151">INDEX(HotelList,MOD(ROW()-2,10)+1)</f>
        <v>H010</v>
      </c>
      <c r="C1151">
        <f>_xlfn.XLOOKUP(B1151,Dim_Hotel!$A$2:$A$11,Dim_Hotel!$F$2:$F$11)</f>
        <v>89</v>
      </c>
      <c r="D1151">
        <f t="shared" si="137"/>
        <v>75</v>
      </c>
      <c r="E1151">
        <f t="shared" si="138"/>
        <v>0.84269662921348309</v>
      </c>
      <c r="F1151">
        <f t="shared" si="139"/>
        <v>190</v>
      </c>
      <c r="G1151">
        <f t="shared" si="140"/>
        <v>160.11235955056179</v>
      </c>
      <c r="H1151" t="str">
        <f>_xlfn.XLOOKUP(A1151,Fact_Events!$D$2:$D$20,Fact_Events!$A$2:$A$20, "")</f>
        <v>E007</v>
      </c>
      <c r="I1151">
        <f t="shared" si="141"/>
        <v>1</v>
      </c>
      <c r="J1151">
        <f>_xlfn.XLOOKUP(H1151, Fact_Events!$A$2:$A$20, Fact_Events!$F$2:$F$20, "")</f>
        <v>4</v>
      </c>
      <c r="K1151" t="str">
        <f t="shared" si="142"/>
        <v>Medium</v>
      </c>
      <c r="L1151">
        <f t="shared" si="143"/>
        <v>0.84000000000000008</v>
      </c>
      <c r="M1151">
        <f>_xlfn.XLOOKUP(B1151, Dim_Hotel!$A$2:$A$11, Dim_Hotel!$I$2:$I$11)
 + (IF(J1151="",0,J1151)
    * _xlfn.XLOOKUP(B1151, Dim_Hotel!$A$2:$A$11, Dim_Hotel!$J$2:$J$11))</f>
        <v>190</v>
      </c>
    </row>
    <row r="1152" spans="1:13" x14ac:dyDescent="0.25">
      <c r="A1152" s="1">
        <f t="shared" si="136"/>
        <v>46138</v>
      </c>
      <c r="B1152" t="str" cm="1">
        <f t="array" ref="B1152">INDEX(HotelList,MOD(ROW()-2,10)+1)</f>
        <v>H001</v>
      </c>
      <c r="C1152">
        <f>_xlfn.XLOOKUP(B1152,Dim_Hotel!$A$2:$A$11,Dim_Hotel!$F$2:$F$11)</f>
        <v>888</v>
      </c>
      <c r="D1152">
        <f t="shared" si="137"/>
        <v>746</v>
      </c>
      <c r="E1152">
        <f t="shared" si="138"/>
        <v>0.84009009009009006</v>
      </c>
      <c r="F1152">
        <f t="shared" si="139"/>
        <v>332</v>
      </c>
      <c r="G1152">
        <f t="shared" si="140"/>
        <v>278.90990990990991</v>
      </c>
      <c r="H1152" t="str">
        <f>_xlfn.XLOOKUP(A1152,Fact_Events!$D$2:$D$20,Fact_Events!$A$2:$A$20, "")</f>
        <v>E008</v>
      </c>
      <c r="I1152">
        <f t="shared" si="141"/>
        <v>1</v>
      </c>
      <c r="J1152">
        <f>_xlfn.XLOOKUP(H1152, Fact_Events!$A$2:$A$20, Fact_Events!$F$2:$F$20, "")</f>
        <v>4</v>
      </c>
      <c r="K1152" t="str">
        <f t="shared" si="142"/>
        <v>Medium</v>
      </c>
      <c r="L1152">
        <f t="shared" si="143"/>
        <v>0.84000000000000008</v>
      </c>
      <c r="M1152">
        <f>_xlfn.XLOOKUP(B1152, Dim_Hotel!$A$2:$A$11, Dim_Hotel!$I$2:$I$11)
 + (IF(J1152="",0,J1152)
    * _xlfn.XLOOKUP(B1152, Dim_Hotel!$A$2:$A$11, Dim_Hotel!$J$2:$J$11))</f>
        <v>332</v>
      </c>
    </row>
    <row r="1153" spans="1:13" x14ac:dyDescent="0.25">
      <c r="A1153" s="1">
        <f t="shared" si="136"/>
        <v>46138</v>
      </c>
      <c r="B1153" t="str" cm="1">
        <f t="array" ref="B1153">INDEX(HotelList,MOD(ROW()-2,10)+1)</f>
        <v>H002</v>
      </c>
      <c r="C1153">
        <f>_xlfn.XLOOKUP(B1153,Dim_Hotel!$A$2:$A$11,Dim_Hotel!$F$2:$F$11)</f>
        <v>147</v>
      </c>
      <c r="D1153">
        <f t="shared" si="137"/>
        <v>123</v>
      </c>
      <c r="E1153">
        <f t="shared" si="138"/>
        <v>0.83673469387755106</v>
      </c>
      <c r="F1153">
        <f t="shared" si="139"/>
        <v>231</v>
      </c>
      <c r="G1153">
        <f t="shared" si="140"/>
        <v>193.28571428571431</v>
      </c>
      <c r="H1153" t="str">
        <f>_xlfn.XLOOKUP(A1153,Fact_Events!$D$2:$D$20,Fact_Events!$A$2:$A$20, "")</f>
        <v>E008</v>
      </c>
      <c r="I1153">
        <f t="shared" si="141"/>
        <v>1</v>
      </c>
      <c r="J1153">
        <f>_xlfn.XLOOKUP(H1153, Fact_Events!$A$2:$A$20, Fact_Events!$F$2:$F$20, "")</f>
        <v>4</v>
      </c>
      <c r="K1153" t="str">
        <f t="shared" si="142"/>
        <v>Medium</v>
      </c>
      <c r="L1153">
        <f t="shared" si="143"/>
        <v>0.84000000000000008</v>
      </c>
      <c r="M1153">
        <f>_xlfn.XLOOKUP(B1153, Dim_Hotel!$A$2:$A$11, Dim_Hotel!$I$2:$I$11)
 + (IF(J1153="",0,J1153)
    * _xlfn.XLOOKUP(B1153, Dim_Hotel!$A$2:$A$11, Dim_Hotel!$J$2:$J$11))</f>
        <v>231</v>
      </c>
    </row>
    <row r="1154" spans="1:13" x14ac:dyDescent="0.25">
      <c r="A1154" s="1">
        <f t="shared" si="136"/>
        <v>46138</v>
      </c>
      <c r="B1154" t="str" cm="1">
        <f t="array" ref="B1154">INDEX(HotelList,MOD(ROW()-2,10)+1)</f>
        <v>H003</v>
      </c>
      <c r="C1154">
        <f>_xlfn.XLOOKUP(B1154,Dim_Hotel!$A$2:$A$11,Dim_Hotel!$F$2:$F$11)</f>
        <v>121</v>
      </c>
      <c r="D1154">
        <f t="shared" si="137"/>
        <v>102</v>
      </c>
      <c r="E1154">
        <f t="shared" si="138"/>
        <v>0.84297520661157022</v>
      </c>
      <c r="F1154">
        <f t="shared" si="139"/>
        <v>193</v>
      </c>
      <c r="G1154">
        <f t="shared" si="140"/>
        <v>162.69421487603304</v>
      </c>
      <c r="H1154" t="str">
        <f>_xlfn.XLOOKUP(A1154,Fact_Events!$D$2:$D$20,Fact_Events!$A$2:$A$20, "")</f>
        <v>E008</v>
      </c>
      <c r="I1154">
        <f t="shared" si="141"/>
        <v>1</v>
      </c>
      <c r="J1154">
        <f>_xlfn.XLOOKUP(H1154, Fact_Events!$A$2:$A$20, Fact_Events!$F$2:$F$20, "")</f>
        <v>4</v>
      </c>
      <c r="K1154" t="str">
        <f t="shared" si="142"/>
        <v>Medium</v>
      </c>
      <c r="L1154">
        <f t="shared" si="143"/>
        <v>0.84000000000000008</v>
      </c>
      <c r="M1154">
        <f>_xlfn.XLOOKUP(B1154, Dim_Hotel!$A$2:$A$11, Dim_Hotel!$I$2:$I$11)
 + (IF(J1154="",0,J1154)
    * _xlfn.XLOOKUP(B1154, Dim_Hotel!$A$2:$A$11, Dim_Hotel!$J$2:$J$11))</f>
        <v>193</v>
      </c>
    </row>
    <row r="1155" spans="1:13" x14ac:dyDescent="0.25">
      <c r="A1155" s="1">
        <f t="shared" ref="A1155:A1218" si="144">DATE(2026,1,1) + INT((ROW()-2)/10)</f>
        <v>46138</v>
      </c>
      <c r="B1155" t="str" cm="1">
        <f t="array" ref="B1155">INDEX(HotelList,MOD(ROW()-2,10)+1)</f>
        <v>H004</v>
      </c>
      <c r="C1155">
        <f>_xlfn.XLOOKUP(B1155,Dim_Hotel!$A$2:$A$11,Dim_Hotel!$F$2:$F$11)</f>
        <v>108</v>
      </c>
      <c r="D1155">
        <f t="shared" ref="D1155:D1218" si="145">ROUND(L1155 * C1155, 0)</f>
        <v>91</v>
      </c>
      <c r="E1155">
        <f t="shared" ref="E1155:E1218" si="146">D1155/C1155</f>
        <v>0.84259259259259256</v>
      </c>
      <c r="F1155">
        <f t="shared" ref="F1155:F1218" si="147">M1155</f>
        <v>183</v>
      </c>
      <c r="G1155">
        <f t="shared" ref="G1155:G1218" si="148">E1155*F1155</f>
        <v>154.19444444444443</v>
      </c>
      <c r="H1155" t="str">
        <f>_xlfn.XLOOKUP(A1155,Fact_Events!$D$2:$D$20,Fact_Events!$A$2:$A$20, "")</f>
        <v>E008</v>
      </c>
      <c r="I1155">
        <f t="shared" ref="I1155:I1218" si="149">IF(H1155="",0,1)</f>
        <v>1</v>
      </c>
      <c r="J1155">
        <f>_xlfn.XLOOKUP(H1155, Fact_Events!$A$2:$A$20, Fact_Events!$F$2:$F$20, "")</f>
        <v>4</v>
      </c>
      <c r="K1155" t="str">
        <f t="shared" ref="K1155:K1218" si="150">IF(I1155=0,"Low",
   IF(J1155&gt;=9,"High","Medium"))</f>
        <v>Medium</v>
      </c>
      <c r="L1155">
        <f t="shared" ref="L1155:L1218" si="151">MIN(1,
  0.55
  + (I1155 * 0.25)
  + (IF(J1155="",0,J1155) / 100)
)</f>
        <v>0.84000000000000008</v>
      </c>
      <c r="M1155">
        <f>_xlfn.XLOOKUP(B1155, Dim_Hotel!$A$2:$A$11, Dim_Hotel!$I$2:$I$11)
 + (IF(J1155="",0,J1155)
    * _xlfn.XLOOKUP(B1155, Dim_Hotel!$A$2:$A$11, Dim_Hotel!$J$2:$J$11))</f>
        <v>183</v>
      </c>
    </row>
    <row r="1156" spans="1:13" x14ac:dyDescent="0.25">
      <c r="A1156" s="1">
        <f t="shared" si="144"/>
        <v>46138</v>
      </c>
      <c r="B1156" t="str" cm="1">
        <f t="array" ref="B1156">INDEX(HotelList,MOD(ROW()-2,10)+1)</f>
        <v>H005</v>
      </c>
      <c r="C1156">
        <f>_xlfn.XLOOKUP(B1156,Dim_Hotel!$A$2:$A$11,Dim_Hotel!$F$2:$F$11)</f>
        <v>66</v>
      </c>
      <c r="D1156">
        <f t="shared" si="145"/>
        <v>55</v>
      </c>
      <c r="E1156">
        <f t="shared" si="146"/>
        <v>0.83333333333333337</v>
      </c>
      <c r="F1156">
        <f t="shared" si="147"/>
        <v>114</v>
      </c>
      <c r="G1156">
        <f t="shared" si="148"/>
        <v>95</v>
      </c>
      <c r="H1156" t="str">
        <f>_xlfn.XLOOKUP(A1156,Fact_Events!$D$2:$D$20,Fact_Events!$A$2:$A$20, "")</f>
        <v>E008</v>
      </c>
      <c r="I1156">
        <f t="shared" si="149"/>
        <v>1</v>
      </c>
      <c r="J1156">
        <f>_xlfn.XLOOKUP(H1156, Fact_Events!$A$2:$A$20, Fact_Events!$F$2:$F$20, "")</f>
        <v>4</v>
      </c>
      <c r="K1156" t="str">
        <f t="shared" si="150"/>
        <v>Medium</v>
      </c>
      <c r="L1156">
        <f t="shared" si="151"/>
        <v>0.84000000000000008</v>
      </c>
      <c r="M1156">
        <f>_xlfn.XLOOKUP(B1156, Dim_Hotel!$A$2:$A$11, Dim_Hotel!$I$2:$I$11)
 + (IF(J1156="",0,J1156)
    * _xlfn.XLOOKUP(B1156, Dim_Hotel!$A$2:$A$11, Dim_Hotel!$J$2:$J$11))</f>
        <v>114</v>
      </c>
    </row>
    <row r="1157" spans="1:13" x14ac:dyDescent="0.25">
      <c r="A1157" s="1">
        <f t="shared" si="144"/>
        <v>46138</v>
      </c>
      <c r="B1157" t="str" cm="1">
        <f t="array" ref="B1157">INDEX(HotelList,MOD(ROW()-2,10)+1)</f>
        <v>H006</v>
      </c>
      <c r="C1157">
        <f>_xlfn.XLOOKUP(B1157,Dim_Hotel!$A$2:$A$11,Dim_Hotel!$F$2:$F$11)</f>
        <v>311</v>
      </c>
      <c r="D1157">
        <f t="shared" si="145"/>
        <v>261</v>
      </c>
      <c r="E1157">
        <f t="shared" si="146"/>
        <v>0.83922829581993574</v>
      </c>
      <c r="F1157">
        <f t="shared" si="147"/>
        <v>250</v>
      </c>
      <c r="G1157">
        <f t="shared" si="148"/>
        <v>209.80707395498393</v>
      </c>
      <c r="H1157" t="str">
        <f>_xlfn.XLOOKUP(A1157,Fact_Events!$D$2:$D$20,Fact_Events!$A$2:$A$20, "")</f>
        <v>E008</v>
      </c>
      <c r="I1157">
        <f t="shared" si="149"/>
        <v>1</v>
      </c>
      <c r="J1157">
        <f>_xlfn.XLOOKUP(H1157, Fact_Events!$A$2:$A$20, Fact_Events!$F$2:$F$20, "")</f>
        <v>4</v>
      </c>
      <c r="K1157" t="str">
        <f t="shared" si="150"/>
        <v>Medium</v>
      </c>
      <c r="L1157">
        <f t="shared" si="151"/>
        <v>0.84000000000000008</v>
      </c>
      <c r="M1157">
        <f>_xlfn.XLOOKUP(B1157, Dim_Hotel!$A$2:$A$11, Dim_Hotel!$I$2:$I$11)
 + (IF(J1157="",0,J1157)
    * _xlfn.XLOOKUP(B1157, Dim_Hotel!$A$2:$A$11, Dim_Hotel!$J$2:$J$11))</f>
        <v>250</v>
      </c>
    </row>
    <row r="1158" spans="1:13" x14ac:dyDescent="0.25">
      <c r="A1158" s="1">
        <f t="shared" si="144"/>
        <v>46138</v>
      </c>
      <c r="B1158" t="str" cm="1">
        <f t="array" ref="B1158">INDEX(HotelList,MOD(ROW()-2,10)+1)</f>
        <v>H007</v>
      </c>
      <c r="C1158">
        <f>_xlfn.XLOOKUP(B1158,Dim_Hotel!$A$2:$A$11,Dim_Hotel!$F$2:$F$11)</f>
        <v>132</v>
      </c>
      <c r="D1158">
        <f t="shared" si="145"/>
        <v>111</v>
      </c>
      <c r="E1158">
        <f t="shared" si="146"/>
        <v>0.84090909090909094</v>
      </c>
      <c r="F1158">
        <f t="shared" si="147"/>
        <v>217</v>
      </c>
      <c r="G1158">
        <f t="shared" si="148"/>
        <v>182.47727272727275</v>
      </c>
      <c r="H1158" t="str">
        <f>_xlfn.XLOOKUP(A1158,Fact_Events!$D$2:$D$20,Fact_Events!$A$2:$A$20, "")</f>
        <v>E008</v>
      </c>
      <c r="I1158">
        <f t="shared" si="149"/>
        <v>1</v>
      </c>
      <c r="J1158">
        <f>_xlfn.XLOOKUP(H1158, Fact_Events!$A$2:$A$20, Fact_Events!$F$2:$F$20, "")</f>
        <v>4</v>
      </c>
      <c r="K1158" t="str">
        <f t="shared" si="150"/>
        <v>Medium</v>
      </c>
      <c r="L1158">
        <f t="shared" si="151"/>
        <v>0.84000000000000008</v>
      </c>
      <c r="M1158">
        <f>_xlfn.XLOOKUP(B1158, Dim_Hotel!$A$2:$A$11, Dim_Hotel!$I$2:$I$11)
 + (IF(J1158="",0,J1158)
    * _xlfn.XLOOKUP(B1158, Dim_Hotel!$A$2:$A$11, Dim_Hotel!$J$2:$J$11))</f>
        <v>217</v>
      </c>
    </row>
    <row r="1159" spans="1:13" x14ac:dyDescent="0.25">
      <c r="A1159" s="1">
        <f t="shared" si="144"/>
        <v>46138</v>
      </c>
      <c r="B1159" t="str" cm="1">
        <f t="array" ref="B1159">INDEX(HotelList,MOD(ROW()-2,10)+1)</f>
        <v>H008</v>
      </c>
      <c r="C1159">
        <f>_xlfn.XLOOKUP(B1159,Dim_Hotel!$A$2:$A$11,Dim_Hotel!$F$2:$F$11)</f>
        <v>103</v>
      </c>
      <c r="D1159">
        <f t="shared" si="145"/>
        <v>87</v>
      </c>
      <c r="E1159">
        <f t="shared" si="146"/>
        <v>0.84466019417475724</v>
      </c>
      <c r="F1159">
        <f t="shared" si="147"/>
        <v>188</v>
      </c>
      <c r="G1159">
        <f t="shared" si="148"/>
        <v>158.79611650485435</v>
      </c>
      <c r="H1159" t="str">
        <f>_xlfn.XLOOKUP(A1159,Fact_Events!$D$2:$D$20,Fact_Events!$A$2:$A$20, "")</f>
        <v>E008</v>
      </c>
      <c r="I1159">
        <f t="shared" si="149"/>
        <v>1</v>
      </c>
      <c r="J1159">
        <f>_xlfn.XLOOKUP(H1159, Fact_Events!$A$2:$A$20, Fact_Events!$F$2:$F$20, "")</f>
        <v>4</v>
      </c>
      <c r="K1159" t="str">
        <f t="shared" si="150"/>
        <v>Medium</v>
      </c>
      <c r="L1159">
        <f t="shared" si="151"/>
        <v>0.84000000000000008</v>
      </c>
      <c r="M1159">
        <f>_xlfn.XLOOKUP(B1159, Dim_Hotel!$A$2:$A$11, Dim_Hotel!$I$2:$I$11)
 + (IF(J1159="",0,J1159)
    * _xlfn.XLOOKUP(B1159, Dim_Hotel!$A$2:$A$11, Dim_Hotel!$J$2:$J$11))</f>
        <v>188</v>
      </c>
    </row>
    <row r="1160" spans="1:13" x14ac:dyDescent="0.25">
      <c r="A1160" s="1">
        <f t="shared" si="144"/>
        <v>46138</v>
      </c>
      <c r="B1160" t="str" cm="1">
        <f t="array" ref="B1160">INDEX(HotelList,MOD(ROW()-2,10)+1)</f>
        <v>H009</v>
      </c>
      <c r="C1160">
        <f>_xlfn.XLOOKUP(B1160,Dim_Hotel!$A$2:$A$11,Dim_Hotel!$F$2:$F$11)</f>
        <v>114</v>
      </c>
      <c r="D1160">
        <f t="shared" si="145"/>
        <v>96</v>
      </c>
      <c r="E1160">
        <f t="shared" si="146"/>
        <v>0.84210526315789469</v>
      </c>
      <c r="F1160">
        <f t="shared" si="147"/>
        <v>225</v>
      </c>
      <c r="G1160">
        <f t="shared" si="148"/>
        <v>189.4736842105263</v>
      </c>
      <c r="H1160" t="str">
        <f>_xlfn.XLOOKUP(A1160,Fact_Events!$D$2:$D$20,Fact_Events!$A$2:$A$20, "")</f>
        <v>E008</v>
      </c>
      <c r="I1160">
        <f t="shared" si="149"/>
        <v>1</v>
      </c>
      <c r="J1160">
        <f>_xlfn.XLOOKUP(H1160, Fact_Events!$A$2:$A$20, Fact_Events!$F$2:$F$20, "")</f>
        <v>4</v>
      </c>
      <c r="K1160" t="str">
        <f t="shared" si="150"/>
        <v>Medium</v>
      </c>
      <c r="L1160">
        <f t="shared" si="151"/>
        <v>0.84000000000000008</v>
      </c>
      <c r="M1160">
        <f>_xlfn.XLOOKUP(B1160, Dim_Hotel!$A$2:$A$11, Dim_Hotel!$I$2:$I$11)
 + (IF(J1160="",0,J1160)
    * _xlfn.XLOOKUP(B1160, Dim_Hotel!$A$2:$A$11, Dim_Hotel!$J$2:$J$11))</f>
        <v>225</v>
      </c>
    </row>
    <row r="1161" spans="1:13" x14ac:dyDescent="0.25">
      <c r="A1161" s="1">
        <f t="shared" si="144"/>
        <v>46138</v>
      </c>
      <c r="B1161" t="str" cm="1">
        <f t="array" ref="B1161">INDEX(HotelList,MOD(ROW()-2,10)+1)</f>
        <v>H010</v>
      </c>
      <c r="C1161">
        <f>_xlfn.XLOOKUP(B1161,Dim_Hotel!$A$2:$A$11,Dim_Hotel!$F$2:$F$11)</f>
        <v>89</v>
      </c>
      <c r="D1161">
        <f t="shared" si="145"/>
        <v>75</v>
      </c>
      <c r="E1161">
        <f t="shared" si="146"/>
        <v>0.84269662921348309</v>
      </c>
      <c r="F1161">
        <f t="shared" si="147"/>
        <v>190</v>
      </c>
      <c r="G1161">
        <f t="shared" si="148"/>
        <v>160.11235955056179</v>
      </c>
      <c r="H1161" t="str">
        <f>_xlfn.XLOOKUP(A1161,Fact_Events!$D$2:$D$20,Fact_Events!$A$2:$A$20, "")</f>
        <v>E008</v>
      </c>
      <c r="I1161">
        <f t="shared" si="149"/>
        <v>1</v>
      </c>
      <c r="J1161">
        <f>_xlfn.XLOOKUP(H1161, Fact_Events!$A$2:$A$20, Fact_Events!$F$2:$F$20, "")</f>
        <v>4</v>
      </c>
      <c r="K1161" t="str">
        <f t="shared" si="150"/>
        <v>Medium</v>
      </c>
      <c r="L1161">
        <f t="shared" si="151"/>
        <v>0.84000000000000008</v>
      </c>
      <c r="M1161">
        <f>_xlfn.XLOOKUP(B1161, Dim_Hotel!$A$2:$A$11, Dim_Hotel!$I$2:$I$11)
 + (IF(J1161="",0,J1161)
    * _xlfn.XLOOKUP(B1161, Dim_Hotel!$A$2:$A$11, Dim_Hotel!$J$2:$J$11))</f>
        <v>190</v>
      </c>
    </row>
    <row r="1162" spans="1:13" x14ac:dyDescent="0.25">
      <c r="A1162" s="1">
        <f t="shared" si="144"/>
        <v>46139</v>
      </c>
      <c r="B1162" t="str" cm="1">
        <f t="array" ref="B1162">INDEX(HotelList,MOD(ROW()-2,10)+1)</f>
        <v>H001</v>
      </c>
      <c r="C1162">
        <f>_xlfn.XLOOKUP(B1162,Dim_Hotel!$A$2:$A$11,Dim_Hotel!$F$2:$F$11)</f>
        <v>888</v>
      </c>
      <c r="D1162">
        <f t="shared" si="145"/>
        <v>488</v>
      </c>
      <c r="E1162">
        <f t="shared" si="146"/>
        <v>0.5495495495495496</v>
      </c>
      <c r="F1162">
        <f t="shared" si="147"/>
        <v>260</v>
      </c>
      <c r="G1162">
        <f t="shared" si="148"/>
        <v>142.88288288288288</v>
      </c>
      <c r="H1162" t="str">
        <f>_xlfn.XLOOKUP(A1162,Fact_Events!$D$2:$D$20,Fact_Events!$A$2:$A$20, "")</f>
        <v/>
      </c>
      <c r="I1162">
        <f t="shared" si="149"/>
        <v>0</v>
      </c>
      <c r="J1162" t="str">
        <f>_xlfn.XLOOKUP(H1162, Fact_Events!$A$2:$A$20, Fact_Events!$F$2:$F$20, "")</f>
        <v/>
      </c>
      <c r="K1162" t="str">
        <f t="shared" si="150"/>
        <v>Low</v>
      </c>
      <c r="L1162">
        <f t="shared" si="151"/>
        <v>0.55000000000000004</v>
      </c>
      <c r="M1162">
        <f>_xlfn.XLOOKUP(B1162, Dim_Hotel!$A$2:$A$11, Dim_Hotel!$I$2:$I$11)
 + (IF(J1162="",0,J1162)
    * _xlfn.XLOOKUP(B1162, Dim_Hotel!$A$2:$A$11, Dim_Hotel!$J$2:$J$11))</f>
        <v>260</v>
      </c>
    </row>
    <row r="1163" spans="1:13" x14ac:dyDescent="0.25">
      <c r="A1163" s="1">
        <f t="shared" si="144"/>
        <v>46139</v>
      </c>
      <c r="B1163" t="str" cm="1">
        <f t="array" ref="B1163">INDEX(HotelList,MOD(ROW()-2,10)+1)</f>
        <v>H002</v>
      </c>
      <c r="C1163">
        <f>_xlfn.XLOOKUP(B1163,Dim_Hotel!$A$2:$A$11,Dim_Hotel!$F$2:$F$11)</f>
        <v>147</v>
      </c>
      <c r="D1163">
        <f t="shared" si="145"/>
        <v>81</v>
      </c>
      <c r="E1163">
        <f t="shared" si="146"/>
        <v>0.55102040816326525</v>
      </c>
      <c r="F1163">
        <f t="shared" si="147"/>
        <v>175</v>
      </c>
      <c r="G1163">
        <f t="shared" si="148"/>
        <v>96.428571428571416</v>
      </c>
      <c r="H1163" t="str">
        <f>_xlfn.XLOOKUP(A1163,Fact_Events!$D$2:$D$20,Fact_Events!$A$2:$A$20, "")</f>
        <v/>
      </c>
      <c r="I1163">
        <f t="shared" si="149"/>
        <v>0</v>
      </c>
      <c r="J1163" t="str">
        <f>_xlfn.XLOOKUP(H1163, Fact_Events!$A$2:$A$20, Fact_Events!$F$2:$F$20, "")</f>
        <v/>
      </c>
      <c r="K1163" t="str">
        <f t="shared" si="150"/>
        <v>Low</v>
      </c>
      <c r="L1163">
        <f t="shared" si="151"/>
        <v>0.55000000000000004</v>
      </c>
      <c r="M1163">
        <f>_xlfn.XLOOKUP(B1163, Dim_Hotel!$A$2:$A$11, Dim_Hotel!$I$2:$I$11)
 + (IF(J1163="",0,J1163)
    * _xlfn.XLOOKUP(B1163, Dim_Hotel!$A$2:$A$11, Dim_Hotel!$J$2:$J$11))</f>
        <v>175</v>
      </c>
    </row>
    <row r="1164" spans="1:13" x14ac:dyDescent="0.25">
      <c r="A1164" s="1">
        <f t="shared" si="144"/>
        <v>46139</v>
      </c>
      <c r="B1164" t="str" cm="1">
        <f t="array" ref="B1164">INDEX(HotelList,MOD(ROW()-2,10)+1)</f>
        <v>H003</v>
      </c>
      <c r="C1164">
        <f>_xlfn.XLOOKUP(B1164,Dim_Hotel!$A$2:$A$11,Dim_Hotel!$F$2:$F$11)</f>
        <v>121</v>
      </c>
      <c r="D1164">
        <f t="shared" si="145"/>
        <v>67</v>
      </c>
      <c r="E1164">
        <f t="shared" si="146"/>
        <v>0.55371900826446285</v>
      </c>
      <c r="F1164">
        <f t="shared" si="147"/>
        <v>145</v>
      </c>
      <c r="G1164">
        <f t="shared" si="148"/>
        <v>80.289256198347118</v>
      </c>
      <c r="H1164" t="str">
        <f>_xlfn.XLOOKUP(A1164,Fact_Events!$D$2:$D$20,Fact_Events!$A$2:$A$20, "")</f>
        <v/>
      </c>
      <c r="I1164">
        <f t="shared" si="149"/>
        <v>0</v>
      </c>
      <c r="J1164" t="str">
        <f>_xlfn.XLOOKUP(H1164, Fact_Events!$A$2:$A$20, Fact_Events!$F$2:$F$20, "")</f>
        <v/>
      </c>
      <c r="K1164" t="str">
        <f t="shared" si="150"/>
        <v>Low</v>
      </c>
      <c r="L1164">
        <f t="shared" si="151"/>
        <v>0.55000000000000004</v>
      </c>
      <c r="M1164">
        <f>_xlfn.XLOOKUP(B1164, Dim_Hotel!$A$2:$A$11, Dim_Hotel!$I$2:$I$11)
 + (IF(J1164="",0,J1164)
    * _xlfn.XLOOKUP(B1164, Dim_Hotel!$A$2:$A$11, Dim_Hotel!$J$2:$J$11))</f>
        <v>145</v>
      </c>
    </row>
    <row r="1165" spans="1:13" x14ac:dyDescent="0.25">
      <c r="A1165" s="1">
        <f t="shared" si="144"/>
        <v>46139</v>
      </c>
      <c r="B1165" t="str" cm="1">
        <f t="array" ref="B1165">INDEX(HotelList,MOD(ROW()-2,10)+1)</f>
        <v>H004</v>
      </c>
      <c r="C1165">
        <f>_xlfn.XLOOKUP(B1165,Dim_Hotel!$A$2:$A$11,Dim_Hotel!$F$2:$F$11)</f>
        <v>108</v>
      </c>
      <c r="D1165">
        <f t="shared" si="145"/>
        <v>59</v>
      </c>
      <c r="E1165">
        <f t="shared" si="146"/>
        <v>0.54629629629629628</v>
      </c>
      <c r="F1165">
        <f t="shared" si="147"/>
        <v>135</v>
      </c>
      <c r="G1165">
        <f t="shared" si="148"/>
        <v>73.75</v>
      </c>
      <c r="H1165" t="str">
        <f>_xlfn.XLOOKUP(A1165,Fact_Events!$D$2:$D$20,Fact_Events!$A$2:$A$20, "")</f>
        <v/>
      </c>
      <c r="I1165">
        <f t="shared" si="149"/>
        <v>0</v>
      </c>
      <c r="J1165" t="str">
        <f>_xlfn.XLOOKUP(H1165, Fact_Events!$A$2:$A$20, Fact_Events!$F$2:$F$20, "")</f>
        <v/>
      </c>
      <c r="K1165" t="str">
        <f t="shared" si="150"/>
        <v>Low</v>
      </c>
      <c r="L1165">
        <f t="shared" si="151"/>
        <v>0.55000000000000004</v>
      </c>
      <c r="M1165">
        <f>_xlfn.XLOOKUP(B1165, Dim_Hotel!$A$2:$A$11, Dim_Hotel!$I$2:$I$11)
 + (IF(J1165="",0,J1165)
    * _xlfn.XLOOKUP(B1165, Dim_Hotel!$A$2:$A$11, Dim_Hotel!$J$2:$J$11))</f>
        <v>135</v>
      </c>
    </row>
    <row r="1166" spans="1:13" x14ac:dyDescent="0.25">
      <c r="A1166" s="1">
        <f t="shared" si="144"/>
        <v>46139</v>
      </c>
      <c r="B1166" t="str" cm="1">
        <f t="array" ref="B1166">INDEX(HotelList,MOD(ROW()-2,10)+1)</f>
        <v>H005</v>
      </c>
      <c r="C1166">
        <f>_xlfn.XLOOKUP(B1166,Dim_Hotel!$A$2:$A$11,Dim_Hotel!$F$2:$F$11)</f>
        <v>66</v>
      </c>
      <c r="D1166">
        <f t="shared" si="145"/>
        <v>36</v>
      </c>
      <c r="E1166">
        <f t="shared" si="146"/>
        <v>0.54545454545454541</v>
      </c>
      <c r="F1166">
        <f t="shared" si="147"/>
        <v>82</v>
      </c>
      <c r="G1166">
        <f t="shared" si="148"/>
        <v>44.727272727272727</v>
      </c>
      <c r="H1166" t="str">
        <f>_xlfn.XLOOKUP(A1166,Fact_Events!$D$2:$D$20,Fact_Events!$A$2:$A$20, "")</f>
        <v/>
      </c>
      <c r="I1166">
        <f t="shared" si="149"/>
        <v>0</v>
      </c>
      <c r="J1166" t="str">
        <f>_xlfn.XLOOKUP(H1166, Fact_Events!$A$2:$A$20, Fact_Events!$F$2:$F$20, "")</f>
        <v/>
      </c>
      <c r="K1166" t="str">
        <f t="shared" si="150"/>
        <v>Low</v>
      </c>
      <c r="L1166">
        <f t="shared" si="151"/>
        <v>0.55000000000000004</v>
      </c>
      <c r="M1166">
        <f>_xlfn.XLOOKUP(B1166, Dim_Hotel!$A$2:$A$11, Dim_Hotel!$I$2:$I$11)
 + (IF(J1166="",0,J1166)
    * _xlfn.XLOOKUP(B1166, Dim_Hotel!$A$2:$A$11, Dim_Hotel!$J$2:$J$11))</f>
        <v>82</v>
      </c>
    </row>
    <row r="1167" spans="1:13" x14ac:dyDescent="0.25">
      <c r="A1167" s="1">
        <f t="shared" si="144"/>
        <v>46139</v>
      </c>
      <c r="B1167" t="str" cm="1">
        <f t="array" ref="B1167">INDEX(HotelList,MOD(ROW()-2,10)+1)</f>
        <v>H006</v>
      </c>
      <c r="C1167">
        <f>_xlfn.XLOOKUP(B1167,Dim_Hotel!$A$2:$A$11,Dim_Hotel!$F$2:$F$11)</f>
        <v>311</v>
      </c>
      <c r="D1167">
        <f t="shared" si="145"/>
        <v>171</v>
      </c>
      <c r="E1167">
        <f t="shared" si="146"/>
        <v>0.54983922829581988</v>
      </c>
      <c r="F1167">
        <f t="shared" si="147"/>
        <v>190</v>
      </c>
      <c r="G1167">
        <f t="shared" si="148"/>
        <v>104.46945337620578</v>
      </c>
      <c r="H1167" t="str">
        <f>_xlfn.XLOOKUP(A1167,Fact_Events!$D$2:$D$20,Fact_Events!$A$2:$A$20, "")</f>
        <v/>
      </c>
      <c r="I1167">
        <f t="shared" si="149"/>
        <v>0</v>
      </c>
      <c r="J1167" t="str">
        <f>_xlfn.XLOOKUP(H1167, Fact_Events!$A$2:$A$20, Fact_Events!$F$2:$F$20, "")</f>
        <v/>
      </c>
      <c r="K1167" t="str">
        <f t="shared" si="150"/>
        <v>Low</v>
      </c>
      <c r="L1167">
        <f t="shared" si="151"/>
        <v>0.55000000000000004</v>
      </c>
      <c r="M1167">
        <f>_xlfn.XLOOKUP(B1167, Dim_Hotel!$A$2:$A$11, Dim_Hotel!$I$2:$I$11)
 + (IF(J1167="",0,J1167)
    * _xlfn.XLOOKUP(B1167, Dim_Hotel!$A$2:$A$11, Dim_Hotel!$J$2:$J$11))</f>
        <v>190</v>
      </c>
    </row>
    <row r="1168" spans="1:13" x14ac:dyDescent="0.25">
      <c r="A1168" s="1">
        <f t="shared" si="144"/>
        <v>46139</v>
      </c>
      <c r="B1168" t="str" cm="1">
        <f t="array" ref="B1168">INDEX(HotelList,MOD(ROW()-2,10)+1)</f>
        <v>H007</v>
      </c>
      <c r="C1168">
        <f>_xlfn.XLOOKUP(B1168,Dim_Hotel!$A$2:$A$11,Dim_Hotel!$F$2:$F$11)</f>
        <v>132</v>
      </c>
      <c r="D1168">
        <f t="shared" si="145"/>
        <v>73</v>
      </c>
      <c r="E1168">
        <f t="shared" si="146"/>
        <v>0.55303030303030298</v>
      </c>
      <c r="F1168">
        <f t="shared" si="147"/>
        <v>165</v>
      </c>
      <c r="G1168">
        <f t="shared" si="148"/>
        <v>91.249999999999986</v>
      </c>
      <c r="H1168" t="str">
        <f>_xlfn.XLOOKUP(A1168,Fact_Events!$D$2:$D$20,Fact_Events!$A$2:$A$20, "")</f>
        <v/>
      </c>
      <c r="I1168">
        <f t="shared" si="149"/>
        <v>0</v>
      </c>
      <c r="J1168" t="str">
        <f>_xlfn.XLOOKUP(H1168, Fact_Events!$A$2:$A$20, Fact_Events!$F$2:$F$20, "")</f>
        <v/>
      </c>
      <c r="K1168" t="str">
        <f t="shared" si="150"/>
        <v>Low</v>
      </c>
      <c r="L1168">
        <f t="shared" si="151"/>
        <v>0.55000000000000004</v>
      </c>
      <c r="M1168">
        <f>_xlfn.XLOOKUP(B1168, Dim_Hotel!$A$2:$A$11, Dim_Hotel!$I$2:$I$11)
 + (IF(J1168="",0,J1168)
    * _xlfn.XLOOKUP(B1168, Dim_Hotel!$A$2:$A$11, Dim_Hotel!$J$2:$J$11))</f>
        <v>165</v>
      </c>
    </row>
    <row r="1169" spans="1:13" x14ac:dyDescent="0.25">
      <c r="A1169" s="1">
        <f t="shared" si="144"/>
        <v>46139</v>
      </c>
      <c r="B1169" t="str" cm="1">
        <f t="array" ref="B1169">INDEX(HotelList,MOD(ROW()-2,10)+1)</f>
        <v>H008</v>
      </c>
      <c r="C1169">
        <f>_xlfn.XLOOKUP(B1169,Dim_Hotel!$A$2:$A$11,Dim_Hotel!$F$2:$F$11)</f>
        <v>103</v>
      </c>
      <c r="D1169">
        <f t="shared" si="145"/>
        <v>57</v>
      </c>
      <c r="E1169">
        <f t="shared" si="146"/>
        <v>0.55339805825242716</v>
      </c>
      <c r="F1169">
        <f t="shared" si="147"/>
        <v>140</v>
      </c>
      <c r="G1169">
        <f t="shared" si="148"/>
        <v>77.475728155339809</v>
      </c>
      <c r="H1169" t="str">
        <f>_xlfn.XLOOKUP(A1169,Fact_Events!$D$2:$D$20,Fact_Events!$A$2:$A$20, "")</f>
        <v/>
      </c>
      <c r="I1169">
        <f t="shared" si="149"/>
        <v>0</v>
      </c>
      <c r="J1169" t="str">
        <f>_xlfn.XLOOKUP(H1169, Fact_Events!$A$2:$A$20, Fact_Events!$F$2:$F$20, "")</f>
        <v/>
      </c>
      <c r="K1169" t="str">
        <f t="shared" si="150"/>
        <v>Low</v>
      </c>
      <c r="L1169">
        <f t="shared" si="151"/>
        <v>0.55000000000000004</v>
      </c>
      <c r="M1169">
        <f>_xlfn.XLOOKUP(B1169, Dim_Hotel!$A$2:$A$11, Dim_Hotel!$I$2:$I$11)
 + (IF(J1169="",0,J1169)
    * _xlfn.XLOOKUP(B1169, Dim_Hotel!$A$2:$A$11, Dim_Hotel!$J$2:$J$11))</f>
        <v>140</v>
      </c>
    </row>
    <row r="1170" spans="1:13" x14ac:dyDescent="0.25">
      <c r="A1170" s="1">
        <f t="shared" si="144"/>
        <v>46139</v>
      </c>
      <c r="B1170" t="str" cm="1">
        <f t="array" ref="B1170">INDEX(HotelList,MOD(ROW()-2,10)+1)</f>
        <v>H009</v>
      </c>
      <c r="C1170">
        <f>_xlfn.XLOOKUP(B1170,Dim_Hotel!$A$2:$A$11,Dim_Hotel!$F$2:$F$11)</f>
        <v>114</v>
      </c>
      <c r="D1170">
        <f t="shared" si="145"/>
        <v>63</v>
      </c>
      <c r="E1170">
        <f t="shared" si="146"/>
        <v>0.55263157894736847</v>
      </c>
      <c r="F1170">
        <f t="shared" si="147"/>
        <v>185</v>
      </c>
      <c r="G1170">
        <f t="shared" si="148"/>
        <v>102.23684210526316</v>
      </c>
      <c r="H1170" t="str">
        <f>_xlfn.XLOOKUP(A1170,Fact_Events!$D$2:$D$20,Fact_Events!$A$2:$A$20, "")</f>
        <v/>
      </c>
      <c r="I1170">
        <f t="shared" si="149"/>
        <v>0</v>
      </c>
      <c r="J1170" t="str">
        <f>_xlfn.XLOOKUP(H1170, Fact_Events!$A$2:$A$20, Fact_Events!$F$2:$F$20, "")</f>
        <v/>
      </c>
      <c r="K1170" t="str">
        <f t="shared" si="150"/>
        <v>Low</v>
      </c>
      <c r="L1170">
        <f t="shared" si="151"/>
        <v>0.55000000000000004</v>
      </c>
      <c r="M1170">
        <f>_xlfn.XLOOKUP(B1170, Dim_Hotel!$A$2:$A$11, Dim_Hotel!$I$2:$I$11)
 + (IF(J1170="",0,J1170)
    * _xlfn.XLOOKUP(B1170, Dim_Hotel!$A$2:$A$11, Dim_Hotel!$J$2:$J$11))</f>
        <v>185</v>
      </c>
    </row>
    <row r="1171" spans="1:13" x14ac:dyDescent="0.25">
      <c r="A1171" s="1">
        <f t="shared" si="144"/>
        <v>46139</v>
      </c>
      <c r="B1171" t="str" cm="1">
        <f t="array" ref="B1171">INDEX(HotelList,MOD(ROW()-2,10)+1)</f>
        <v>H010</v>
      </c>
      <c r="C1171">
        <f>_xlfn.XLOOKUP(B1171,Dim_Hotel!$A$2:$A$11,Dim_Hotel!$F$2:$F$11)</f>
        <v>89</v>
      </c>
      <c r="D1171">
        <f t="shared" si="145"/>
        <v>49</v>
      </c>
      <c r="E1171">
        <f t="shared" si="146"/>
        <v>0.550561797752809</v>
      </c>
      <c r="F1171">
        <f t="shared" si="147"/>
        <v>150</v>
      </c>
      <c r="G1171">
        <f t="shared" si="148"/>
        <v>82.584269662921344</v>
      </c>
      <c r="H1171" t="str">
        <f>_xlfn.XLOOKUP(A1171,Fact_Events!$D$2:$D$20,Fact_Events!$A$2:$A$20, "")</f>
        <v/>
      </c>
      <c r="I1171">
        <f t="shared" si="149"/>
        <v>0</v>
      </c>
      <c r="J1171" t="str">
        <f>_xlfn.XLOOKUP(H1171, Fact_Events!$A$2:$A$20, Fact_Events!$F$2:$F$20, "")</f>
        <v/>
      </c>
      <c r="K1171" t="str">
        <f t="shared" si="150"/>
        <v>Low</v>
      </c>
      <c r="L1171">
        <f t="shared" si="151"/>
        <v>0.55000000000000004</v>
      </c>
      <c r="M1171">
        <f>_xlfn.XLOOKUP(B1171, Dim_Hotel!$A$2:$A$11, Dim_Hotel!$I$2:$I$11)
 + (IF(J1171="",0,J1171)
    * _xlfn.XLOOKUP(B1171, Dim_Hotel!$A$2:$A$11, Dim_Hotel!$J$2:$J$11))</f>
        <v>150</v>
      </c>
    </row>
    <row r="1172" spans="1:13" x14ac:dyDescent="0.25">
      <c r="A1172" s="1">
        <f t="shared" si="144"/>
        <v>46140</v>
      </c>
      <c r="B1172" t="str" cm="1">
        <f t="array" ref="B1172">INDEX(HotelList,MOD(ROW()-2,10)+1)</f>
        <v>H001</v>
      </c>
      <c r="C1172">
        <f>_xlfn.XLOOKUP(B1172,Dim_Hotel!$A$2:$A$11,Dim_Hotel!$F$2:$F$11)</f>
        <v>888</v>
      </c>
      <c r="D1172">
        <f t="shared" si="145"/>
        <v>488</v>
      </c>
      <c r="E1172">
        <f t="shared" si="146"/>
        <v>0.5495495495495496</v>
      </c>
      <c r="F1172">
        <f t="shared" si="147"/>
        <v>260</v>
      </c>
      <c r="G1172">
        <f t="shared" si="148"/>
        <v>142.88288288288288</v>
      </c>
      <c r="H1172" t="str">
        <f>_xlfn.XLOOKUP(A1172,Fact_Events!$D$2:$D$20,Fact_Events!$A$2:$A$20, "")</f>
        <v/>
      </c>
      <c r="I1172">
        <f t="shared" si="149"/>
        <v>0</v>
      </c>
      <c r="J1172" t="str">
        <f>_xlfn.XLOOKUP(H1172, Fact_Events!$A$2:$A$20, Fact_Events!$F$2:$F$20, "")</f>
        <v/>
      </c>
      <c r="K1172" t="str">
        <f t="shared" si="150"/>
        <v>Low</v>
      </c>
      <c r="L1172">
        <f t="shared" si="151"/>
        <v>0.55000000000000004</v>
      </c>
      <c r="M1172">
        <f>_xlfn.XLOOKUP(B1172, Dim_Hotel!$A$2:$A$11, Dim_Hotel!$I$2:$I$11)
 + (IF(J1172="",0,J1172)
    * _xlfn.XLOOKUP(B1172, Dim_Hotel!$A$2:$A$11, Dim_Hotel!$J$2:$J$11))</f>
        <v>260</v>
      </c>
    </row>
    <row r="1173" spans="1:13" x14ac:dyDescent="0.25">
      <c r="A1173" s="1">
        <f t="shared" si="144"/>
        <v>46140</v>
      </c>
      <c r="B1173" t="str" cm="1">
        <f t="array" ref="B1173">INDEX(HotelList,MOD(ROW()-2,10)+1)</f>
        <v>H002</v>
      </c>
      <c r="C1173">
        <f>_xlfn.XLOOKUP(B1173,Dim_Hotel!$A$2:$A$11,Dim_Hotel!$F$2:$F$11)</f>
        <v>147</v>
      </c>
      <c r="D1173">
        <f t="shared" si="145"/>
        <v>81</v>
      </c>
      <c r="E1173">
        <f t="shared" si="146"/>
        <v>0.55102040816326525</v>
      </c>
      <c r="F1173">
        <f t="shared" si="147"/>
        <v>175</v>
      </c>
      <c r="G1173">
        <f t="shared" si="148"/>
        <v>96.428571428571416</v>
      </c>
      <c r="H1173" t="str">
        <f>_xlfn.XLOOKUP(A1173,Fact_Events!$D$2:$D$20,Fact_Events!$A$2:$A$20, "")</f>
        <v/>
      </c>
      <c r="I1173">
        <f t="shared" si="149"/>
        <v>0</v>
      </c>
      <c r="J1173" t="str">
        <f>_xlfn.XLOOKUP(H1173, Fact_Events!$A$2:$A$20, Fact_Events!$F$2:$F$20, "")</f>
        <v/>
      </c>
      <c r="K1173" t="str">
        <f t="shared" si="150"/>
        <v>Low</v>
      </c>
      <c r="L1173">
        <f t="shared" si="151"/>
        <v>0.55000000000000004</v>
      </c>
      <c r="M1173">
        <f>_xlfn.XLOOKUP(B1173, Dim_Hotel!$A$2:$A$11, Dim_Hotel!$I$2:$I$11)
 + (IF(J1173="",0,J1173)
    * _xlfn.XLOOKUP(B1173, Dim_Hotel!$A$2:$A$11, Dim_Hotel!$J$2:$J$11))</f>
        <v>175</v>
      </c>
    </row>
    <row r="1174" spans="1:13" x14ac:dyDescent="0.25">
      <c r="A1174" s="1">
        <f t="shared" si="144"/>
        <v>46140</v>
      </c>
      <c r="B1174" t="str" cm="1">
        <f t="array" ref="B1174">INDEX(HotelList,MOD(ROW()-2,10)+1)</f>
        <v>H003</v>
      </c>
      <c r="C1174">
        <f>_xlfn.XLOOKUP(B1174,Dim_Hotel!$A$2:$A$11,Dim_Hotel!$F$2:$F$11)</f>
        <v>121</v>
      </c>
      <c r="D1174">
        <f t="shared" si="145"/>
        <v>67</v>
      </c>
      <c r="E1174">
        <f t="shared" si="146"/>
        <v>0.55371900826446285</v>
      </c>
      <c r="F1174">
        <f t="shared" si="147"/>
        <v>145</v>
      </c>
      <c r="G1174">
        <f t="shared" si="148"/>
        <v>80.289256198347118</v>
      </c>
      <c r="H1174" t="str">
        <f>_xlfn.XLOOKUP(A1174,Fact_Events!$D$2:$D$20,Fact_Events!$A$2:$A$20, "")</f>
        <v/>
      </c>
      <c r="I1174">
        <f t="shared" si="149"/>
        <v>0</v>
      </c>
      <c r="J1174" t="str">
        <f>_xlfn.XLOOKUP(H1174, Fact_Events!$A$2:$A$20, Fact_Events!$F$2:$F$20, "")</f>
        <v/>
      </c>
      <c r="K1174" t="str">
        <f t="shared" si="150"/>
        <v>Low</v>
      </c>
      <c r="L1174">
        <f t="shared" si="151"/>
        <v>0.55000000000000004</v>
      </c>
      <c r="M1174">
        <f>_xlfn.XLOOKUP(B1174, Dim_Hotel!$A$2:$A$11, Dim_Hotel!$I$2:$I$11)
 + (IF(J1174="",0,J1174)
    * _xlfn.XLOOKUP(B1174, Dim_Hotel!$A$2:$A$11, Dim_Hotel!$J$2:$J$11))</f>
        <v>145</v>
      </c>
    </row>
    <row r="1175" spans="1:13" x14ac:dyDescent="0.25">
      <c r="A1175" s="1">
        <f t="shared" si="144"/>
        <v>46140</v>
      </c>
      <c r="B1175" t="str" cm="1">
        <f t="array" ref="B1175">INDEX(HotelList,MOD(ROW()-2,10)+1)</f>
        <v>H004</v>
      </c>
      <c r="C1175">
        <f>_xlfn.XLOOKUP(B1175,Dim_Hotel!$A$2:$A$11,Dim_Hotel!$F$2:$F$11)</f>
        <v>108</v>
      </c>
      <c r="D1175">
        <f t="shared" si="145"/>
        <v>59</v>
      </c>
      <c r="E1175">
        <f t="shared" si="146"/>
        <v>0.54629629629629628</v>
      </c>
      <c r="F1175">
        <f t="shared" si="147"/>
        <v>135</v>
      </c>
      <c r="G1175">
        <f t="shared" si="148"/>
        <v>73.75</v>
      </c>
      <c r="H1175" t="str">
        <f>_xlfn.XLOOKUP(A1175,Fact_Events!$D$2:$D$20,Fact_Events!$A$2:$A$20, "")</f>
        <v/>
      </c>
      <c r="I1175">
        <f t="shared" si="149"/>
        <v>0</v>
      </c>
      <c r="J1175" t="str">
        <f>_xlfn.XLOOKUP(H1175, Fact_Events!$A$2:$A$20, Fact_Events!$F$2:$F$20, "")</f>
        <v/>
      </c>
      <c r="K1175" t="str">
        <f t="shared" si="150"/>
        <v>Low</v>
      </c>
      <c r="L1175">
        <f t="shared" si="151"/>
        <v>0.55000000000000004</v>
      </c>
      <c r="M1175">
        <f>_xlfn.XLOOKUP(B1175, Dim_Hotel!$A$2:$A$11, Dim_Hotel!$I$2:$I$11)
 + (IF(J1175="",0,J1175)
    * _xlfn.XLOOKUP(B1175, Dim_Hotel!$A$2:$A$11, Dim_Hotel!$J$2:$J$11))</f>
        <v>135</v>
      </c>
    </row>
    <row r="1176" spans="1:13" x14ac:dyDescent="0.25">
      <c r="A1176" s="1">
        <f t="shared" si="144"/>
        <v>46140</v>
      </c>
      <c r="B1176" t="str" cm="1">
        <f t="array" ref="B1176">INDEX(HotelList,MOD(ROW()-2,10)+1)</f>
        <v>H005</v>
      </c>
      <c r="C1176">
        <f>_xlfn.XLOOKUP(B1176,Dim_Hotel!$A$2:$A$11,Dim_Hotel!$F$2:$F$11)</f>
        <v>66</v>
      </c>
      <c r="D1176">
        <f t="shared" si="145"/>
        <v>36</v>
      </c>
      <c r="E1176">
        <f t="shared" si="146"/>
        <v>0.54545454545454541</v>
      </c>
      <c r="F1176">
        <f t="shared" si="147"/>
        <v>82</v>
      </c>
      <c r="G1176">
        <f t="shared" si="148"/>
        <v>44.727272727272727</v>
      </c>
      <c r="H1176" t="str">
        <f>_xlfn.XLOOKUP(A1176,Fact_Events!$D$2:$D$20,Fact_Events!$A$2:$A$20, "")</f>
        <v/>
      </c>
      <c r="I1176">
        <f t="shared" si="149"/>
        <v>0</v>
      </c>
      <c r="J1176" t="str">
        <f>_xlfn.XLOOKUP(H1176, Fact_Events!$A$2:$A$20, Fact_Events!$F$2:$F$20, "")</f>
        <v/>
      </c>
      <c r="K1176" t="str">
        <f t="shared" si="150"/>
        <v>Low</v>
      </c>
      <c r="L1176">
        <f t="shared" si="151"/>
        <v>0.55000000000000004</v>
      </c>
      <c r="M1176">
        <f>_xlfn.XLOOKUP(B1176, Dim_Hotel!$A$2:$A$11, Dim_Hotel!$I$2:$I$11)
 + (IF(J1176="",0,J1176)
    * _xlfn.XLOOKUP(B1176, Dim_Hotel!$A$2:$A$11, Dim_Hotel!$J$2:$J$11))</f>
        <v>82</v>
      </c>
    </row>
    <row r="1177" spans="1:13" x14ac:dyDescent="0.25">
      <c r="A1177" s="1">
        <f t="shared" si="144"/>
        <v>46140</v>
      </c>
      <c r="B1177" t="str" cm="1">
        <f t="array" ref="B1177">INDEX(HotelList,MOD(ROW()-2,10)+1)</f>
        <v>H006</v>
      </c>
      <c r="C1177">
        <f>_xlfn.XLOOKUP(B1177,Dim_Hotel!$A$2:$A$11,Dim_Hotel!$F$2:$F$11)</f>
        <v>311</v>
      </c>
      <c r="D1177">
        <f t="shared" si="145"/>
        <v>171</v>
      </c>
      <c r="E1177">
        <f t="shared" si="146"/>
        <v>0.54983922829581988</v>
      </c>
      <c r="F1177">
        <f t="shared" si="147"/>
        <v>190</v>
      </c>
      <c r="G1177">
        <f t="shared" si="148"/>
        <v>104.46945337620578</v>
      </c>
      <c r="H1177" t="str">
        <f>_xlfn.XLOOKUP(A1177,Fact_Events!$D$2:$D$20,Fact_Events!$A$2:$A$20, "")</f>
        <v/>
      </c>
      <c r="I1177">
        <f t="shared" si="149"/>
        <v>0</v>
      </c>
      <c r="J1177" t="str">
        <f>_xlfn.XLOOKUP(H1177, Fact_Events!$A$2:$A$20, Fact_Events!$F$2:$F$20, "")</f>
        <v/>
      </c>
      <c r="K1177" t="str">
        <f t="shared" si="150"/>
        <v>Low</v>
      </c>
      <c r="L1177">
        <f t="shared" si="151"/>
        <v>0.55000000000000004</v>
      </c>
      <c r="M1177">
        <f>_xlfn.XLOOKUP(B1177, Dim_Hotel!$A$2:$A$11, Dim_Hotel!$I$2:$I$11)
 + (IF(J1177="",0,J1177)
    * _xlfn.XLOOKUP(B1177, Dim_Hotel!$A$2:$A$11, Dim_Hotel!$J$2:$J$11))</f>
        <v>190</v>
      </c>
    </row>
    <row r="1178" spans="1:13" x14ac:dyDescent="0.25">
      <c r="A1178" s="1">
        <f t="shared" si="144"/>
        <v>46140</v>
      </c>
      <c r="B1178" t="str" cm="1">
        <f t="array" ref="B1178">INDEX(HotelList,MOD(ROW()-2,10)+1)</f>
        <v>H007</v>
      </c>
      <c r="C1178">
        <f>_xlfn.XLOOKUP(B1178,Dim_Hotel!$A$2:$A$11,Dim_Hotel!$F$2:$F$11)</f>
        <v>132</v>
      </c>
      <c r="D1178">
        <f t="shared" si="145"/>
        <v>73</v>
      </c>
      <c r="E1178">
        <f t="shared" si="146"/>
        <v>0.55303030303030298</v>
      </c>
      <c r="F1178">
        <f t="shared" si="147"/>
        <v>165</v>
      </c>
      <c r="G1178">
        <f t="shared" si="148"/>
        <v>91.249999999999986</v>
      </c>
      <c r="H1178" t="str">
        <f>_xlfn.XLOOKUP(A1178,Fact_Events!$D$2:$D$20,Fact_Events!$A$2:$A$20, "")</f>
        <v/>
      </c>
      <c r="I1178">
        <f t="shared" si="149"/>
        <v>0</v>
      </c>
      <c r="J1178" t="str">
        <f>_xlfn.XLOOKUP(H1178, Fact_Events!$A$2:$A$20, Fact_Events!$F$2:$F$20, "")</f>
        <v/>
      </c>
      <c r="K1178" t="str">
        <f t="shared" si="150"/>
        <v>Low</v>
      </c>
      <c r="L1178">
        <f t="shared" si="151"/>
        <v>0.55000000000000004</v>
      </c>
      <c r="M1178">
        <f>_xlfn.XLOOKUP(B1178, Dim_Hotel!$A$2:$A$11, Dim_Hotel!$I$2:$I$11)
 + (IF(J1178="",0,J1178)
    * _xlfn.XLOOKUP(B1178, Dim_Hotel!$A$2:$A$11, Dim_Hotel!$J$2:$J$11))</f>
        <v>165</v>
      </c>
    </row>
    <row r="1179" spans="1:13" x14ac:dyDescent="0.25">
      <c r="A1179" s="1">
        <f t="shared" si="144"/>
        <v>46140</v>
      </c>
      <c r="B1179" t="str" cm="1">
        <f t="array" ref="B1179">INDEX(HotelList,MOD(ROW()-2,10)+1)</f>
        <v>H008</v>
      </c>
      <c r="C1179">
        <f>_xlfn.XLOOKUP(B1179,Dim_Hotel!$A$2:$A$11,Dim_Hotel!$F$2:$F$11)</f>
        <v>103</v>
      </c>
      <c r="D1179">
        <f t="shared" si="145"/>
        <v>57</v>
      </c>
      <c r="E1179">
        <f t="shared" si="146"/>
        <v>0.55339805825242716</v>
      </c>
      <c r="F1179">
        <f t="shared" si="147"/>
        <v>140</v>
      </c>
      <c r="G1179">
        <f t="shared" si="148"/>
        <v>77.475728155339809</v>
      </c>
      <c r="H1179" t="str">
        <f>_xlfn.XLOOKUP(A1179,Fact_Events!$D$2:$D$20,Fact_Events!$A$2:$A$20, "")</f>
        <v/>
      </c>
      <c r="I1179">
        <f t="shared" si="149"/>
        <v>0</v>
      </c>
      <c r="J1179" t="str">
        <f>_xlfn.XLOOKUP(H1179, Fact_Events!$A$2:$A$20, Fact_Events!$F$2:$F$20, "")</f>
        <v/>
      </c>
      <c r="K1179" t="str">
        <f t="shared" si="150"/>
        <v>Low</v>
      </c>
      <c r="L1179">
        <f t="shared" si="151"/>
        <v>0.55000000000000004</v>
      </c>
      <c r="M1179">
        <f>_xlfn.XLOOKUP(B1179, Dim_Hotel!$A$2:$A$11, Dim_Hotel!$I$2:$I$11)
 + (IF(J1179="",0,J1179)
    * _xlfn.XLOOKUP(B1179, Dim_Hotel!$A$2:$A$11, Dim_Hotel!$J$2:$J$11))</f>
        <v>140</v>
      </c>
    </row>
    <row r="1180" spans="1:13" x14ac:dyDescent="0.25">
      <c r="A1180" s="1">
        <f t="shared" si="144"/>
        <v>46140</v>
      </c>
      <c r="B1180" t="str" cm="1">
        <f t="array" ref="B1180">INDEX(HotelList,MOD(ROW()-2,10)+1)</f>
        <v>H009</v>
      </c>
      <c r="C1180">
        <f>_xlfn.XLOOKUP(B1180,Dim_Hotel!$A$2:$A$11,Dim_Hotel!$F$2:$F$11)</f>
        <v>114</v>
      </c>
      <c r="D1180">
        <f t="shared" si="145"/>
        <v>63</v>
      </c>
      <c r="E1180">
        <f t="shared" si="146"/>
        <v>0.55263157894736847</v>
      </c>
      <c r="F1180">
        <f t="shared" si="147"/>
        <v>185</v>
      </c>
      <c r="G1180">
        <f t="shared" si="148"/>
        <v>102.23684210526316</v>
      </c>
      <c r="H1180" t="str">
        <f>_xlfn.XLOOKUP(A1180,Fact_Events!$D$2:$D$20,Fact_Events!$A$2:$A$20, "")</f>
        <v/>
      </c>
      <c r="I1180">
        <f t="shared" si="149"/>
        <v>0</v>
      </c>
      <c r="J1180" t="str">
        <f>_xlfn.XLOOKUP(H1180, Fact_Events!$A$2:$A$20, Fact_Events!$F$2:$F$20, "")</f>
        <v/>
      </c>
      <c r="K1180" t="str">
        <f t="shared" si="150"/>
        <v>Low</v>
      </c>
      <c r="L1180">
        <f t="shared" si="151"/>
        <v>0.55000000000000004</v>
      </c>
      <c r="M1180">
        <f>_xlfn.XLOOKUP(B1180, Dim_Hotel!$A$2:$A$11, Dim_Hotel!$I$2:$I$11)
 + (IF(J1180="",0,J1180)
    * _xlfn.XLOOKUP(B1180, Dim_Hotel!$A$2:$A$11, Dim_Hotel!$J$2:$J$11))</f>
        <v>185</v>
      </c>
    </row>
    <row r="1181" spans="1:13" x14ac:dyDescent="0.25">
      <c r="A1181" s="1">
        <f t="shared" si="144"/>
        <v>46140</v>
      </c>
      <c r="B1181" t="str" cm="1">
        <f t="array" ref="B1181">INDEX(HotelList,MOD(ROW()-2,10)+1)</f>
        <v>H010</v>
      </c>
      <c r="C1181">
        <f>_xlfn.XLOOKUP(B1181,Dim_Hotel!$A$2:$A$11,Dim_Hotel!$F$2:$F$11)</f>
        <v>89</v>
      </c>
      <c r="D1181">
        <f t="shared" si="145"/>
        <v>49</v>
      </c>
      <c r="E1181">
        <f t="shared" si="146"/>
        <v>0.550561797752809</v>
      </c>
      <c r="F1181">
        <f t="shared" si="147"/>
        <v>150</v>
      </c>
      <c r="G1181">
        <f t="shared" si="148"/>
        <v>82.584269662921344</v>
      </c>
      <c r="H1181" t="str">
        <f>_xlfn.XLOOKUP(A1181,Fact_Events!$D$2:$D$20,Fact_Events!$A$2:$A$20, "")</f>
        <v/>
      </c>
      <c r="I1181">
        <f t="shared" si="149"/>
        <v>0</v>
      </c>
      <c r="J1181" t="str">
        <f>_xlfn.XLOOKUP(H1181, Fact_Events!$A$2:$A$20, Fact_Events!$F$2:$F$20, "")</f>
        <v/>
      </c>
      <c r="K1181" t="str">
        <f t="shared" si="150"/>
        <v>Low</v>
      </c>
      <c r="L1181">
        <f t="shared" si="151"/>
        <v>0.55000000000000004</v>
      </c>
      <c r="M1181">
        <f>_xlfn.XLOOKUP(B1181, Dim_Hotel!$A$2:$A$11, Dim_Hotel!$I$2:$I$11)
 + (IF(J1181="",0,J1181)
    * _xlfn.XLOOKUP(B1181, Dim_Hotel!$A$2:$A$11, Dim_Hotel!$J$2:$J$11))</f>
        <v>150</v>
      </c>
    </row>
    <row r="1182" spans="1:13" x14ac:dyDescent="0.25">
      <c r="A1182" s="1">
        <f t="shared" si="144"/>
        <v>46141</v>
      </c>
      <c r="B1182" t="str" cm="1">
        <f t="array" ref="B1182">INDEX(HotelList,MOD(ROW()-2,10)+1)</f>
        <v>H001</v>
      </c>
      <c r="C1182">
        <f>_xlfn.XLOOKUP(B1182,Dim_Hotel!$A$2:$A$11,Dim_Hotel!$F$2:$F$11)</f>
        <v>888</v>
      </c>
      <c r="D1182">
        <f t="shared" si="145"/>
        <v>488</v>
      </c>
      <c r="E1182">
        <f t="shared" si="146"/>
        <v>0.5495495495495496</v>
      </c>
      <c r="F1182">
        <f t="shared" si="147"/>
        <v>260</v>
      </c>
      <c r="G1182">
        <f t="shared" si="148"/>
        <v>142.88288288288288</v>
      </c>
      <c r="H1182" t="str">
        <f>_xlfn.XLOOKUP(A1182,Fact_Events!$D$2:$D$20,Fact_Events!$A$2:$A$20, "")</f>
        <v/>
      </c>
      <c r="I1182">
        <f t="shared" si="149"/>
        <v>0</v>
      </c>
      <c r="J1182" t="str">
        <f>_xlfn.XLOOKUP(H1182, Fact_Events!$A$2:$A$20, Fact_Events!$F$2:$F$20, "")</f>
        <v/>
      </c>
      <c r="K1182" t="str">
        <f t="shared" si="150"/>
        <v>Low</v>
      </c>
      <c r="L1182">
        <f t="shared" si="151"/>
        <v>0.55000000000000004</v>
      </c>
      <c r="M1182">
        <f>_xlfn.XLOOKUP(B1182, Dim_Hotel!$A$2:$A$11, Dim_Hotel!$I$2:$I$11)
 + (IF(J1182="",0,J1182)
    * _xlfn.XLOOKUP(B1182, Dim_Hotel!$A$2:$A$11, Dim_Hotel!$J$2:$J$11))</f>
        <v>260</v>
      </c>
    </row>
    <row r="1183" spans="1:13" x14ac:dyDescent="0.25">
      <c r="A1183" s="1">
        <f t="shared" si="144"/>
        <v>46141</v>
      </c>
      <c r="B1183" t="str" cm="1">
        <f t="array" ref="B1183">INDEX(HotelList,MOD(ROW()-2,10)+1)</f>
        <v>H002</v>
      </c>
      <c r="C1183">
        <f>_xlfn.XLOOKUP(B1183,Dim_Hotel!$A$2:$A$11,Dim_Hotel!$F$2:$F$11)</f>
        <v>147</v>
      </c>
      <c r="D1183">
        <f t="shared" si="145"/>
        <v>81</v>
      </c>
      <c r="E1183">
        <f t="shared" si="146"/>
        <v>0.55102040816326525</v>
      </c>
      <c r="F1183">
        <f t="shared" si="147"/>
        <v>175</v>
      </c>
      <c r="G1183">
        <f t="shared" si="148"/>
        <v>96.428571428571416</v>
      </c>
      <c r="H1183" t="str">
        <f>_xlfn.XLOOKUP(A1183,Fact_Events!$D$2:$D$20,Fact_Events!$A$2:$A$20, "")</f>
        <v/>
      </c>
      <c r="I1183">
        <f t="shared" si="149"/>
        <v>0</v>
      </c>
      <c r="J1183" t="str">
        <f>_xlfn.XLOOKUP(H1183, Fact_Events!$A$2:$A$20, Fact_Events!$F$2:$F$20, "")</f>
        <v/>
      </c>
      <c r="K1183" t="str">
        <f t="shared" si="150"/>
        <v>Low</v>
      </c>
      <c r="L1183">
        <f t="shared" si="151"/>
        <v>0.55000000000000004</v>
      </c>
      <c r="M1183">
        <f>_xlfn.XLOOKUP(B1183, Dim_Hotel!$A$2:$A$11, Dim_Hotel!$I$2:$I$11)
 + (IF(J1183="",0,J1183)
    * _xlfn.XLOOKUP(B1183, Dim_Hotel!$A$2:$A$11, Dim_Hotel!$J$2:$J$11))</f>
        <v>175</v>
      </c>
    </row>
    <row r="1184" spans="1:13" x14ac:dyDescent="0.25">
      <c r="A1184" s="1">
        <f t="shared" si="144"/>
        <v>46141</v>
      </c>
      <c r="B1184" t="str" cm="1">
        <f t="array" ref="B1184">INDEX(HotelList,MOD(ROW()-2,10)+1)</f>
        <v>H003</v>
      </c>
      <c r="C1184">
        <f>_xlfn.XLOOKUP(B1184,Dim_Hotel!$A$2:$A$11,Dim_Hotel!$F$2:$F$11)</f>
        <v>121</v>
      </c>
      <c r="D1184">
        <f t="shared" si="145"/>
        <v>67</v>
      </c>
      <c r="E1184">
        <f t="shared" si="146"/>
        <v>0.55371900826446285</v>
      </c>
      <c r="F1184">
        <f t="shared" si="147"/>
        <v>145</v>
      </c>
      <c r="G1184">
        <f t="shared" si="148"/>
        <v>80.289256198347118</v>
      </c>
      <c r="H1184" t="str">
        <f>_xlfn.XLOOKUP(A1184,Fact_Events!$D$2:$D$20,Fact_Events!$A$2:$A$20, "")</f>
        <v/>
      </c>
      <c r="I1184">
        <f t="shared" si="149"/>
        <v>0</v>
      </c>
      <c r="J1184" t="str">
        <f>_xlfn.XLOOKUP(H1184, Fact_Events!$A$2:$A$20, Fact_Events!$F$2:$F$20, "")</f>
        <v/>
      </c>
      <c r="K1184" t="str">
        <f t="shared" si="150"/>
        <v>Low</v>
      </c>
      <c r="L1184">
        <f t="shared" si="151"/>
        <v>0.55000000000000004</v>
      </c>
      <c r="M1184">
        <f>_xlfn.XLOOKUP(B1184, Dim_Hotel!$A$2:$A$11, Dim_Hotel!$I$2:$I$11)
 + (IF(J1184="",0,J1184)
    * _xlfn.XLOOKUP(B1184, Dim_Hotel!$A$2:$A$11, Dim_Hotel!$J$2:$J$11))</f>
        <v>145</v>
      </c>
    </row>
    <row r="1185" spans="1:13" x14ac:dyDescent="0.25">
      <c r="A1185" s="1">
        <f t="shared" si="144"/>
        <v>46141</v>
      </c>
      <c r="B1185" t="str" cm="1">
        <f t="array" ref="B1185">INDEX(HotelList,MOD(ROW()-2,10)+1)</f>
        <v>H004</v>
      </c>
      <c r="C1185">
        <f>_xlfn.XLOOKUP(B1185,Dim_Hotel!$A$2:$A$11,Dim_Hotel!$F$2:$F$11)</f>
        <v>108</v>
      </c>
      <c r="D1185">
        <f t="shared" si="145"/>
        <v>59</v>
      </c>
      <c r="E1185">
        <f t="shared" si="146"/>
        <v>0.54629629629629628</v>
      </c>
      <c r="F1185">
        <f t="shared" si="147"/>
        <v>135</v>
      </c>
      <c r="G1185">
        <f t="shared" si="148"/>
        <v>73.75</v>
      </c>
      <c r="H1185" t="str">
        <f>_xlfn.XLOOKUP(A1185,Fact_Events!$D$2:$D$20,Fact_Events!$A$2:$A$20, "")</f>
        <v/>
      </c>
      <c r="I1185">
        <f t="shared" si="149"/>
        <v>0</v>
      </c>
      <c r="J1185" t="str">
        <f>_xlfn.XLOOKUP(H1185, Fact_Events!$A$2:$A$20, Fact_Events!$F$2:$F$20, "")</f>
        <v/>
      </c>
      <c r="K1185" t="str">
        <f t="shared" si="150"/>
        <v>Low</v>
      </c>
      <c r="L1185">
        <f t="shared" si="151"/>
        <v>0.55000000000000004</v>
      </c>
      <c r="M1185">
        <f>_xlfn.XLOOKUP(B1185, Dim_Hotel!$A$2:$A$11, Dim_Hotel!$I$2:$I$11)
 + (IF(J1185="",0,J1185)
    * _xlfn.XLOOKUP(B1185, Dim_Hotel!$A$2:$A$11, Dim_Hotel!$J$2:$J$11))</f>
        <v>135</v>
      </c>
    </row>
    <row r="1186" spans="1:13" x14ac:dyDescent="0.25">
      <c r="A1186" s="1">
        <f t="shared" si="144"/>
        <v>46141</v>
      </c>
      <c r="B1186" t="str" cm="1">
        <f t="array" ref="B1186">INDEX(HotelList,MOD(ROW()-2,10)+1)</f>
        <v>H005</v>
      </c>
      <c r="C1186">
        <f>_xlfn.XLOOKUP(B1186,Dim_Hotel!$A$2:$A$11,Dim_Hotel!$F$2:$F$11)</f>
        <v>66</v>
      </c>
      <c r="D1186">
        <f t="shared" si="145"/>
        <v>36</v>
      </c>
      <c r="E1186">
        <f t="shared" si="146"/>
        <v>0.54545454545454541</v>
      </c>
      <c r="F1186">
        <f t="shared" si="147"/>
        <v>82</v>
      </c>
      <c r="G1186">
        <f t="shared" si="148"/>
        <v>44.727272727272727</v>
      </c>
      <c r="H1186" t="str">
        <f>_xlfn.XLOOKUP(A1186,Fact_Events!$D$2:$D$20,Fact_Events!$A$2:$A$20, "")</f>
        <v/>
      </c>
      <c r="I1186">
        <f t="shared" si="149"/>
        <v>0</v>
      </c>
      <c r="J1186" t="str">
        <f>_xlfn.XLOOKUP(H1186, Fact_Events!$A$2:$A$20, Fact_Events!$F$2:$F$20, "")</f>
        <v/>
      </c>
      <c r="K1186" t="str">
        <f t="shared" si="150"/>
        <v>Low</v>
      </c>
      <c r="L1186">
        <f t="shared" si="151"/>
        <v>0.55000000000000004</v>
      </c>
      <c r="M1186">
        <f>_xlfn.XLOOKUP(B1186, Dim_Hotel!$A$2:$A$11, Dim_Hotel!$I$2:$I$11)
 + (IF(J1186="",0,J1186)
    * _xlfn.XLOOKUP(B1186, Dim_Hotel!$A$2:$A$11, Dim_Hotel!$J$2:$J$11))</f>
        <v>82</v>
      </c>
    </row>
    <row r="1187" spans="1:13" x14ac:dyDescent="0.25">
      <c r="A1187" s="1">
        <f t="shared" si="144"/>
        <v>46141</v>
      </c>
      <c r="B1187" t="str" cm="1">
        <f t="array" ref="B1187">INDEX(HotelList,MOD(ROW()-2,10)+1)</f>
        <v>H006</v>
      </c>
      <c r="C1187">
        <f>_xlfn.XLOOKUP(B1187,Dim_Hotel!$A$2:$A$11,Dim_Hotel!$F$2:$F$11)</f>
        <v>311</v>
      </c>
      <c r="D1187">
        <f t="shared" si="145"/>
        <v>171</v>
      </c>
      <c r="E1187">
        <f t="shared" si="146"/>
        <v>0.54983922829581988</v>
      </c>
      <c r="F1187">
        <f t="shared" si="147"/>
        <v>190</v>
      </c>
      <c r="G1187">
        <f t="shared" si="148"/>
        <v>104.46945337620578</v>
      </c>
      <c r="H1187" t="str">
        <f>_xlfn.XLOOKUP(A1187,Fact_Events!$D$2:$D$20,Fact_Events!$A$2:$A$20, "")</f>
        <v/>
      </c>
      <c r="I1187">
        <f t="shared" si="149"/>
        <v>0</v>
      </c>
      <c r="J1187" t="str">
        <f>_xlfn.XLOOKUP(H1187, Fact_Events!$A$2:$A$20, Fact_Events!$F$2:$F$20, "")</f>
        <v/>
      </c>
      <c r="K1187" t="str">
        <f t="shared" si="150"/>
        <v>Low</v>
      </c>
      <c r="L1187">
        <f t="shared" si="151"/>
        <v>0.55000000000000004</v>
      </c>
      <c r="M1187">
        <f>_xlfn.XLOOKUP(B1187, Dim_Hotel!$A$2:$A$11, Dim_Hotel!$I$2:$I$11)
 + (IF(J1187="",0,J1187)
    * _xlfn.XLOOKUP(B1187, Dim_Hotel!$A$2:$A$11, Dim_Hotel!$J$2:$J$11))</f>
        <v>190</v>
      </c>
    </row>
    <row r="1188" spans="1:13" x14ac:dyDescent="0.25">
      <c r="A1188" s="1">
        <f t="shared" si="144"/>
        <v>46141</v>
      </c>
      <c r="B1188" t="str" cm="1">
        <f t="array" ref="B1188">INDEX(HotelList,MOD(ROW()-2,10)+1)</f>
        <v>H007</v>
      </c>
      <c r="C1188">
        <f>_xlfn.XLOOKUP(B1188,Dim_Hotel!$A$2:$A$11,Dim_Hotel!$F$2:$F$11)</f>
        <v>132</v>
      </c>
      <c r="D1188">
        <f t="shared" si="145"/>
        <v>73</v>
      </c>
      <c r="E1188">
        <f t="shared" si="146"/>
        <v>0.55303030303030298</v>
      </c>
      <c r="F1188">
        <f t="shared" si="147"/>
        <v>165</v>
      </c>
      <c r="G1188">
        <f t="shared" si="148"/>
        <v>91.249999999999986</v>
      </c>
      <c r="H1188" t="str">
        <f>_xlfn.XLOOKUP(A1188,Fact_Events!$D$2:$D$20,Fact_Events!$A$2:$A$20, "")</f>
        <v/>
      </c>
      <c r="I1188">
        <f t="shared" si="149"/>
        <v>0</v>
      </c>
      <c r="J1188" t="str">
        <f>_xlfn.XLOOKUP(H1188, Fact_Events!$A$2:$A$20, Fact_Events!$F$2:$F$20, "")</f>
        <v/>
      </c>
      <c r="K1188" t="str">
        <f t="shared" si="150"/>
        <v>Low</v>
      </c>
      <c r="L1188">
        <f t="shared" si="151"/>
        <v>0.55000000000000004</v>
      </c>
      <c r="M1188">
        <f>_xlfn.XLOOKUP(B1188, Dim_Hotel!$A$2:$A$11, Dim_Hotel!$I$2:$I$11)
 + (IF(J1188="",0,J1188)
    * _xlfn.XLOOKUP(B1188, Dim_Hotel!$A$2:$A$11, Dim_Hotel!$J$2:$J$11))</f>
        <v>165</v>
      </c>
    </row>
    <row r="1189" spans="1:13" x14ac:dyDescent="0.25">
      <c r="A1189" s="1">
        <f t="shared" si="144"/>
        <v>46141</v>
      </c>
      <c r="B1189" t="str" cm="1">
        <f t="array" ref="B1189">INDEX(HotelList,MOD(ROW()-2,10)+1)</f>
        <v>H008</v>
      </c>
      <c r="C1189">
        <f>_xlfn.XLOOKUP(B1189,Dim_Hotel!$A$2:$A$11,Dim_Hotel!$F$2:$F$11)</f>
        <v>103</v>
      </c>
      <c r="D1189">
        <f t="shared" si="145"/>
        <v>57</v>
      </c>
      <c r="E1189">
        <f t="shared" si="146"/>
        <v>0.55339805825242716</v>
      </c>
      <c r="F1189">
        <f t="shared" si="147"/>
        <v>140</v>
      </c>
      <c r="G1189">
        <f t="shared" si="148"/>
        <v>77.475728155339809</v>
      </c>
      <c r="H1189" t="str">
        <f>_xlfn.XLOOKUP(A1189,Fact_Events!$D$2:$D$20,Fact_Events!$A$2:$A$20, "")</f>
        <v/>
      </c>
      <c r="I1189">
        <f t="shared" si="149"/>
        <v>0</v>
      </c>
      <c r="J1189" t="str">
        <f>_xlfn.XLOOKUP(H1189, Fact_Events!$A$2:$A$20, Fact_Events!$F$2:$F$20, "")</f>
        <v/>
      </c>
      <c r="K1189" t="str">
        <f t="shared" si="150"/>
        <v>Low</v>
      </c>
      <c r="L1189">
        <f t="shared" si="151"/>
        <v>0.55000000000000004</v>
      </c>
      <c r="M1189">
        <f>_xlfn.XLOOKUP(B1189, Dim_Hotel!$A$2:$A$11, Dim_Hotel!$I$2:$I$11)
 + (IF(J1189="",0,J1189)
    * _xlfn.XLOOKUP(B1189, Dim_Hotel!$A$2:$A$11, Dim_Hotel!$J$2:$J$11))</f>
        <v>140</v>
      </c>
    </row>
    <row r="1190" spans="1:13" x14ac:dyDescent="0.25">
      <c r="A1190" s="1">
        <f t="shared" si="144"/>
        <v>46141</v>
      </c>
      <c r="B1190" t="str" cm="1">
        <f t="array" ref="B1190">INDEX(HotelList,MOD(ROW()-2,10)+1)</f>
        <v>H009</v>
      </c>
      <c r="C1190">
        <f>_xlfn.XLOOKUP(B1190,Dim_Hotel!$A$2:$A$11,Dim_Hotel!$F$2:$F$11)</f>
        <v>114</v>
      </c>
      <c r="D1190">
        <f t="shared" si="145"/>
        <v>63</v>
      </c>
      <c r="E1190">
        <f t="shared" si="146"/>
        <v>0.55263157894736847</v>
      </c>
      <c r="F1190">
        <f t="shared" si="147"/>
        <v>185</v>
      </c>
      <c r="G1190">
        <f t="shared" si="148"/>
        <v>102.23684210526316</v>
      </c>
      <c r="H1190" t="str">
        <f>_xlfn.XLOOKUP(A1190,Fact_Events!$D$2:$D$20,Fact_Events!$A$2:$A$20, "")</f>
        <v/>
      </c>
      <c r="I1190">
        <f t="shared" si="149"/>
        <v>0</v>
      </c>
      <c r="J1190" t="str">
        <f>_xlfn.XLOOKUP(H1190, Fact_Events!$A$2:$A$20, Fact_Events!$F$2:$F$20, "")</f>
        <v/>
      </c>
      <c r="K1190" t="str">
        <f t="shared" si="150"/>
        <v>Low</v>
      </c>
      <c r="L1190">
        <f t="shared" si="151"/>
        <v>0.55000000000000004</v>
      </c>
      <c r="M1190">
        <f>_xlfn.XLOOKUP(B1190, Dim_Hotel!$A$2:$A$11, Dim_Hotel!$I$2:$I$11)
 + (IF(J1190="",0,J1190)
    * _xlfn.XLOOKUP(B1190, Dim_Hotel!$A$2:$A$11, Dim_Hotel!$J$2:$J$11))</f>
        <v>185</v>
      </c>
    </row>
    <row r="1191" spans="1:13" x14ac:dyDescent="0.25">
      <c r="A1191" s="1">
        <f t="shared" si="144"/>
        <v>46141</v>
      </c>
      <c r="B1191" t="str" cm="1">
        <f t="array" ref="B1191">INDEX(HotelList,MOD(ROW()-2,10)+1)</f>
        <v>H010</v>
      </c>
      <c r="C1191">
        <f>_xlfn.XLOOKUP(B1191,Dim_Hotel!$A$2:$A$11,Dim_Hotel!$F$2:$F$11)</f>
        <v>89</v>
      </c>
      <c r="D1191">
        <f t="shared" si="145"/>
        <v>49</v>
      </c>
      <c r="E1191">
        <f t="shared" si="146"/>
        <v>0.550561797752809</v>
      </c>
      <c r="F1191">
        <f t="shared" si="147"/>
        <v>150</v>
      </c>
      <c r="G1191">
        <f t="shared" si="148"/>
        <v>82.584269662921344</v>
      </c>
      <c r="H1191" t="str">
        <f>_xlfn.XLOOKUP(A1191,Fact_Events!$D$2:$D$20,Fact_Events!$A$2:$A$20, "")</f>
        <v/>
      </c>
      <c r="I1191">
        <f t="shared" si="149"/>
        <v>0</v>
      </c>
      <c r="J1191" t="str">
        <f>_xlfn.XLOOKUP(H1191, Fact_Events!$A$2:$A$20, Fact_Events!$F$2:$F$20, "")</f>
        <v/>
      </c>
      <c r="K1191" t="str">
        <f t="shared" si="150"/>
        <v>Low</v>
      </c>
      <c r="L1191">
        <f t="shared" si="151"/>
        <v>0.55000000000000004</v>
      </c>
      <c r="M1191">
        <f>_xlfn.XLOOKUP(B1191, Dim_Hotel!$A$2:$A$11, Dim_Hotel!$I$2:$I$11)
 + (IF(J1191="",0,J1191)
    * _xlfn.XLOOKUP(B1191, Dim_Hotel!$A$2:$A$11, Dim_Hotel!$J$2:$J$11))</f>
        <v>150</v>
      </c>
    </row>
    <row r="1192" spans="1:13" x14ac:dyDescent="0.25">
      <c r="A1192" s="1">
        <f t="shared" si="144"/>
        <v>46142</v>
      </c>
      <c r="B1192" t="str" cm="1">
        <f t="array" ref="B1192">INDEX(HotelList,MOD(ROW()-2,10)+1)</f>
        <v>H001</v>
      </c>
      <c r="C1192">
        <f>_xlfn.XLOOKUP(B1192,Dim_Hotel!$A$2:$A$11,Dim_Hotel!$F$2:$F$11)</f>
        <v>888</v>
      </c>
      <c r="D1192">
        <f t="shared" si="145"/>
        <v>488</v>
      </c>
      <c r="E1192">
        <f t="shared" si="146"/>
        <v>0.5495495495495496</v>
      </c>
      <c r="F1192">
        <f t="shared" si="147"/>
        <v>260</v>
      </c>
      <c r="G1192">
        <f t="shared" si="148"/>
        <v>142.88288288288288</v>
      </c>
      <c r="H1192" t="str">
        <f>_xlfn.XLOOKUP(A1192,Fact_Events!$D$2:$D$20,Fact_Events!$A$2:$A$20, "")</f>
        <v/>
      </c>
      <c r="I1192">
        <f t="shared" si="149"/>
        <v>0</v>
      </c>
      <c r="J1192" t="str">
        <f>_xlfn.XLOOKUP(H1192, Fact_Events!$A$2:$A$20, Fact_Events!$F$2:$F$20, "")</f>
        <v/>
      </c>
      <c r="K1192" t="str">
        <f t="shared" si="150"/>
        <v>Low</v>
      </c>
      <c r="L1192">
        <f t="shared" si="151"/>
        <v>0.55000000000000004</v>
      </c>
      <c r="M1192">
        <f>_xlfn.XLOOKUP(B1192, Dim_Hotel!$A$2:$A$11, Dim_Hotel!$I$2:$I$11)
 + (IF(J1192="",0,J1192)
    * _xlfn.XLOOKUP(B1192, Dim_Hotel!$A$2:$A$11, Dim_Hotel!$J$2:$J$11))</f>
        <v>260</v>
      </c>
    </row>
    <row r="1193" spans="1:13" x14ac:dyDescent="0.25">
      <c r="A1193" s="1">
        <f t="shared" si="144"/>
        <v>46142</v>
      </c>
      <c r="B1193" t="str" cm="1">
        <f t="array" ref="B1193">INDEX(HotelList,MOD(ROW()-2,10)+1)</f>
        <v>H002</v>
      </c>
      <c r="C1193">
        <f>_xlfn.XLOOKUP(B1193,Dim_Hotel!$A$2:$A$11,Dim_Hotel!$F$2:$F$11)</f>
        <v>147</v>
      </c>
      <c r="D1193">
        <f t="shared" si="145"/>
        <v>81</v>
      </c>
      <c r="E1193">
        <f t="shared" si="146"/>
        <v>0.55102040816326525</v>
      </c>
      <c r="F1193">
        <f t="shared" si="147"/>
        <v>175</v>
      </c>
      <c r="G1193">
        <f t="shared" si="148"/>
        <v>96.428571428571416</v>
      </c>
      <c r="H1193" t="str">
        <f>_xlfn.XLOOKUP(A1193,Fact_Events!$D$2:$D$20,Fact_Events!$A$2:$A$20, "")</f>
        <v/>
      </c>
      <c r="I1193">
        <f t="shared" si="149"/>
        <v>0</v>
      </c>
      <c r="J1193" t="str">
        <f>_xlfn.XLOOKUP(H1193, Fact_Events!$A$2:$A$20, Fact_Events!$F$2:$F$20, "")</f>
        <v/>
      </c>
      <c r="K1193" t="str">
        <f t="shared" si="150"/>
        <v>Low</v>
      </c>
      <c r="L1193">
        <f t="shared" si="151"/>
        <v>0.55000000000000004</v>
      </c>
      <c r="M1193">
        <f>_xlfn.XLOOKUP(B1193, Dim_Hotel!$A$2:$A$11, Dim_Hotel!$I$2:$I$11)
 + (IF(J1193="",0,J1193)
    * _xlfn.XLOOKUP(B1193, Dim_Hotel!$A$2:$A$11, Dim_Hotel!$J$2:$J$11))</f>
        <v>175</v>
      </c>
    </row>
    <row r="1194" spans="1:13" x14ac:dyDescent="0.25">
      <c r="A1194" s="1">
        <f t="shared" si="144"/>
        <v>46142</v>
      </c>
      <c r="B1194" t="str" cm="1">
        <f t="array" ref="B1194">INDEX(HotelList,MOD(ROW()-2,10)+1)</f>
        <v>H003</v>
      </c>
      <c r="C1194">
        <f>_xlfn.XLOOKUP(B1194,Dim_Hotel!$A$2:$A$11,Dim_Hotel!$F$2:$F$11)</f>
        <v>121</v>
      </c>
      <c r="D1194">
        <f t="shared" si="145"/>
        <v>67</v>
      </c>
      <c r="E1194">
        <f t="shared" si="146"/>
        <v>0.55371900826446285</v>
      </c>
      <c r="F1194">
        <f t="shared" si="147"/>
        <v>145</v>
      </c>
      <c r="G1194">
        <f t="shared" si="148"/>
        <v>80.289256198347118</v>
      </c>
      <c r="H1194" t="str">
        <f>_xlfn.XLOOKUP(A1194,Fact_Events!$D$2:$D$20,Fact_Events!$A$2:$A$20, "")</f>
        <v/>
      </c>
      <c r="I1194">
        <f t="shared" si="149"/>
        <v>0</v>
      </c>
      <c r="J1194" t="str">
        <f>_xlfn.XLOOKUP(H1194, Fact_Events!$A$2:$A$20, Fact_Events!$F$2:$F$20, "")</f>
        <v/>
      </c>
      <c r="K1194" t="str">
        <f t="shared" si="150"/>
        <v>Low</v>
      </c>
      <c r="L1194">
        <f t="shared" si="151"/>
        <v>0.55000000000000004</v>
      </c>
      <c r="M1194">
        <f>_xlfn.XLOOKUP(B1194, Dim_Hotel!$A$2:$A$11, Dim_Hotel!$I$2:$I$11)
 + (IF(J1194="",0,J1194)
    * _xlfn.XLOOKUP(B1194, Dim_Hotel!$A$2:$A$11, Dim_Hotel!$J$2:$J$11))</f>
        <v>145</v>
      </c>
    </row>
    <row r="1195" spans="1:13" x14ac:dyDescent="0.25">
      <c r="A1195" s="1">
        <f t="shared" si="144"/>
        <v>46142</v>
      </c>
      <c r="B1195" t="str" cm="1">
        <f t="array" ref="B1195">INDEX(HotelList,MOD(ROW()-2,10)+1)</f>
        <v>H004</v>
      </c>
      <c r="C1195">
        <f>_xlfn.XLOOKUP(B1195,Dim_Hotel!$A$2:$A$11,Dim_Hotel!$F$2:$F$11)</f>
        <v>108</v>
      </c>
      <c r="D1195">
        <f t="shared" si="145"/>
        <v>59</v>
      </c>
      <c r="E1195">
        <f t="shared" si="146"/>
        <v>0.54629629629629628</v>
      </c>
      <c r="F1195">
        <f t="shared" si="147"/>
        <v>135</v>
      </c>
      <c r="G1195">
        <f t="shared" si="148"/>
        <v>73.75</v>
      </c>
      <c r="H1195" t="str">
        <f>_xlfn.XLOOKUP(A1195,Fact_Events!$D$2:$D$20,Fact_Events!$A$2:$A$20, "")</f>
        <v/>
      </c>
      <c r="I1195">
        <f t="shared" si="149"/>
        <v>0</v>
      </c>
      <c r="J1195" t="str">
        <f>_xlfn.XLOOKUP(H1195, Fact_Events!$A$2:$A$20, Fact_Events!$F$2:$F$20, "")</f>
        <v/>
      </c>
      <c r="K1195" t="str">
        <f t="shared" si="150"/>
        <v>Low</v>
      </c>
      <c r="L1195">
        <f t="shared" si="151"/>
        <v>0.55000000000000004</v>
      </c>
      <c r="M1195">
        <f>_xlfn.XLOOKUP(B1195, Dim_Hotel!$A$2:$A$11, Dim_Hotel!$I$2:$I$11)
 + (IF(J1195="",0,J1195)
    * _xlfn.XLOOKUP(B1195, Dim_Hotel!$A$2:$A$11, Dim_Hotel!$J$2:$J$11))</f>
        <v>135</v>
      </c>
    </row>
    <row r="1196" spans="1:13" x14ac:dyDescent="0.25">
      <c r="A1196" s="1">
        <f t="shared" si="144"/>
        <v>46142</v>
      </c>
      <c r="B1196" t="str" cm="1">
        <f t="array" ref="B1196">INDEX(HotelList,MOD(ROW()-2,10)+1)</f>
        <v>H005</v>
      </c>
      <c r="C1196">
        <f>_xlfn.XLOOKUP(B1196,Dim_Hotel!$A$2:$A$11,Dim_Hotel!$F$2:$F$11)</f>
        <v>66</v>
      </c>
      <c r="D1196">
        <f t="shared" si="145"/>
        <v>36</v>
      </c>
      <c r="E1196">
        <f t="shared" si="146"/>
        <v>0.54545454545454541</v>
      </c>
      <c r="F1196">
        <f t="shared" si="147"/>
        <v>82</v>
      </c>
      <c r="G1196">
        <f t="shared" si="148"/>
        <v>44.727272727272727</v>
      </c>
      <c r="H1196" t="str">
        <f>_xlfn.XLOOKUP(A1196,Fact_Events!$D$2:$D$20,Fact_Events!$A$2:$A$20, "")</f>
        <v/>
      </c>
      <c r="I1196">
        <f t="shared" si="149"/>
        <v>0</v>
      </c>
      <c r="J1196" t="str">
        <f>_xlfn.XLOOKUP(H1196, Fact_Events!$A$2:$A$20, Fact_Events!$F$2:$F$20, "")</f>
        <v/>
      </c>
      <c r="K1196" t="str">
        <f t="shared" si="150"/>
        <v>Low</v>
      </c>
      <c r="L1196">
        <f t="shared" si="151"/>
        <v>0.55000000000000004</v>
      </c>
      <c r="M1196">
        <f>_xlfn.XLOOKUP(B1196, Dim_Hotel!$A$2:$A$11, Dim_Hotel!$I$2:$I$11)
 + (IF(J1196="",0,J1196)
    * _xlfn.XLOOKUP(B1196, Dim_Hotel!$A$2:$A$11, Dim_Hotel!$J$2:$J$11))</f>
        <v>82</v>
      </c>
    </row>
    <row r="1197" spans="1:13" x14ac:dyDescent="0.25">
      <c r="A1197" s="1">
        <f t="shared" si="144"/>
        <v>46142</v>
      </c>
      <c r="B1197" t="str" cm="1">
        <f t="array" ref="B1197">INDEX(HotelList,MOD(ROW()-2,10)+1)</f>
        <v>H006</v>
      </c>
      <c r="C1197">
        <f>_xlfn.XLOOKUP(B1197,Dim_Hotel!$A$2:$A$11,Dim_Hotel!$F$2:$F$11)</f>
        <v>311</v>
      </c>
      <c r="D1197">
        <f t="shared" si="145"/>
        <v>171</v>
      </c>
      <c r="E1197">
        <f t="shared" si="146"/>
        <v>0.54983922829581988</v>
      </c>
      <c r="F1197">
        <f t="shared" si="147"/>
        <v>190</v>
      </c>
      <c r="G1197">
        <f t="shared" si="148"/>
        <v>104.46945337620578</v>
      </c>
      <c r="H1197" t="str">
        <f>_xlfn.XLOOKUP(A1197,Fact_Events!$D$2:$D$20,Fact_Events!$A$2:$A$20, "")</f>
        <v/>
      </c>
      <c r="I1197">
        <f t="shared" si="149"/>
        <v>0</v>
      </c>
      <c r="J1197" t="str">
        <f>_xlfn.XLOOKUP(H1197, Fact_Events!$A$2:$A$20, Fact_Events!$F$2:$F$20, "")</f>
        <v/>
      </c>
      <c r="K1197" t="str">
        <f t="shared" si="150"/>
        <v>Low</v>
      </c>
      <c r="L1197">
        <f t="shared" si="151"/>
        <v>0.55000000000000004</v>
      </c>
      <c r="M1197">
        <f>_xlfn.XLOOKUP(B1197, Dim_Hotel!$A$2:$A$11, Dim_Hotel!$I$2:$I$11)
 + (IF(J1197="",0,J1197)
    * _xlfn.XLOOKUP(B1197, Dim_Hotel!$A$2:$A$11, Dim_Hotel!$J$2:$J$11))</f>
        <v>190</v>
      </c>
    </row>
    <row r="1198" spans="1:13" x14ac:dyDescent="0.25">
      <c r="A1198" s="1">
        <f t="shared" si="144"/>
        <v>46142</v>
      </c>
      <c r="B1198" t="str" cm="1">
        <f t="array" ref="B1198">INDEX(HotelList,MOD(ROW()-2,10)+1)</f>
        <v>H007</v>
      </c>
      <c r="C1198">
        <f>_xlfn.XLOOKUP(B1198,Dim_Hotel!$A$2:$A$11,Dim_Hotel!$F$2:$F$11)</f>
        <v>132</v>
      </c>
      <c r="D1198">
        <f t="shared" si="145"/>
        <v>73</v>
      </c>
      <c r="E1198">
        <f t="shared" si="146"/>
        <v>0.55303030303030298</v>
      </c>
      <c r="F1198">
        <f t="shared" si="147"/>
        <v>165</v>
      </c>
      <c r="G1198">
        <f t="shared" si="148"/>
        <v>91.249999999999986</v>
      </c>
      <c r="H1198" t="str">
        <f>_xlfn.XLOOKUP(A1198,Fact_Events!$D$2:$D$20,Fact_Events!$A$2:$A$20, "")</f>
        <v/>
      </c>
      <c r="I1198">
        <f t="shared" si="149"/>
        <v>0</v>
      </c>
      <c r="J1198" t="str">
        <f>_xlfn.XLOOKUP(H1198, Fact_Events!$A$2:$A$20, Fact_Events!$F$2:$F$20, "")</f>
        <v/>
      </c>
      <c r="K1198" t="str">
        <f t="shared" si="150"/>
        <v>Low</v>
      </c>
      <c r="L1198">
        <f t="shared" si="151"/>
        <v>0.55000000000000004</v>
      </c>
      <c r="M1198">
        <f>_xlfn.XLOOKUP(B1198, Dim_Hotel!$A$2:$A$11, Dim_Hotel!$I$2:$I$11)
 + (IF(J1198="",0,J1198)
    * _xlfn.XLOOKUP(B1198, Dim_Hotel!$A$2:$A$11, Dim_Hotel!$J$2:$J$11))</f>
        <v>165</v>
      </c>
    </row>
    <row r="1199" spans="1:13" x14ac:dyDescent="0.25">
      <c r="A1199" s="1">
        <f t="shared" si="144"/>
        <v>46142</v>
      </c>
      <c r="B1199" t="str" cm="1">
        <f t="array" ref="B1199">INDEX(HotelList,MOD(ROW()-2,10)+1)</f>
        <v>H008</v>
      </c>
      <c r="C1199">
        <f>_xlfn.XLOOKUP(B1199,Dim_Hotel!$A$2:$A$11,Dim_Hotel!$F$2:$F$11)</f>
        <v>103</v>
      </c>
      <c r="D1199">
        <f t="shared" si="145"/>
        <v>57</v>
      </c>
      <c r="E1199">
        <f t="shared" si="146"/>
        <v>0.55339805825242716</v>
      </c>
      <c r="F1199">
        <f t="shared" si="147"/>
        <v>140</v>
      </c>
      <c r="G1199">
        <f t="shared" si="148"/>
        <v>77.475728155339809</v>
      </c>
      <c r="H1199" t="str">
        <f>_xlfn.XLOOKUP(A1199,Fact_Events!$D$2:$D$20,Fact_Events!$A$2:$A$20, "")</f>
        <v/>
      </c>
      <c r="I1199">
        <f t="shared" si="149"/>
        <v>0</v>
      </c>
      <c r="J1199" t="str">
        <f>_xlfn.XLOOKUP(H1199, Fact_Events!$A$2:$A$20, Fact_Events!$F$2:$F$20, "")</f>
        <v/>
      </c>
      <c r="K1199" t="str">
        <f t="shared" si="150"/>
        <v>Low</v>
      </c>
      <c r="L1199">
        <f t="shared" si="151"/>
        <v>0.55000000000000004</v>
      </c>
      <c r="M1199">
        <f>_xlfn.XLOOKUP(B1199, Dim_Hotel!$A$2:$A$11, Dim_Hotel!$I$2:$I$11)
 + (IF(J1199="",0,J1199)
    * _xlfn.XLOOKUP(B1199, Dim_Hotel!$A$2:$A$11, Dim_Hotel!$J$2:$J$11))</f>
        <v>140</v>
      </c>
    </row>
    <row r="1200" spans="1:13" x14ac:dyDescent="0.25">
      <c r="A1200" s="1">
        <f t="shared" si="144"/>
        <v>46142</v>
      </c>
      <c r="B1200" t="str" cm="1">
        <f t="array" ref="B1200">INDEX(HotelList,MOD(ROW()-2,10)+1)</f>
        <v>H009</v>
      </c>
      <c r="C1200">
        <f>_xlfn.XLOOKUP(B1200,Dim_Hotel!$A$2:$A$11,Dim_Hotel!$F$2:$F$11)</f>
        <v>114</v>
      </c>
      <c r="D1200">
        <f t="shared" si="145"/>
        <v>63</v>
      </c>
      <c r="E1200">
        <f t="shared" si="146"/>
        <v>0.55263157894736847</v>
      </c>
      <c r="F1200">
        <f t="shared" si="147"/>
        <v>185</v>
      </c>
      <c r="G1200">
        <f t="shared" si="148"/>
        <v>102.23684210526316</v>
      </c>
      <c r="H1200" t="str">
        <f>_xlfn.XLOOKUP(A1200,Fact_Events!$D$2:$D$20,Fact_Events!$A$2:$A$20, "")</f>
        <v/>
      </c>
      <c r="I1200">
        <f t="shared" si="149"/>
        <v>0</v>
      </c>
      <c r="J1200" t="str">
        <f>_xlfn.XLOOKUP(H1200, Fact_Events!$A$2:$A$20, Fact_Events!$F$2:$F$20, "")</f>
        <v/>
      </c>
      <c r="K1200" t="str">
        <f t="shared" si="150"/>
        <v>Low</v>
      </c>
      <c r="L1200">
        <f t="shared" si="151"/>
        <v>0.55000000000000004</v>
      </c>
      <c r="M1200">
        <f>_xlfn.XLOOKUP(B1200, Dim_Hotel!$A$2:$A$11, Dim_Hotel!$I$2:$I$11)
 + (IF(J1200="",0,J1200)
    * _xlfn.XLOOKUP(B1200, Dim_Hotel!$A$2:$A$11, Dim_Hotel!$J$2:$J$11))</f>
        <v>185</v>
      </c>
    </row>
    <row r="1201" spans="1:13" x14ac:dyDescent="0.25">
      <c r="A1201" s="1">
        <f t="shared" si="144"/>
        <v>46142</v>
      </c>
      <c r="B1201" t="str" cm="1">
        <f t="array" ref="B1201">INDEX(HotelList,MOD(ROW()-2,10)+1)</f>
        <v>H010</v>
      </c>
      <c r="C1201">
        <f>_xlfn.XLOOKUP(B1201,Dim_Hotel!$A$2:$A$11,Dim_Hotel!$F$2:$F$11)</f>
        <v>89</v>
      </c>
      <c r="D1201">
        <f t="shared" si="145"/>
        <v>49</v>
      </c>
      <c r="E1201">
        <f t="shared" si="146"/>
        <v>0.550561797752809</v>
      </c>
      <c r="F1201">
        <f t="shared" si="147"/>
        <v>150</v>
      </c>
      <c r="G1201">
        <f t="shared" si="148"/>
        <v>82.584269662921344</v>
      </c>
      <c r="H1201" t="str">
        <f>_xlfn.XLOOKUP(A1201,Fact_Events!$D$2:$D$20,Fact_Events!$A$2:$A$20, "")</f>
        <v/>
      </c>
      <c r="I1201">
        <f t="shared" si="149"/>
        <v>0</v>
      </c>
      <c r="J1201" t="str">
        <f>_xlfn.XLOOKUP(H1201, Fact_Events!$A$2:$A$20, Fact_Events!$F$2:$F$20, "")</f>
        <v/>
      </c>
      <c r="K1201" t="str">
        <f t="shared" si="150"/>
        <v>Low</v>
      </c>
      <c r="L1201">
        <f t="shared" si="151"/>
        <v>0.55000000000000004</v>
      </c>
      <c r="M1201">
        <f>_xlfn.XLOOKUP(B1201, Dim_Hotel!$A$2:$A$11, Dim_Hotel!$I$2:$I$11)
 + (IF(J1201="",0,J1201)
    * _xlfn.XLOOKUP(B1201, Dim_Hotel!$A$2:$A$11, Dim_Hotel!$J$2:$J$11))</f>
        <v>150</v>
      </c>
    </row>
    <row r="1202" spans="1:13" x14ac:dyDescent="0.25">
      <c r="A1202" s="1">
        <f t="shared" si="144"/>
        <v>46143</v>
      </c>
      <c r="B1202" t="str" cm="1">
        <f t="array" ref="B1202">INDEX(HotelList,MOD(ROW()-2,10)+1)</f>
        <v>H001</v>
      </c>
      <c r="C1202">
        <f>_xlfn.XLOOKUP(B1202,Dim_Hotel!$A$2:$A$11,Dim_Hotel!$F$2:$F$11)</f>
        <v>888</v>
      </c>
      <c r="D1202">
        <f t="shared" si="145"/>
        <v>488</v>
      </c>
      <c r="E1202">
        <f t="shared" si="146"/>
        <v>0.5495495495495496</v>
      </c>
      <c r="F1202">
        <f t="shared" si="147"/>
        <v>260</v>
      </c>
      <c r="G1202">
        <f t="shared" si="148"/>
        <v>142.88288288288288</v>
      </c>
      <c r="H1202" t="str">
        <f>_xlfn.XLOOKUP(A1202,Fact_Events!$D$2:$D$20,Fact_Events!$A$2:$A$20, "")</f>
        <v/>
      </c>
      <c r="I1202">
        <f t="shared" si="149"/>
        <v>0</v>
      </c>
      <c r="J1202" t="str">
        <f>_xlfn.XLOOKUP(H1202, Fact_Events!$A$2:$A$20, Fact_Events!$F$2:$F$20, "")</f>
        <v/>
      </c>
      <c r="K1202" t="str">
        <f t="shared" si="150"/>
        <v>Low</v>
      </c>
      <c r="L1202">
        <f t="shared" si="151"/>
        <v>0.55000000000000004</v>
      </c>
      <c r="M1202">
        <f>_xlfn.XLOOKUP(B1202, Dim_Hotel!$A$2:$A$11, Dim_Hotel!$I$2:$I$11)
 + (IF(J1202="",0,J1202)
    * _xlfn.XLOOKUP(B1202, Dim_Hotel!$A$2:$A$11, Dim_Hotel!$J$2:$J$11))</f>
        <v>260</v>
      </c>
    </row>
    <row r="1203" spans="1:13" x14ac:dyDescent="0.25">
      <c r="A1203" s="1">
        <f t="shared" si="144"/>
        <v>46143</v>
      </c>
      <c r="B1203" t="str" cm="1">
        <f t="array" ref="B1203">INDEX(HotelList,MOD(ROW()-2,10)+1)</f>
        <v>H002</v>
      </c>
      <c r="C1203">
        <f>_xlfn.XLOOKUP(B1203,Dim_Hotel!$A$2:$A$11,Dim_Hotel!$F$2:$F$11)</f>
        <v>147</v>
      </c>
      <c r="D1203">
        <f t="shared" si="145"/>
        <v>81</v>
      </c>
      <c r="E1203">
        <f t="shared" si="146"/>
        <v>0.55102040816326525</v>
      </c>
      <c r="F1203">
        <f t="shared" si="147"/>
        <v>175</v>
      </c>
      <c r="G1203">
        <f t="shared" si="148"/>
        <v>96.428571428571416</v>
      </c>
      <c r="H1203" t="str">
        <f>_xlfn.XLOOKUP(A1203,Fact_Events!$D$2:$D$20,Fact_Events!$A$2:$A$20, "")</f>
        <v/>
      </c>
      <c r="I1203">
        <f t="shared" si="149"/>
        <v>0</v>
      </c>
      <c r="J1203" t="str">
        <f>_xlfn.XLOOKUP(H1203, Fact_Events!$A$2:$A$20, Fact_Events!$F$2:$F$20, "")</f>
        <v/>
      </c>
      <c r="K1203" t="str">
        <f t="shared" si="150"/>
        <v>Low</v>
      </c>
      <c r="L1203">
        <f t="shared" si="151"/>
        <v>0.55000000000000004</v>
      </c>
      <c r="M1203">
        <f>_xlfn.XLOOKUP(B1203, Dim_Hotel!$A$2:$A$11, Dim_Hotel!$I$2:$I$11)
 + (IF(J1203="",0,J1203)
    * _xlfn.XLOOKUP(B1203, Dim_Hotel!$A$2:$A$11, Dim_Hotel!$J$2:$J$11))</f>
        <v>175</v>
      </c>
    </row>
    <row r="1204" spans="1:13" x14ac:dyDescent="0.25">
      <c r="A1204" s="1">
        <f t="shared" si="144"/>
        <v>46143</v>
      </c>
      <c r="B1204" t="str" cm="1">
        <f t="array" ref="B1204">INDEX(HotelList,MOD(ROW()-2,10)+1)</f>
        <v>H003</v>
      </c>
      <c r="C1204">
        <f>_xlfn.XLOOKUP(B1204,Dim_Hotel!$A$2:$A$11,Dim_Hotel!$F$2:$F$11)</f>
        <v>121</v>
      </c>
      <c r="D1204">
        <f t="shared" si="145"/>
        <v>67</v>
      </c>
      <c r="E1204">
        <f t="shared" si="146"/>
        <v>0.55371900826446285</v>
      </c>
      <c r="F1204">
        <f t="shared" si="147"/>
        <v>145</v>
      </c>
      <c r="G1204">
        <f t="shared" si="148"/>
        <v>80.289256198347118</v>
      </c>
      <c r="H1204" t="str">
        <f>_xlfn.XLOOKUP(A1204,Fact_Events!$D$2:$D$20,Fact_Events!$A$2:$A$20, "")</f>
        <v/>
      </c>
      <c r="I1204">
        <f t="shared" si="149"/>
        <v>0</v>
      </c>
      <c r="J1204" t="str">
        <f>_xlfn.XLOOKUP(H1204, Fact_Events!$A$2:$A$20, Fact_Events!$F$2:$F$20, "")</f>
        <v/>
      </c>
      <c r="K1204" t="str">
        <f t="shared" si="150"/>
        <v>Low</v>
      </c>
      <c r="L1204">
        <f t="shared" si="151"/>
        <v>0.55000000000000004</v>
      </c>
      <c r="M1204">
        <f>_xlfn.XLOOKUP(B1204, Dim_Hotel!$A$2:$A$11, Dim_Hotel!$I$2:$I$11)
 + (IF(J1204="",0,J1204)
    * _xlfn.XLOOKUP(B1204, Dim_Hotel!$A$2:$A$11, Dim_Hotel!$J$2:$J$11))</f>
        <v>145</v>
      </c>
    </row>
    <row r="1205" spans="1:13" x14ac:dyDescent="0.25">
      <c r="A1205" s="1">
        <f t="shared" si="144"/>
        <v>46143</v>
      </c>
      <c r="B1205" t="str" cm="1">
        <f t="array" ref="B1205">INDEX(HotelList,MOD(ROW()-2,10)+1)</f>
        <v>H004</v>
      </c>
      <c r="C1205">
        <f>_xlfn.XLOOKUP(B1205,Dim_Hotel!$A$2:$A$11,Dim_Hotel!$F$2:$F$11)</f>
        <v>108</v>
      </c>
      <c r="D1205">
        <f t="shared" si="145"/>
        <v>59</v>
      </c>
      <c r="E1205">
        <f t="shared" si="146"/>
        <v>0.54629629629629628</v>
      </c>
      <c r="F1205">
        <f t="shared" si="147"/>
        <v>135</v>
      </c>
      <c r="G1205">
        <f t="shared" si="148"/>
        <v>73.75</v>
      </c>
      <c r="H1205" t="str">
        <f>_xlfn.XLOOKUP(A1205,Fact_Events!$D$2:$D$20,Fact_Events!$A$2:$A$20, "")</f>
        <v/>
      </c>
      <c r="I1205">
        <f t="shared" si="149"/>
        <v>0</v>
      </c>
      <c r="J1205" t="str">
        <f>_xlfn.XLOOKUP(H1205, Fact_Events!$A$2:$A$20, Fact_Events!$F$2:$F$20, "")</f>
        <v/>
      </c>
      <c r="K1205" t="str">
        <f t="shared" si="150"/>
        <v>Low</v>
      </c>
      <c r="L1205">
        <f t="shared" si="151"/>
        <v>0.55000000000000004</v>
      </c>
      <c r="M1205">
        <f>_xlfn.XLOOKUP(B1205, Dim_Hotel!$A$2:$A$11, Dim_Hotel!$I$2:$I$11)
 + (IF(J1205="",0,J1205)
    * _xlfn.XLOOKUP(B1205, Dim_Hotel!$A$2:$A$11, Dim_Hotel!$J$2:$J$11))</f>
        <v>135</v>
      </c>
    </row>
    <row r="1206" spans="1:13" x14ac:dyDescent="0.25">
      <c r="A1206" s="1">
        <f t="shared" si="144"/>
        <v>46143</v>
      </c>
      <c r="B1206" t="str" cm="1">
        <f t="array" ref="B1206">INDEX(HotelList,MOD(ROW()-2,10)+1)</f>
        <v>H005</v>
      </c>
      <c r="C1206">
        <f>_xlfn.XLOOKUP(B1206,Dim_Hotel!$A$2:$A$11,Dim_Hotel!$F$2:$F$11)</f>
        <v>66</v>
      </c>
      <c r="D1206">
        <f t="shared" si="145"/>
        <v>36</v>
      </c>
      <c r="E1206">
        <f t="shared" si="146"/>
        <v>0.54545454545454541</v>
      </c>
      <c r="F1206">
        <f t="shared" si="147"/>
        <v>82</v>
      </c>
      <c r="G1206">
        <f t="shared" si="148"/>
        <v>44.727272727272727</v>
      </c>
      <c r="H1206" t="str">
        <f>_xlfn.XLOOKUP(A1206,Fact_Events!$D$2:$D$20,Fact_Events!$A$2:$A$20, "")</f>
        <v/>
      </c>
      <c r="I1206">
        <f t="shared" si="149"/>
        <v>0</v>
      </c>
      <c r="J1206" t="str">
        <f>_xlfn.XLOOKUP(H1206, Fact_Events!$A$2:$A$20, Fact_Events!$F$2:$F$20, "")</f>
        <v/>
      </c>
      <c r="K1206" t="str">
        <f t="shared" si="150"/>
        <v>Low</v>
      </c>
      <c r="L1206">
        <f t="shared" si="151"/>
        <v>0.55000000000000004</v>
      </c>
      <c r="M1206">
        <f>_xlfn.XLOOKUP(B1206, Dim_Hotel!$A$2:$A$11, Dim_Hotel!$I$2:$I$11)
 + (IF(J1206="",0,J1206)
    * _xlfn.XLOOKUP(B1206, Dim_Hotel!$A$2:$A$11, Dim_Hotel!$J$2:$J$11))</f>
        <v>82</v>
      </c>
    </row>
    <row r="1207" spans="1:13" x14ac:dyDescent="0.25">
      <c r="A1207" s="1">
        <f t="shared" si="144"/>
        <v>46143</v>
      </c>
      <c r="B1207" t="str" cm="1">
        <f t="array" ref="B1207">INDEX(HotelList,MOD(ROW()-2,10)+1)</f>
        <v>H006</v>
      </c>
      <c r="C1207">
        <f>_xlfn.XLOOKUP(B1207,Dim_Hotel!$A$2:$A$11,Dim_Hotel!$F$2:$F$11)</f>
        <v>311</v>
      </c>
      <c r="D1207">
        <f t="shared" si="145"/>
        <v>171</v>
      </c>
      <c r="E1207">
        <f t="shared" si="146"/>
        <v>0.54983922829581988</v>
      </c>
      <c r="F1207">
        <f t="shared" si="147"/>
        <v>190</v>
      </c>
      <c r="G1207">
        <f t="shared" si="148"/>
        <v>104.46945337620578</v>
      </c>
      <c r="H1207" t="str">
        <f>_xlfn.XLOOKUP(A1207,Fact_Events!$D$2:$D$20,Fact_Events!$A$2:$A$20, "")</f>
        <v/>
      </c>
      <c r="I1207">
        <f t="shared" si="149"/>
        <v>0</v>
      </c>
      <c r="J1207" t="str">
        <f>_xlfn.XLOOKUP(H1207, Fact_Events!$A$2:$A$20, Fact_Events!$F$2:$F$20, "")</f>
        <v/>
      </c>
      <c r="K1207" t="str">
        <f t="shared" si="150"/>
        <v>Low</v>
      </c>
      <c r="L1207">
        <f t="shared" si="151"/>
        <v>0.55000000000000004</v>
      </c>
      <c r="M1207">
        <f>_xlfn.XLOOKUP(B1207, Dim_Hotel!$A$2:$A$11, Dim_Hotel!$I$2:$I$11)
 + (IF(J1207="",0,J1207)
    * _xlfn.XLOOKUP(B1207, Dim_Hotel!$A$2:$A$11, Dim_Hotel!$J$2:$J$11))</f>
        <v>190</v>
      </c>
    </row>
    <row r="1208" spans="1:13" x14ac:dyDescent="0.25">
      <c r="A1208" s="1">
        <f t="shared" si="144"/>
        <v>46143</v>
      </c>
      <c r="B1208" t="str" cm="1">
        <f t="array" ref="B1208">INDEX(HotelList,MOD(ROW()-2,10)+1)</f>
        <v>H007</v>
      </c>
      <c r="C1208">
        <f>_xlfn.XLOOKUP(B1208,Dim_Hotel!$A$2:$A$11,Dim_Hotel!$F$2:$F$11)</f>
        <v>132</v>
      </c>
      <c r="D1208">
        <f t="shared" si="145"/>
        <v>73</v>
      </c>
      <c r="E1208">
        <f t="shared" si="146"/>
        <v>0.55303030303030298</v>
      </c>
      <c r="F1208">
        <f t="shared" si="147"/>
        <v>165</v>
      </c>
      <c r="G1208">
        <f t="shared" si="148"/>
        <v>91.249999999999986</v>
      </c>
      <c r="H1208" t="str">
        <f>_xlfn.XLOOKUP(A1208,Fact_Events!$D$2:$D$20,Fact_Events!$A$2:$A$20, "")</f>
        <v/>
      </c>
      <c r="I1208">
        <f t="shared" si="149"/>
        <v>0</v>
      </c>
      <c r="J1208" t="str">
        <f>_xlfn.XLOOKUP(H1208, Fact_Events!$A$2:$A$20, Fact_Events!$F$2:$F$20, "")</f>
        <v/>
      </c>
      <c r="K1208" t="str">
        <f t="shared" si="150"/>
        <v>Low</v>
      </c>
      <c r="L1208">
        <f t="shared" si="151"/>
        <v>0.55000000000000004</v>
      </c>
      <c r="M1208">
        <f>_xlfn.XLOOKUP(B1208, Dim_Hotel!$A$2:$A$11, Dim_Hotel!$I$2:$I$11)
 + (IF(J1208="",0,J1208)
    * _xlfn.XLOOKUP(B1208, Dim_Hotel!$A$2:$A$11, Dim_Hotel!$J$2:$J$11))</f>
        <v>165</v>
      </c>
    </row>
    <row r="1209" spans="1:13" x14ac:dyDescent="0.25">
      <c r="A1209" s="1">
        <f t="shared" si="144"/>
        <v>46143</v>
      </c>
      <c r="B1209" t="str" cm="1">
        <f t="array" ref="B1209">INDEX(HotelList,MOD(ROW()-2,10)+1)</f>
        <v>H008</v>
      </c>
      <c r="C1209">
        <f>_xlfn.XLOOKUP(B1209,Dim_Hotel!$A$2:$A$11,Dim_Hotel!$F$2:$F$11)</f>
        <v>103</v>
      </c>
      <c r="D1209">
        <f t="shared" si="145"/>
        <v>57</v>
      </c>
      <c r="E1209">
        <f t="shared" si="146"/>
        <v>0.55339805825242716</v>
      </c>
      <c r="F1209">
        <f t="shared" si="147"/>
        <v>140</v>
      </c>
      <c r="G1209">
        <f t="shared" si="148"/>
        <v>77.475728155339809</v>
      </c>
      <c r="H1209" t="str">
        <f>_xlfn.XLOOKUP(A1209,Fact_Events!$D$2:$D$20,Fact_Events!$A$2:$A$20, "")</f>
        <v/>
      </c>
      <c r="I1209">
        <f t="shared" si="149"/>
        <v>0</v>
      </c>
      <c r="J1209" t="str">
        <f>_xlfn.XLOOKUP(H1209, Fact_Events!$A$2:$A$20, Fact_Events!$F$2:$F$20, "")</f>
        <v/>
      </c>
      <c r="K1209" t="str">
        <f t="shared" si="150"/>
        <v>Low</v>
      </c>
      <c r="L1209">
        <f t="shared" si="151"/>
        <v>0.55000000000000004</v>
      </c>
      <c r="M1209">
        <f>_xlfn.XLOOKUP(B1209, Dim_Hotel!$A$2:$A$11, Dim_Hotel!$I$2:$I$11)
 + (IF(J1209="",0,J1209)
    * _xlfn.XLOOKUP(B1209, Dim_Hotel!$A$2:$A$11, Dim_Hotel!$J$2:$J$11))</f>
        <v>140</v>
      </c>
    </row>
    <row r="1210" spans="1:13" x14ac:dyDescent="0.25">
      <c r="A1210" s="1">
        <f t="shared" si="144"/>
        <v>46143</v>
      </c>
      <c r="B1210" t="str" cm="1">
        <f t="array" ref="B1210">INDEX(HotelList,MOD(ROW()-2,10)+1)</f>
        <v>H009</v>
      </c>
      <c r="C1210">
        <f>_xlfn.XLOOKUP(B1210,Dim_Hotel!$A$2:$A$11,Dim_Hotel!$F$2:$F$11)</f>
        <v>114</v>
      </c>
      <c r="D1210">
        <f t="shared" si="145"/>
        <v>63</v>
      </c>
      <c r="E1210">
        <f t="shared" si="146"/>
        <v>0.55263157894736847</v>
      </c>
      <c r="F1210">
        <f t="shared" si="147"/>
        <v>185</v>
      </c>
      <c r="G1210">
        <f t="shared" si="148"/>
        <v>102.23684210526316</v>
      </c>
      <c r="H1210" t="str">
        <f>_xlfn.XLOOKUP(A1210,Fact_Events!$D$2:$D$20,Fact_Events!$A$2:$A$20, "")</f>
        <v/>
      </c>
      <c r="I1210">
        <f t="shared" si="149"/>
        <v>0</v>
      </c>
      <c r="J1210" t="str">
        <f>_xlfn.XLOOKUP(H1210, Fact_Events!$A$2:$A$20, Fact_Events!$F$2:$F$20, "")</f>
        <v/>
      </c>
      <c r="K1210" t="str">
        <f t="shared" si="150"/>
        <v>Low</v>
      </c>
      <c r="L1210">
        <f t="shared" si="151"/>
        <v>0.55000000000000004</v>
      </c>
      <c r="M1210">
        <f>_xlfn.XLOOKUP(B1210, Dim_Hotel!$A$2:$A$11, Dim_Hotel!$I$2:$I$11)
 + (IF(J1210="",0,J1210)
    * _xlfn.XLOOKUP(B1210, Dim_Hotel!$A$2:$A$11, Dim_Hotel!$J$2:$J$11))</f>
        <v>185</v>
      </c>
    </row>
    <row r="1211" spans="1:13" x14ac:dyDescent="0.25">
      <c r="A1211" s="1">
        <f t="shared" si="144"/>
        <v>46143</v>
      </c>
      <c r="B1211" t="str" cm="1">
        <f t="array" ref="B1211">INDEX(HotelList,MOD(ROW()-2,10)+1)</f>
        <v>H010</v>
      </c>
      <c r="C1211">
        <f>_xlfn.XLOOKUP(B1211,Dim_Hotel!$A$2:$A$11,Dim_Hotel!$F$2:$F$11)</f>
        <v>89</v>
      </c>
      <c r="D1211">
        <f t="shared" si="145"/>
        <v>49</v>
      </c>
      <c r="E1211">
        <f t="shared" si="146"/>
        <v>0.550561797752809</v>
      </c>
      <c r="F1211">
        <f t="shared" si="147"/>
        <v>150</v>
      </c>
      <c r="G1211">
        <f t="shared" si="148"/>
        <v>82.584269662921344</v>
      </c>
      <c r="H1211" t="str">
        <f>_xlfn.XLOOKUP(A1211,Fact_Events!$D$2:$D$20,Fact_Events!$A$2:$A$20, "")</f>
        <v/>
      </c>
      <c r="I1211">
        <f t="shared" si="149"/>
        <v>0</v>
      </c>
      <c r="J1211" t="str">
        <f>_xlfn.XLOOKUP(H1211, Fact_Events!$A$2:$A$20, Fact_Events!$F$2:$F$20, "")</f>
        <v/>
      </c>
      <c r="K1211" t="str">
        <f t="shared" si="150"/>
        <v>Low</v>
      </c>
      <c r="L1211">
        <f t="shared" si="151"/>
        <v>0.55000000000000004</v>
      </c>
      <c r="M1211">
        <f>_xlfn.XLOOKUP(B1211, Dim_Hotel!$A$2:$A$11, Dim_Hotel!$I$2:$I$11)
 + (IF(J1211="",0,J1211)
    * _xlfn.XLOOKUP(B1211, Dim_Hotel!$A$2:$A$11, Dim_Hotel!$J$2:$J$11))</f>
        <v>150</v>
      </c>
    </row>
    <row r="1212" spans="1:13" x14ac:dyDescent="0.25">
      <c r="A1212" s="1">
        <f t="shared" si="144"/>
        <v>46144</v>
      </c>
      <c r="B1212" t="str" cm="1">
        <f t="array" ref="B1212">INDEX(HotelList,MOD(ROW()-2,10)+1)</f>
        <v>H001</v>
      </c>
      <c r="C1212">
        <f>_xlfn.XLOOKUP(B1212,Dim_Hotel!$A$2:$A$11,Dim_Hotel!$F$2:$F$11)</f>
        <v>888</v>
      </c>
      <c r="D1212">
        <f t="shared" si="145"/>
        <v>488</v>
      </c>
      <c r="E1212">
        <f t="shared" si="146"/>
        <v>0.5495495495495496</v>
      </c>
      <c r="F1212">
        <f t="shared" si="147"/>
        <v>260</v>
      </c>
      <c r="G1212">
        <f t="shared" si="148"/>
        <v>142.88288288288288</v>
      </c>
      <c r="H1212" t="str">
        <f>_xlfn.XLOOKUP(A1212,Fact_Events!$D$2:$D$20,Fact_Events!$A$2:$A$20, "")</f>
        <v/>
      </c>
      <c r="I1212">
        <f t="shared" si="149"/>
        <v>0</v>
      </c>
      <c r="J1212" t="str">
        <f>_xlfn.XLOOKUP(H1212, Fact_Events!$A$2:$A$20, Fact_Events!$F$2:$F$20, "")</f>
        <v/>
      </c>
      <c r="K1212" t="str">
        <f t="shared" si="150"/>
        <v>Low</v>
      </c>
      <c r="L1212">
        <f t="shared" si="151"/>
        <v>0.55000000000000004</v>
      </c>
      <c r="M1212">
        <f>_xlfn.XLOOKUP(B1212, Dim_Hotel!$A$2:$A$11, Dim_Hotel!$I$2:$I$11)
 + (IF(J1212="",0,J1212)
    * _xlfn.XLOOKUP(B1212, Dim_Hotel!$A$2:$A$11, Dim_Hotel!$J$2:$J$11))</f>
        <v>260</v>
      </c>
    </row>
    <row r="1213" spans="1:13" x14ac:dyDescent="0.25">
      <c r="A1213" s="1">
        <f t="shared" si="144"/>
        <v>46144</v>
      </c>
      <c r="B1213" t="str" cm="1">
        <f t="array" ref="B1213">INDEX(HotelList,MOD(ROW()-2,10)+1)</f>
        <v>H002</v>
      </c>
      <c r="C1213">
        <f>_xlfn.XLOOKUP(B1213,Dim_Hotel!$A$2:$A$11,Dim_Hotel!$F$2:$F$11)</f>
        <v>147</v>
      </c>
      <c r="D1213">
        <f t="shared" si="145"/>
        <v>81</v>
      </c>
      <c r="E1213">
        <f t="shared" si="146"/>
        <v>0.55102040816326525</v>
      </c>
      <c r="F1213">
        <f t="shared" si="147"/>
        <v>175</v>
      </c>
      <c r="G1213">
        <f t="shared" si="148"/>
        <v>96.428571428571416</v>
      </c>
      <c r="H1213" t="str">
        <f>_xlfn.XLOOKUP(A1213,Fact_Events!$D$2:$D$20,Fact_Events!$A$2:$A$20, "")</f>
        <v/>
      </c>
      <c r="I1213">
        <f t="shared" si="149"/>
        <v>0</v>
      </c>
      <c r="J1213" t="str">
        <f>_xlfn.XLOOKUP(H1213, Fact_Events!$A$2:$A$20, Fact_Events!$F$2:$F$20, "")</f>
        <v/>
      </c>
      <c r="K1213" t="str">
        <f t="shared" si="150"/>
        <v>Low</v>
      </c>
      <c r="L1213">
        <f t="shared" si="151"/>
        <v>0.55000000000000004</v>
      </c>
      <c r="M1213">
        <f>_xlfn.XLOOKUP(B1213, Dim_Hotel!$A$2:$A$11, Dim_Hotel!$I$2:$I$11)
 + (IF(J1213="",0,J1213)
    * _xlfn.XLOOKUP(B1213, Dim_Hotel!$A$2:$A$11, Dim_Hotel!$J$2:$J$11))</f>
        <v>175</v>
      </c>
    </row>
    <row r="1214" spans="1:13" x14ac:dyDescent="0.25">
      <c r="A1214" s="1">
        <f t="shared" si="144"/>
        <v>46144</v>
      </c>
      <c r="B1214" t="str" cm="1">
        <f t="array" ref="B1214">INDEX(HotelList,MOD(ROW()-2,10)+1)</f>
        <v>H003</v>
      </c>
      <c r="C1214">
        <f>_xlfn.XLOOKUP(B1214,Dim_Hotel!$A$2:$A$11,Dim_Hotel!$F$2:$F$11)</f>
        <v>121</v>
      </c>
      <c r="D1214">
        <f t="shared" si="145"/>
        <v>67</v>
      </c>
      <c r="E1214">
        <f t="shared" si="146"/>
        <v>0.55371900826446285</v>
      </c>
      <c r="F1214">
        <f t="shared" si="147"/>
        <v>145</v>
      </c>
      <c r="G1214">
        <f t="shared" si="148"/>
        <v>80.289256198347118</v>
      </c>
      <c r="H1214" t="str">
        <f>_xlfn.XLOOKUP(A1214,Fact_Events!$D$2:$D$20,Fact_Events!$A$2:$A$20, "")</f>
        <v/>
      </c>
      <c r="I1214">
        <f t="shared" si="149"/>
        <v>0</v>
      </c>
      <c r="J1214" t="str">
        <f>_xlfn.XLOOKUP(H1214, Fact_Events!$A$2:$A$20, Fact_Events!$F$2:$F$20, "")</f>
        <v/>
      </c>
      <c r="K1214" t="str">
        <f t="shared" si="150"/>
        <v>Low</v>
      </c>
      <c r="L1214">
        <f t="shared" si="151"/>
        <v>0.55000000000000004</v>
      </c>
      <c r="M1214">
        <f>_xlfn.XLOOKUP(B1214, Dim_Hotel!$A$2:$A$11, Dim_Hotel!$I$2:$I$11)
 + (IF(J1214="",0,J1214)
    * _xlfn.XLOOKUP(B1214, Dim_Hotel!$A$2:$A$11, Dim_Hotel!$J$2:$J$11))</f>
        <v>145</v>
      </c>
    </row>
    <row r="1215" spans="1:13" x14ac:dyDescent="0.25">
      <c r="A1215" s="1">
        <f t="shared" si="144"/>
        <v>46144</v>
      </c>
      <c r="B1215" t="str" cm="1">
        <f t="array" ref="B1215">INDEX(HotelList,MOD(ROW()-2,10)+1)</f>
        <v>H004</v>
      </c>
      <c r="C1215">
        <f>_xlfn.XLOOKUP(B1215,Dim_Hotel!$A$2:$A$11,Dim_Hotel!$F$2:$F$11)</f>
        <v>108</v>
      </c>
      <c r="D1215">
        <f t="shared" si="145"/>
        <v>59</v>
      </c>
      <c r="E1215">
        <f t="shared" si="146"/>
        <v>0.54629629629629628</v>
      </c>
      <c r="F1215">
        <f t="shared" si="147"/>
        <v>135</v>
      </c>
      <c r="G1215">
        <f t="shared" si="148"/>
        <v>73.75</v>
      </c>
      <c r="H1215" t="str">
        <f>_xlfn.XLOOKUP(A1215,Fact_Events!$D$2:$D$20,Fact_Events!$A$2:$A$20, "")</f>
        <v/>
      </c>
      <c r="I1215">
        <f t="shared" si="149"/>
        <v>0</v>
      </c>
      <c r="J1215" t="str">
        <f>_xlfn.XLOOKUP(H1215, Fact_Events!$A$2:$A$20, Fact_Events!$F$2:$F$20, "")</f>
        <v/>
      </c>
      <c r="K1215" t="str">
        <f t="shared" si="150"/>
        <v>Low</v>
      </c>
      <c r="L1215">
        <f t="shared" si="151"/>
        <v>0.55000000000000004</v>
      </c>
      <c r="M1215">
        <f>_xlfn.XLOOKUP(B1215, Dim_Hotel!$A$2:$A$11, Dim_Hotel!$I$2:$I$11)
 + (IF(J1215="",0,J1215)
    * _xlfn.XLOOKUP(B1215, Dim_Hotel!$A$2:$A$11, Dim_Hotel!$J$2:$J$11))</f>
        <v>135</v>
      </c>
    </row>
    <row r="1216" spans="1:13" x14ac:dyDescent="0.25">
      <c r="A1216" s="1">
        <f t="shared" si="144"/>
        <v>46144</v>
      </c>
      <c r="B1216" t="str" cm="1">
        <f t="array" ref="B1216">INDEX(HotelList,MOD(ROW()-2,10)+1)</f>
        <v>H005</v>
      </c>
      <c r="C1216">
        <f>_xlfn.XLOOKUP(B1216,Dim_Hotel!$A$2:$A$11,Dim_Hotel!$F$2:$F$11)</f>
        <v>66</v>
      </c>
      <c r="D1216">
        <f t="shared" si="145"/>
        <v>36</v>
      </c>
      <c r="E1216">
        <f t="shared" si="146"/>
        <v>0.54545454545454541</v>
      </c>
      <c r="F1216">
        <f t="shared" si="147"/>
        <v>82</v>
      </c>
      <c r="G1216">
        <f t="shared" si="148"/>
        <v>44.727272727272727</v>
      </c>
      <c r="H1216" t="str">
        <f>_xlfn.XLOOKUP(A1216,Fact_Events!$D$2:$D$20,Fact_Events!$A$2:$A$20, "")</f>
        <v/>
      </c>
      <c r="I1216">
        <f t="shared" si="149"/>
        <v>0</v>
      </c>
      <c r="J1216" t="str">
        <f>_xlfn.XLOOKUP(H1216, Fact_Events!$A$2:$A$20, Fact_Events!$F$2:$F$20, "")</f>
        <v/>
      </c>
      <c r="K1216" t="str">
        <f t="shared" si="150"/>
        <v>Low</v>
      </c>
      <c r="L1216">
        <f t="shared" si="151"/>
        <v>0.55000000000000004</v>
      </c>
      <c r="M1216">
        <f>_xlfn.XLOOKUP(B1216, Dim_Hotel!$A$2:$A$11, Dim_Hotel!$I$2:$I$11)
 + (IF(J1216="",0,J1216)
    * _xlfn.XLOOKUP(B1216, Dim_Hotel!$A$2:$A$11, Dim_Hotel!$J$2:$J$11))</f>
        <v>82</v>
      </c>
    </row>
    <row r="1217" spans="1:13" x14ac:dyDescent="0.25">
      <c r="A1217" s="1">
        <f t="shared" si="144"/>
        <v>46144</v>
      </c>
      <c r="B1217" t="str" cm="1">
        <f t="array" ref="B1217">INDEX(HotelList,MOD(ROW()-2,10)+1)</f>
        <v>H006</v>
      </c>
      <c r="C1217">
        <f>_xlfn.XLOOKUP(B1217,Dim_Hotel!$A$2:$A$11,Dim_Hotel!$F$2:$F$11)</f>
        <v>311</v>
      </c>
      <c r="D1217">
        <f t="shared" si="145"/>
        <v>171</v>
      </c>
      <c r="E1217">
        <f t="shared" si="146"/>
        <v>0.54983922829581988</v>
      </c>
      <c r="F1217">
        <f t="shared" si="147"/>
        <v>190</v>
      </c>
      <c r="G1217">
        <f t="shared" si="148"/>
        <v>104.46945337620578</v>
      </c>
      <c r="H1217" t="str">
        <f>_xlfn.XLOOKUP(A1217,Fact_Events!$D$2:$D$20,Fact_Events!$A$2:$A$20, "")</f>
        <v/>
      </c>
      <c r="I1217">
        <f t="shared" si="149"/>
        <v>0</v>
      </c>
      <c r="J1217" t="str">
        <f>_xlfn.XLOOKUP(H1217, Fact_Events!$A$2:$A$20, Fact_Events!$F$2:$F$20, "")</f>
        <v/>
      </c>
      <c r="K1217" t="str">
        <f t="shared" si="150"/>
        <v>Low</v>
      </c>
      <c r="L1217">
        <f t="shared" si="151"/>
        <v>0.55000000000000004</v>
      </c>
      <c r="M1217">
        <f>_xlfn.XLOOKUP(B1217, Dim_Hotel!$A$2:$A$11, Dim_Hotel!$I$2:$I$11)
 + (IF(J1217="",0,J1217)
    * _xlfn.XLOOKUP(B1217, Dim_Hotel!$A$2:$A$11, Dim_Hotel!$J$2:$J$11))</f>
        <v>190</v>
      </c>
    </row>
    <row r="1218" spans="1:13" x14ac:dyDescent="0.25">
      <c r="A1218" s="1">
        <f t="shared" si="144"/>
        <v>46144</v>
      </c>
      <c r="B1218" t="str" cm="1">
        <f t="array" ref="B1218">INDEX(HotelList,MOD(ROW()-2,10)+1)</f>
        <v>H007</v>
      </c>
      <c r="C1218">
        <f>_xlfn.XLOOKUP(B1218,Dim_Hotel!$A$2:$A$11,Dim_Hotel!$F$2:$F$11)</f>
        <v>132</v>
      </c>
      <c r="D1218">
        <f t="shared" si="145"/>
        <v>73</v>
      </c>
      <c r="E1218">
        <f t="shared" si="146"/>
        <v>0.55303030303030298</v>
      </c>
      <c r="F1218">
        <f t="shared" si="147"/>
        <v>165</v>
      </c>
      <c r="G1218">
        <f t="shared" si="148"/>
        <v>91.249999999999986</v>
      </c>
      <c r="H1218" t="str">
        <f>_xlfn.XLOOKUP(A1218,Fact_Events!$D$2:$D$20,Fact_Events!$A$2:$A$20, "")</f>
        <v/>
      </c>
      <c r="I1218">
        <f t="shared" si="149"/>
        <v>0</v>
      </c>
      <c r="J1218" t="str">
        <f>_xlfn.XLOOKUP(H1218, Fact_Events!$A$2:$A$20, Fact_Events!$F$2:$F$20, "")</f>
        <v/>
      </c>
      <c r="K1218" t="str">
        <f t="shared" si="150"/>
        <v>Low</v>
      </c>
      <c r="L1218">
        <f t="shared" si="151"/>
        <v>0.55000000000000004</v>
      </c>
      <c r="M1218">
        <f>_xlfn.XLOOKUP(B1218, Dim_Hotel!$A$2:$A$11, Dim_Hotel!$I$2:$I$11)
 + (IF(J1218="",0,J1218)
    * _xlfn.XLOOKUP(B1218, Dim_Hotel!$A$2:$A$11, Dim_Hotel!$J$2:$J$11))</f>
        <v>165</v>
      </c>
    </row>
    <row r="1219" spans="1:13" x14ac:dyDescent="0.25">
      <c r="A1219" s="1">
        <f t="shared" ref="A1219:A1282" si="152">DATE(2026,1,1) + INT((ROW()-2)/10)</f>
        <v>46144</v>
      </c>
      <c r="B1219" t="str" cm="1">
        <f t="array" ref="B1219">INDEX(HotelList,MOD(ROW()-2,10)+1)</f>
        <v>H008</v>
      </c>
      <c r="C1219">
        <f>_xlfn.XLOOKUP(B1219,Dim_Hotel!$A$2:$A$11,Dim_Hotel!$F$2:$F$11)</f>
        <v>103</v>
      </c>
      <c r="D1219">
        <f t="shared" ref="D1219:D1282" si="153">ROUND(L1219 * C1219, 0)</f>
        <v>57</v>
      </c>
      <c r="E1219">
        <f t="shared" ref="E1219:E1282" si="154">D1219/C1219</f>
        <v>0.55339805825242716</v>
      </c>
      <c r="F1219">
        <f t="shared" ref="F1219:F1282" si="155">M1219</f>
        <v>140</v>
      </c>
      <c r="G1219">
        <f t="shared" ref="G1219:G1282" si="156">E1219*F1219</f>
        <v>77.475728155339809</v>
      </c>
      <c r="H1219" t="str">
        <f>_xlfn.XLOOKUP(A1219,Fact_Events!$D$2:$D$20,Fact_Events!$A$2:$A$20, "")</f>
        <v/>
      </c>
      <c r="I1219">
        <f t="shared" ref="I1219:I1282" si="157">IF(H1219="",0,1)</f>
        <v>0</v>
      </c>
      <c r="J1219" t="str">
        <f>_xlfn.XLOOKUP(H1219, Fact_Events!$A$2:$A$20, Fact_Events!$F$2:$F$20, "")</f>
        <v/>
      </c>
      <c r="K1219" t="str">
        <f t="shared" ref="K1219:K1282" si="158">IF(I1219=0,"Low",
   IF(J1219&gt;=9,"High","Medium"))</f>
        <v>Low</v>
      </c>
      <c r="L1219">
        <f t="shared" ref="L1219:L1282" si="159">MIN(1,
  0.55
  + (I1219 * 0.25)
  + (IF(J1219="",0,J1219) / 100)
)</f>
        <v>0.55000000000000004</v>
      </c>
      <c r="M1219">
        <f>_xlfn.XLOOKUP(B1219, Dim_Hotel!$A$2:$A$11, Dim_Hotel!$I$2:$I$11)
 + (IF(J1219="",0,J1219)
    * _xlfn.XLOOKUP(B1219, Dim_Hotel!$A$2:$A$11, Dim_Hotel!$J$2:$J$11))</f>
        <v>140</v>
      </c>
    </row>
    <row r="1220" spans="1:13" x14ac:dyDescent="0.25">
      <c r="A1220" s="1">
        <f t="shared" si="152"/>
        <v>46144</v>
      </c>
      <c r="B1220" t="str" cm="1">
        <f t="array" ref="B1220">INDEX(HotelList,MOD(ROW()-2,10)+1)</f>
        <v>H009</v>
      </c>
      <c r="C1220">
        <f>_xlfn.XLOOKUP(B1220,Dim_Hotel!$A$2:$A$11,Dim_Hotel!$F$2:$F$11)</f>
        <v>114</v>
      </c>
      <c r="D1220">
        <f t="shared" si="153"/>
        <v>63</v>
      </c>
      <c r="E1220">
        <f t="shared" si="154"/>
        <v>0.55263157894736847</v>
      </c>
      <c r="F1220">
        <f t="shared" si="155"/>
        <v>185</v>
      </c>
      <c r="G1220">
        <f t="shared" si="156"/>
        <v>102.23684210526316</v>
      </c>
      <c r="H1220" t="str">
        <f>_xlfn.XLOOKUP(A1220,Fact_Events!$D$2:$D$20,Fact_Events!$A$2:$A$20, "")</f>
        <v/>
      </c>
      <c r="I1220">
        <f t="shared" si="157"/>
        <v>0</v>
      </c>
      <c r="J1220" t="str">
        <f>_xlfn.XLOOKUP(H1220, Fact_Events!$A$2:$A$20, Fact_Events!$F$2:$F$20, "")</f>
        <v/>
      </c>
      <c r="K1220" t="str">
        <f t="shared" si="158"/>
        <v>Low</v>
      </c>
      <c r="L1220">
        <f t="shared" si="159"/>
        <v>0.55000000000000004</v>
      </c>
      <c r="M1220">
        <f>_xlfn.XLOOKUP(B1220, Dim_Hotel!$A$2:$A$11, Dim_Hotel!$I$2:$I$11)
 + (IF(J1220="",0,J1220)
    * _xlfn.XLOOKUP(B1220, Dim_Hotel!$A$2:$A$11, Dim_Hotel!$J$2:$J$11))</f>
        <v>185</v>
      </c>
    </row>
    <row r="1221" spans="1:13" x14ac:dyDescent="0.25">
      <c r="A1221" s="1">
        <f t="shared" si="152"/>
        <v>46144</v>
      </c>
      <c r="B1221" t="str" cm="1">
        <f t="array" ref="B1221">INDEX(HotelList,MOD(ROW()-2,10)+1)</f>
        <v>H010</v>
      </c>
      <c r="C1221">
        <f>_xlfn.XLOOKUP(B1221,Dim_Hotel!$A$2:$A$11,Dim_Hotel!$F$2:$F$11)</f>
        <v>89</v>
      </c>
      <c r="D1221">
        <f t="shared" si="153"/>
        <v>49</v>
      </c>
      <c r="E1221">
        <f t="shared" si="154"/>
        <v>0.550561797752809</v>
      </c>
      <c r="F1221">
        <f t="shared" si="155"/>
        <v>150</v>
      </c>
      <c r="G1221">
        <f t="shared" si="156"/>
        <v>82.584269662921344</v>
      </c>
      <c r="H1221" t="str">
        <f>_xlfn.XLOOKUP(A1221,Fact_Events!$D$2:$D$20,Fact_Events!$A$2:$A$20, "")</f>
        <v/>
      </c>
      <c r="I1221">
        <f t="shared" si="157"/>
        <v>0</v>
      </c>
      <c r="J1221" t="str">
        <f>_xlfn.XLOOKUP(H1221, Fact_Events!$A$2:$A$20, Fact_Events!$F$2:$F$20, "")</f>
        <v/>
      </c>
      <c r="K1221" t="str">
        <f t="shared" si="158"/>
        <v>Low</v>
      </c>
      <c r="L1221">
        <f t="shared" si="159"/>
        <v>0.55000000000000004</v>
      </c>
      <c r="M1221">
        <f>_xlfn.XLOOKUP(B1221, Dim_Hotel!$A$2:$A$11, Dim_Hotel!$I$2:$I$11)
 + (IF(J1221="",0,J1221)
    * _xlfn.XLOOKUP(B1221, Dim_Hotel!$A$2:$A$11, Dim_Hotel!$J$2:$J$11))</f>
        <v>150</v>
      </c>
    </row>
    <row r="1222" spans="1:13" x14ac:dyDescent="0.25">
      <c r="A1222" s="1">
        <f t="shared" si="152"/>
        <v>46145</v>
      </c>
      <c r="B1222" t="str" cm="1">
        <f t="array" ref="B1222">INDEX(HotelList,MOD(ROW()-2,10)+1)</f>
        <v>H001</v>
      </c>
      <c r="C1222">
        <f>_xlfn.XLOOKUP(B1222,Dim_Hotel!$A$2:$A$11,Dim_Hotel!$F$2:$F$11)</f>
        <v>888</v>
      </c>
      <c r="D1222">
        <f t="shared" si="153"/>
        <v>488</v>
      </c>
      <c r="E1222">
        <f t="shared" si="154"/>
        <v>0.5495495495495496</v>
      </c>
      <c r="F1222">
        <f t="shared" si="155"/>
        <v>260</v>
      </c>
      <c r="G1222">
        <f t="shared" si="156"/>
        <v>142.88288288288288</v>
      </c>
      <c r="H1222" t="str">
        <f>_xlfn.XLOOKUP(A1222,Fact_Events!$D$2:$D$20,Fact_Events!$A$2:$A$20, "")</f>
        <v/>
      </c>
      <c r="I1222">
        <f t="shared" si="157"/>
        <v>0</v>
      </c>
      <c r="J1222" t="str">
        <f>_xlfn.XLOOKUP(H1222, Fact_Events!$A$2:$A$20, Fact_Events!$F$2:$F$20, "")</f>
        <v/>
      </c>
      <c r="K1222" t="str">
        <f t="shared" si="158"/>
        <v>Low</v>
      </c>
      <c r="L1222">
        <f t="shared" si="159"/>
        <v>0.55000000000000004</v>
      </c>
      <c r="M1222">
        <f>_xlfn.XLOOKUP(B1222, Dim_Hotel!$A$2:$A$11, Dim_Hotel!$I$2:$I$11)
 + (IF(J1222="",0,J1222)
    * _xlfn.XLOOKUP(B1222, Dim_Hotel!$A$2:$A$11, Dim_Hotel!$J$2:$J$11))</f>
        <v>260</v>
      </c>
    </row>
    <row r="1223" spans="1:13" x14ac:dyDescent="0.25">
      <c r="A1223" s="1">
        <f t="shared" si="152"/>
        <v>46145</v>
      </c>
      <c r="B1223" t="str" cm="1">
        <f t="array" ref="B1223">INDEX(HotelList,MOD(ROW()-2,10)+1)</f>
        <v>H002</v>
      </c>
      <c r="C1223">
        <f>_xlfn.XLOOKUP(B1223,Dim_Hotel!$A$2:$A$11,Dim_Hotel!$F$2:$F$11)</f>
        <v>147</v>
      </c>
      <c r="D1223">
        <f t="shared" si="153"/>
        <v>81</v>
      </c>
      <c r="E1223">
        <f t="shared" si="154"/>
        <v>0.55102040816326525</v>
      </c>
      <c r="F1223">
        <f t="shared" si="155"/>
        <v>175</v>
      </c>
      <c r="G1223">
        <f t="shared" si="156"/>
        <v>96.428571428571416</v>
      </c>
      <c r="H1223" t="str">
        <f>_xlfn.XLOOKUP(A1223,Fact_Events!$D$2:$D$20,Fact_Events!$A$2:$A$20, "")</f>
        <v/>
      </c>
      <c r="I1223">
        <f t="shared" si="157"/>
        <v>0</v>
      </c>
      <c r="J1223" t="str">
        <f>_xlfn.XLOOKUP(H1223, Fact_Events!$A$2:$A$20, Fact_Events!$F$2:$F$20, "")</f>
        <v/>
      </c>
      <c r="K1223" t="str">
        <f t="shared" si="158"/>
        <v>Low</v>
      </c>
      <c r="L1223">
        <f t="shared" si="159"/>
        <v>0.55000000000000004</v>
      </c>
      <c r="M1223">
        <f>_xlfn.XLOOKUP(B1223, Dim_Hotel!$A$2:$A$11, Dim_Hotel!$I$2:$I$11)
 + (IF(J1223="",0,J1223)
    * _xlfn.XLOOKUP(B1223, Dim_Hotel!$A$2:$A$11, Dim_Hotel!$J$2:$J$11))</f>
        <v>175</v>
      </c>
    </row>
    <row r="1224" spans="1:13" x14ac:dyDescent="0.25">
      <c r="A1224" s="1">
        <f t="shared" si="152"/>
        <v>46145</v>
      </c>
      <c r="B1224" t="str" cm="1">
        <f t="array" ref="B1224">INDEX(HotelList,MOD(ROW()-2,10)+1)</f>
        <v>H003</v>
      </c>
      <c r="C1224">
        <f>_xlfn.XLOOKUP(B1224,Dim_Hotel!$A$2:$A$11,Dim_Hotel!$F$2:$F$11)</f>
        <v>121</v>
      </c>
      <c r="D1224">
        <f t="shared" si="153"/>
        <v>67</v>
      </c>
      <c r="E1224">
        <f t="shared" si="154"/>
        <v>0.55371900826446285</v>
      </c>
      <c r="F1224">
        <f t="shared" si="155"/>
        <v>145</v>
      </c>
      <c r="G1224">
        <f t="shared" si="156"/>
        <v>80.289256198347118</v>
      </c>
      <c r="H1224" t="str">
        <f>_xlfn.XLOOKUP(A1224,Fact_Events!$D$2:$D$20,Fact_Events!$A$2:$A$20, "")</f>
        <v/>
      </c>
      <c r="I1224">
        <f t="shared" si="157"/>
        <v>0</v>
      </c>
      <c r="J1224" t="str">
        <f>_xlfn.XLOOKUP(H1224, Fact_Events!$A$2:$A$20, Fact_Events!$F$2:$F$20, "")</f>
        <v/>
      </c>
      <c r="K1224" t="str">
        <f t="shared" si="158"/>
        <v>Low</v>
      </c>
      <c r="L1224">
        <f t="shared" si="159"/>
        <v>0.55000000000000004</v>
      </c>
      <c r="M1224">
        <f>_xlfn.XLOOKUP(B1224, Dim_Hotel!$A$2:$A$11, Dim_Hotel!$I$2:$I$11)
 + (IF(J1224="",0,J1224)
    * _xlfn.XLOOKUP(B1224, Dim_Hotel!$A$2:$A$11, Dim_Hotel!$J$2:$J$11))</f>
        <v>145</v>
      </c>
    </row>
    <row r="1225" spans="1:13" x14ac:dyDescent="0.25">
      <c r="A1225" s="1">
        <f t="shared" si="152"/>
        <v>46145</v>
      </c>
      <c r="B1225" t="str" cm="1">
        <f t="array" ref="B1225">INDEX(HotelList,MOD(ROW()-2,10)+1)</f>
        <v>H004</v>
      </c>
      <c r="C1225">
        <f>_xlfn.XLOOKUP(B1225,Dim_Hotel!$A$2:$A$11,Dim_Hotel!$F$2:$F$11)</f>
        <v>108</v>
      </c>
      <c r="D1225">
        <f t="shared" si="153"/>
        <v>59</v>
      </c>
      <c r="E1225">
        <f t="shared" si="154"/>
        <v>0.54629629629629628</v>
      </c>
      <c r="F1225">
        <f t="shared" si="155"/>
        <v>135</v>
      </c>
      <c r="G1225">
        <f t="shared" si="156"/>
        <v>73.75</v>
      </c>
      <c r="H1225" t="str">
        <f>_xlfn.XLOOKUP(A1225,Fact_Events!$D$2:$D$20,Fact_Events!$A$2:$A$20, "")</f>
        <v/>
      </c>
      <c r="I1225">
        <f t="shared" si="157"/>
        <v>0</v>
      </c>
      <c r="J1225" t="str">
        <f>_xlfn.XLOOKUP(H1225, Fact_Events!$A$2:$A$20, Fact_Events!$F$2:$F$20, "")</f>
        <v/>
      </c>
      <c r="K1225" t="str">
        <f t="shared" si="158"/>
        <v>Low</v>
      </c>
      <c r="L1225">
        <f t="shared" si="159"/>
        <v>0.55000000000000004</v>
      </c>
      <c r="M1225">
        <f>_xlfn.XLOOKUP(B1225, Dim_Hotel!$A$2:$A$11, Dim_Hotel!$I$2:$I$11)
 + (IF(J1225="",0,J1225)
    * _xlfn.XLOOKUP(B1225, Dim_Hotel!$A$2:$A$11, Dim_Hotel!$J$2:$J$11))</f>
        <v>135</v>
      </c>
    </row>
    <row r="1226" spans="1:13" x14ac:dyDescent="0.25">
      <c r="A1226" s="1">
        <f t="shared" si="152"/>
        <v>46145</v>
      </c>
      <c r="B1226" t="str" cm="1">
        <f t="array" ref="B1226">INDEX(HotelList,MOD(ROW()-2,10)+1)</f>
        <v>H005</v>
      </c>
      <c r="C1226">
        <f>_xlfn.XLOOKUP(B1226,Dim_Hotel!$A$2:$A$11,Dim_Hotel!$F$2:$F$11)</f>
        <v>66</v>
      </c>
      <c r="D1226">
        <f t="shared" si="153"/>
        <v>36</v>
      </c>
      <c r="E1226">
        <f t="shared" si="154"/>
        <v>0.54545454545454541</v>
      </c>
      <c r="F1226">
        <f t="shared" si="155"/>
        <v>82</v>
      </c>
      <c r="G1226">
        <f t="shared" si="156"/>
        <v>44.727272727272727</v>
      </c>
      <c r="H1226" t="str">
        <f>_xlfn.XLOOKUP(A1226,Fact_Events!$D$2:$D$20,Fact_Events!$A$2:$A$20, "")</f>
        <v/>
      </c>
      <c r="I1226">
        <f t="shared" si="157"/>
        <v>0</v>
      </c>
      <c r="J1226" t="str">
        <f>_xlfn.XLOOKUP(H1226, Fact_Events!$A$2:$A$20, Fact_Events!$F$2:$F$20, "")</f>
        <v/>
      </c>
      <c r="K1226" t="str">
        <f t="shared" si="158"/>
        <v>Low</v>
      </c>
      <c r="L1226">
        <f t="shared" si="159"/>
        <v>0.55000000000000004</v>
      </c>
      <c r="M1226">
        <f>_xlfn.XLOOKUP(B1226, Dim_Hotel!$A$2:$A$11, Dim_Hotel!$I$2:$I$11)
 + (IF(J1226="",0,J1226)
    * _xlfn.XLOOKUP(B1226, Dim_Hotel!$A$2:$A$11, Dim_Hotel!$J$2:$J$11))</f>
        <v>82</v>
      </c>
    </row>
    <row r="1227" spans="1:13" x14ac:dyDescent="0.25">
      <c r="A1227" s="1">
        <f t="shared" si="152"/>
        <v>46145</v>
      </c>
      <c r="B1227" t="str" cm="1">
        <f t="array" ref="B1227">INDEX(HotelList,MOD(ROW()-2,10)+1)</f>
        <v>H006</v>
      </c>
      <c r="C1227">
        <f>_xlfn.XLOOKUP(B1227,Dim_Hotel!$A$2:$A$11,Dim_Hotel!$F$2:$F$11)</f>
        <v>311</v>
      </c>
      <c r="D1227">
        <f t="shared" si="153"/>
        <v>171</v>
      </c>
      <c r="E1227">
        <f t="shared" si="154"/>
        <v>0.54983922829581988</v>
      </c>
      <c r="F1227">
        <f t="shared" si="155"/>
        <v>190</v>
      </c>
      <c r="G1227">
        <f t="shared" si="156"/>
        <v>104.46945337620578</v>
      </c>
      <c r="H1227" t="str">
        <f>_xlfn.XLOOKUP(A1227,Fact_Events!$D$2:$D$20,Fact_Events!$A$2:$A$20, "")</f>
        <v/>
      </c>
      <c r="I1227">
        <f t="shared" si="157"/>
        <v>0</v>
      </c>
      <c r="J1227" t="str">
        <f>_xlfn.XLOOKUP(H1227, Fact_Events!$A$2:$A$20, Fact_Events!$F$2:$F$20, "")</f>
        <v/>
      </c>
      <c r="K1227" t="str">
        <f t="shared" si="158"/>
        <v>Low</v>
      </c>
      <c r="L1227">
        <f t="shared" si="159"/>
        <v>0.55000000000000004</v>
      </c>
      <c r="M1227">
        <f>_xlfn.XLOOKUP(B1227, Dim_Hotel!$A$2:$A$11, Dim_Hotel!$I$2:$I$11)
 + (IF(J1227="",0,J1227)
    * _xlfn.XLOOKUP(B1227, Dim_Hotel!$A$2:$A$11, Dim_Hotel!$J$2:$J$11))</f>
        <v>190</v>
      </c>
    </row>
    <row r="1228" spans="1:13" x14ac:dyDescent="0.25">
      <c r="A1228" s="1">
        <f t="shared" si="152"/>
        <v>46145</v>
      </c>
      <c r="B1228" t="str" cm="1">
        <f t="array" ref="B1228">INDEX(HotelList,MOD(ROW()-2,10)+1)</f>
        <v>H007</v>
      </c>
      <c r="C1228">
        <f>_xlfn.XLOOKUP(B1228,Dim_Hotel!$A$2:$A$11,Dim_Hotel!$F$2:$F$11)</f>
        <v>132</v>
      </c>
      <c r="D1228">
        <f t="shared" si="153"/>
        <v>73</v>
      </c>
      <c r="E1228">
        <f t="shared" si="154"/>
        <v>0.55303030303030298</v>
      </c>
      <c r="F1228">
        <f t="shared" si="155"/>
        <v>165</v>
      </c>
      <c r="G1228">
        <f t="shared" si="156"/>
        <v>91.249999999999986</v>
      </c>
      <c r="H1228" t="str">
        <f>_xlfn.XLOOKUP(A1228,Fact_Events!$D$2:$D$20,Fact_Events!$A$2:$A$20, "")</f>
        <v/>
      </c>
      <c r="I1228">
        <f t="shared" si="157"/>
        <v>0</v>
      </c>
      <c r="J1228" t="str">
        <f>_xlfn.XLOOKUP(H1228, Fact_Events!$A$2:$A$20, Fact_Events!$F$2:$F$20, "")</f>
        <v/>
      </c>
      <c r="K1228" t="str">
        <f t="shared" si="158"/>
        <v>Low</v>
      </c>
      <c r="L1228">
        <f t="shared" si="159"/>
        <v>0.55000000000000004</v>
      </c>
      <c r="M1228">
        <f>_xlfn.XLOOKUP(B1228, Dim_Hotel!$A$2:$A$11, Dim_Hotel!$I$2:$I$11)
 + (IF(J1228="",0,J1228)
    * _xlfn.XLOOKUP(B1228, Dim_Hotel!$A$2:$A$11, Dim_Hotel!$J$2:$J$11))</f>
        <v>165</v>
      </c>
    </row>
    <row r="1229" spans="1:13" x14ac:dyDescent="0.25">
      <c r="A1229" s="1">
        <f t="shared" si="152"/>
        <v>46145</v>
      </c>
      <c r="B1229" t="str" cm="1">
        <f t="array" ref="B1229">INDEX(HotelList,MOD(ROW()-2,10)+1)</f>
        <v>H008</v>
      </c>
      <c r="C1229">
        <f>_xlfn.XLOOKUP(B1229,Dim_Hotel!$A$2:$A$11,Dim_Hotel!$F$2:$F$11)</f>
        <v>103</v>
      </c>
      <c r="D1229">
        <f t="shared" si="153"/>
        <v>57</v>
      </c>
      <c r="E1229">
        <f t="shared" si="154"/>
        <v>0.55339805825242716</v>
      </c>
      <c r="F1229">
        <f t="shared" si="155"/>
        <v>140</v>
      </c>
      <c r="G1229">
        <f t="shared" si="156"/>
        <v>77.475728155339809</v>
      </c>
      <c r="H1229" t="str">
        <f>_xlfn.XLOOKUP(A1229,Fact_Events!$D$2:$D$20,Fact_Events!$A$2:$A$20, "")</f>
        <v/>
      </c>
      <c r="I1229">
        <f t="shared" si="157"/>
        <v>0</v>
      </c>
      <c r="J1229" t="str">
        <f>_xlfn.XLOOKUP(H1229, Fact_Events!$A$2:$A$20, Fact_Events!$F$2:$F$20, "")</f>
        <v/>
      </c>
      <c r="K1229" t="str">
        <f t="shared" si="158"/>
        <v>Low</v>
      </c>
      <c r="L1229">
        <f t="shared" si="159"/>
        <v>0.55000000000000004</v>
      </c>
      <c r="M1229">
        <f>_xlfn.XLOOKUP(B1229, Dim_Hotel!$A$2:$A$11, Dim_Hotel!$I$2:$I$11)
 + (IF(J1229="",0,J1229)
    * _xlfn.XLOOKUP(B1229, Dim_Hotel!$A$2:$A$11, Dim_Hotel!$J$2:$J$11))</f>
        <v>140</v>
      </c>
    </row>
    <row r="1230" spans="1:13" x14ac:dyDescent="0.25">
      <c r="A1230" s="1">
        <f t="shared" si="152"/>
        <v>46145</v>
      </c>
      <c r="B1230" t="str" cm="1">
        <f t="array" ref="B1230">INDEX(HotelList,MOD(ROW()-2,10)+1)</f>
        <v>H009</v>
      </c>
      <c r="C1230">
        <f>_xlfn.XLOOKUP(B1230,Dim_Hotel!$A$2:$A$11,Dim_Hotel!$F$2:$F$11)</f>
        <v>114</v>
      </c>
      <c r="D1230">
        <f t="shared" si="153"/>
        <v>63</v>
      </c>
      <c r="E1230">
        <f t="shared" si="154"/>
        <v>0.55263157894736847</v>
      </c>
      <c r="F1230">
        <f t="shared" si="155"/>
        <v>185</v>
      </c>
      <c r="G1230">
        <f t="shared" si="156"/>
        <v>102.23684210526316</v>
      </c>
      <c r="H1230" t="str">
        <f>_xlfn.XLOOKUP(A1230,Fact_Events!$D$2:$D$20,Fact_Events!$A$2:$A$20, "")</f>
        <v/>
      </c>
      <c r="I1230">
        <f t="shared" si="157"/>
        <v>0</v>
      </c>
      <c r="J1230" t="str">
        <f>_xlfn.XLOOKUP(H1230, Fact_Events!$A$2:$A$20, Fact_Events!$F$2:$F$20, "")</f>
        <v/>
      </c>
      <c r="K1230" t="str">
        <f t="shared" si="158"/>
        <v>Low</v>
      </c>
      <c r="L1230">
        <f t="shared" si="159"/>
        <v>0.55000000000000004</v>
      </c>
      <c r="M1230">
        <f>_xlfn.XLOOKUP(B1230, Dim_Hotel!$A$2:$A$11, Dim_Hotel!$I$2:$I$11)
 + (IF(J1230="",0,J1230)
    * _xlfn.XLOOKUP(B1230, Dim_Hotel!$A$2:$A$11, Dim_Hotel!$J$2:$J$11))</f>
        <v>185</v>
      </c>
    </row>
    <row r="1231" spans="1:13" x14ac:dyDescent="0.25">
      <c r="A1231" s="1">
        <f t="shared" si="152"/>
        <v>46145</v>
      </c>
      <c r="B1231" t="str" cm="1">
        <f t="array" ref="B1231">INDEX(HotelList,MOD(ROW()-2,10)+1)</f>
        <v>H010</v>
      </c>
      <c r="C1231">
        <f>_xlfn.XLOOKUP(B1231,Dim_Hotel!$A$2:$A$11,Dim_Hotel!$F$2:$F$11)</f>
        <v>89</v>
      </c>
      <c r="D1231">
        <f t="shared" si="153"/>
        <v>49</v>
      </c>
      <c r="E1231">
        <f t="shared" si="154"/>
        <v>0.550561797752809</v>
      </c>
      <c r="F1231">
        <f t="shared" si="155"/>
        <v>150</v>
      </c>
      <c r="G1231">
        <f t="shared" si="156"/>
        <v>82.584269662921344</v>
      </c>
      <c r="H1231" t="str">
        <f>_xlfn.XLOOKUP(A1231,Fact_Events!$D$2:$D$20,Fact_Events!$A$2:$A$20, "")</f>
        <v/>
      </c>
      <c r="I1231">
        <f t="shared" si="157"/>
        <v>0</v>
      </c>
      <c r="J1231" t="str">
        <f>_xlfn.XLOOKUP(H1231, Fact_Events!$A$2:$A$20, Fact_Events!$F$2:$F$20, "")</f>
        <v/>
      </c>
      <c r="K1231" t="str">
        <f t="shared" si="158"/>
        <v>Low</v>
      </c>
      <c r="L1231">
        <f t="shared" si="159"/>
        <v>0.55000000000000004</v>
      </c>
      <c r="M1231">
        <f>_xlfn.XLOOKUP(B1231, Dim_Hotel!$A$2:$A$11, Dim_Hotel!$I$2:$I$11)
 + (IF(J1231="",0,J1231)
    * _xlfn.XLOOKUP(B1231, Dim_Hotel!$A$2:$A$11, Dim_Hotel!$J$2:$J$11))</f>
        <v>150</v>
      </c>
    </row>
    <row r="1232" spans="1:13" x14ac:dyDescent="0.25">
      <c r="A1232" s="1">
        <f t="shared" si="152"/>
        <v>46146</v>
      </c>
      <c r="B1232" t="str" cm="1">
        <f t="array" ref="B1232">INDEX(HotelList,MOD(ROW()-2,10)+1)</f>
        <v>H001</v>
      </c>
      <c r="C1232">
        <f>_xlfn.XLOOKUP(B1232,Dim_Hotel!$A$2:$A$11,Dim_Hotel!$F$2:$F$11)</f>
        <v>888</v>
      </c>
      <c r="D1232">
        <f t="shared" si="153"/>
        <v>488</v>
      </c>
      <c r="E1232">
        <f t="shared" si="154"/>
        <v>0.5495495495495496</v>
      </c>
      <c r="F1232">
        <f t="shared" si="155"/>
        <v>260</v>
      </c>
      <c r="G1232">
        <f t="shared" si="156"/>
        <v>142.88288288288288</v>
      </c>
      <c r="H1232" t="str">
        <f>_xlfn.XLOOKUP(A1232,Fact_Events!$D$2:$D$20,Fact_Events!$A$2:$A$20, "")</f>
        <v/>
      </c>
      <c r="I1232">
        <f t="shared" si="157"/>
        <v>0</v>
      </c>
      <c r="J1232" t="str">
        <f>_xlfn.XLOOKUP(H1232, Fact_Events!$A$2:$A$20, Fact_Events!$F$2:$F$20, "")</f>
        <v/>
      </c>
      <c r="K1232" t="str">
        <f t="shared" si="158"/>
        <v>Low</v>
      </c>
      <c r="L1232">
        <f t="shared" si="159"/>
        <v>0.55000000000000004</v>
      </c>
      <c r="M1232">
        <f>_xlfn.XLOOKUP(B1232, Dim_Hotel!$A$2:$A$11, Dim_Hotel!$I$2:$I$11)
 + (IF(J1232="",0,J1232)
    * _xlfn.XLOOKUP(B1232, Dim_Hotel!$A$2:$A$11, Dim_Hotel!$J$2:$J$11))</f>
        <v>260</v>
      </c>
    </row>
    <row r="1233" spans="1:13" x14ac:dyDescent="0.25">
      <c r="A1233" s="1">
        <f t="shared" si="152"/>
        <v>46146</v>
      </c>
      <c r="B1233" t="str" cm="1">
        <f t="array" ref="B1233">INDEX(HotelList,MOD(ROW()-2,10)+1)</f>
        <v>H002</v>
      </c>
      <c r="C1233">
        <f>_xlfn.XLOOKUP(B1233,Dim_Hotel!$A$2:$A$11,Dim_Hotel!$F$2:$F$11)</f>
        <v>147</v>
      </c>
      <c r="D1233">
        <f t="shared" si="153"/>
        <v>81</v>
      </c>
      <c r="E1233">
        <f t="shared" si="154"/>
        <v>0.55102040816326525</v>
      </c>
      <c r="F1233">
        <f t="shared" si="155"/>
        <v>175</v>
      </c>
      <c r="G1233">
        <f t="shared" si="156"/>
        <v>96.428571428571416</v>
      </c>
      <c r="H1233" t="str">
        <f>_xlfn.XLOOKUP(A1233,Fact_Events!$D$2:$D$20,Fact_Events!$A$2:$A$20, "")</f>
        <v/>
      </c>
      <c r="I1233">
        <f t="shared" si="157"/>
        <v>0</v>
      </c>
      <c r="J1233" t="str">
        <f>_xlfn.XLOOKUP(H1233, Fact_Events!$A$2:$A$20, Fact_Events!$F$2:$F$20, "")</f>
        <v/>
      </c>
      <c r="K1233" t="str">
        <f t="shared" si="158"/>
        <v>Low</v>
      </c>
      <c r="L1233">
        <f t="shared" si="159"/>
        <v>0.55000000000000004</v>
      </c>
      <c r="M1233">
        <f>_xlfn.XLOOKUP(B1233, Dim_Hotel!$A$2:$A$11, Dim_Hotel!$I$2:$I$11)
 + (IF(J1233="",0,J1233)
    * _xlfn.XLOOKUP(B1233, Dim_Hotel!$A$2:$A$11, Dim_Hotel!$J$2:$J$11))</f>
        <v>175</v>
      </c>
    </row>
    <row r="1234" spans="1:13" x14ac:dyDescent="0.25">
      <c r="A1234" s="1">
        <f t="shared" si="152"/>
        <v>46146</v>
      </c>
      <c r="B1234" t="str" cm="1">
        <f t="array" ref="B1234">INDEX(HotelList,MOD(ROW()-2,10)+1)</f>
        <v>H003</v>
      </c>
      <c r="C1234">
        <f>_xlfn.XLOOKUP(B1234,Dim_Hotel!$A$2:$A$11,Dim_Hotel!$F$2:$F$11)</f>
        <v>121</v>
      </c>
      <c r="D1234">
        <f t="shared" si="153"/>
        <v>67</v>
      </c>
      <c r="E1234">
        <f t="shared" si="154"/>
        <v>0.55371900826446285</v>
      </c>
      <c r="F1234">
        <f t="shared" si="155"/>
        <v>145</v>
      </c>
      <c r="G1234">
        <f t="shared" si="156"/>
        <v>80.289256198347118</v>
      </c>
      <c r="H1234" t="str">
        <f>_xlfn.XLOOKUP(A1234,Fact_Events!$D$2:$D$20,Fact_Events!$A$2:$A$20, "")</f>
        <v/>
      </c>
      <c r="I1234">
        <f t="shared" si="157"/>
        <v>0</v>
      </c>
      <c r="J1234" t="str">
        <f>_xlfn.XLOOKUP(H1234, Fact_Events!$A$2:$A$20, Fact_Events!$F$2:$F$20, "")</f>
        <v/>
      </c>
      <c r="K1234" t="str">
        <f t="shared" si="158"/>
        <v>Low</v>
      </c>
      <c r="L1234">
        <f t="shared" si="159"/>
        <v>0.55000000000000004</v>
      </c>
      <c r="M1234">
        <f>_xlfn.XLOOKUP(B1234, Dim_Hotel!$A$2:$A$11, Dim_Hotel!$I$2:$I$11)
 + (IF(J1234="",0,J1234)
    * _xlfn.XLOOKUP(B1234, Dim_Hotel!$A$2:$A$11, Dim_Hotel!$J$2:$J$11))</f>
        <v>145</v>
      </c>
    </row>
    <row r="1235" spans="1:13" x14ac:dyDescent="0.25">
      <c r="A1235" s="1">
        <f t="shared" si="152"/>
        <v>46146</v>
      </c>
      <c r="B1235" t="str" cm="1">
        <f t="array" ref="B1235">INDEX(HotelList,MOD(ROW()-2,10)+1)</f>
        <v>H004</v>
      </c>
      <c r="C1235">
        <f>_xlfn.XLOOKUP(B1235,Dim_Hotel!$A$2:$A$11,Dim_Hotel!$F$2:$F$11)</f>
        <v>108</v>
      </c>
      <c r="D1235">
        <f t="shared" si="153"/>
        <v>59</v>
      </c>
      <c r="E1235">
        <f t="shared" si="154"/>
        <v>0.54629629629629628</v>
      </c>
      <c r="F1235">
        <f t="shared" si="155"/>
        <v>135</v>
      </c>
      <c r="G1235">
        <f t="shared" si="156"/>
        <v>73.75</v>
      </c>
      <c r="H1235" t="str">
        <f>_xlfn.XLOOKUP(A1235,Fact_Events!$D$2:$D$20,Fact_Events!$A$2:$A$20, "")</f>
        <v/>
      </c>
      <c r="I1235">
        <f t="shared" si="157"/>
        <v>0</v>
      </c>
      <c r="J1235" t="str">
        <f>_xlfn.XLOOKUP(H1235, Fact_Events!$A$2:$A$20, Fact_Events!$F$2:$F$20, "")</f>
        <v/>
      </c>
      <c r="K1235" t="str">
        <f t="shared" si="158"/>
        <v>Low</v>
      </c>
      <c r="L1235">
        <f t="shared" si="159"/>
        <v>0.55000000000000004</v>
      </c>
      <c r="M1235">
        <f>_xlfn.XLOOKUP(B1235, Dim_Hotel!$A$2:$A$11, Dim_Hotel!$I$2:$I$11)
 + (IF(J1235="",0,J1235)
    * _xlfn.XLOOKUP(B1235, Dim_Hotel!$A$2:$A$11, Dim_Hotel!$J$2:$J$11))</f>
        <v>135</v>
      </c>
    </row>
    <row r="1236" spans="1:13" x14ac:dyDescent="0.25">
      <c r="A1236" s="1">
        <f t="shared" si="152"/>
        <v>46146</v>
      </c>
      <c r="B1236" t="str" cm="1">
        <f t="array" ref="B1236">INDEX(HotelList,MOD(ROW()-2,10)+1)</f>
        <v>H005</v>
      </c>
      <c r="C1236">
        <f>_xlfn.XLOOKUP(B1236,Dim_Hotel!$A$2:$A$11,Dim_Hotel!$F$2:$F$11)</f>
        <v>66</v>
      </c>
      <c r="D1236">
        <f t="shared" si="153"/>
        <v>36</v>
      </c>
      <c r="E1236">
        <f t="shared" si="154"/>
        <v>0.54545454545454541</v>
      </c>
      <c r="F1236">
        <f t="shared" si="155"/>
        <v>82</v>
      </c>
      <c r="G1236">
        <f t="shared" si="156"/>
        <v>44.727272727272727</v>
      </c>
      <c r="H1236" t="str">
        <f>_xlfn.XLOOKUP(A1236,Fact_Events!$D$2:$D$20,Fact_Events!$A$2:$A$20, "")</f>
        <v/>
      </c>
      <c r="I1236">
        <f t="shared" si="157"/>
        <v>0</v>
      </c>
      <c r="J1236" t="str">
        <f>_xlfn.XLOOKUP(H1236, Fact_Events!$A$2:$A$20, Fact_Events!$F$2:$F$20, "")</f>
        <v/>
      </c>
      <c r="K1236" t="str">
        <f t="shared" si="158"/>
        <v>Low</v>
      </c>
      <c r="L1236">
        <f t="shared" si="159"/>
        <v>0.55000000000000004</v>
      </c>
      <c r="M1236">
        <f>_xlfn.XLOOKUP(B1236, Dim_Hotel!$A$2:$A$11, Dim_Hotel!$I$2:$I$11)
 + (IF(J1236="",0,J1236)
    * _xlfn.XLOOKUP(B1236, Dim_Hotel!$A$2:$A$11, Dim_Hotel!$J$2:$J$11))</f>
        <v>82</v>
      </c>
    </row>
    <row r="1237" spans="1:13" x14ac:dyDescent="0.25">
      <c r="A1237" s="1">
        <f t="shared" si="152"/>
        <v>46146</v>
      </c>
      <c r="B1237" t="str" cm="1">
        <f t="array" ref="B1237">INDEX(HotelList,MOD(ROW()-2,10)+1)</f>
        <v>H006</v>
      </c>
      <c r="C1237">
        <f>_xlfn.XLOOKUP(B1237,Dim_Hotel!$A$2:$A$11,Dim_Hotel!$F$2:$F$11)</f>
        <v>311</v>
      </c>
      <c r="D1237">
        <f t="shared" si="153"/>
        <v>171</v>
      </c>
      <c r="E1237">
        <f t="shared" si="154"/>
        <v>0.54983922829581988</v>
      </c>
      <c r="F1237">
        <f t="shared" si="155"/>
        <v>190</v>
      </c>
      <c r="G1237">
        <f t="shared" si="156"/>
        <v>104.46945337620578</v>
      </c>
      <c r="H1237" t="str">
        <f>_xlfn.XLOOKUP(A1237,Fact_Events!$D$2:$D$20,Fact_Events!$A$2:$A$20, "")</f>
        <v/>
      </c>
      <c r="I1237">
        <f t="shared" si="157"/>
        <v>0</v>
      </c>
      <c r="J1237" t="str">
        <f>_xlfn.XLOOKUP(H1237, Fact_Events!$A$2:$A$20, Fact_Events!$F$2:$F$20, "")</f>
        <v/>
      </c>
      <c r="K1237" t="str">
        <f t="shared" si="158"/>
        <v>Low</v>
      </c>
      <c r="L1237">
        <f t="shared" si="159"/>
        <v>0.55000000000000004</v>
      </c>
      <c r="M1237">
        <f>_xlfn.XLOOKUP(B1237, Dim_Hotel!$A$2:$A$11, Dim_Hotel!$I$2:$I$11)
 + (IF(J1237="",0,J1237)
    * _xlfn.XLOOKUP(B1237, Dim_Hotel!$A$2:$A$11, Dim_Hotel!$J$2:$J$11))</f>
        <v>190</v>
      </c>
    </row>
    <row r="1238" spans="1:13" x14ac:dyDescent="0.25">
      <c r="A1238" s="1">
        <f t="shared" si="152"/>
        <v>46146</v>
      </c>
      <c r="B1238" t="str" cm="1">
        <f t="array" ref="B1238">INDEX(HotelList,MOD(ROW()-2,10)+1)</f>
        <v>H007</v>
      </c>
      <c r="C1238">
        <f>_xlfn.XLOOKUP(B1238,Dim_Hotel!$A$2:$A$11,Dim_Hotel!$F$2:$F$11)</f>
        <v>132</v>
      </c>
      <c r="D1238">
        <f t="shared" si="153"/>
        <v>73</v>
      </c>
      <c r="E1238">
        <f t="shared" si="154"/>
        <v>0.55303030303030298</v>
      </c>
      <c r="F1238">
        <f t="shared" si="155"/>
        <v>165</v>
      </c>
      <c r="G1238">
        <f t="shared" si="156"/>
        <v>91.249999999999986</v>
      </c>
      <c r="H1238" t="str">
        <f>_xlfn.XLOOKUP(A1238,Fact_Events!$D$2:$D$20,Fact_Events!$A$2:$A$20, "")</f>
        <v/>
      </c>
      <c r="I1238">
        <f t="shared" si="157"/>
        <v>0</v>
      </c>
      <c r="J1238" t="str">
        <f>_xlfn.XLOOKUP(H1238, Fact_Events!$A$2:$A$20, Fact_Events!$F$2:$F$20, "")</f>
        <v/>
      </c>
      <c r="K1238" t="str">
        <f t="shared" si="158"/>
        <v>Low</v>
      </c>
      <c r="L1238">
        <f t="shared" si="159"/>
        <v>0.55000000000000004</v>
      </c>
      <c r="M1238">
        <f>_xlfn.XLOOKUP(B1238, Dim_Hotel!$A$2:$A$11, Dim_Hotel!$I$2:$I$11)
 + (IF(J1238="",0,J1238)
    * _xlfn.XLOOKUP(B1238, Dim_Hotel!$A$2:$A$11, Dim_Hotel!$J$2:$J$11))</f>
        <v>165</v>
      </c>
    </row>
    <row r="1239" spans="1:13" x14ac:dyDescent="0.25">
      <c r="A1239" s="1">
        <f t="shared" si="152"/>
        <v>46146</v>
      </c>
      <c r="B1239" t="str" cm="1">
        <f t="array" ref="B1239">INDEX(HotelList,MOD(ROW()-2,10)+1)</f>
        <v>H008</v>
      </c>
      <c r="C1239">
        <f>_xlfn.XLOOKUP(B1239,Dim_Hotel!$A$2:$A$11,Dim_Hotel!$F$2:$F$11)</f>
        <v>103</v>
      </c>
      <c r="D1239">
        <f t="shared" si="153"/>
        <v>57</v>
      </c>
      <c r="E1239">
        <f t="shared" si="154"/>
        <v>0.55339805825242716</v>
      </c>
      <c r="F1239">
        <f t="shared" si="155"/>
        <v>140</v>
      </c>
      <c r="G1239">
        <f t="shared" si="156"/>
        <v>77.475728155339809</v>
      </c>
      <c r="H1239" t="str">
        <f>_xlfn.XLOOKUP(A1239,Fact_Events!$D$2:$D$20,Fact_Events!$A$2:$A$20, "")</f>
        <v/>
      </c>
      <c r="I1239">
        <f t="shared" si="157"/>
        <v>0</v>
      </c>
      <c r="J1239" t="str">
        <f>_xlfn.XLOOKUP(H1239, Fact_Events!$A$2:$A$20, Fact_Events!$F$2:$F$20, "")</f>
        <v/>
      </c>
      <c r="K1239" t="str">
        <f t="shared" si="158"/>
        <v>Low</v>
      </c>
      <c r="L1239">
        <f t="shared" si="159"/>
        <v>0.55000000000000004</v>
      </c>
      <c r="M1239">
        <f>_xlfn.XLOOKUP(B1239, Dim_Hotel!$A$2:$A$11, Dim_Hotel!$I$2:$I$11)
 + (IF(J1239="",0,J1239)
    * _xlfn.XLOOKUP(B1239, Dim_Hotel!$A$2:$A$11, Dim_Hotel!$J$2:$J$11))</f>
        <v>140</v>
      </c>
    </row>
    <row r="1240" spans="1:13" x14ac:dyDescent="0.25">
      <c r="A1240" s="1">
        <f t="shared" si="152"/>
        <v>46146</v>
      </c>
      <c r="B1240" t="str" cm="1">
        <f t="array" ref="B1240">INDEX(HotelList,MOD(ROW()-2,10)+1)</f>
        <v>H009</v>
      </c>
      <c r="C1240">
        <f>_xlfn.XLOOKUP(B1240,Dim_Hotel!$A$2:$A$11,Dim_Hotel!$F$2:$F$11)</f>
        <v>114</v>
      </c>
      <c r="D1240">
        <f t="shared" si="153"/>
        <v>63</v>
      </c>
      <c r="E1240">
        <f t="shared" si="154"/>
        <v>0.55263157894736847</v>
      </c>
      <c r="F1240">
        <f t="shared" si="155"/>
        <v>185</v>
      </c>
      <c r="G1240">
        <f t="shared" si="156"/>
        <v>102.23684210526316</v>
      </c>
      <c r="H1240" t="str">
        <f>_xlfn.XLOOKUP(A1240,Fact_Events!$D$2:$D$20,Fact_Events!$A$2:$A$20, "")</f>
        <v/>
      </c>
      <c r="I1240">
        <f t="shared" si="157"/>
        <v>0</v>
      </c>
      <c r="J1240" t="str">
        <f>_xlfn.XLOOKUP(H1240, Fact_Events!$A$2:$A$20, Fact_Events!$F$2:$F$20, "")</f>
        <v/>
      </c>
      <c r="K1240" t="str">
        <f t="shared" si="158"/>
        <v>Low</v>
      </c>
      <c r="L1240">
        <f t="shared" si="159"/>
        <v>0.55000000000000004</v>
      </c>
      <c r="M1240">
        <f>_xlfn.XLOOKUP(B1240, Dim_Hotel!$A$2:$A$11, Dim_Hotel!$I$2:$I$11)
 + (IF(J1240="",0,J1240)
    * _xlfn.XLOOKUP(B1240, Dim_Hotel!$A$2:$A$11, Dim_Hotel!$J$2:$J$11))</f>
        <v>185</v>
      </c>
    </row>
    <row r="1241" spans="1:13" x14ac:dyDescent="0.25">
      <c r="A1241" s="1">
        <f t="shared" si="152"/>
        <v>46146</v>
      </c>
      <c r="B1241" t="str" cm="1">
        <f t="array" ref="B1241">INDEX(HotelList,MOD(ROW()-2,10)+1)</f>
        <v>H010</v>
      </c>
      <c r="C1241">
        <f>_xlfn.XLOOKUP(B1241,Dim_Hotel!$A$2:$A$11,Dim_Hotel!$F$2:$F$11)</f>
        <v>89</v>
      </c>
      <c r="D1241">
        <f t="shared" si="153"/>
        <v>49</v>
      </c>
      <c r="E1241">
        <f t="shared" si="154"/>
        <v>0.550561797752809</v>
      </c>
      <c r="F1241">
        <f t="shared" si="155"/>
        <v>150</v>
      </c>
      <c r="G1241">
        <f t="shared" si="156"/>
        <v>82.584269662921344</v>
      </c>
      <c r="H1241" t="str">
        <f>_xlfn.XLOOKUP(A1241,Fact_Events!$D$2:$D$20,Fact_Events!$A$2:$A$20, "")</f>
        <v/>
      </c>
      <c r="I1241">
        <f t="shared" si="157"/>
        <v>0</v>
      </c>
      <c r="J1241" t="str">
        <f>_xlfn.XLOOKUP(H1241, Fact_Events!$A$2:$A$20, Fact_Events!$F$2:$F$20, "")</f>
        <v/>
      </c>
      <c r="K1241" t="str">
        <f t="shared" si="158"/>
        <v>Low</v>
      </c>
      <c r="L1241">
        <f t="shared" si="159"/>
        <v>0.55000000000000004</v>
      </c>
      <c r="M1241">
        <f>_xlfn.XLOOKUP(B1241, Dim_Hotel!$A$2:$A$11, Dim_Hotel!$I$2:$I$11)
 + (IF(J1241="",0,J1241)
    * _xlfn.XLOOKUP(B1241, Dim_Hotel!$A$2:$A$11, Dim_Hotel!$J$2:$J$11))</f>
        <v>150</v>
      </c>
    </row>
    <row r="1242" spans="1:13" x14ac:dyDescent="0.25">
      <c r="A1242" s="1">
        <f t="shared" si="152"/>
        <v>46147</v>
      </c>
      <c r="B1242" t="str" cm="1">
        <f t="array" ref="B1242">INDEX(HotelList,MOD(ROW()-2,10)+1)</f>
        <v>H001</v>
      </c>
      <c r="C1242">
        <f>_xlfn.XLOOKUP(B1242,Dim_Hotel!$A$2:$A$11,Dim_Hotel!$F$2:$F$11)</f>
        <v>888</v>
      </c>
      <c r="D1242">
        <f t="shared" si="153"/>
        <v>488</v>
      </c>
      <c r="E1242">
        <f t="shared" si="154"/>
        <v>0.5495495495495496</v>
      </c>
      <c r="F1242">
        <f t="shared" si="155"/>
        <v>260</v>
      </c>
      <c r="G1242">
        <f t="shared" si="156"/>
        <v>142.88288288288288</v>
      </c>
      <c r="H1242" t="str">
        <f>_xlfn.XLOOKUP(A1242,Fact_Events!$D$2:$D$20,Fact_Events!$A$2:$A$20, "")</f>
        <v/>
      </c>
      <c r="I1242">
        <f t="shared" si="157"/>
        <v>0</v>
      </c>
      <c r="J1242" t="str">
        <f>_xlfn.XLOOKUP(H1242, Fact_Events!$A$2:$A$20, Fact_Events!$F$2:$F$20, "")</f>
        <v/>
      </c>
      <c r="K1242" t="str">
        <f t="shared" si="158"/>
        <v>Low</v>
      </c>
      <c r="L1242">
        <f t="shared" si="159"/>
        <v>0.55000000000000004</v>
      </c>
      <c r="M1242">
        <f>_xlfn.XLOOKUP(B1242, Dim_Hotel!$A$2:$A$11, Dim_Hotel!$I$2:$I$11)
 + (IF(J1242="",0,J1242)
    * _xlfn.XLOOKUP(B1242, Dim_Hotel!$A$2:$A$11, Dim_Hotel!$J$2:$J$11))</f>
        <v>260</v>
      </c>
    </row>
    <row r="1243" spans="1:13" x14ac:dyDescent="0.25">
      <c r="A1243" s="1">
        <f t="shared" si="152"/>
        <v>46147</v>
      </c>
      <c r="B1243" t="str" cm="1">
        <f t="array" ref="B1243">INDEX(HotelList,MOD(ROW()-2,10)+1)</f>
        <v>H002</v>
      </c>
      <c r="C1243">
        <f>_xlfn.XLOOKUP(B1243,Dim_Hotel!$A$2:$A$11,Dim_Hotel!$F$2:$F$11)</f>
        <v>147</v>
      </c>
      <c r="D1243">
        <f t="shared" si="153"/>
        <v>81</v>
      </c>
      <c r="E1243">
        <f t="shared" si="154"/>
        <v>0.55102040816326525</v>
      </c>
      <c r="F1243">
        <f t="shared" si="155"/>
        <v>175</v>
      </c>
      <c r="G1243">
        <f t="shared" si="156"/>
        <v>96.428571428571416</v>
      </c>
      <c r="H1243" t="str">
        <f>_xlfn.XLOOKUP(A1243,Fact_Events!$D$2:$D$20,Fact_Events!$A$2:$A$20, "")</f>
        <v/>
      </c>
      <c r="I1243">
        <f t="shared" si="157"/>
        <v>0</v>
      </c>
      <c r="J1243" t="str">
        <f>_xlfn.XLOOKUP(H1243, Fact_Events!$A$2:$A$20, Fact_Events!$F$2:$F$20, "")</f>
        <v/>
      </c>
      <c r="K1243" t="str">
        <f t="shared" si="158"/>
        <v>Low</v>
      </c>
      <c r="L1243">
        <f t="shared" si="159"/>
        <v>0.55000000000000004</v>
      </c>
      <c r="M1243">
        <f>_xlfn.XLOOKUP(B1243, Dim_Hotel!$A$2:$A$11, Dim_Hotel!$I$2:$I$11)
 + (IF(J1243="",0,J1243)
    * _xlfn.XLOOKUP(B1243, Dim_Hotel!$A$2:$A$11, Dim_Hotel!$J$2:$J$11))</f>
        <v>175</v>
      </c>
    </row>
    <row r="1244" spans="1:13" x14ac:dyDescent="0.25">
      <c r="A1244" s="1">
        <f t="shared" si="152"/>
        <v>46147</v>
      </c>
      <c r="B1244" t="str" cm="1">
        <f t="array" ref="B1244">INDEX(HotelList,MOD(ROW()-2,10)+1)</f>
        <v>H003</v>
      </c>
      <c r="C1244">
        <f>_xlfn.XLOOKUP(B1244,Dim_Hotel!$A$2:$A$11,Dim_Hotel!$F$2:$F$11)</f>
        <v>121</v>
      </c>
      <c r="D1244">
        <f t="shared" si="153"/>
        <v>67</v>
      </c>
      <c r="E1244">
        <f t="shared" si="154"/>
        <v>0.55371900826446285</v>
      </c>
      <c r="F1244">
        <f t="shared" si="155"/>
        <v>145</v>
      </c>
      <c r="G1244">
        <f t="shared" si="156"/>
        <v>80.289256198347118</v>
      </c>
      <c r="H1244" t="str">
        <f>_xlfn.XLOOKUP(A1244,Fact_Events!$D$2:$D$20,Fact_Events!$A$2:$A$20, "")</f>
        <v/>
      </c>
      <c r="I1244">
        <f t="shared" si="157"/>
        <v>0</v>
      </c>
      <c r="J1244" t="str">
        <f>_xlfn.XLOOKUP(H1244, Fact_Events!$A$2:$A$20, Fact_Events!$F$2:$F$20, "")</f>
        <v/>
      </c>
      <c r="K1244" t="str">
        <f t="shared" si="158"/>
        <v>Low</v>
      </c>
      <c r="L1244">
        <f t="shared" si="159"/>
        <v>0.55000000000000004</v>
      </c>
      <c r="M1244">
        <f>_xlfn.XLOOKUP(B1244, Dim_Hotel!$A$2:$A$11, Dim_Hotel!$I$2:$I$11)
 + (IF(J1244="",0,J1244)
    * _xlfn.XLOOKUP(B1244, Dim_Hotel!$A$2:$A$11, Dim_Hotel!$J$2:$J$11))</f>
        <v>145</v>
      </c>
    </row>
    <row r="1245" spans="1:13" x14ac:dyDescent="0.25">
      <c r="A1245" s="1">
        <f t="shared" si="152"/>
        <v>46147</v>
      </c>
      <c r="B1245" t="str" cm="1">
        <f t="array" ref="B1245">INDEX(HotelList,MOD(ROW()-2,10)+1)</f>
        <v>H004</v>
      </c>
      <c r="C1245">
        <f>_xlfn.XLOOKUP(B1245,Dim_Hotel!$A$2:$A$11,Dim_Hotel!$F$2:$F$11)</f>
        <v>108</v>
      </c>
      <c r="D1245">
        <f t="shared" si="153"/>
        <v>59</v>
      </c>
      <c r="E1245">
        <f t="shared" si="154"/>
        <v>0.54629629629629628</v>
      </c>
      <c r="F1245">
        <f t="shared" si="155"/>
        <v>135</v>
      </c>
      <c r="G1245">
        <f t="shared" si="156"/>
        <v>73.75</v>
      </c>
      <c r="H1245" t="str">
        <f>_xlfn.XLOOKUP(A1245,Fact_Events!$D$2:$D$20,Fact_Events!$A$2:$A$20, "")</f>
        <v/>
      </c>
      <c r="I1245">
        <f t="shared" si="157"/>
        <v>0</v>
      </c>
      <c r="J1245" t="str">
        <f>_xlfn.XLOOKUP(H1245, Fact_Events!$A$2:$A$20, Fact_Events!$F$2:$F$20, "")</f>
        <v/>
      </c>
      <c r="K1245" t="str">
        <f t="shared" si="158"/>
        <v>Low</v>
      </c>
      <c r="L1245">
        <f t="shared" si="159"/>
        <v>0.55000000000000004</v>
      </c>
      <c r="M1245">
        <f>_xlfn.XLOOKUP(B1245, Dim_Hotel!$A$2:$A$11, Dim_Hotel!$I$2:$I$11)
 + (IF(J1245="",0,J1245)
    * _xlfn.XLOOKUP(B1245, Dim_Hotel!$A$2:$A$11, Dim_Hotel!$J$2:$J$11))</f>
        <v>135</v>
      </c>
    </row>
    <row r="1246" spans="1:13" x14ac:dyDescent="0.25">
      <c r="A1246" s="1">
        <f t="shared" si="152"/>
        <v>46147</v>
      </c>
      <c r="B1246" t="str" cm="1">
        <f t="array" ref="B1246">INDEX(HotelList,MOD(ROW()-2,10)+1)</f>
        <v>H005</v>
      </c>
      <c r="C1246">
        <f>_xlfn.XLOOKUP(B1246,Dim_Hotel!$A$2:$A$11,Dim_Hotel!$F$2:$F$11)</f>
        <v>66</v>
      </c>
      <c r="D1246">
        <f t="shared" si="153"/>
        <v>36</v>
      </c>
      <c r="E1246">
        <f t="shared" si="154"/>
        <v>0.54545454545454541</v>
      </c>
      <c r="F1246">
        <f t="shared" si="155"/>
        <v>82</v>
      </c>
      <c r="G1246">
        <f t="shared" si="156"/>
        <v>44.727272727272727</v>
      </c>
      <c r="H1246" t="str">
        <f>_xlfn.XLOOKUP(A1246,Fact_Events!$D$2:$D$20,Fact_Events!$A$2:$A$20, "")</f>
        <v/>
      </c>
      <c r="I1246">
        <f t="shared" si="157"/>
        <v>0</v>
      </c>
      <c r="J1246" t="str">
        <f>_xlfn.XLOOKUP(H1246, Fact_Events!$A$2:$A$20, Fact_Events!$F$2:$F$20, "")</f>
        <v/>
      </c>
      <c r="K1246" t="str">
        <f t="shared" si="158"/>
        <v>Low</v>
      </c>
      <c r="L1246">
        <f t="shared" si="159"/>
        <v>0.55000000000000004</v>
      </c>
      <c r="M1246">
        <f>_xlfn.XLOOKUP(B1246, Dim_Hotel!$A$2:$A$11, Dim_Hotel!$I$2:$I$11)
 + (IF(J1246="",0,J1246)
    * _xlfn.XLOOKUP(B1246, Dim_Hotel!$A$2:$A$11, Dim_Hotel!$J$2:$J$11))</f>
        <v>82</v>
      </c>
    </row>
    <row r="1247" spans="1:13" x14ac:dyDescent="0.25">
      <c r="A1247" s="1">
        <f t="shared" si="152"/>
        <v>46147</v>
      </c>
      <c r="B1247" t="str" cm="1">
        <f t="array" ref="B1247">INDEX(HotelList,MOD(ROW()-2,10)+1)</f>
        <v>H006</v>
      </c>
      <c r="C1247">
        <f>_xlfn.XLOOKUP(B1247,Dim_Hotel!$A$2:$A$11,Dim_Hotel!$F$2:$F$11)</f>
        <v>311</v>
      </c>
      <c r="D1247">
        <f t="shared" si="153"/>
        <v>171</v>
      </c>
      <c r="E1247">
        <f t="shared" si="154"/>
        <v>0.54983922829581988</v>
      </c>
      <c r="F1247">
        <f t="shared" si="155"/>
        <v>190</v>
      </c>
      <c r="G1247">
        <f t="shared" si="156"/>
        <v>104.46945337620578</v>
      </c>
      <c r="H1247" t="str">
        <f>_xlfn.XLOOKUP(A1247,Fact_Events!$D$2:$D$20,Fact_Events!$A$2:$A$20, "")</f>
        <v/>
      </c>
      <c r="I1247">
        <f t="shared" si="157"/>
        <v>0</v>
      </c>
      <c r="J1247" t="str">
        <f>_xlfn.XLOOKUP(H1247, Fact_Events!$A$2:$A$20, Fact_Events!$F$2:$F$20, "")</f>
        <v/>
      </c>
      <c r="K1247" t="str">
        <f t="shared" si="158"/>
        <v>Low</v>
      </c>
      <c r="L1247">
        <f t="shared" si="159"/>
        <v>0.55000000000000004</v>
      </c>
      <c r="M1247">
        <f>_xlfn.XLOOKUP(B1247, Dim_Hotel!$A$2:$A$11, Dim_Hotel!$I$2:$I$11)
 + (IF(J1247="",0,J1247)
    * _xlfn.XLOOKUP(B1247, Dim_Hotel!$A$2:$A$11, Dim_Hotel!$J$2:$J$11))</f>
        <v>190</v>
      </c>
    </row>
    <row r="1248" spans="1:13" x14ac:dyDescent="0.25">
      <c r="A1248" s="1">
        <f t="shared" si="152"/>
        <v>46147</v>
      </c>
      <c r="B1248" t="str" cm="1">
        <f t="array" ref="B1248">INDEX(HotelList,MOD(ROW()-2,10)+1)</f>
        <v>H007</v>
      </c>
      <c r="C1248">
        <f>_xlfn.XLOOKUP(B1248,Dim_Hotel!$A$2:$A$11,Dim_Hotel!$F$2:$F$11)</f>
        <v>132</v>
      </c>
      <c r="D1248">
        <f t="shared" si="153"/>
        <v>73</v>
      </c>
      <c r="E1248">
        <f t="shared" si="154"/>
        <v>0.55303030303030298</v>
      </c>
      <c r="F1248">
        <f t="shared" si="155"/>
        <v>165</v>
      </c>
      <c r="G1248">
        <f t="shared" si="156"/>
        <v>91.249999999999986</v>
      </c>
      <c r="H1248" t="str">
        <f>_xlfn.XLOOKUP(A1248,Fact_Events!$D$2:$D$20,Fact_Events!$A$2:$A$20, "")</f>
        <v/>
      </c>
      <c r="I1248">
        <f t="shared" si="157"/>
        <v>0</v>
      </c>
      <c r="J1248" t="str">
        <f>_xlfn.XLOOKUP(H1248, Fact_Events!$A$2:$A$20, Fact_Events!$F$2:$F$20, "")</f>
        <v/>
      </c>
      <c r="K1248" t="str">
        <f t="shared" si="158"/>
        <v>Low</v>
      </c>
      <c r="L1248">
        <f t="shared" si="159"/>
        <v>0.55000000000000004</v>
      </c>
      <c r="M1248">
        <f>_xlfn.XLOOKUP(B1248, Dim_Hotel!$A$2:$A$11, Dim_Hotel!$I$2:$I$11)
 + (IF(J1248="",0,J1248)
    * _xlfn.XLOOKUP(B1248, Dim_Hotel!$A$2:$A$11, Dim_Hotel!$J$2:$J$11))</f>
        <v>165</v>
      </c>
    </row>
    <row r="1249" spans="1:13" x14ac:dyDescent="0.25">
      <c r="A1249" s="1">
        <f t="shared" si="152"/>
        <v>46147</v>
      </c>
      <c r="B1249" t="str" cm="1">
        <f t="array" ref="B1249">INDEX(HotelList,MOD(ROW()-2,10)+1)</f>
        <v>H008</v>
      </c>
      <c r="C1249">
        <f>_xlfn.XLOOKUP(B1249,Dim_Hotel!$A$2:$A$11,Dim_Hotel!$F$2:$F$11)</f>
        <v>103</v>
      </c>
      <c r="D1249">
        <f t="shared" si="153"/>
        <v>57</v>
      </c>
      <c r="E1249">
        <f t="shared" si="154"/>
        <v>0.55339805825242716</v>
      </c>
      <c r="F1249">
        <f t="shared" si="155"/>
        <v>140</v>
      </c>
      <c r="G1249">
        <f t="shared" si="156"/>
        <v>77.475728155339809</v>
      </c>
      <c r="H1249" t="str">
        <f>_xlfn.XLOOKUP(A1249,Fact_Events!$D$2:$D$20,Fact_Events!$A$2:$A$20, "")</f>
        <v/>
      </c>
      <c r="I1249">
        <f t="shared" si="157"/>
        <v>0</v>
      </c>
      <c r="J1249" t="str">
        <f>_xlfn.XLOOKUP(H1249, Fact_Events!$A$2:$A$20, Fact_Events!$F$2:$F$20, "")</f>
        <v/>
      </c>
      <c r="K1249" t="str">
        <f t="shared" si="158"/>
        <v>Low</v>
      </c>
      <c r="L1249">
        <f t="shared" si="159"/>
        <v>0.55000000000000004</v>
      </c>
      <c r="M1249">
        <f>_xlfn.XLOOKUP(B1249, Dim_Hotel!$A$2:$A$11, Dim_Hotel!$I$2:$I$11)
 + (IF(J1249="",0,J1249)
    * _xlfn.XLOOKUP(B1249, Dim_Hotel!$A$2:$A$11, Dim_Hotel!$J$2:$J$11))</f>
        <v>140</v>
      </c>
    </row>
    <row r="1250" spans="1:13" x14ac:dyDescent="0.25">
      <c r="A1250" s="1">
        <f t="shared" si="152"/>
        <v>46147</v>
      </c>
      <c r="B1250" t="str" cm="1">
        <f t="array" ref="B1250">INDEX(HotelList,MOD(ROW()-2,10)+1)</f>
        <v>H009</v>
      </c>
      <c r="C1250">
        <f>_xlfn.XLOOKUP(B1250,Dim_Hotel!$A$2:$A$11,Dim_Hotel!$F$2:$F$11)</f>
        <v>114</v>
      </c>
      <c r="D1250">
        <f t="shared" si="153"/>
        <v>63</v>
      </c>
      <c r="E1250">
        <f t="shared" si="154"/>
        <v>0.55263157894736847</v>
      </c>
      <c r="F1250">
        <f t="shared" si="155"/>
        <v>185</v>
      </c>
      <c r="G1250">
        <f t="shared" si="156"/>
        <v>102.23684210526316</v>
      </c>
      <c r="H1250" t="str">
        <f>_xlfn.XLOOKUP(A1250,Fact_Events!$D$2:$D$20,Fact_Events!$A$2:$A$20, "")</f>
        <v/>
      </c>
      <c r="I1250">
        <f t="shared" si="157"/>
        <v>0</v>
      </c>
      <c r="J1250" t="str">
        <f>_xlfn.XLOOKUP(H1250, Fact_Events!$A$2:$A$20, Fact_Events!$F$2:$F$20, "")</f>
        <v/>
      </c>
      <c r="K1250" t="str">
        <f t="shared" si="158"/>
        <v>Low</v>
      </c>
      <c r="L1250">
        <f t="shared" si="159"/>
        <v>0.55000000000000004</v>
      </c>
      <c r="M1250">
        <f>_xlfn.XLOOKUP(B1250, Dim_Hotel!$A$2:$A$11, Dim_Hotel!$I$2:$I$11)
 + (IF(J1250="",0,J1250)
    * _xlfn.XLOOKUP(B1250, Dim_Hotel!$A$2:$A$11, Dim_Hotel!$J$2:$J$11))</f>
        <v>185</v>
      </c>
    </row>
    <row r="1251" spans="1:13" x14ac:dyDescent="0.25">
      <c r="A1251" s="1">
        <f t="shared" si="152"/>
        <v>46147</v>
      </c>
      <c r="B1251" t="str" cm="1">
        <f t="array" ref="B1251">INDEX(HotelList,MOD(ROW()-2,10)+1)</f>
        <v>H010</v>
      </c>
      <c r="C1251">
        <f>_xlfn.XLOOKUP(B1251,Dim_Hotel!$A$2:$A$11,Dim_Hotel!$F$2:$F$11)</f>
        <v>89</v>
      </c>
      <c r="D1251">
        <f t="shared" si="153"/>
        <v>49</v>
      </c>
      <c r="E1251">
        <f t="shared" si="154"/>
        <v>0.550561797752809</v>
      </c>
      <c r="F1251">
        <f t="shared" si="155"/>
        <v>150</v>
      </c>
      <c r="G1251">
        <f t="shared" si="156"/>
        <v>82.584269662921344</v>
      </c>
      <c r="H1251" t="str">
        <f>_xlfn.XLOOKUP(A1251,Fact_Events!$D$2:$D$20,Fact_Events!$A$2:$A$20, "")</f>
        <v/>
      </c>
      <c r="I1251">
        <f t="shared" si="157"/>
        <v>0</v>
      </c>
      <c r="J1251" t="str">
        <f>_xlfn.XLOOKUP(H1251, Fact_Events!$A$2:$A$20, Fact_Events!$F$2:$F$20, "")</f>
        <v/>
      </c>
      <c r="K1251" t="str">
        <f t="shared" si="158"/>
        <v>Low</v>
      </c>
      <c r="L1251">
        <f t="shared" si="159"/>
        <v>0.55000000000000004</v>
      </c>
      <c r="M1251">
        <f>_xlfn.XLOOKUP(B1251, Dim_Hotel!$A$2:$A$11, Dim_Hotel!$I$2:$I$11)
 + (IF(J1251="",0,J1251)
    * _xlfn.XLOOKUP(B1251, Dim_Hotel!$A$2:$A$11, Dim_Hotel!$J$2:$J$11))</f>
        <v>150</v>
      </c>
    </row>
    <row r="1252" spans="1:13" x14ac:dyDescent="0.25">
      <c r="A1252" s="1">
        <f t="shared" si="152"/>
        <v>46148</v>
      </c>
      <c r="B1252" t="str" cm="1">
        <f t="array" ref="B1252">INDEX(HotelList,MOD(ROW()-2,10)+1)</f>
        <v>H001</v>
      </c>
      <c r="C1252">
        <f>_xlfn.XLOOKUP(B1252,Dim_Hotel!$A$2:$A$11,Dim_Hotel!$F$2:$F$11)</f>
        <v>888</v>
      </c>
      <c r="D1252">
        <f t="shared" si="153"/>
        <v>488</v>
      </c>
      <c r="E1252">
        <f t="shared" si="154"/>
        <v>0.5495495495495496</v>
      </c>
      <c r="F1252">
        <f t="shared" si="155"/>
        <v>260</v>
      </c>
      <c r="G1252">
        <f t="shared" si="156"/>
        <v>142.88288288288288</v>
      </c>
      <c r="H1252" t="str">
        <f>_xlfn.XLOOKUP(A1252,Fact_Events!$D$2:$D$20,Fact_Events!$A$2:$A$20, "")</f>
        <v/>
      </c>
      <c r="I1252">
        <f t="shared" si="157"/>
        <v>0</v>
      </c>
      <c r="J1252" t="str">
        <f>_xlfn.XLOOKUP(H1252, Fact_Events!$A$2:$A$20, Fact_Events!$F$2:$F$20, "")</f>
        <v/>
      </c>
      <c r="K1252" t="str">
        <f t="shared" si="158"/>
        <v>Low</v>
      </c>
      <c r="L1252">
        <f t="shared" si="159"/>
        <v>0.55000000000000004</v>
      </c>
      <c r="M1252">
        <f>_xlfn.XLOOKUP(B1252, Dim_Hotel!$A$2:$A$11, Dim_Hotel!$I$2:$I$11)
 + (IF(J1252="",0,J1252)
    * _xlfn.XLOOKUP(B1252, Dim_Hotel!$A$2:$A$11, Dim_Hotel!$J$2:$J$11))</f>
        <v>260</v>
      </c>
    </row>
    <row r="1253" spans="1:13" x14ac:dyDescent="0.25">
      <c r="A1253" s="1">
        <f t="shared" si="152"/>
        <v>46148</v>
      </c>
      <c r="B1253" t="str" cm="1">
        <f t="array" ref="B1253">INDEX(HotelList,MOD(ROW()-2,10)+1)</f>
        <v>H002</v>
      </c>
      <c r="C1253">
        <f>_xlfn.XLOOKUP(B1253,Dim_Hotel!$A$2:$A$11,Dim_Hotel!$F$2:$F$11)</f>
        <v>147</v>
      </c>
      <c r="D1253">
        <f t="shared" si="153"/>
        <v>81</v>
      </c>
      <c r="E1253">
        <f t="shared" si="154"/>
        <v>0.55102040816326525</v>
      </c>
      <c r="F1253">
        <f t="shared" si="155"/>
        <v>175</v>
      </c>
      <c r="G1253">
        <f t="shared" si="156"/>
        <v>96.428571428571416</v>
      </c>
      <c r="H1253" t="str">
        <f>_xlfn.XLOOKUP(A1253,Fact_Events!$D$2:$D$20,Fact_Events!$A$2:$A$20, "")</f>
        <v/>
      </c>
      <c r="I1253">
        <f t="shared" si="157"/>
        <v>0</v>
      </c>
      <c r="J1253" t="str">
        <f>_xlfn.XLOOKUP(H1253, Fact_Events!$A$2:$A$20, Fact_Events!$F$2:$F$20, "")</f>
        <v/>
      </c>
      <c r="K1253" t="str">
        <f t="shared" si="158"/>
        <v>Low</v>
      </c>
      <c r="L1253">
        <f t="shared" si="159"/>
        <v>0.55000000000000004</v>
      </c>
      <c r="M1253">
        <f>_xlfn.XLOOKUP(B1253, Dim_Hotel!$A$2:$A$11, Dim_Hotel!$I$2:$I$11)
 + (IF(J1253="",0,J1253)
    * _xlfn.XLOOKUP(B1253, Dim_Hotel!$A$2:$A$11, Dim_Hotel!$J$2:$J$11))</f>
        <v>175</v>
      </c>
    </row>
    <row r="1254" spans="1:13" x14ac:dyDescent="0.25">
      <c r="A1254" s="1">
        <f t="shared" si="152"/>
        <v>46148</v>
      </c>
      <c r="B1254" t="str" cm="1">
        <f t="array" ref="B1254">INDEX(HotelList,MOD(ROW()-2,10)+1)</f>
        <v>H003</v>
      </c>
      <c r="C1254">
        <f>_xlfn.XLOOKUP(B1254,Dim_Hotel!$A$2:$A$11,Dim_Hotel!$F$2:$F$11)</f>
        <v>121</v>
      </c>
      <c r="D1254">
        <f t="shared" si="153"/>
        <v>67</v>
      </c>
      <c r="E1254">
        <f t="shared" si="154"/>
        <v>0.55371900826446285</v>
      </c>
      <c r="F1254">
        <f t="shared" si="155"/>
        <v>145</v>
      </c>
      <c r="G1254">
        <f t="shared" si="156"/>
        <v>80.289256198347118</v>
      </c>
      <c r="H1254" t="str">
        <f>_xlfn.XLOOKUP(A1254,Fact_Events!$D$2:$D$20,Fact_Events!$A$2:$A$20, "")</f>
        <v/>
      </c>
      <c r="I1254">
        <f t="shared" si="157"/>
        <v>0</v>
      </c>
      <c r="J1254" t="str">
        <f>_xlfn.XLOOKUP(H1254, Fact_Events!$A$2:$A$20, Fact_Events!$F$2:$F$20, "")</f>
        <v/>
      </c>
      <c r="K1254" t="str">
        <f t="shared" si="158"/>
        <v>Low</v>
      </c>
      <c r="L1254">
        <f t="shared" si="159"/>
        <v>0.55000000000000004</v>
      </c>
      <c r="M1254">
        <f>_xlfn.XLOOKUP(B1254, Dim_Hotel!$A$2:$A$11, Dim_Hotel!$I$2:$I$11)
 + (IF(J1254="",0,J1254)
    * _xlfn.XLOOKUP(B1254, Dim_Hotel!$A$2:$A$11, Dim_Hotel!$J$2:$J$11))</f>
        <v>145</v>
      </c>
    </row>
    <row r="1255" spans="1:13" x14ac:dyDescent="0.25">
      <c r="A1255" s="1">
        <f t="shared" si="152"/>
        <v>46148</v>
      </c>
      <c r="B1255" t="str" cm="1">
        <f t="array" ref="B1255">INDEX(HotelList,MOD(ROW()-2,10)+1)</f>
        <v>H004</v>
      </c>
      <c r="C1255">
        <f>_xlfn.XLOOKUP(B1255,Dim_Hotel!$A$2:$A$11,Dim_Hotel!$F$2:$F$11)</f>
        <v>108</v>
      </c>
      <c r="D1255">
        <f t="shared" si="153"/>
        <v>59</v>
      </c>
      <c r="E1255">
        <f t="shared" si="154"/>
        <v>0.54629629629629628</v>
      </c>
      <c r="F1255">
        <f t="shared" si="155"/>
        <v>135</v>
      </c>
      <c r="G1255">
        <f t="shared" si="156"/>
        <v>73.75</v>
      </c>
      <c r="H1255" t="str">
        <f>_xlfn.XLOOKUP(A1255,Fact_Events!$D$2:$D$20,Fact_Events!$A$2:$A$20, "")</f>
        <v/>
      </c>
      <c r="I1255">
        <f t="shared" si="157"/>
        <v>0</v>
      </c>
      <c r="J1255" t="str">
        <f>_xlfn.XLOOKUP(H1255, Fact_Events!$A$2:$A$20, Fact_Events!$F$2:$F$20, "")</f>
        <v/>
      </c>
      <c r="K1255" t="str">
        <f t="shared" si="158"/>
        <v>Low</v>
      </c>
      <c r="L1255">
        <f t="shared" si="159"/>
        <v>0.55000000000000004</v>
      </c>
      <c r="M1255">
        <f>_xlfn.XLOOKUP(B1255, Dim_Hotel!$A$2:$A$11, Dim_Hotel!$I$2:$I$11)
 + (IF(J1255="",0,J1255)
    * _xlfn.XLOOKUP(B1255, Dim_Hotel!$A$2:$A$11, Dim_Hotel!$J$2:$J$11))</f>
        <v>135</v>
      </c>
    </row>
    <row r="1256" spans="1:13" x14ac:dyDescent="0.25">
      <c r="A1256" s="1">
        <f t="shared" si="152"/>
        <v>46148</v>
      </c>
      <c r="B1256" t="str" cm="1">
        <f t="array" ref="B1256">INDEX(HotelList,MOD(ROW()-2,10)+1)</f>
        <v>H005</v>
      </c>
      <c r="C1256">
        <f>_xlfn.XLOOKUP(B1256,Dim_Hotel!$A$2:$A$11,Dim_Hotel!$F$2:$F$11)</f>
        <v>66</v>
      </c>
      <c r="D1256">
        <f t="shared" si="153"/>
        <v>36</v>
      </c>
      <c r="E1256">
        <f t="shared" si="154"/>
        <v>0.54545454545454541</v>
      </c>
      <c r="F1256">
        <f t="shared" si="155"/>
        <v>82</v>
      </c>
      <c r="G1256">
        <f t="shared" si="156"/>
        <v>44.727272727272727</v>
      </c>
      <c r="H1256" t="str">
        <f>_xlfn.XLOOKUP(A1256,Fact_Events!$D$2:$D$20,Fact_Events!$A$2:$A$20, "")</f>
        <v/>
      </c>
      <c r="I1256">
        <f t="shared" si="157"/>
        <v>0</v>
      </c>
      <c r="J1256" t="str">
        <f>_xlfn.XLOOKUP(H1256, Fact_Events!$A$2:$A$20, Fact_Events!$F$2:$F$20, "")</f>
        <v/>
      </c>
      <c r="K1256" t="str">
        <f t="shared" si="158"/>
        <v>Low</v>
      </c>
      <c r="L1256">
        <f t="shared" si="159"/>
        <v>0.55000000000000004</v>
      </c>
      <c r="M1256">
        <f>_xlfn.XLOOKUP(B1256, Dim_Hotel!$A$2:$A$11, Dim_Hotel!$I$2:$I$11)
 + (IF(J1256="",0,J1256)
    * _xlfn.XLOOKUP(B1256, Dim_Hotel!$A$2:$A$11, Dim_Hotel!$J$2:$J$11))</f>
        <v>82</v>
      </c>
    </row>
    <row r="1257" spans="1:13" x14ac:dyDescent="0.25">
      <c r="A1257" s="1">
        <f t="shared" si="152"/>
        <v>46148</v>
      </c>
      <c r="B1257" t="str" cm="1">
        <f t="array" ref="B1257">INDEX(HotelList,MOD(ROW()-2,10)+1)</f>
        <v>H006</v>
      </c>
      <c r="C1257">
        <f>_xlfn.XLOOKUP(B1257,Dim_Hotel!$A$2:$A$11,Dim_Hotel!$F$2:$F$11)</f>
        <v>311</v>
      </c>
      <c r="D1257">
        <f t="shared" si="153"/>
        <v>171</v>
      </c>
      <c r="E1257">
        <f t="shared" si="154"/>
        <v>0.54983922829581988</v>
      </c>
      <c r="F1257">
        <f t="shared" si="155"/>
        <v>190</v>
      </c>
      <c r="G1257">
        <f t="shared" si="156"/>
        <v>104.46945337620578</v>
      </c>
      <c r="H1257" t="str">
        <f>_xlfn.XLOOKUP(A1257,Fact_Events!$D$2:$D$20,Fact_Events!$A$2:$A$20, "")</f>
        <v/>
      </c>
      <c r="I1257">
        <f t="shared" si="157"/>
        <v>0</v>
      </c>
      <c r="J1257" t="str">
        <f>_xlfn.XLOOKUP(H1257, Fact_Events!$A$2:$A$20, Fact_Events!$F$2:$F$20, "")</f>
        <v/>
      </c>
      <c r="K1257" t="str">
        <f t="shared" si="158"/>
        <v>Low</v>
      </c>
      <c r="L1257">
        <f t="shared" si="159"/>
        <v>0.55000000000000004</v>
      </c>
      <c r="M1257">
        <f>_xlfn.XLOOKUP(B1257, Dim_Hotel!$A$2:$A$11, Dim_Hotel!$I$2:$I$11)
 + (IF(J1257="",0,J1257)
    * _xlfn.XLOOKUP(B1257, Dim_Hotel!$A$2:$A$11, Dim_Hotel!$J$2:$J$11))</f>
        <v>190</v>
      </c>
    </row>
    <row r="1258" spans="1:13" x14ac:dyDescent="0.25">
      <c r="A1258" s="1">
        <f t="shared" si="152"/>
        <v>46148</v>
      </c>
      <c r="B1258" t="str" cm="1">
        <f t="array" ref="B1258">INDEX(HotelList,MOD(ROW()-2,10)+1)</f>
        <v>H007</v>
      </c>
      <c r="C1258">
        <f>_xlfn.XLOOKUP(B1258,Dim_Hotel!$A$2:$A$11,Dim_Hotel!$F$2:$F$11)</f>
        <v>132</v>
      </c>
      <c r="D1258">
        <f t="shared" si="153"/>
        <v>73</v>
      </c>
      <c r="E1258">
        <f t="shared" si="154"/>
        <v>0.55303030303030298</v>
      </c>
      <c r="F1258">
        <f t="shared" si="155"/>
        <v>165</v>
      </c>
      <c r="G1258">
        <f t="shared" si="156"/>
        <v>91.249999999999986</v>
      </c>
      <c r="H1258" t="str">
        <f>_xlfn.XLOOKUP(A1258,Fact_Events!$D$2:$D$20,Fact_Events!$A$2:$A$20, "")</f>
        <v/>
      </c>
      <c r="I1258">
        <f t="shared" si="157"/>
        <v>0</v>
      </c>
      <c r="J1258" t="str">
        <f>_xlfn.XLOOKUP(H1258, Fact_Events!$A$2:$A$20, Fact_Events!$F$2:$F$20, "")</f>
        <v/>
      </c>
      <c r="K1258" t="str">
        <f t="shared" si="158"/>
        <v>Low</v>
      </c>
      <c r="L1258">
        <f t="shared" si="159"/>
        <v>0.55000000000000004</v>
      </c>
      <c r="M1258">
        <f>_xlfn.XLOOKUP(B1258, Dim_Hotel!$A$2:$A$11, Dim_Hotel!$I$2:$I$11)
 + (IF(J1258="",0,J1258)
    * _xlfn.XLOOKUP(B1258, Dim_Hotel!$A$2:$A$11, Dim_Hotel!$J$2:$J$11))</f>
        <v>165</v>
      </c>
    </row>
    <row r="1259" spans="1:13" x14ac:dyDescent="0.25">
      <c r="A1259" s="1">
        <f t="shared" si="152"/>
        <v>46148</v>
      </c>
      <c r="B1259" t="str" cm="1">
        <f t="array" ref="B1259">INDEX(HotelList,MOD(ROW()-2,10)+1)</f>
        <v>H008</v>
      </c>
      <c r="C1259">
        <f>_xlfn.XLOOKUP(B1259,Dim_Hotel!$A$2:$A$11,Dim_Hotel!$F$2:$F$11)</f>
        <v>103</v>
      </c>
      <c r="D1259">
        <f t="shared" si="153"/>
        <v>57</v>
      </c>
      <c r="E1259">
        <f t="shared" si="154"/>
        <v>0.55339805825242716</v>
      </c>
      <c r="F1259">
        <f t="shared" si="155"/>
        <v>140</v>
      </c>
      <c r="G1259">
        <f t="shared" si="156"/>
        <v>77.475728155339809</v>
      </c>
      <c r="H1259" t="str">
        <f>_xlfn.XLOOKUP(A1259,Fact_Events!$D$2:$D$20,Fact_Events!$A$2:$A$20, "")</f>
        <v/>
      </c>
      <c r="I1259">
        <f t="shared" si="157"/>
        <v>0</v>
      </c>
      <c r="J1259" t="str">
        <f>_xlfn.XLOOKUP(H1259, Fact_Events!$A$2:$A$20, Fact_Events!$F$2:$F$20, "")</f>
        <v/>
      </c>
      <c r="K1259" t="str">
        <f t="shared" si="158"/>
        <v>Low</v>
      </c>
      <c r="L1259">
        <f t="shared" si="159"/>
        <v>0.55000000000000004</v>
      </c>
      <c r="M1259">
        <f>_xlfn.XLOOKUP(B1259, Dim_Hotel!$A$2:$A$11, Dim_Hotel!$I$2:$I$11)
 + (IF(J1259="",0,J1259)
    * _xlfn.XLOOKUP(B1259, Dim_Hotel!$A$2:$A$11, Dim_Hotel!$J$2:$J$11))</f>
        <v>140</v>
      </c>
    </row>
    <row r="1260" spans="1:13" x14ac:dyDescent="0.25">
      <c r="A1260" s="1">
        <f t="shared" si="152"/>
        <v>46148</v>
      </c>
      <c r="B1260" t="str" cm="1">
        <f t="array" ref="B1260">INDEX(HotelList,MOD(ROW()-2,10)+1)</f>
        <v>H009</v>
      </c>
      <c r="C1260">
        <f>_xlfn.XLOOKUP(B1260,Dim_Hotel!$A$2:$A$11,Dim_Hotel!$F$2:$F$11)</f>
        <v>114</v>
      </c>
      <c r="D1260">
        <f t="shared" si="153"/>
        <v>63</v>
      </c>
      <c r="E1260">
        <f t="shared" si="154"/>
        <v>0.55263157894736847</v>
      </c>
      <c r="F1260">
        <f t="shared" si="155"/>
        <v>185</v>
      </c>
      <c r="G1260">
        <f t="shared" si="156"/>
        <v>102.23684210526316</v>
      </c>
      <c r="H1260" t="str">
        <f>_xlfn.XLOOKUP(A1260,Fact_Events!$D$2:$D$20,Fact_Events!$A$2:$A$20, "")</f>
        <v/>
      </c>
      <c r="I1260">
        <f t="shared" si="157"/>
        <v>0</v>
      </c>
      <c r="J1260" t="str">
        <f>_xlfn.XLOOKUP(H1260, Fact_Events!$A$2:$A$20, Fact_Events!$F$2:$F$20, "")</f>
        <v/>
      </c>
      <c r="K1260" t="str">
        <f t="shared" si="158"/>
        <v>Low</v>
      </c>
      <c r="L1260">
        <f t="shared" si="159"/>
        <v>0.55000000000000004</v>
      </c>
      <c r="M1260">
        <f>_xlfn.XLOOKUP(B1260, Dim_Hotel!$A$2:$A$11, Dim_Hotel!$I$2:$I$11)
 + (IF(J1260="",0,J1260)
    * _xlfn.XLOOKUP(B1260, Dim_Hotel!$A$2:$A$11, Dim_Hotel!$J$2:$J$11))</f>
        <v>185</v>
      </c>
    </row>
    <row r="1261" spans="1:13" x14ac:dyDescent="0.25">
      <c r="A1261" s="1">
        <f t="shared" si="152"/>
        <v>46148</v>
      </c>
      <c r="B1261" t="str" cm="1">
        <f t="array" ref="B1261">INDEX(HotelList,MOD(ROW()-2,10)+1)</f>
        <v>H010</v>
      </c>
      <c r="C1261">
        <f>_xlfn.XLOOKUP(B1261,Dim_Hotel!$A$2:$A$11,Dim_Hotel!$F$2:$F$11)</f>
        <v>89</v>
      </c>
      <c r="D1261">
        <f t="shared" si="153"/>
        <v>49</v>
      </c>
      <c r="E1261">
        <f t="shared" si="154"/>
        <v>0.550561797752809</v>
      </c>
      <c r="F1261">
        <f t="shared" si="155"/>
        <v>150</v>
      </c>
      <c r="G1261">
        <f t="shared" si="156"/>
        <v>82.584269662921344</v>
      </c>
      <c r="H1261" t="str">
        <f>_xlfn.XLOOKUP(A1261,Fact_Events!$D$2:$D$20,Fact_Events!$A$2:$A$20, "")</f>
        <v/>
      </c>
      <c r="I1261">
        <f t="shared" si="157"/>
        <v>0</v>
      </c>
      <c r="J1261" t="str">
        <f>_xlfn.XLOOKUP(H1261, Fact_Events!$A$2:$A$20, Fact_Events!$F$2:$F$20, "")</f>
        <v/>
      </c>
      <c r="K1261" t="str">
        <f t="shared" si="158"/>
        <v>Low</v>
      </c>
      <c r="L1261">
        <f t="shared" si="159"/>
        <v>0.55000000000000004</v>
      </c>
      <c r="M1261">
        <f>_xlfn.XLOOKUP(B1261, Dim_Hotel!$A$2:$A$11, Dim_Hotel!$I$2:$I$11)
 + (IF(J1261="",0,J1261)
    * _xlfn.XLOOKUP(B1261, Dim_Hotel!$A$2:$A$11, Dim_Hotel!$J$2:$J$11))</f>
        <v>150</v>
      </c>
    </row>
    <row r="1262" spans="1:13" x14ac:dyDescent="0.25">
      <c r="A1262" s="1">
        <f t="shared" si="152"/>
        <v>46149</v>
      </c>
      <c r="B1262" t="str" cm="1">
        <f t="array" ref="B1262">INDEX(HotelList,MOD(ROW()-2,10)+1)</f>
        <v>H001</v>
      </c>
      <c r="C1262">
        <f>_xlfn.XLOOKUP(B1262,Dim_Hotel!$A$2:$A$11,Dim_Hotel!$F$2:$F$11)</f>
        <v>888</v>
      </c>
      <c r="D1262">
        <f t="shared" si="153"/>
        <v>488</v>
      </c>
      <c r="E1262">
        <f t="shared" si="154"/>
        <v>0.5495495495495496</v>
      </c>
      <c r="F1262">
        <f t="shared" si="155"/>
        <v>260</v>
      </c>
      <c r="G1262">
        <f t="shared" si="156"/>
        <v>142.88288288288288</v>
      </c>
      <c r="H1262" t="str">
        <f>_xlfn.XLOOKUP(A1262,Fact_Events!$D$2:$D$20,Fact_Events!$A$2:$A$20, "")</f>
        <v/>
      </c>
      <c r="I1262">
        <f t="shared" si="157"/>
        <v>0</v>
      </c>
      <c r="J1262" t="str">
        <f>_xlfn.XLOOKUP(H1262, Fact_Events!$A$2:$A$20, Fact_Events!$F$2:$F$20, "")</f>
        <v/>
      </c>
      <c r="K1262" t="str">
        <f t="shared" si="158"/>
        <v>Low</v>
      </c>
      <c r="L1262">
        <f t="shared" si="159"/>
        <v>0.55000000000000004</v>
      </c>
      <c r="M1262">
        <f>_xlfn.XLOOKUP(B1262, Dim_Hotel!$A$2:$A$11, Dim_Hotel!$I$2:$I$11)
 + (IF(J1262="",0,J1262)
    * _xlfn.XLOOKUP(B1262, Dim_Hotel!$A$2:$A$11, Dim_Hotel!$J$2:$J$11))</f>
        <v>260</v>
      </c>
    </row>
    <row r="1263" spans="1:13" x14ac:dyDescent="0.25">
      <c r="A1263" s="1">
        <f t="shared" si="152"/>
        <v>46149</v>
      </c>
      <c r="B1263" t="str" cm="1">
        <f t="array" ref="B1263">INDEX(HotelList,MOD(ROW()-2,10)+1)</f>
        <v>H002</v>
      </c>
      <c r="C1263">
        <f>_xlfn.XLOOKUP(B1263,Dim_Hotel!$A$2:$A$11,Dim_Hotel!$F$2:$F$11)</f>
        <v>147</v>
      </c>
      <c r="D1263">
        <f t="shared" si="153"/>
        <v>81</v>
      </c>
      <c r="E1263">
        <f t="shared" si="154"/>
        <v>0.55102040816326525</v>
      </c>
      <c r="F1263">
        <f t="shared" si="155"/>
        <v>175</v>
      </c>
      <c r="G1263">
        <f t="shared" si="156"/>
        <v>96.428571428571416</v>
      </c>
      <c r="H1263" t="str">
        <f>_xlfn.XLOOKUP(A1263,Fact_Events!$D$2:$D$20,Fact_Events!$A$2:$A$20, "")</f>
        <v/>
      </c>
      <c r="I1263">
        <f t="shared" si="157"/>
        <v>0</v>
      </c>
      <c r="J1263" t="str">
        <f>_xlfn.XLOOKUP(H1263, Fact_Events!$A$2:$A$20, Fact_Events!$F$2:$F$20, "")</f>
        <v/>
      </c>
      <c r="K1263" t="str">
        <f t="shared" si="158"/>
        <v>Low</v>
      </c>
      <c r="L1263">
        <f t="shared" si="159"/>
        <v>0.55000000000000004</v>
      </c>
      <c r="M1263">
        <f>_xlfn.XLOOKUP(B1263, Dim_Hotel!$A$2:$A$11, Dim_Hotel!$I$2:$I$11)
 + (IF(J1263="",0,J1263)
    * _xlfn.XLOOKUP(B1263, Dim_Hotel!$A$2:$A$11, Dim_Hotel!$J$2:$J$11))</f>
        <v>175</v>
      </c>
    </row>
    <row r="1264" spans="1:13" x14ac:dyDescent="0.25">
      <c r="A1264" s="1">
        <f t="shared" si="152"/>
        <v>46149</v>
      </c>
      <c r="B1264" t="str" cm="1">
        <f t="array" ref="B1264">INDEX(HotelList,MOD(ROW()-2,10)+1)</f>
        <v>H003</v>
      </c>
      <c r="C1264">
        <f>_xlfn.XLOOKUP(B1264,Dim_Hotel!$A$2:$A$11,Dim_Hotel!$F$2:$F$11)</f>
        <v>121</v>
      </c>
      <c r="D1264">
        <f t="shared" si="153"/>
        <v>67</v>
      </c>
      <c r="E1264">
        <f t="shared" si="154"/>
        <v>0.55371900826446285</v>
      </c>
      <c r="F1264">
        <f t="shared" si="155"/>
        <v>145</v>
      </c>
      <c r="G1264">
        <f t="shared" si="156"/>
        <v>80.289256198347118</v>
      </c>
      <c r="H1264" t="str">
        <f>_xlfn.XLOOKUP(A1264,Fact_Events!$D$2:$D$20,Fact_Events!$A$2:$A$20, "")</f>
        <v/>
      </c>
      <c r="I1264">
        <f t="shared" si="157"/>
        <v>0</v>
      </c>
      <c r="J1264" t="str">
        <f>_xlfn.XLOOKUP(H1264, Fact_Events!$A$2:$A$20, Fact_Events!$F$2:$F$20, "")</f>
        <v/>
      </c>
      <c r="K1264" t="str">
        <f t="shared" si="158"/>
        <v>Low</v>
      </c>
      <c r="L1264">
        <f t="shared" si="159"/>
        <v>0.55000000000000004</v>
      </c>
      <c r="M1264">
        <f>_xlfn.XLOOKUP(B1264, Dim_Hotel!$A$2:$A$11, Dim_Hotel!$I$2:$I$11)
 + (IF(J1264="",0,J1264)
    * _xlfn.XLOOKUP(B1264, Dim_Hotel!$A$2:$A$11, Dim_Hotel!$J$2:$J$11))</f>
        <v>145</v>
      </c>
    </row>
    <row r="1265" spans="1:13" x14ac:dyDescent="0.25">
      <c r="A1265" s="1">
        <f t="shared" si="152"/>
        <v>46149</v>
      </c>
      <c r="B1265" t="str" cm="1">
        <f t="array" ref="B1265">INDEX(HotelList,MOD(ROW()-2,10)+1)</f>
        <v>H004</v>
      </c>
      <c r="C1265">
        <f>_xlfn.XLOOKUP(B1265,Dim_Hotel!$A$2:$A$11,Dim_Hotel!$F$2:$F$11)</f>
        <v>108</v>
      </c>
      <c r="D1265">
        <f t="shared" si="153"/>
        <v>59</v>
      </c>
      <c r="E1265">
        <f t="shared" si="154"/>
        <v>0.54629629629629628</v>
      </c>
      <c r="F1265">
        <f t="shared" si="155"/>
        <v>135</v>
      </c>
      <c r="G1265">
        <f t="shared" si="156"/>
        <v>73.75</v>
      </c>
      <c r="H1265" t="str">
        <f>_xlfn.XLOOKUP(A1265,Fact_Events!$D$2:$D$20,Fact_Events!$A$2:$A$20, "")</f>
        <v/>
      </c>
      <c r="I1265">
        <f t="shared" si="157"/>
        <v>0</v>
      </c>
      <c r="J1265" t="str">
        <f>_xlfn.XLOOKUP(H1265, Fact_Events!$A$2:$A$20, Fact_Events!$F$2:$F$20, "")</f>
        <v/>
      </c>
      <c r="K1265" t="str">
        <f t="shared" si="158"/>
        <v>Low</v>
      </c>
      <c r="L1265">
        <f t="shared" si="159"/>
        <v>0.55000000000000004</v>
      </c>
      <c r="M1265">
        <f>_xlfn.XLOOKUP(B1265, Dim_Hotel!$A$2:$A$11, Dim_Hotel!$I$2:$I$11)
 + (IF(J1265="",0,J1265)
    * _xlfn.XLOOKUP(B1265, Dim_Hotel!$A$2:$A$11, Dim_Hotel!$J$2:$J$11))</f>
        <v>135</v>
      </c>
    </row>
    <row r="1266" spans="1:13" x14ac:dyDescent="0.25">
      <c r="A1266" s="1">
        <f t="shared" si="152"/>
        <v>46149</v>
      </c>
      <c r="B1266" t="str" cm="1">
        <f t="array" ref="B1266">INDEX(HotelList,MOD(ROW()-2,10)+1)</f>
        <v>H005</v>
      </c>
      <c r="C1266">
        <f>_xlfn.XLOOKUP(B1266,Dim_Hotel!$A$2:$A$11,Dim_Hotel!$F$2:$F$11)</f>
        <v>66</v>
      </c>
      <c r="D1266">
        <f t="shared" si="153"/>
        <v>36</v>
      </c>
      <c r="E1266">
        <f t="shared" si="154"/>
        <v>0.54545454545454541</v>
      </c>
      <c r="F1266">
        <f t="shared" si="155"/>
        <v>82</v>
      </c>
      <c r="G1266">
        <f t="shared" si="156"/>
        <v>44.727272727272727</v>
      </c>
      <c r="H1266" t="str">
        <f>_xlfn.XLOOKUP(A1266,Fact_Events!$D$2:$D$20,Fact_Events!$A$2:$A$20, "")</f>
        <v/>
      </c>
      <c r="I1266">
        <f t="shared" si="157"/>
        <v>0</v>
      </c>
      <c r="J1266" t="str">
        <f>_xlfn.XLOOKUP(H1266, Fact_Events!$A$2:$A$20, Fact_Events!$F$2:$F$20, "")</f>
        <v/>
      </c>
      <c r="K1266" t="str">
        <f t="shared" si="158"/>
        <v>Low</v>
      </c>
      <c r="L1266">
        <f t="shared" si="159"/>
        <v>0.55000000000000004</v>
      </c>
      <c r="M1266">
        <f>_xlfn.XLOOKUP(B1266, Dim_Hotel!$A$2:$A$11, Dim_Hotel!$I$2:$I$11)
 + (IF(J1266="",0,J1266)
    * _xlfn.XLOOKUP(B1266, Dim_Hotel!$A$2:$A$11, Dim_Hotel!$J$2:$J$11))</f>
        <v>82</v>
      </c>
    </row>
    <row r="1267" spans="1:13" x14ac:dyDescent="0.25">
      <c r="A1267" s="1">
        <f t="shared" si="152"/>
        <v>46149</v>
      </c>
      <c r="B1267" t="str" cm="1">
        <f t="array" ref="B1267">INDEX(HotelList,MOD(ROW()-2,10)+1)</f>
        <v>H006</v>
      </c>
      <c r="C1267">
        <f>_xlfn.XLOOKUP(B1267,Dim_Hotel!$A$2:$A$11,Dim_Hotel!$F$2:$F$11)</f>
        <v>311</v>
      </c>
      <c r="D1267">
        <f t="shared" si="153"/>
        <v>171</v>
      </c>
      <c r="E1267">
        <f t="shared" si="154"/>
        <v>0.54983922829581988</v>
      </c>
      <c r="F1267">
        <f t="shared" si="155"/>
        <v>190</v>
      </c>
      <c r="G1267">
        <f t="shared" si="156"/>
        <v>104.46945337620578</v>
      </c>
      <c r="H1267" t="str">
        <f>_xlfn.XLOOKUP(A1267,Fact_Events!$D$2:$D$20,Fact_Events!$A$2:$A$20, "")</f>
        <v/>
      </c>
      <c r="I1267">
        <f t="shared" si="157"/>
        <v>0</v>
      </c>
      <c r="J1267" t="str">
        <f>_xlfn.XLOOKUP(H1267, Fact_Events!$A$2:$A$20, Fact_Events!$F$2:$F$20, "")</f>
        <v/>
      </c>
      <c r="K1267" t="str">
        <f t="shared" si="158"/>
        <v>Low</v>
      </c>
      <c r="L1267">
        <f t="shared" si="159"/>
        <v>0.55000000000000004</v>
      </c>
      <c r="M1267">
        <f>_xlfn.XLOOKUP(B1267, Dim_Hotel!$A$2:$A$11, Dim_Hotel!$I$2:$I$11)
 + (IF(J1267="",0,J1267)
    * _xlfn.XLOOKUP(B1267, Dim_Hotel!$A$2:$A$11, Dim_Hotel!$J$2:$J$11))</f>
        <v>190</v>
      </c>
    </row>
    <row r="1268" spans="1:13" x14ac:dyDescent="0.25">
      <c r="A1268" s="1">
        <f t="shared" si="152"/>
        <v>46149</v>
      </c>
      <c r="B1268" t="str" cm="1">
        <f t="array" ref="B1268">INDEX(HotelList,MOD(ROW()-2,10)+1)</f>
        <v>H007</v>
      </c>
      <c r="C1268">
        <f>_xlfn.XLOOKUP(B1268,Dim_Hotel!$A$2:$A$11,Dim_Hotel!$F$2:$F$11)</f>
        <v>132</v>
      </c>
      <c r="D1268">
        <f t="shared" si="153"/>
        <v>73</v>
      </c>
      <c r="E1268">
        <f t="shared" si="154"/>
        <v>0.55303030303030298</v>
      </c>
      <c r="F1268">
        <f t="shared" si="155"/>
        <v>165</v>
      </c>
      <c r="G1268">
        <f t="shared" si="156"/>
        <v>91.249999999999986</v>
      </c>
      <c r="H1268" t="str">
        <f>_xlfn.XLOOKUP(A1268,Fact_Events!$D$2:$D$20,Fact_Events!$A$2:$A$20, "")</f>
        <v/>
      </c>
      <c r="I1268">
        <f t="shared" si="157"/>
        <v>0</v>
      </c>
      <c r="J1268" t="str">
        <f>_xlfn.XLOOKUP(H1268, Fact_Events!$A$2:$A$20, Fact_Events!$F$2:$F$20, "")</f>
        <v/>
      </c>
      <c r="K1268" t="str">
        <f t="shared" si="158"/>
        <v>Low</v>
      </c>
      <c r="L1268">
        <f t="shared" si="159"/>
        <v>0.55000000000000004</v>
      </c>
      <c r="M1268">
        <f>_xlfn.XLOOKUP(B1268, Dim_Hotel!$A$2:$A$11, Dim_Hotel!$I$2:$I$11)
 + (IF(J1268="",0,J1268)
    * _xlfn.XLOOKUP(B1268, Dim_Hotel!$A$2:$A$11, Dim_Hotel!$J$2:$J$11))</f>
        <v>165</v>
      </c>
    </row>
    <row r="1269" spans="1:13" x14ac:dyDescent="0.25">
      <c r="A1269" s="1">
        <f t="shared" si="152"/>
        <v>46149</v>
      </c>
      <c r="B1269" t="str" cm="1">
        <f t="array" ref="B1269">INDEX(HotelList,MOD(ROW()-2,10)+1)</f>
        <v>H008</v>
      </c>
      <c r="C1269">
        <f>_xlfn.XLOOKUP(B1269,Dim_Hotel!$A$2:$A$11,Dim_Hotel!$F$2:$F$11)</f>
        <v>103</v>
      </c>
      <c r="D1269">
        <f t="shared" si="153"/>
        <v>57</v>
      </c>
      <c r="E1269">
        <f t="shared" si="154"/>
        <v>0.55339805825242716</v>
      </c>
      <c r="F1269">
        <f t="shared" si="155"/>
        <v>140</v>
      </c>
      <c r="G1269">
        <f t="shared" si="156"/>
        <v>77.475728155339809</v>
      </c>
      <c r="H1269" t="str">
        <f>_xlfn.XLOOKUP(A1269,Fact_Events!$D$2:$D$20,Fact_Events!$A$2:$A$20, "")</f>
        <v/>
      </c>
      <c r="I1269">
        <f t="shared" si="157"/>
        <v>0</v>
      </c>
      <c r="J1269" t="str">
        <f>_xlfn.XLOOKUP(H1269, Fact_Events!$A$2:$A$20, Fact_Events!$F$2:$F$20, "")</f>
        <v/>
      </c>
      <c r="K1269" t="str">
        <f t="shared" si="158"/>
        <v>Low</v>
      </c>
      <c r="L1269">
        <f t="shared" si="159"/>
        <v>0.55000000000000004</v>
      </c>
      <c r="M1269">
        <f>_xlfn.XLOOKUP(B1269, Dim_Hotel!$A$2:$A$11, Dim_Hotel!$I$2:$I$11)
 + (IF(J1269="",0,J1269)
    * _xlfn.XLOOKUP(B1269, Dim_Hotel!$A$2:$A$11, Dim_Hotel!$J$2:$J$11))</f>
        <v>140</v>
      </c>
    </row>
    <row r="1270" spans="1:13" x14ac:dyDescent="0.25">
      <c r="A1270" s="1">
        <f t="shared" si="152"/>
        <v>46149</v>
      </c>
      <c r="B1270" t="str" cm="1">
        <f t="array" ref="B1270">INDEX(HotelList,MOD(ROW()-2,10)+1)</f>
        <v>H009</v>
      </c>
      <c r="C1270">
        <f>_xlfn.XLOOKUP(B1270,Dim_Hotel!$A$2:$A$11,Dim_Hotel!$F$2:$F$11)</f>
        <v>114</v>
      </c>
      <c r="D1270">
        <f t="shared" si="153"/>
        <v>63</v>
      </c>
      <c r="E1270">
        <f t="shared" si="154"/>
        <v>0.55263157894736847</v>
      </c>
      <c r="F1270">
        <f t="shared" si="155"/>
        <v>185</v>
      </c>
      <c r="G1270">
        <f t="shared" si="156"/>
        <v>102.23684210526316</v>
      </c>
      <c r="H1270" t="str">
        <f>_xlfn.XLOOKUP(A1270,Fact_Events!$D$2:$D$20,Fact_Events!$A$2:$A$20, "")</f>
        <v/>
      </c>
      <c r="I1270">
        <f t="shared" si="157"/>
        <v>0</v>
      </c>
      <c r="J1270" t="str">
        <f>_xlfn.XLOOKUP(H1270, Fact_Events!$A$2:$A$20, Fact_Events!$F$2:$F$20, "")</f>
        <v/>
      </c>
      <c r="K1270" t="str">
        <f t="shared" si="158"/>
        <v>Low</v>
      </c>
      <c r="L1270">
        <f t="shared" si="159"/>
        <v>0.55000000000000004</v>
      </c>
      <c r="M1270">
        <f>_xlfn.XLOOKUP(B1270, Dim_Hotel!$A$2:$A$11, Dim_Hotel!$I$2:$I$11)
 + (IF(J1270="",0,J1270)
    * _xlfn.XLOOKUP(B1270, Dim_Hotel!$A$2:$A$11, Dim_Hotel!$J$2:$J$11))</f>
        <v>185</v>
      </c>
    </row>
    <row r="1271" spans="1:13" x14ac:dyDescent="0.25">
      <c r="A1271" s="1">
        <f t="shared" si="152"/>
        <v>46149</v>
      </c>
      <c r="B1271" t="str" cm="1">
        <f t="array" ref="B1271">INDEX(HotelList,MOD(ROW()-2,10)+1)</f>
        <v>H010</v>
      </c>
      <c r="C1271">
        <f>_xlfn.XLOOKUP(B1271,Dim_Hotel!$A$2:$A$11,Dim_Hotel!$F$2:$F$11)</f>
        <v>89</v>
      </c>
      <c r="D1271">
        <f t="shared" si="153"/>
        <v>49</v>
      </c>
      <c r="E1271">
        <f t="shared" si="154"/>
        <v>0.550561797752809</v>
      </c>
      <c r="F1271">
        <f t="shared" si="155"/>
        <v>150</v>
      </c>
      <c r="G1271">
        <f t="shared" si="156"/>
        <v>82.584269662921344</v>
      </c>
      <c r="H1271" t="str">
        <f>_xlfn.XLOOKUP(A1271,Fact_Events!$D$2:$D$20,Fact_Events!$A$2:$A$20, "")</f>
        <v/>
      </c>
      <c r="I1271">
        <f t="shared" si="157"/>
        <v>0</v>
      </c>
      <c r="J1271" t="str">
        <f>_xlfn.XLOOKUP(H1271, Fact_Events!$A$2:$A$20, Fact_Events!$F$2:$F$20, "")</f>
        <v/>
      </c>
      <c r="K1271" t="str">
        <f t="shared" si="158"/>
        <v>Low</v>
      </c>
      <c r="L1271">
        <f t="shared" si="159"/>
        <v>0.55000000000000004</v>
      </c>
      <c r="M1271">
        <f>_xlfn.XLOOKUP(B1271, Dim_Hotel!$A$2:$A$11, Dim_Hotel!$I$2:$I$11)
 + (IF(J1271="",0,J1271)
    * _xlfn.XLOOKUP(B1271, Dim_Hotel!$A$2:$A$11, Dim_Hotel!$J$2:$J$11))</f>
        <v>150</v>
      </c>
    </row>
    <row r="1272" spans="1:13" x14ac:dyDescent="0.25">
      <c r="A1272" s="1">
        <f t="shared" si="152"/>
        <v>46150</v>
      </c>
      <c r="B1272" t="str" cm="1">
        <f t="array" ref="B1272">INDEX(HotelList,MOD(ROW()-2,10)+1)</f>
        <v>H001</v>
      </c>
      <c r="C1272">
        <f>_xlfn.XLOOKUP(B1272,Dim_Hotel!$A$2:$A$11,Dim_Hotel!$F$2:$F$11)</f>
        <v>888</v>
      </c>
      <c r="D1272">
        <f t="shared" si="153"/>
        <v>488</v>
      </c>
      <c r="E1272">
        <f t="shared" si="154"/>
        <v>0.5495495495495496</v>
      </c>
      <c r="F1272">
        <f t="shared" si="155"/>
        <v>260</v>
      </c>
      <c r="G1272">
        <f t="shared" si="156"/>
        <v>142.88288288288288</v>
      </c>
      <c r="H1272" t="str">
        <f>_xlfn.XLOOKUP(A1272,Fact_Events!$D$2:$D$20,Fact_Events!$A$2:$A$20, "")</f>
        <v/>
      </c>
      <c r="I1272">
        <f t="shared" si="157"/>
        <v>0</v>
      </c>
      <c r="J1272" t="str">
        <f>_xlfn.XLOOKUP(H1272, Fact_Events!$A$2:$A$20, Fact_Events!$F$2:$F$20, "")</f>
        <v/>
      </c>
      <c r="K1272" t="str">
        <f t="shared" si="158"/>
        <v>Low</v>
      </c>
      <c r="L1272">
        <f t="shared" si="159"/>
        <v>0.55000000000000004</v>
      </c>
      <c r="M1272">
        <f>_xlfn.XLOOKUP(B1272, Dim_Hotel!$A$2:$A$11, Dim_Hotel!$I$2:$I$11)
 + (IF(J1272="",0,J1272)
    * _xlfn.XLOOKUP(B1272, Dim_Hotel!$A$2:$A$11, Dim_Hotel!$J$2:$J$11))</f>
        <v>260</v>
      </c>
    </row>
    <row r="1273" spans="1:13" x14ac:dyDescent="0.25">
      <c r="A1273" s="1">
        <f t="shared" si="152"/>
        <v>46150</v>
      </c>
      <c r="B1273" t="str" cm="1">
        <f t="array" ref="B1273">INDEX(HotelList,MOD(ROW()-2,10)+1)</f>
        <v>H002</v>
      </c>
      <c r="C1273">
        <f>_xlfn.XLOOKUP(B1273,Dim_Hotel!$A$2:$A$11,Dim_Hotel!$F$2:$F$11)</f>
        <v>147</v>
      </c>
      <c r="D1273">
        <f t="shared" si="153"/>
        <v>81</v>
      </c>
      <c r="E1273">
        <f t="shared" si="154"/>
        <v>0.55102040816326525</v>
      </c>
      <c r="F1273">
        <f t="shared" si="155"/>
        <v>175</v>
      </c>
      <c r="G1273">
        <f t="shared" si="156"/>
        <v>96.428571428571416</v>
      </c>
      <c r="H1273" t="str">
        <f>_xlfn.XLOOKUP(A1273,Fact_Events!$D$2:$D$20,Fact_Events!$A$2:$A$20, "")</f>
        <v/>
      </c>
      <c r="I1273">
        <f t="shared" si="157"/>
        <v>0</v>
      </c>
      <c r="J1273" t="str">
        <f>_xlfn.XLOOKUP(H1273, Fact_Events!$A$2:$A$20, Fact_Events!$F$2:$F$20, "")</f>
        <v/>
      </c>
      <c r="K1273" t="str">
        <f t="shared" si="158"/>
        <v>Low</v>
      </c>
      <c r="L1273">
        <f t="shared" si="159"/>
        <v>0.55000000000000004</v>
      </c>
      <c r="M1273">
        <f>_xlfn.XLOOKUP(B1273, Dim_Hotel!$A$2:$A$11, Dim_Hotel!$I$2:$I$11)
 + (IF(J1273="",0,J1273)
    * _xlfn.XLOOKUP(B1273, Dim_Hotel!$A$2:$A$11, Dim_Hotel!$J$2:$J$11))</f>
        <v>175</v>
      </c>
    </row>
    <row r="1274" spans="1:13" x14ac:dyDescent="0.25">
      <c r="A1274" s="1">
        <f t="shared" si="152"/>
        <v>46150</v>
      </c>
      <c r="B1274" t="str" cm="1">
        <f t="array" ref="B1274">INDEX(HotelList,MOD(ROW()-2,10)+1)</f>
        <v>H003</v>
      </c>
      <c r="C1274">
        <f>_xlfn.XLOOKUP(B1274,Dim_Hotel!$A$2:$A$11,Dim_Hotel!$F$2:$F$11)</f>
        <v>121</v>
      </c>
      <c r="D1274">
        <f t="shared" si="153"/>
        <v>67</v>
      </c>
      <c r="E1274">
        <f t="shared" si="154"/>
        <v>0.55371900826446285</v>
      </c>
      <c r="F1274">
        <f t="shared" si="155"/>
        <v>145</v>
      </c>
      <c r="G1274">
        <f t="shared" si="156"/>
        <v>80.289256198347118</v>
      </c>
      <c r="H1274" t="str">
        <f>_xlfn.XLOOKUP(A1274,Fact_Events!$D$2:$D$20,Fact_Events!$A$2:$A$20, "")</f>
        <v/>
      </c>
      <c r="I1274">
        <f t="shared" si="157"/>
        <v>0</v>
      </c>
      <c r="J1274" t="str">
        <f>_xlfn.XLOOKUP(H1274, Fact_Events!$A$2:$A$20, Fact_Events!$F$2:$F$20, "")</f>
        <v/>
      </c>
      <c r="K1274" t="str">
        <f t="shared" si="158"/>
        <v>Low</v>
      </c>
      <c r="L1274">
        <f t="shared" si="159"/>
        <v>0.55000000000000004</v>
      </c>
      <c r="M1274">
        <f>_xlfn.XLOOKUP(B1274, Dim_Hotel!$A$2:$A$11, Dim_Hotel!$I$2:$I$11)
 + (IF(J1274="",0,J1274)
    * _xlfn.XLOOKUP(B1274, Dim_Hotel!$A$2:$A$11, Dim_Hotel!$J$2:$J$11))</f>
        <v>145</v>
      </c>
    </row>
    <row r="1275" spans="1:13" x14ac:dyDescent="0.25">
      <c r="A1275" s="1">
        <f t="shared" si="152"/>
        <v>46150</v>
      </c>
      <c r="B1275" t="str" cm="1">
        <f t="array" ref="B1275">INDEX(HotelList,MOD(ROW()-2,10)+1)</f>
        <v>H004</v>
      </c>
      <c r="C1275">
        <f>_xlfn.XLOOKUP(B1275,Dim_Hotel!$A$2:$A$11,Dim_Hotel!$F$2:$F$11)</f>
        <v>108</v>
      </c>
      <c r="D1275">
        <f t="shared" si="153"/>
        <v>59</v>
      </c>
      <c r="E1275">
        <f t="shared" si="154"/>
        <v>0.54629629629629628</v>
      </c>
      <c r="F1275">
        <f t="shared" si="155"/>
        <v>135</v>
      </c>
      <c r="G1275">
        <f t="shared" si="156"/>
        <v>73.75</v>
      </c>
      <c r="H1275" t="str">
        <f>_xlfn.XLOOKUP(A1275,Fact_Events!$D$2:$D$20,Fact_Events!$A$2:$A$20, "")</f>
        <v/>
      </c>
      <c r="I1275">
        <f t="shared" si="157"/>
        <v>0</v>
      </c>
      <c r="J1275" t="str">
        <f>_xlfn.XLOOKUP(H1275, Fact_Events!$A$2:$A$20, Fact_Events!$F$2:$F$20, "")</f>
        <v/>
      </c>
      <c r="K1275" t="str">
        <f t="shared" si="158"/>
        <v>Low</v>
      </c>
      <c r="L1275">
        <f t="shared" si="159"/>
        <v>0.55000000000000004</v>
      </c>
      <c r="M1275">
        <f>_xlfn.XLOOKUP(B1275, Dim_Hotel!$A$2:$A$11, Dim_Hotel!$I$2:$I$11)
 + (IF(J1275="",0,J1275)
    * _xlfn.XLOOKUP(B1275, Dim_Hotel!$A$2:$A$11, Dim_Hotel!$J$2:$J$11))</f>
        <v>135</v>
      </c>
    </row>
    <row r="1276" spans="1:13" x14ac:dyDescent="0.25">
      <c r="A1276" s="1">
        <f t="shared" si="152"/>
        <v>46150</v>
      </c>
      <c r="B1276" t="str" cm="1">
        <f t="array" ref="B1276">INDEX(HotelList,MOD(ROW()-2,10)+1)</f>
        <v>H005</v>
      </c>
      <c r="C1276">
        <f>_xlfn.XLOOKUP(B1276,Dim_Hotel!$A$2:$A$11,Dim_Hotel!$F$2:$F$11)</f>
        <v>66</v>
      </c>
      <c r="D1276">
        <f t="shared" si="153"/>
        <v>36</v>
      </c>
      <c r="E1276">
        <f t="shared" si="154"/>
        <v>0.54545454545454541</v>
      </c>
      <c r="F1276">
        <f t="shared" si="155"/>
        <v>82</v>
      </c>
      <c r="G1276">
        <f t="shared" si="156"/>
        <v>44.727272727272727</v>
      </c>
      <c r="H1276" t="str">
        <f>_xlfn.XLOOKUP(A1276,Fact_Events!$D$2:$D$20,Fact_Events!$A$2:$A$20, "")</f>
        <v/>
      </c>
      <c r="I1276">
        <f t="shared" si="157"/>
        <v>0</v>
      </c>
      <c r="J1276" t="str">
        <f>_xlfn.XLOOKUP(H1276, Fact_Events!$A$2:$A$20, Fact_Events!$F$2:$F$20, "")</f>
        <v/>
      </c>
      <c r="K1276" t="str">
        <f t="shared" si="158"/>
        <v>Low</v>
      </c>
      <c r="L1276">
        <f t="shared" si="159"/>
        <v>0.55000000000000004</v>
      </c>
      <c r="M1276">
        <f>_xlfn.XLOOKUP(B1276, Dim_Hotel!$A$2:$A$11, Dim_Hotel!$I$2:$I$11)
 + (IF(J1276="",0,J1276)
    * _xlfn.XLOOKUP(B1276, Dim_Hotel!$A$2:$A$11, Dim_Hotel!$J$2:$J$11))</f>
        <v>82</v>
      </c>
    </row>
    <row r="1277" spans="1:13" x14ac:dyDescent="0.25">
      <c r="A1277" s="1">
        <f t="shared" si="152"/>
        <v>46150</v>
      </c>
      <c r="B1277" t="str" cm="1">
        <f t="array" ref="B1277">INDEX(HotelList,MOD(ROW()-2,10)+1)</f>
        <v>H006</v>
      </c>
      <c r="C1277">
        <f>_xlfn.XLOOKUP(B1277,Dim_Hotel!$A$2:$A$11,Dim_Hotel!$F$2:$F$11)</f>
        <v>311</v>
      </c>
      <c r="D1277">
        <f t="shared" si="153"/>
        <v>171</v>
      </c>
      <c r="E1277">
        <f t="shared" si="154"/>
        <v>0.54983922829581988</v>
      </c>
      <c r="F1277">
        <f t="shared" si="155"/>
        <v>190</v>
      </c>
      <c r="G1277">
        <f t="shared" si="156"/>
        <v>104.46945337620578</v>
      </c>
      <c r="H1277" t="str">
        <f>_xlfn.XLOOKUP(A1277,Fact_Events!$D$2:$D$20,Fact_Events!$A$2:$A$20, "")</f>
        <v/>
      </c>
      <c r="I1277">
        <f t="shared" si="157"/>
        <v>0</v>
      </c>
      <c r="J1277" t="str">
        <f>_xlfn.XLOOKUP(H1277, Fact_Events!$A$2:$A$20, Fact_Events!$F$2:$F$20, "")</f>
        <v/>
      </c>
      <c r="K1277" t="str">
        <f t="shared" si="158"/>
        <v>Low</v>
      </c>
      <c r="L1277">
        <f t="shared" si="159"/>
        <v>0.55000000000000004</v>
      </c>
      <c r="M1277">
        <f>_xlfn.XLOOKUP(B1277, Dim_Hotel!$A$2:$A$11, Dim_Hotel!$I$2:$I$11)
 + (IF(J1277="",0,J1277)
    * _xlfn.XLOOKUP(B1277, Dim_Hotel!$A$2:$A$11, Dim_Hotel!$J$2:$J$11))</f>
        <v>190</v>
      </c>
    </row>
    <row r="1278" spans="1:13" x14ac:dyDescent="0.25">
      <c r="A1278" s="1">
        <f t="shared" si="152"/>
        <v>46150</v>
      </c>
      <c r="B1278" t="str" cm="1">
        <f t="array" ref="B1278">INDEX(HotelList,MOD(ROW()-2,10)+1)</f>
        <v>H007</v>
      </c>
      <c r="C1278">
        <f>_xlfn.XLOOKUP(B1278,Dim_Hotel!$A$2:$A$11,Dim_Hotel!$F$2:$F$11)</f>
        <v>132</v>
      </c>
      <c r="D1278">
        <f t="shared" si="153"/>
        <v>73</v>
      </c>
      <c r="E1278">
        <f t="shared" si="154"/>
        <v>0.55303030303030298</v>
      </c>
      <c r="F1278">
        <f t="shared" si="155"/>
        <v>165</v>
      </c>
      <c r="G1278">
        <f t="shared" si="156"/>
        <v>91.249999999999986</v>
      </c>
      <c r="H1278" t="str">
        <f>_xlfn.XLOOKUP(A1278,Fact_Events!$D$2:$D$20,Fact_Events!$A$2:$A$20, "")</f>
        <v/>
      </c>
      <c r="I1278">
        <f t="shared" si="157"/>
        <v>0</v>
      </c>
      <c r="J1278" t="str">
        <f>_xlfn.XLOOKUP(H1278, Fact_Events!$A$2:$A$20, Fact_Events!$F$2:$F$20, "")</f>
        <v/>
      </c>
      <c r="K1278" t="str">
        <f t="shared" si="158"/>
        <v>Low</v>
      </c>
      <c r="L1278">
        <f t="shared" si="159"/>
        <v>0.55000000000000004</v>
      </c>
      <c r="M1278">
        <f>_xlfn.XLOOKUP(B1278, Dim_Hotel!$A$2:$A$11, Dim_Hotel!$I$2:$I$11)
 + (IF(J1278="",0,J1278)
    * _xlfn.XLOOKUP(B1278, Dim_Hotel!$A$2:$A$11, Dim_Hotel!$J$2:$J$11))</f>
        <v>165</v>
      </c>
    </row>
    <row r="1279" spans="1:13" x14ac:dyDescent="0.25">
      <c r="A1279" s="1">
        <f t="shared" si="152"/>
        <v>46150</v>
      </c>
      <c r="B1279" t="str" cm="1">
        <f t="array" ref="B1279">INDEX(HotelList,MOD(ROW()-2,10)+1)</f>
        <v>H008</v>
      </c>
      <c r="C1279">
        <f>_xlfn.XLOOKUP(B1279,Dim_Hotel!$A$2:$A$11,Dim_Hotel!$F$2:$F$11)</f>
        <v>103</v>
      </c>
      <c r="D1279">
        <f t="shared" si="153"/>
        <v>57</v>
      </c>
      <c r="E1279">
        <f t="shared" si="154"/>
        <v>0.55339805825242716</v>
      </c>
      <c r="F1279">
        <f t="shared" si="155"/>
        <v>140</v>
      </c>
      <c r="G1279">
        <f t="shared" si="156"/>
        <v>77.475728155339809</v>
      </c>
      <c r="H1279" t="str">
        <f>_xlfn.XLOOKUP(A1279,Fact_Events!$D$2:$D$20,Fact_Events!$A$2:$A$20, "")</f>
        <v/>
      </c>
      <c r="I1279">
        <f t="shared" si="157"/>
        <v>0</v>
      </c>
      <c r="J1279" t="str">
        <f>_xlfn.XLOOKUP(H1279, Fact_Events!$A$2:$A$20, Fact_Events!$F$2:$F$20, "")</f>
        <v/>
      </c>
      <c r="K1279" t="str">
        <f t="shared" si="158"/>
        <v>Low</v>
      </c>
      <c r="L1279">
        <f t="shared" si="159"/>
        <v>0.55000000000000004</v>
      </c>
      <c r="M1279">
        <f>_xlfn.XLOOKUP(B1279, Dim_Hotel!$A$2:$A$11, Dim_Hotel!$I$2:$I$11)
 + (IF(J1279="",0,J1279)
    * _xlfn.XLOOKUP(B1279, Dim_Hotel!$A$2:$A$11, Dim_Hotel!$J$2:$J$11))</f>
        <v>140</v>
      </c>
    </row>
    <row r="1280" spans="1:13" x14ac:dyDescent="0.25">
      <c r="A1280" s="1">
        <f t="shared" si="152"/>
        <v>46150</v>
      </c>
      <c r="B1280" t="str" cm="1">
        <f t="array" ref="B1280">INDEX(HotelList,MOD(ROW()-2,10)+1)</f>
        <v>H009</v>
      </c>
      <c r="C1280">
        <f>_xlfn.XLOOKUP(B1280,Dim_Hotel!$A$2:$A$11,Dim_Hotel!$F$2:$F$11)</f>
        <v>114</v>
      </c>
      <c r="D1280">
        <f t="shared" si="153"/>
        <v>63</v>
      </c>
      <c r="E1280">
        <f t="shared" si="154"/>
        <v>0.55263157894736847</v>
      </c>
      <c r="F1280">
        <f t="shared" si="155"/>
        <v>185</v>
      </c>
      <c r="G1280">
        <f t="shared" si="156"/>
        <v>102.23684210526316</v>
      </c>
      <c r="H1280" t="str">
        <f>_xlfn.XLOOKUP(A1280,Fact_Events!$D$2:$D$20,Fact_Events!$A$2:$A$20, "")</f>
        <v/>
      </c>
      <c r="I1280">
        <f t="shared" si="157"/>
        <v>0</v>
      </c>
      <c r="J1280" t="str">
        <f>_xlfn.XLOOKUP(H1280, Fact_Events!$A$2:$A$20, Fact_Events!$F$2:$F$20, "")</f>
        <v/>
      </c>
      <c r="K1280" t="str">
        <f t="shared" si="158"/>
        <v>Low</v>
      </c>
      <c r="L1280">
        <f t="shared" si="159"/>
        <v>0.55000000000000004</v>
      </c>
      <c r="M1280">
        <f>_xlfn.XLOOKUP(B1280, Dim_Hotel!$A$2:$A$11, Dim_Hotel!$I$2:$I$11)
 + (IF(J1280="",0,J1280)
    * _xlfn.XLOOKUP(B1280, Dim_Hotel!$A$2:$A$11, Dim_Hotel!$J$2:$J$11))</f>
        <v>185</v>
      </c>
    </row>
    <row r="1281" spans="1:13" x14ac:dyDescent="0.25">
      <c r="A1281" s="1">
        <f t="shared" si="152"/>
        <v>46150</v>
      </c>
      <c r="B1281" t="str" cm="1">
        <f t="array" ref="B1281">INDEX(HotelList,MOD(ROW()-2,10)+1)</f>
        <v>H010</v>
      </c>
      <c r="C1281">
        <f>_xlfn.XLOOKUP(B1281,Dim_Hotel!$A$2:$A$11,Dim_Hotel!$F$2:$F$11)</f>
        <v>89</v>
      </c>
      <c r="D1281">
        <f t="shared" si="153"/>
        <v>49</v>
      </c>
      <c r="E1281">
        <f t="shared" si="154"/>
        <v>0.550561797752809</v>
      </c>
      <c r="F1281">
        <f t="shared" si="155"/>
        <v>150</v>
      </c>
      <c r="G1281">
        <f t="shared" si="156"/>
        <v>82.584269662921344</v>
      </c>
      <c r="H1281" t="str">
        <f>_xlfn.XLOOKUP(A1281,Fact_Events!$D$2:$D$20,Fact_Events!$A$2:$A$20, "")</f>
        <v/>
      </c>
      <c r="I1281">
        <f t="shared" si="157"/>
        <v>0</v>
      </c>
      <c r="J1281" t="str">
        <f>_xlfn.XLOOKUP(H1281, Fact_Events!$A$2:$A$20, Fact_Events!$F$2:$F$20, "")</f>
        <v/>
      </c>
      <c r="K1281" t="str">
        <f t="shared" si="158"/>
        <v>Low</v>
      </c>
      <c r="L1281">
        <f t="shared" si="159"/>
        <v>0.55000000000000004</v>
      </c>
      <c r="M1281">
        <f>_xlfn.XLOOKUP(B1281, Dim_Hotel!$A$2:$A$11, Dim_Hotel!$I$2:$I$11)
 + (IF(J1281="",0,J1281)
    * _xlfn.XLOOKUP(B1281, Dim_Hotel!$A$2:$A$11, Dim_Hotel!$J$2:$J$11))</f>
        <v>150</v>
      </c>
    </row>
    <row r="1282" spans="1:13" x14ac:dyDescent="0.25">
      <c r="A1282" s="1">
        <f t="shared" si="152"/>
        <v>46151</v>
      </c>
      <c r="B1282" t="str" cm="1">
        <f t="array" ref="B1282">INDEX(HotelList,MOD(ROW()-2,10)+1)</f>
        <v>H001</v>
      </c>
      <c r="C1282">
        <f>_xlfn.XLOOKUP(B1282,Dim_Hotel!$A$2:$A$11,Dim_Hotel!$F$2:$F$11)</f>
        <v>888</v>
      </c>
      <c r="D1282">
        <f t="shared" si="153"/>
        <v>488</v>
      </c>
      <c r="E1282">
        <f t="shared" si="154"/>
        <v>0.5495495495495496</v>
      </c>
      <c r="F1282">
        <f t="shared" si="155"/>
        <v>260</v>
      </c>
      <c r="G1282">
        <f t="shared" si="156"/>
        <v>142.88288288288288</v>
      </c>
      <c r="H1282" t="str">
        <f>_xlfn.XLOOKUP(A1282,Fact_Events!$D$2:$D$20,Fact_Events!$A$2:$A$20, "")</f>
        <v/>
      </c>
      <c r="I1282">
        <f t="shared" si="157"/>
        <v>0</v>
      </c>
      <c r="J1282" t="str">
        <f>_xlfn.XLOOKUP(H1282, Fact_Events!$A$2:$A$20, Fact_Events!$F$2:$F$20, "")</f>
        <v/>
      </c>
      <c r="K1282" t="str">
        <f t="shared" si="158"/>
        <v>Low</v>
      </c>
      <c r="L1282">
        <f t="shared" si="159"/>
        <v>0.55000000000000004</v>
      </c>
      <c r="M1282">
        <f>_xlfn.XLOOKUP(B1282, Dim_Hotel!$A$2:$A$11, Dim_Hotel!$I$2:$I$11)
 + (IF(J1282="",0,J1282)
    * _xlfn.XLOOKUP(B1282, Dim_Hotel!$A$2:$A$11, Dim_Hotel!$J$2:$J$11))</f>
        <v>260</v>
      </c>
    </row>
    <row r="1283" spans="1:13" x14ac:dyDescent="0.25">
      <c r="A1283" s="1">
        <f t="shared" ref="A1283:A1346" si="160">DATE(2026,1,1) + INT((ROW()-2)/10)</f>
        <v>46151</v>
      </c>
      <c r="B1283" t="str" cm="1">
        <f t="array" ref="B1283">INDEX(HotelList,MOD(ROW()-2,10)+1)</f>
        <v>H002</v>
      </c>
      <c r="C1283">
        <f>_xlfn.XLOOKUP(B1283,Dim_Hotel!$A$2:$A$11,Dim_Hotel!$F$2:$F$11)</f>
        <v>147</v>
      </c>
      <c r="D1283">
        <f t="shared" ref="D1283:D1346" si="161">ROUND(L1283 * C1283, 0)</f>
        <v>81</v>
      </c>
      <c r="E1283">
        <f t="shared" ref="E1283:E1346" si="162">D1283/C1283</f>
        <v>0.55102040816326525</v>
      </c>
      <c r="F1283">
        <f t="shared" ref="F1283:F1346" si="163">M1283</f>
        <v>175</v>
      </c>
      <c r="G1283">
        <f t="shared" ref="G1283:G1346" si="164">E1283*F1283</f>
        <v>96.428571428571416</v>
      </c>
      <c r="H1283" t="str">
        <f>_xlfn.XLOOKUP(A1283,Fact_Events!$D$2:$D$20,Fact_Events!$A$2:$A$20, "")</f>
        <v/>
      </c>
      <c r="I1283">
        <f t="shared" ref="I1283:I1346" si="165">IF(H1283="",0,1)</f>
        <v>0</v>
      </c>
      <c r="J1283" t="str">
        <f>_xlfn.XLOOKUP(H1283, Fact_Events!$A$2:$A$20, Fact_Events!$F$2:$F$20, "")</f>
        <v/>
      </c>
      <c r="K1283" t="str">
        <f t="shared" ref="K1283:K1346" si="166">IF(I1283=0,"Low",
   IF(J1283&gt;=9,"High","Medium"))</f>
        <v>Low</v>
      </c>
      <c r="L1283">
        <f t="shared" ref="L1283:L1346" si="167">MIN(1,
  0.55
  + (I1283 * 0.25)
  + (IF(J1283="",0,J1283) / 100)
)</f>
        <v>0.55000000000000004</v>
      </c>
      <c r="M1283">
        <f>_xlfn.XLOOKUP(B1283, Dim_Hotel!$A$2:$A$11, Dim_Hotel!$I$2:$I$11)
 + (IF(J1283="",0,J1283)
    * _xlfn.XLOOKUP(B1283, Dim_Hotel!$A$2:$A$11, Dim_Hotel!$J$2:$J$11))</f>
        <v>175</v>
      </c>
    </row>
    <row r="1284" spans="1:13" x14ac:dyDescent="0.25">
      <c r="A1284" s="1">
        <f t="shared" si="160"/>
        <v>46151</v>
      </c>
      <c r="B1284" t="str" cm="1">
        <f t="array" ref="B1284">INDEX(HotelList,MOD(ROW()-2,10)+1)</f>
        <v>H003</v>
      </c>
      <c r="C1284">
        <f>_xlfn.XLOOKUP(B1284,Dim_Hotel!$A$2:$A$11,Dim_Hotel!$F$2:$F$11)</f>
        <v>121</v>
      </c>
      <c r="D1284">
        <f t="shared" si="161"/>
        <v>67</v>
      </c>
      <c r="E1284">
        <f t="shared" si="162"/>
        <v>0.55371900826446285</v>
      </c>
      <c r="F1284">
        <f t="shared" si="163"/>
        <v>145</v>
      </c>
      <c r="G1284">
        <f t="shared" si="164"/>
        <v>80.289256198347118</v>
      </c>
      <c r="H1284" t="str">
        <f>_xlfn.XLOOKUP(A1284,Fact_Events!$D$2:$D$20,Fact_Events!$A$2:$A$20, "")</f>
        <v/>
      </c>
      <c r="I1284">
        <f t="shared" si="165"/>
        <v>0</v>
      </c>
      <c r="J1284" t="str">
        <f>_xlfn.XLOOKUP(H1284, Fact_Events!$A$2:$A$20, Fact_Events!$F$2:$F$20, "")</f>
        <v/>
      </c>
      <c r="K1284" t="str">
        <f t="shared" si="166"/>
        <v>Low</v>
      </c>
      <c r="L1284">
        <f t="shared" si="167"/>
        <v>0.55000000000000004</v>
      </c>
      <c r="M1284">
        <f>_xlfn.XLOOKUP(B1284, Dim_Hotel!$A$2:$A$11, Dim_Hotel!$I$2:$I$11)
 + (IF(J1284="",0,J1284)
    * _xlfn.XLOOKUP(B1284, Dim_Hotel!$A$2:$A$11, Dim_Hotel!$J$2:$J$11))</f>
        <v>145</v>
      </c>
    </row>
    <row r="1285" spans="1:13" x14ac:dyDescent="0.25">
      <c r="A1285" s="1">
        <f t="shared" si="160"/>
        <v>46151</v>
      </c>
      <c r="B1285" t="str" cm="1">
        <f t="array" ref="B1285">INDEX(HotelList,MOD(ROW()-2,10)+1)</f>
        <v>H004</v>
      </c>
      <c r="C1285">
        <f>_xlfn.XLOOKUP(B1285,Dim_Hotel!$A$2:$A$11,Dim_Hotel!$F$2:$F$11)</f>
        <v>108</v>
      </c>
      <c r="D1285">
        <f t="shared" si="161"/>
        <v>59</v>
      </c>
      <c r="E1285">
        <f t="shared" si="162"/>
        <v>0.54629629629629628</v>
      </c>
      <c r="F1285">
        <f t="shared" si="163"/>
        <v>135</v>
      </c>
      <c r="G1285">
        <f t="shared" si="164"/>
        <v>73.75</v>
      </c>
      <c r="H1285" t="str">
        <f>_xlfn.XLOOKUP(A1285,Fact_Events!$D$2:$D$20,Fact_Events!$A$2:$A$20, "")</f>
        <v/>
      </c>
      <c r="I1285">
        <f t="shared" si="165"/>
        <v>0</v>
      </c>
      <c r="J1285" t="str">
        <f>_xlfn.XLOOKUP(H1285, Fact_Events!$A$2:$A$20, Fact_Events!$F$2:$F$20, "")</f>
        <v/>
      </c>
      <c r="K1285" t="str">
        <f t="shared" si="166"/>
        <v>Low</v>
      </c>
      <c r="L1285">
        <f t="shared" si="167"/>
        <v>0.55000000000000004</v>
      </c>
      <c r="M1285">
        <f>_xlfn.XLOOKUP(B1285, Dim_Hotel!$A$2:$A$11, Dim_Hotel!$I$2:$I$11)
 + (IF(J1285="",0,J1285)
    * _xlfn.XLOOKUP(B1285, Dim_Hotel!$A$2:$A$11, Dim_Hotel!$J$2:$J$11))</f>
        <v>135</v>
      </c>
    </row>
    <row r="1286" spans="1:13" x14ac:dyDescent="0.25">
      <c r="A1286" s="1">
        <f t="shared" si="160"/>
        <v>46151</v>
      </c>
      <c r="B1286" t="str" cm="1">
        <f t="array" ref="B1286">INDEX(HotelList,MOD(ROW()-2,10)+1)</f>
        <v>H005</v>
      </c>
      <c r="C1286">
        <f>_xlfn.XLOOKUP(B1286,Dim_Hotel!$A$2:$A$11,Dim_Hotel!$F$2:$F$11)</f>
        <v>66</v>
      </c>
      <c r="D1286">
        <f t="shared" si="161"/>
        <v>36</v>
      </c>
      <c r="E1286">
        <f t="shared" si="162"/>
        <v>0.54545454545454541</v>
      </c>
      <c r="F1286">
        <f t="shared" si="163"/>
        <v>82</v>
      </c>
      <c r="G1286">
        <f t="shared" si="164"/>
        <v>44.727272727272727</v>
      </c>
      <c r="H1286" t="str">
        <f>_xlfn.XLOOKUP(A1286,Fact_Events!$D$2:$D$20,Fact_Events!$A$2:$A$20, "")</f>
        <v/>
      </c>
      <c r="I1286">
        <f t="shared" si="165"/>
        <v>0</v>
      </c>
      <c r="J1286" t="str">
        <f>_xlfn.XLOOKUP(H1286, Fact_Events!$A$2:$A$20, Fact_Events!$F$2:$F$20, "")</f>
        <v/>
      </c>
      <c r="K1286" t="str">
        <f t="shared" si="166"/>
        <v>Low</v>
      </c>
      <c r="L1286">
        <f t="shared" si="167"/>
        <v>0.55000000000000004</v>
      </c>
      <c r="M1286">
        <f>_xlfn.XLOOKUP(B1286, Dim_Hotel!$A$2:$A$11, Dim_Hotel!$I$2:$I$11)
 + (IF(J1286="",0,J1286)
    * _xlfn.XLOOKUP(B1286, Dim_Hotel!$A$2:$A$11, Dim_Hotel!$J$2:$J$11))</f>
        <v>82</v>
      </c>
    </row>
    <row r="1287" spans="1:13" x14ac:dyDescent="0.25">
      <c r="A1287" s="1">
        <f t="shared" si="160"/>
        <v>46151</v>
      </c>
      <c r="B1287" t="str" cm="1">
        <f t="array" ref="B1287">INDEX(HotelList,MOD(ROW()-2,10)+1)</f>
        <v>H006</v>
      </c>
      <c r="C1287">
        <f>_xlfn.XLOOKUP(B1287,Dim_Hotel!$A$2:$A$11,Dim_Hotel!$F$2:$F$11)</f>
        <v>311</v>
      </c>
      <c r="D1287">
        <f t="shared" si="161"/>
        <v>171</v>
      </c>
      <c r="E1287">
        <f t="shared" si="162"/>
        <v>0.54983922829581988</v>
      </c>
      <c r="F1287">
        <f t="shared" si="163"/>
        <v>190</v>
      </c>
      <c r="G1287">
        <f t="shared" si="164"/>
        <v>104.46945337620578</v>
      </c>
      <c r="H1287" t="str">
        <f>_xlfn.XLOOKUP(A1287,Fact_Events!$D$2:$D$20,Fact_Events!$A$2:$A$20, "")</f>
        <v/>
      </c>
      <c r="I1287">
        <f t="shared" si="165"/>
        <v>0</v>
      </c>
      <c r="J1287" t="str">
        <f>_xlfn.XLOOKUP(H1287, Fact_Events!$A$2:$A$20, Fact_Events!$F$2:$F$20, "")</f>
        <v/>
      </c>
      <c r="K1287" t="str">
        <f t="shared" si="166"/>
        <v>Low</v>
      </c>
      <c r="L1287">
        <f t="shared" si="167"/>
        <v>0.55000000000000004</v>
      </c>
      <c r="M1287">
        <f>_xlfn.XLOOKUP(B1287, Dim_Hotel!$A$2:$A$11, Dim_Hotel!$I$2:$I$11)
 + (IF(J1287="",0,J1287)
    * _xlfn.XLOOKUP(B1287, Dim_Hotel!$A$2:$A$11, Dim_Hotel!$J$2:$J$11))</f>
        <v>190</v>
      </c>
    </row>
    <row r="1288" spans="1:13" x14ac:dyDescent="0.25">
      <c r="A1288" s="1">
        <f t="shared" si="160"/>
        <v>46151</v>
      </c>
      <c r="B1288" t="str" cm="1">
        <f t="array" ref="B1288">INDEX(HotelList,MOD(ROW()-2,10)+1)</f>
        <v>H007</v>
      </c>
      <c r="C1288">
        <f>_xlfn.XLOOKUP(B1288,Dim_Hotel!$A$2:$A$11,Dim_Hotel!$F$2:$F$11)</f>
        <v>132</v>
      </c>
      <c r="D1288">
        <f t="shared" si="161"/>
        <v>73</v>
      </c>
      <c r="E1288">
        <f t="shared" si="162"/>
        <v>0.55303030303030298</v>
      </c>
      <c r="F1288">
        <f t="shared" si="163"/>
        <v>165</v>
      </c>
      <c r="G1288">
        <f t="shared" si="164"/>
        <v>91.249999999999986</v>
      </c>
      <c r="H1288" t="str">
        <f>_xlfn.XLOOKUP(A1288,Fact_Events!$D$2:$D$20,Fact_Events!$A$2:$A$20, "")</f>
        <v/>
      </c>
      <c r="I1288">
        <f t="shared" si="165"/>
        <v>0</v>
      </c>
      <c r="J1288" t="str">
        <f>_xlfn.XLOOKUP(H1288, Fact_Events!$A$2:$A$20, Fact_Events!$F$2:$F$20, "")</f>
        <v/>
      </c>
      <c r="K1288" t="str">
        <f t="shared" si="166"/>
        <v>Low</v>
      </c>
      <c r="L1288">
        <f t="shared" si="167"/>
        <v>0.55000000000000004</v>
      </c>
      <c r="M1288">
        <f>_xlfn.XLOOKUP(B1288, Dim_Hotel!$A$2:$A$11, Dim_Hotel!$I$2:$I$11)
 + (IF(J1288="",0,J1288)
    * _xlfn.XLOOKUP(B1288, Dim_Hotel!$A$2:$A$11, Dim_Hotel!$J$2:$J$11))</f>
        <v>165</v>
      </c>
    </row>
    <row r="1289" spans="1:13" x14ac:dyDescent="0.25">
      <c r="A1289" s="1">
        <f t="shared" si="160"/>
        <v>46151</v>
      </c>
      <c r="B1289" t="str" cm="1">
        <f t="array" ref="B1289">INDEX(HotelList,MOD(ROW()-2,10)+1)</f>
        <v>H008</v>
      </c>
      <c r="C1289">
        <f>_xlfn.XLOOKUP(B1289,Dim_Hotel!$A$2:$A$11,Dim_Hotel!$F$2:$F$11)</f>
        <v>103</v>
      </c>
      <c r="D1289">
        <f t="shared" si="161"/>
        <v>57</v>
      </c>
      <c r="E1289">
        <f t="shared" si="162"/>
        <v>0.55339805825242716</v>
      </c>
      <c r="F1289">
        <f t="shared" si="163"/>
        <v>140</v>
      </c>
      <c r="G1289">
        <f t="shared" si="164"/>
        <v>77.475728155339809</v>
      </c>
      <c r="H1289" t="str">
        <f>_xlfn.XLOOKUP(A1289,Fact_Events!$D$2:$D$20,Fact_Events!$A$2:$A$20, "")</f>
        <v/>
      </c>
      <c r="I1289">
        <f t="shared" si="165"/>
        <v>0</v>
      </c>
      <c r="J1289" t="str">
        <f>_xlfn.XLOOKUP(H1289, Fact_Events!$A$2:$A$20, Fact_Events!$F$2:$F$20, "")</f>
        <v/>
      </c>
      <c r="K1289" t="str">
        <f t="shared" si="166"/>
        <v>Low</v>
      </c>
      <c r="L1289">
        <f t="shared" si="167"/>
        <v>0.55000000000000004</v>
      </c>
      <c r="M1289">
        <f>_xlfn.XLOOKUP(B1289, Dim_Hotel!$A$2:$A$11, Dim_Hotel!$I$2:$I$11)
 + (IF(J1289="",0,J1289)
    * _xlfn.XLOOKUP(B1289, Dim_Hotel!$A$2:$A$11, Dim_Hotel!$J$2:$J$11))</f>
        <v>140</v>
      </c>
    </row>
    <row r="1290" spans="1:13" x14ac:dyDescent="0.25">
      <c r="A1290" s="1">
        <f t="shared" si="160"/>
        <v>46151</v>
      </c>
      <c r="B1290" t="str" cm="1">
        <f t="array" ref="B1290">INDEX(HotelList,MOD(ROW()-2,10)+1)</f>
        <v>H009</v>
      </c>
      <c r="C1290">
        <f>_xlfn.XLOOKUP(B1290,Dim_Hotel!$A$2:$A$11,Dim_Hotel!$F$2:$F$11)</f>
        <v>114</v>
      </c>
      <c r="D1290">
        <f t="shared" si="161"/>
        <v>63</v>
      </c>
      <c r="E1290">
        <f t="shared" si="162"/>
        <v>0.55263157894736847</v>
      </c>
      <c r="F1290">
        <f t="shared" si="163"/>
        <v>185</v>
      </c>
      <c r="G1290">
        <f t="shared" si="164"/>
        <v>102.23684210526316</v>
      </c>
      <c r="H1290" t="str">
        <f>_xlfn.XLOOKUP(A1290,Fact_Events!$D$2:$D$20,Fact_Events!$A$2:$A$20, "")</f>
        <v/>
      </c>
      <c r="I1290">
        <f t="shared" si="165"/>
        <v>0</v>
      </c>
      <c r="J1290" t="str">
        <f>_xlfn.XLOOKUP(H1290, Fact_Events!$A$2:$A$20, Fact_Events!$F$2:$F$20, "")</f>
        <v/>
      </c>
      <c r="K1290" t="str">
        <f t="shared" si="166"/>
        <v>Low</v>
      </c>
      <c r="L1290">
        <f t="shared" si="167"/>
        <v>0.55000000000000004</v>
      </c>
      <c r="M1290">
        <f>_xlfn.XLOOKUP(B1290, Dim_Hotel!$A$2:$A$11, Dim_Hotel!$I$2:$I$11)
 + (IF(J1290="",0,J1290)
    * _xlfn.XLOOKUP(B1290, Dim_Hotel!$A$2:$A$11, Dim_Hotel!$J$2:$J$11))</f>
        <v>185</v>
      </c>
    </row>
    <row r="1291" spans="1:13" x14ac:dyDescent="0.25">
      <c r="A1291" s="1">
        <f t="shared" si="160"/>
        <v>46151</v>
      </c>
      <c r="B1291" t="str" cm="1">
        <f t="array" ref="B1291">INDEX(HotelList,MOD(ROW()-2,10)+1)</f>
        <v>H010</v>
      </c>
      <c r="C1291">
        <f>_xlfn.XLOOKUP(B1291,Dim_Hotel!$A$2:$A$11,Dim_Hotel!$F$2:$F$11)</f>
        <v>89</v>
      </c>
      <c r="D1291">
        <f t="shared" si="161"/>
        <v>49</v>
      </c>
      <c r="E1291">
        <f t="shared" si="162"/>
        <v>0.550561797752809</v>
      </c>
      <c r="F1291">
        <f t="shared" si="163"/>
        <v>150</v>
      </c>
      <c r="G1291">
        <f t="shared" si="164"/>
        <v>82.584269662921344</v>
      </c>
      <c r="H1291" t="str">
        <f>_xlfn.XLOOKUP(A1291,Fact_Events!$D$2:$D$20,Fact_Events!$A$2:$A$20, "")</f>
        <v/>
      </c>
      <c r="I1291">
        <f t="shared" si="165"/>
        <v>0</v>
      </c>
      <c r="J1291" t="str">
        <f>_xlfn.XLOOKUP(H1291, Fact_Events!$A$2:$A$20, Fact_Events!$F$2:$F$20, "")</f>
        <v/>
      </c>
      <c r="K1291" t="str">
        <f t="shared" si="166"/>
        <v>Low</v>
      </c>
      <c r="L1291">
        <f t="shared" si="167"/>
        <v>0.55000000000000004</v>
      </c>
      <c r="M1291">
        <f>_xlfn.XLOOKUP(B1291, Dim_Hotel!$A$2:$A$11, Dim_Hotel!$I$2:$I$11)
 + (IF(J1291="",0,J1291)
    * _xlfn.XLOOKUP(B1291, Dim_Hotel!$A$2:$A$11, Dim_Hotel!$J$2:$J$11))</f>
        <v>150</v>
      </c>
    </row>
    <row r="1292" spans="1:13" x14ac:dyDescent="0.25">
      <c r="A1292" s="1">
        <f t="shared" si="160"/>
        <v>46152</v>
      </c>
      <c r="B1292" t="str" cm="1">
        <f t="array" ref="B1292">INDEX(HotelList,MOD(ROW()-2,10)+1)</f>
        <v>H001</v>
      </c>
      <c r="C1292">
        <f>_xlfn.XLOOKUP(B1292,Dim_Hotel!$A$2:$A$11,Dim_Hotel!$F$2:$F$11)</f>
        <v>888</v>
      </c>
      <c r="D1292">
        <f t="shared" si="161"/>
        <v>488</v>
      </c>
      <c r="E1292">
        <f t="shared" si="162"/>
        <v>0.5495495495495496</v>
      </c>
      <c r="F1292">
        <f t="shared" si="163"/>
        <v>260</v>
      </c>
      <c r="G1292">
        <f t="shared" si="164"/>
        <v>142.88288288288288</v>
      </c>
      <c r="H1292" t="str">
        <f>_xlfn.XLOOKUP(A1292,Fact_Events!$D$2:$D$20,Fact_Events!$A$2:$A$20, "")</f>
        <v/>
      </c>
      <c r="I1292">
        <f t="shared" si="165"/>
        <v>0</v>
      </c>
      <c r="J1292" t="str">
        <f>_xlfn.XLOOKUP(H1292, Fact_Events!$A$2:$A$20, Fact_Events!$F$2:$F$20, "")</f>
        <v/>
      </c>
      <c r="K1292" t="str">
        <f t="shared" si="166"/>
        <v>Low</v>
      </c>
      <c r="L1292">
        <f t="shared" si="167"/>
        <v>0.55000000000000004</v>
      </c>
      <c r="M1292">
        <f>_xlfn.XLOOKUP(B1292, Dim_Hotel!$A$2:$A$11, Dim_Hotel!$I$2:$I$11)
 + (IF(J1292="",0,J1292)
    * _xlfn.XLOOKUP(B1292, Dim_Hotel!$A$2:$A$11, Dim_Hotel!$J$2:$J$11))</f>
        <v>260</v>
      </c>
    </row>
    <row r="1293" spans="1:13" x14ac:dyDescent="0.25">
      <c r="A1293" s="1">
        <f t="shared" si="160"/>
        <v>46152</v>
      </c>
      <c r="B1293" t="str" cm="1">
        <f t="array" ref="B1293">INDEX(HotelList,MOD(ROW()-2,10)+1)</f>
        <v>H002</v>
      </c>
      <c r="C1293">
        <f>_xlfn.XLOOKUP(B1293,Dim_Hotel!$A$2:$A$11,Dim_Hotel!$F$2:$F$11)</f>
        <v>147</v>
      </c>
      <c r="D1293">
        <f t="shared" si="161"/>
        <v>81</v>
      </c>
      <c r="E1293">
        <f t="shared" si="162"/>
        <v>0.55102040816326525</v>
      </c>
      <c r="F1293">
        <f t="shared" si="163"/>
        <v>175</v>
      </c>
      <c r="G1293">
        <f t="shared" si="164"/>
        <v>96.428571428571416</v>
      </c>
      <c r="H1293" t="str">
        <f>_xlfn.XLOOKUP(A1293,Fact_Events!$D$2:$D$20,Fact_Events!$A$2:$A$20, "")</f>
        <v/>
      </c>
      <c r="I1293">
        <f t="shared" si="165"/>
        <v>0</v>
      </c>
      <c r="J1293" t="str">
        <f>_xlfn.XLOOKUP(H1293, Fact_Events!$A$2:$A$20, Fact_Events!$F$2:$F$20, "")</f>
        <v/>
      </c>
      <c r="K1293" t="str">
        <f t="shared" si="166"/>
        <v>Low</v>
      </c>
      <c r="L1293">
        <f t="shared" si="167"/>
        <v>0.55000000000000004</v>
      </c>
      <c r="M1293">
        <f>_xlfn.XLOOKUP(B1293, Dim_Hotel!$A$2:$A$11, Dim_Hotel!$I$2:$I$11)
 + (IF(J1293="",0,J1293)
    * _xlfn.XLOOKUP(B1293, Dim_Hotel!$A$2:$A$11, Dim_Hotel!$J$2:$J$11))</f>
        <v>175</v>
      </c>
    </row>
    <row r="1294" spans="1:13" x14ac:dyDescent="0.25">
      <c r="A1294" s="1">
        <f t="shared" si="160"/>
        <v>46152</v>
      </c>
      <c r="B1294" t="str" cm="1">
        <f t="array" ref="B1294">INDEX(HotelList,MOD(ROW()-2,10)+1)</f>
        <v>H003</v>
      </c>
      <c r="C1294">
        <f>_xlfn.XLOOKUP(B1294,Dim_Hotel!$A$2:$A$11,Dim_Hotel!$F$2:$F$11)</f>
        <v>121</v>
      </c>
      <c r="D1294">
        <f t="shared" si="161"/>
        <v>67</v>
      </c>
      <c r="E1294">
        <f t="shared" si="162"/>
        <v>0.55371900826446285</v>
      </c>
      <c r="F1294">
        <f t="shared" si="163"/>
        <v>145</v>
      </c>
      <c r="G1294">
        <f t="shared" si="164"/>
        <v>80.289256198347118</v>
      </c>
      <c r="H1294" t="str">
        <f>_xlfn.XLOOKUP(A1294,Fact_Events!$D$2:$D$20,Fact_Events!$A$2:$A$20, "")</f>
        <v/>
      </c>
      <c r="I1294">
        <f t="shared" si="165"/>
        <v>0</v>
      </c>
      <c r="J1294" t="str">
        <f>_xlfn.XLOOKUP(H1294, Fact_Events!$A$2:$A$20, Fact_Events!$F$2:$F$20, "")</f>
        <v/>
      </c>
      <c r="K1294" t="str">
        <f t="shared" si="166"/>
        <v>Low</v>
      </c>
      <c r="L1294">
        <f t="shared" si="167"/>
        <v>0.55000000000000004</v>
      </c>
      <c r="M1294">
        <f>_xlfn.XLOOKUP(B1294, Dim_Hotel!$A$2:$A$11, Dim_Hotel!$I$2:$I$11)
 + (IF(J1294="",0,J1294)
    * _xlfn.XLOOKUP(B1294, Dim_Hotel!$A$2:$A$11, Dim_Hotel!$J$2:$J$11))</f>
        <v>145</v>
      </c>
    </row>
    <row r="1295" spans="1:13" x14ac:dyDescent="0.25">
      <c r="A1295" s="1">
        <f t="shared" si="160"/>
        <v>46152</v>
      </c>
      <c r="B1295" t="str" cm="1">
        <f t="array" ref="B1295">INDEX(HotelList,MOD(ROW()-2,10)+1)</f>
        <v>H004</v>
      </c>
      <c r="C1295">
        <f>_xlfn.XLOOKUP(B1295,Dim_Hotel!$A$2:$A$11,Dim_Hotel!$F$2:$F$11)</f>
        <v>108</v>
      </c>
      <c r="D1295">
        <f t="shared" si="161"/>
        <v>59</v>
      </c>
      <c r="E1295">
        <f t="shared" si="162"/>
        <v>0.54629629629629628</v>
      </c>
      <c r="F1295">
        <f t="shared" si="163"/>
        <v>135</v>
      </c>
      <c r="G1295">
        <f t="shared" si="164"/>
        <v>73.75</v>
      </c>
      <c r="H1295" t="str">
        <f>_xlfn.XLOOKUP(A1295,Fact_Events!$D$2:$D$20,Fact_Events!$A$2:$A$20, "")</f>
        <v/>
      </c>
      <c r="I1295">
        <f t="shared" si="165"/>
        <v>0</v>
      </c>
      <c r="J1295" t="str">
        <f>_xlfn.XLOOKUP(H1295, Fact_Events!$A$2:$A$20, Fact_Events!$F$2:$F$20, "")</f>
        <v/>
      </c>
      <c r="K1295" t="str">
        <f t="shared" si="166"/>
        <v>Low</v>
      </c>
      <c r="L1295">
        <f t="shared" si="167"/>
        <v>0.55000000000000004</v>
      </c>
      <c r="M1295">
        <f>_xlfn.XLOOKUP(B1295, Dim_Hotel!$A$2:$A$11, Dim_Hotel!$I$2:$I$11)
 + (IF(J1295="",0,J1295)
    * _xlfn.XLOOKUP(B1295, Dim_Hotel!$A$2:$A$11, Dim_Hotel!$J$2:$J$11))</f>
        <v>135</v>
      </c>
    </row>
    <row r="1296" spans="1:13" x14ac:dyDescent="0.25">
      <c r="A1296" s="1">
        <f t="shared" si="160"/>
        <v>46152</v>
      </c>
      <c r="B1296" t="str" cm="1">
        <f t="array" ref="B1296">INDEX(HotelList,MOD(ROW()-2,10)+1)</f>
        <v>H005</v>
      </c>
      <c r="C1296">
        <f>_xlfn.XLOOKUP(B1296,Dim_Hotel!$A$2:$A$11,Dim_Hotel!$F$2:$F$11)</f>
        <v>66</v>
      </c>
      <c r="D1296">
        <f t="shared" si="161"/>
        <v>36</v>
      </c>
      <c r="E1296">
        <f t="shared" si="162"/>
        <v>0.54545454545454541</v>
      </c>
      <c r="F1296">
        <f t="shared" si="163"/>
        <v>82</v>
      </c>
      <c r="G1296">
        <f t="shared" si="164"/>
        <v>44.727272727272727</v>
      </c>
      <c r="H1296" t="str">
        <f>_xlfn.XLOOKUP(A1296,Fact_Events!$D$2:$D$20,Fact_Events!$A$2:$A$20, "")</f>
        <v/>
      </c>
      <c r="I1296">
        <f t="shared" si="165"/>
        <v>0</v>
      </c>
      <c r="J1296" t="str">
        <f>_xlfn.XLOOKUP(H1296, Fact_Events!$A$2:$A$20, Fact_Events!$F$2:$F$20, "")</f>
        <v/>
      </c>
      <c r="K1296" t="str">
        <f t="shared" si="166"/>
        <v>Low</v>
      </c>
      <c r="L1296">
        <f t="shared" si="167"/>
        <v>0.55000000000000004</v>
      </c>
      <c r="M1296">
        <f>_xlfn.XLOOKUP(B1296, Dim_Hotel!$A$2:$A$11, Dim_Hotel!$I$2:$I$11)
 + (IF(J1296="",0,J1296)
    * _xlfn.XLOOKUP(B1296, Dim_Hotel!$A$2:$A$11, Dim_Hotel!$J$2:$J$11))</f>
        <v>82</v>
      </c>
    </row>
    <row r="1297" spans="1:13" x14ac:dyDescent="0.25">
      <c r="A1297" s="1">
        <f t="shared" si="160"/>
        <v>46152</v>
      </c>
      <c r="B1297" t="str" cm="1">
        <f t="array" ref="B1297">INDEX(HotelList,MOD(ROW()-2,10)+1)</f>
        <v>H006</v>
      </c>
      <c r="C1297">
        <f>_xlfn.XLOOKUP(B1297,Dim_Hotel!$A$2:$A$11,Dim_Hotel!$F$2:$F$11)</f>
        <v>311</v>
      </c>
      <c r="D1297">
        <f t="shared" si="161"/>
        <v>171</v>
      </c>
      <c r="E1297">
        <f t="shared" si="162"/>
        <v>0.54983922829581988</v>
      </c>
      <c r="F1297">
        <f t="shared" si="163"/>
        <v>190</v>
      </c>
      <c r="G1297">
        <f t="shared" si="164"/>
        <v>104.46945337620578</v>
      </c>
      <c r="H1297" t="str">
        <f>_xlfn.XLOOKUP(A1297,Fact_Events!$D$2:$D$20,Fact_Events!$A$2:$A$20, "")</f>
        <v/>
      </c>
      <c r="I1297">
        <f t="shared" si="165"/>
        <v>0</v>
      </c>
      <c r="J1297" t="str">
        <f>_xlfn.XLOOKUP(H1297, Fact_Events!$A$2:$A$20, Fact_Events!$F$2:$F$20, "")</f>
        <v/>
      </c>
      <c r="K1297" t="str">
        <f t="shared" si="166"/>
        <v>Low</v>
      </c>
      <c r="L1297">
        <f t="shared" si="167"/>
        <v>0.55000000000000004</v>
      </c>
      <c r="M1297">
        <f>_xlfn.XLOOKUP(B1297, Dim_Hotel!$A$2:$A$11, Dim_Hotel!$I$2:$I$11)
 + (IF(J1297="",0,J1297)
    * _xlfn.XLOOKUP(B1297, Dim_Hotel!$A$2:$A$11, Dim_Hotel!$J$2:$J$11))</f>
        <v>190</v>
      </c>
    </row>
    <row r="1298" spans="1:13" x14ac:dyDescent="0.25">
      <c r="A1298" s="1">
        <f t="shared" si="160"/>
        <v>46152</v>
      </c>
      <c r="B1298" t="str" cm="1">
        <f t="array" ref="B1298">INDEX(HotelList,MOD(ROW()-2,10)+1)</f>
        <v>H007</v>
      </c>
      <c r="C1298">
        <f>_xlfn.XLOOKUP(B1298,Dim_Hotel!$A$2:$A$11,Dim_Hotel!$F$2:$F$11)</f>
        <v>132</v>
      </c>
      <c r="D1298">
        <f t="shared" si="161"/>
        <v>73</v>
      </c>
      <c r="E1298">
        <f t="shared" si="162"/>
        <v>0.55303030303030298</v>
      </c>
      <c r="F1298">
        <f t="shared" si="163"/>
        <v>165</v>
      </c>
      <c r="G1298">
        <f t="shared" si="164"/>
        <v>91.249999999999986</v>
      </c>
      <c r="H1298" t="str">
        <f>_xlfn.XLOOKUP(A1298,Fact_Events!$D$2:$D$20,Fact_Events!$A$2:$A$20, "")</f>
        <v/>
      </c>
      <c r="I1298">
        <f t="shared" si="165"/>
        <v>0</v>
      </c>
      <c r="J1298" t="str">
        <f>_xlfn.XLOOKUP(H1298, Fact_Events!$A$2:$A$20, Fact_Events!$F$2:$F$20, "")</f>
        <v/>
      </c>
      <c r="K1298" t="str">
        <f t="shared" si="166"/>
        <v>Low</v>
      </c>
      <c r="L1298">
        <f t="shared" si="167"/>
        <v>0.55000000000000004</v>
      </c>
      <c r="M1298">
        <f>_xlfn.XLOOKUP(B1298, Dim_Hotel!$A$2:$A$11, Dim_Hotel!$I$2:$I$11)
 + (IF(J1298="",0,J1298)
    * _xlfn.XLOOKUP(B1298, Dim_Hotel!$A$2:$A$11, Dim_Hotel!$J$2:$J$11))</f>
        <v>165</v>
      </c>
    </row>
    <row r="1299" spans="1:13" x14ac:dyDescent="0.25">
      <c r="A1299" s="1">
        <f t="shared" si="160"/>
        <v>46152</v>
      </c>
      <c r="B1299" t="str" cm="1">
        <f t="array" ref="B1299">INDEX(HotelList,MOD(ROW()-2,10)+1)</f>
        <v>H008</v>
      </c>
      <c r="C1299">
        <f>_xlfn.XLOOKUP(B1299,Dim_Hotel!$A$2:$A$11,Dim_Hotel!$F$2:$F$11)</f>
        <v>103</v>
      </c>
      <c r="D1299">
        <f t="shared" si="161"/>
        <v>57</v>
      </c>
      <c r="E1299">
        <f t="shared" si="162"/>
        <v>0.55339805825242716</v>
      </c>
      <c r="F1299">
        <f t="shared" si="163"/>
        <v>140</v>
      </c>
      <c r="G1299">
        <f t="shared" si="164"/>
        <v>77.475728155339809</v>
      </c>
      <c r="H1299" t="str">
        <f>_xlfn.XLOOKUP(A1299,Fact_Events!$D$2:$D$20,Fact_Events!$A$2:$A$20, "")</f>
        <v/>
      </c>
      <c r="I1299">
        <f t="shared" si="165"/>
        <v>0</v>
      </c>
      <c r="J1299" t="str">
        <f>_xlfn.XLOOKUP(H1299, Fact_Events!$A$2:$A$20, Fact_Events!$F$2:$F$20, "")</f>
        <v/>
      </c>
      <c r="K1299" t="str">
        <f t="shared" si="166"/>
        <v>Low</v>
      </c>
      <c r="L1299">
        <f t="shared" si="167"/>
        <v>0.55000000000000004</v>
      </c>
      <c r="M1299">
        <f>_xlfn.XLOOKUP(B1299, Dim_Hotel!$A$2:$A$11, Dim_Hotel!$I$2:$I$11)
 + (IF(J1299="",0,J1299)
    * _xlfn.XLOOKUP(B1299, Dim_Hotel!$A$2:$A$11, Dim_Hotel!$J$2:$J$11))</f>
        <v>140</v>
      </c>
    </row>
    <row r="1300" spans="1:13" x14ac:dyDescent="0.25">
      <c r="A1300" s="1">
        <f t="shared" si="160"/>
        <v>46152</v>
      </c>
      <c r="B1300" t="str" cm="1">
        <f t="array" ref="B1300">INDEX(HotelList,MOD(ROW()-2,10)+1)</f>
        <v>H009</v>
      </c>
      <c r="C1300">
        <f>_xlfn.XLOOKUP(B1300,Dim_Hotel!$A$2:$A$11,Dim_Hotel!$F$2:$F$11)</f>
        <v>114</v>
      </c>
      <c r="D1300">
        <f t="shared" si="161"/>
        <v>63</v>
      </c>
      <c r="E1300">
        <f t="shared" si="162"/>
        <v>0.55263157894736847</v>
      </c>
      <c r="F1300">
        <f t="shared" si="163"/>
        <v>185</v>
      </c>
      <c r="G1300">
        <f t="shared" si="164"/>
        <v>102.23684210526316</v>
      </c>
      <c r="H1300" t="str">
        <f>_xlfn.XLOOKUP(A1300,Fact_Events!$D$2:$D$20,Fact_Events!$A$2:$A$20, "")</f>
        <v/>
      </c>
      <c r="I1300">
        <f t="shared" si="165"/>
        <v>0</v>
      </c>
      <c r="J1300" t="str">
        <f>_xlfn.XLOOKUP(H1300, Fact_Events!$A$2:$A$20, Fact_Events!$F$2:$F$20, "")</f>
        <v/>
      </c>
      <c r="K1300" t="str">
        <f t="shared" si="166"/>
        <v>Low</v>
      </c>
      <c r="L1300">
        <f t="shared" si="167"/>
        <v>0.55000000000000004</v>
      </c>
      <c r="M1300">
        <f>_xlfn.XLOOKUP(B1300, Dim_Hotel!$A$2:$A$11, Dim_Hotel!$I$2:$I$11)
 + (IF(J1300="",0,J1300)
    * _xlfn.XLOOKUP(B1300, Dim_Hotel!$A$2:$A$11, Dim_Hotel!$J$2:$J$11))</f>
        <v>185</v>
      </c>
    </row>
    <row r="1301" spans="1:13" x14ac:dyDescent="0.25">
      <c r="A1301" s="1">
        <f t="shared" si="160"/>
        <v>46152</v>
      </c>
      <c r="B1301" t="str" cm="1">
        <f t="array" ref="B1301">INDEX(HotelList,MOD(ROW()-2,10)+1)</f>
        <v>H010</v>
      </c>
      <c r="C1301">
        <f>_xlfn.XLOOKUP(B1301,Dim_Hotel!$A$2:$A$11,Dim_Hotel!$F$2:$F$11)</f>
        <v>89</v>
      </c>
      <c r="D1301">
        <f t="shared" si="161"/>
        <v>49</v>
      </c>
      <c r="E1301">
        <f t="shared" si="162"/>
        <v>0.550561797752809</v>
      </c>
      <c r="F1301">
        <f t="shared" si="163"/>
        <v>150</v>
      </c>
      <c r="G1301">
        <f t="shared" si="164"/>
        <v>82.584269662921344</v>
      </c>
      <c r="H1301" t="str">
        <f>_xlfn.XLOOKUP(A1301,Fact_Events!$D$2:$D$20,Fact_Events!$A$2:$A$20, "")</f>
        <v/>
      </c>
      <c r="I1301">
        <f t="shared" si="165"/>
        <v>0</v>
      </c>
      <c r="J1301" t="str">
        <f>_xlfn.XLOOKUP(H1301, Fact_Events!$A$2:$A$20, Fact_Events!$F$2:$F$20, "")</f>
        <v/>
      </c>
      <c r="K1301" t="str">
        <f t="shared" si="166"/>
        <v>Low</v>
      </c>
      <c r="L1301">
        <f t="shared" si="167"/>
        <v>0.55000000000000004</v>
      </c>
      <c r="M1301">
        <f>_xlfn.XLOOKUP(B1301, Dim_Hotel!$A$2:$A$11, Dim_Hotel!$I$2:$I$11)
 + (IF(J1301="",0,J1301)
    * _xlfn.XLOOKUP(B1301, Dim_Hotel!$A$2:$A$11, Dim_Hotel!$J$2:$J$11))</f>
        <v>150</v>
      </c>
    </row>
    <row r="1302" spans="1:13" x14ac:dyDescent="0.25">
      <c r="A1302" s="1">
        <f t="shared" si="160"/>
        <v>46153</v>
      </c>
      <c r="B1302" t="str" cm="1">
        <f t="array" ref="B1302">INDEX(HotelList,MOD(ROW()-2,10)+1)</f>
        <v>H001</v>
      </c>
      <c r="C1302">
        <f>_xlfn.XLOOKUP(B1302,Dim_Hotel!$A$2:$A$11,Dim_Hotel!$F$2:$F$11)</f>
        <v>888</v>
      </c>
      <c r="D1302">
        <f t="shared" si="161"/>
        <v>488</v>
      </c>
      <c r="E1302">
        <f t="shared" si="162"/>
        <v>0.5495495495495496</v>
      </c>
      <c r="F1302">
        <f t="shared" si="163"/>
        <v>260</v>
      </c>
      <c r="G1302">
        <f t="shared" si="164"/>
        <v>142.88288288288288</v>
      </c>
      <c r="H1302" t="str">
        <f>_xlfn.XLOOKUP(A1302,Fact_Events!$D$2:$D$20,Fact_Events!$A$2:$A$20, "")</f>
        <v/>
      </c>
      <c r="I1302">
        <f t="shared" si="165"/>
        <v>0</v>
      </c>
      <c r="J1302" t="str">
        <f>_xlfn.XLOOKUP(H1302, Fact_Events!$A$2:$A$20, Fact_Events!$F$2:$F$20, "")</f>
        <v/>
      </c>
      <c r="K1302" t="str">
        <f t="shared" si="166"/>
        <v>Low</v>
      </c>
      <c r="L1302">
        <f t="shared" si="167"/>
        <v>0.55000000000000004</v>
      </c>
      <c r="M1302">
        <f>_xlfn.XLOOKUP(B1302, Dim_Hotel!$A$2:$A$11, Dim_Hotel!$I$2:$I$11)
 + (IF(J1302="",0,J1302)
    * _xlfn.XLOOKUP(B1302, Dim_Hotel!$A$2:$A$11, Dim_Hotel!$J$2:$J$11))</f>
        <v>260</v>
      </c>
    </row>
    <row r="1303" spans="1:13" x14ac:dyDescent="0.25">
      <c r="A1303" s="1">
        <f t="shared" si="160"/>
        <v>46153</v>
      </c>
      <c r="B1303" t="str" cm="1">
        <f t="array" ref="B1303">INDEX(HotelList,MOD(ROW()-2,10)+1)</f>
        <v>H002</v>
      </c>
      <c r="C1303">
        <f>_xlfn.XLOOKUP(B1303,Dim_Hotel!$A$2:$A$11,Dim_Hotel!$F$2:$F$11)</f>
        <v>147</v>
      </c>
      <c r="D1303">
        <f t="shared" si="161"/>
        <v>81</v>
      </c>
      <c r="E1303">
        <f t="shared" si="162"/>
        <v>0.55102040816326525</v>
      </c>
      <c r="F1303">
        <f t="shared" si="163"/>
        <v>175</v>
      </c>
      <c r="G1303">
        <f t="shared" si="164"/>
        <v>96.428571428571416</v>
      </c>
      <c r="H1303" t="str">
        <f>_xlfn.XLOOKUP(A1303,Fact_Events!$D$2:$D$20,Fact_Events!$A$2:$A$20, "")</f>
        <v/>
      </c>
      <c r="I1303">
        <f t="shared" si="165"/>
        <v>0</v>
      </c>
      <c r="J1303" t="str">
        <f>_xlfn.XLOOKUP(H1303, Fact_Events!$A$2:$A$20, Fact_Events!$F$2:$F$20, "")</f>
        <v/>
      </c>
      <c r="K1303" t="str">
        <f t="shared" si="166"/>
        <v>Low</v>
      </c>
      <c r="L1303">
        <f t="shared" si="167"/>
        <v>0.55000000000000004</v>
      </c>
      <c r="M1303">
        <f>_xlfn.XLOOKUP(B1303, Dim_Hotel!$A$2:$A$11, Dim_Hotel!$I$2:$I$11)
 + (IF(J1303="",0,J1303)
    * _xlfn.XLOOKUP(B1303, Dim_Hotel!$A$2:$A$11, Dim_Hotel!$J$2:$J$11))</f>
        <v>175</v>
      </c>
    </row>
    <row r="1304" spans="1:13" x14ac:dyDescent="0.25">
      <c r="A1304" s="1">
        <f t="shared" si="160"/>
        <v>46153</v>
      </c>
      <c r="B1304" t="str" cm="1">
        <f t="array" ref="B1304">INDEX(HotelList,MOD(ROW()-2,10)+1)</f>
        <v>H003</v>
      </c>
      <c r="C1304">
        <f>_xlfn.XLOOKUP(B1304,Dim_Hotel!$A$2:$A$11,Dim_Hotel!$F$2:$F$11)</f>
        <v>121</v>
      </c>
      <c r="D1304">
        <f t="shared" si="161"/>
        <v>67</v>
      </c>
      <c r="E1304">
        <f t="shared" si="162"/>
        <v>0.55371900826446285</v>
      </c>
      <c r="F1304">
        <f t="shared" si="163"/>
        <v>145</v>
      </c>
      <c r="G1304">
        <f t="shared" si="164"/>
        <v>80.289256198347118</v>
      </c>
      <c r="H1304" t="str">
        <f>_xlfn.XLOOKUP(A1304,Fact_Events!$D$2:$D$20,Fact_Events!$A$2:$A$20, "")</f>
        <v/>
      </c>
      <c r="I1304">
        <f t="shared" si="165"/>
        <v>0</v>
      </c>
      <c r="J1304" t="str">
        <f>_xlfn.XLOOKUP(H1304, Fact_Events!$A$2:$A$20, Fact_Events!$F$2:$F$20, "")</f>
        <v/>
      </c>
      <c r="K1304" t="str">
        <f t="shared" si="166"/>
        <v>Low</v>
      </c>
      <c r="L1304">
        <f t="shared" si="167"/>
        <v>0.55000000000000004</v>
      </c>
      <c r="M1304">
        <f>_xlfn.XLOOKUP(B1304, Dim_Hotel!$A$2:$A$11, Dim_Hotel!$I$2:$I$11)
 + (IF(J1304="",0,J1304)
    * _xlfn.XLOOKUP(B1304, Dim_Hotel!$A$2:$A$11, Dim_Hotel!$J$2:$J$11))</f>
        <v>145</v>
      </c>
    </row>
    <row r="1305" spans="1:13" x14ac:dyDescent="0.25">
      <c r="A1305" s="1">
        <f t="shared" si="160"/>
        <v>46153</v>
      </c>
      <c r="B1305" t="str" cm="1">
        <f t="array" ref="B1305">INDEX(HotelList,MOD(ROW()-2,10)+1)</f>
        <v>H004</v>
      </c>
      <c r="C1305">
        <f>_xlfn.XLOOKUP(B1305,Dim_Hotel!$A$2:$A$11,Dim_Hotel!$F$2:$F$11)</f>
        <v>108</v>
      </c>
      <c r="D1305">
        <f t="shared" si="161"/>
        <v>59</v>
      </c>
      <c r="E1305">
        <f t="shared" si="162"/>
        <v>0.54629629629629628</v>
      </c>
      <c r="F1305">
        <f t="shared" si="163"/>
        <v>135</v>
      </c>
      <c r="G1305">
        <f t="shared" si="164"/>
        <v>73.75</v>
      </c>
      <c r="H1305" t="str">
        <f>_xlfn.XLOOKUP(A1305,Fact_Events!$D$2:$D$20,Fact_Events!$A$2:$A$20, "")</f>
        <v/>
      </c>
      <c r="I1305">
        <f t="shared" si="165"/>
        <v>0</v>
      </c>
      <c r="J1305" t="str">
        <f>_xlfn.XLOOKUP(H1305, Fact_Events!$A$2:$A$20, Fact_Events!$F$2:$F$20, "")</f>
        <v/>
      </c>
      <c r="K1305" t="str">
        <f t="shared" si="166"/>
        <v>Low</v>
      </c>
      <c r="L1305">
        <f t="shared" si="167"/>
        <v>0.55000000000000004</v>
      </c>
      <c r="M1305">
        <f>_xlfn.XLOOKUP(B1305, Dim_Hotel!$A$2:$A$11, Dim_Hotel!$I$2:$I$11)
 + (IF(J1305="",0,J1305)
    * _xlfn.XLOOKUP(B1305, Dim_Hotel!$A$2:$A$11, Dim_Hotel!$J$2:$J$11))</f>
        <v>135</v>
      </c>
    </row>
    <row r="1306" spans="1:13" x14ac:dyDescent="0.25">
      <c r="A1306" s="1">
        <f t="shared" si="160"/>
        <v>46153</v>
      </c>
      <c r="B1306" t="str" cm="1">
        <f t="array" ref="B1306">INDEX(HotelList,MOD(ROW()-2,10)+1)</f>
        <v>H005</v>
      </c>
      <c r="C1306">
        <f>_xlfn.XLOOKUP(B1306,Dim_Hotel!$A$2:$A$11,Dim_Hotel!$F$2:$F$11)</f>
        <v>66</v>
      </c>
      <c r="D1306">
        <f t="shared" si="161"/>
        <v>36</v>
      </c>
      <c r="E1306">
        <f t="shared" si="162"/>
        <v>0.54545454545454541</v>
      </c>
      <c r="F1306">
        <f t="shared" si="163"/>
        <v>82</v>
      </c>
      <c r="G1306">
        <f t="shared" si="164"/>
        <v>44.727272727272727</v>
      </c>
      <c r="H1306" t="str">
        <f>_xlfn.XLOOKUP(A1306,Fact_Events!$D$2:$D$20,Fact_Events!$A$2:$A$20, "")</f>
        <v/>
      </c>
      <c r="I1306">
        <f t="shared" si="165"/>
        <v>0</v>
      </c>
      <c r="J1306" t="str">
        <f>_xlfn.XLOOKUP(H1306, Fact_Events!$A$2:$A$20, Fact_Events!$F$2:$F$20, "")</f>
        <v/>
      </c>
      <c r="K1306" t="str">
        <f t="shared" si="166"/>
        <v>Low</v>
      </c>
      <c r="L1306">
        <f t="shared" si="167"/>
        <v>0.55000000000000004</v>
      </c>
      <c r="M1306">
        <f>_xlfn.XLOOKUP(B1306, Dim_Hotel!$A$2:$A$11, Dim_Hotel!$I$2:$I$11)
 + (IF(J1306="",0,J1306)
    * _xlfn.XLOOKUP(B1306, Dim_Hotel!$A$2:$A$11, Dim_Hotel!$J$2:$J$11))</f>
        <v>82</v>
      </c>
    </row>
    <row r="1307" spans="1:13" x14ac:dyDescent="0.25">
      <c r="A1307" s="1">
        <f t="shared" si="160"/>
        <v>46153</v>
      </c>
      <c r="B1307" t="str" cm="1">
        <f t="array" ref="B1307">INDEX(HotelList,MOD(ROW()-2,10)+1)</f>
        <v>H006</v>
      </c>
      <c r="C1307">
        <f>_xlfn.XLOOKUP(B1307,Dim_Hotel!$A$2:$A$11,Dim_Hotel!$F$2:$F$11)</f>
        <v>311</v>
      </c>
      <c r="D1307">
        <f t="shared" si="161"/>
        <v>171</v>
      </c>
      <c r="E1307">
        <f t="shared" si="162"/>
        <v>0.54983922829581988</v>
      </c>
      <c r="F1307">
        <f t="shared" si="163"/>
        <v>190</v>
      </c>
      <c r="G1307">
        <f t="shared" si="164"/>
        <v>104.46945337620578</v>
      </c>
      <c r="H1307" t="str">
        <f>_xlfn.XLOOKUP(A1307,Fact_Events!$D$2:$D$20,Fact_Events!$A$2:$A$20, "")</f>
        <v/>
      </c>
      <c r="I1307">
        <f t="shared" si="165"/>
        <v>0</v>
      </c>
      <c r="J1307" t="str">
        <f>_xlfn.XLOOKUP(H1307, Fact_Events!$A$2:$A$20, Fact_Events!$F$2:$F$20, "")</f>
        <v/>
      </c>
      <c r="K1307" t="str">
        <f t="shared" si="166"/>
        <v>Low</v>
      </c>
      <c r="L1307">
        <f t="shared" si="167"/>
        <v>0.55000000000000004</v>
      </c>
      <c r="M1307">
        <f>_xlfn.XLOOKUP(B1307, Dim_Hotel!$A$2:$A$11, Dim_Hotel!$I$2:$I$11)
 + (IF(J1307="",0,J1307)
    * _xlfn.XLOOKUP(B1307, Dim_Hotel!$A$2:$A$11, Dim_Hotel!$J$2:$J$11))</f>
        <v>190</v>
      </c>
    </row>
    <row r="1308" spans="1:13" x14ac:dyDescent="0.25">
      <c r="A1308" s="1">
        <f t="shared" si="160"/>
        <v>46153</v>
      </c>
      <c r="B1308" t="str" cm="1">
        <f t="array" ref="B1308">INDEX(HotelList,MOD(ROW()-2,10)+1)</f>
        <v>H007</v>
      </c>
      <c r="C1308">
        <f>_xlfn.XLOOKUP(B1308,Dim_Hotel!$A$2:$A$11,Dim_Hotel!$F$2:$F$11)</f>
        <v>132</v>
      </c>
      <c r="D1308">
        <f t="shared" si="161"/>
        <v>73</v>
      </c>
      <c r="E1308">
        <f t="shared" si="162"/>
        <v>0.55303030303030298</v>
      </c>
      <c r="F1308">
        <f t="shared" si="163"/>
        <v>165</v>
      </c>
      <c r="G1308">
        <f t="shared" si="164"/>
        <v>91.249999999999986</v>
      </c>
      <c r="H1308" t="str">
        <f>_xlfn.XLOOKUP(A1308,Fact_Events!$D$2:$D$20,Fact_Events!$A$2:$A$20, "")</f>
        <v/>
      </c>
      <c r="I1308">
        <f t="shared" si="165"/>
        <v>0</v>
      </c>
      <c r="J1308" t="str">
        <f>_xlfn.XLOOKUP(H1308, Fact_Events!$A$2:$A$20, Fact_Events!$F$2:$F$20, "")</f>
        <v/>
      </c>
      <c r="K1308" t="str">
        <f t="shared" si="166"/>
        <v>Low</v>
      </c>
      <c r="L1308">
        <f t="shared" si="167"/>
        <v>0.55000000000000004</v>
      </c>
      <c r="M1308">
        <f>_xlfn.XLOOKUP(B1308, Dim_Hotel!$A$2:$A$11, Dim_Hotel!$I$2:$I$11)
 + (IF(J1308="",0,J1308)
    * _xlfn.XLOOKUP(B1308, Dim_Hotel!$A$2:$A$11, Dim_Hotel!$J$2:$J$11))</f>
        <v>165</v>
      </c>
    </row>
    <row r="1309" spans="1:13" x14ac:dyDescent="0.25">
      <c r="A1309" s="1">
        <f t="shared" si="160"/>
        <v>46153</v>
      </c>
      <c r="B1309" t="str" cm="1">
        <f t="array" ref="B1309">INDEX(HotelList,MOD(ROW()-2,10)+1)</f>
        <v>H008</v>
      </c>
      <c r="C1309">
        <f>_xlfn.XLOOKUP(B1309,Dim_Hotel!$A$2:$A$11,Dim_Hotel!$F$2:$F$11)</f>
        <v>103</v>
      </c>
      <c r="D1309">
        <f t="shared" si="161"/>
        <v>57</v>
      </c>
      <c r="E1309">
        <f t="shared" si="162"/>
        <v>0.55339805825242716</v>
      </c>
      <c r="F1309">
        <f t="shared" si="163"/>
        <v>140</v>
      </c>
      <c r="G1309">
        <f t="shared" si="164"/>
        <v>77.475728155339809</v>
      </c>
      <c r="H1309" t="str">
        <f>_xlfn.XLOOKUP(A1309,Fact_Events!$D$2:$D$20,Fact_Events!$A$2:$A$20, "")</f>
        <v/>
      </c>
      <c r="I1309">
        <f t="shared" si="165"/>
        <v>0</v>
      </c>
      <c r="J1309" t="str">
        <f>_xlfn.XLOOKUP(H1309, Fact_Events!$A$2:$A$20, Fact_Events!$F$2:$F$20, "")</f>
        <v/>
      </c>
      <c r="K1309" t="str">
        <f t="shared" si="166"/>
        <v>Low</v>
      </c>
      <c r="L1309">
        <f t="shared" si="167"/>
        <v>0.55000000000000004</v>
      </c>
      <c r="M1309">
        <f>_xlfn.XLOOKUP(B1309, Dim_Hotel!$A$2:$A$11, Dim_Hotel!$I$2:$I$11)
 + (IF(J1309="",0,J1309)
    * _xlfn.XLOOKUP(B1309, Dim_Hotel!$A$2:$A$11, Dim_Hotel!$J$2:$J$11))</f>
        <v>140</v>
      </c>
    </row>
    <row r="1310" spans="1:13" x14ac:dyDescent="0.25">
      <c r="A1310" s="1">
        <f t="shared" si="160"/>
        <v>46153</v>
      </c>
      <c r="B1310" t="str" cm="1">
        <f t="array" ref="B1310">INDEX(HotelList,MOD(ROW()-2,10)+1)</f>
        <v>H009</v>
      </c>
      <c r="C1310">
        <f>_xlfn.XLOOKUP(B1310,Dim_Hotel!$A$2:$A$11,Dim_Hotel!$F$2:$F$11)</f>
        <v>114</v>
      </c>
      <c r="D1310">
        <f t="shared" si="161"/>
        <v>63</v>
      </c>
      <c r="E1310">
        <f t="shared" si="162"/>
        <v>0.55263157894736847</v>
      </c>
      <c r="F1310">
        <f t="shared" si="163"/>
        <v>185</v>
      </c>
      <c r="G1310">
        <f t="shared" si="164"/>
        <v>102.23684210526316</v>
      </c>
      <c r="H1310" t="str">
        <f>_xlfn.XLOOKUP(A1310,Fact_Events!$D$2:$D$20,Fact_Events!$A$2:$A$20, "")</f>
        <v/>
      </c>
      <c r="I1310">
        <f t="shared" si="165"/>
        <v>0</v>
      </c>
      <c r="J1310" t="str">
        <f>_xlfn.XLOOKUP(H1310, Fact_Events!$A$2:$A$20, Fact_Events!$F$2:$F$20, "")</f>
        <v/>
      </c>
      <c r="K1310" t="str">
        <f t="shared" si="166"/>
        <v>Low</v>
      </c>
      <c r="L1310">
        <f t="shared" si="167"/>
        <v>0.55000000000000004</v>
      </c>
      <c r="M1310">
        <f>_xlfn.XLOOKUP(B1310, Dim_Hotel!$A$2:$A$11, Dim_Hotel!$I$2:$I$11)
 + (IF(J1310="",0,J1310)
    * _xlfn.XLOOKUP(B1310, Dim_Hotel!$A$2:$A$11, Dim_Hotel!$J$2:$J$11))</f>
        <v>185</v>
      </c>
    </row>
    <row r="1311" spans="1:13" x14ac:dyDescent="0.25">
      <c r="A1311" s="1">
        <f t="shared" si="160"/>
        <v>46153</v>
      </c>
      <c r="B1311" t="str" cm="1">
        <f t="array" ref="B1311">INDEX(HotelList,MOD(ROW()-2,10)+1)</f>
        <v>H010</v>
      </c>
      <c r="C1311">
        <f>_xlfn.XLOOKUP(B1311,Dim_Hotel!$A$2:$A$11,Dim_Hotel!$F$2:$F$11)</f>
        <v>89</v>
      </c>
      <c r="D1311">
        <f t="shared" si="161"/>
        <v>49</v>
      </c>
      <c r="E1311">
        <f t="shared" si="162"/>
        <v>0.550561797752809</v>
      </c>
      <c r="F1311">
        <f t="shared" si="163"/>
        <v>150</v>
      </c>
      <c r="G1311">
        <f t="shared" si="164"/>
        <v>82.584269662921344</v>
      </c>
      <c r="H1311" t="str">
        <f>_xlfn.XLOOKUP(A1311,Fact_Events!$D$2:$D$20,Fact_Events!$A$2:$A$20, "")</f>
        <v/>
      </c>
      <c r="I1311">
        <f t="shared" si="165"/>
        <v>0</v>
      </c>
      <c r="J1311" t="str">
        <f>_xlfn.XLOOKUP(H1311, Fact_Events!$A$2:$A$20, Fact_Events!$F$2:$F$20, "")</f>
        <v/>
      </c>
      <c r="K1311" t="str">
        <f t="shared" si="166"/>
        <v>Low</v>
      </c>
      <c r="L1311">
        <f t="shared" si="167"/>
        <v>0.55000000000000004</v>
      </c>
      <c r="M1311">
        <f>_xlfn.XLOOKUP(B1311, Dim_Hotel!$A$2:$A$11, Dim_Hotel!$I$2:$I$11)
 + (IF(J1311="",0,J1311)
    * _xlfn.XLOOKUP(B1311, Dim_Hotel!$A$2:$A$11, Dim_Hotel!$J$2:$J$11))</f>
        <v>150</v>
      </c>
    </row>
    <row r="1312" spans="1:13" x14ac:dyDescent="0.25">
      <c r="A1312" s="1">
        <f t="shared" si="160"/>
        <v>46154</v>
      </c>
      <c r="B1312" t="str" cm="1">
        <f t="array" ref="B1312">INDEX(HotelList,MOD(ROW()-2,10)+1)</f>
        <v>H001</v>
      </c>
      <c r="C1312">
        <f>_xlfn.XLOOKUP(B1312,Dim_Hotel!$A$2:$A$11,Dim_Hotel!$F$2:$F$11)</f>
        <v>888</v>
      </c>
      <c r="D1312">
        <f t="shared" si="161"/>
        <v>488</v>
      </c>
      <c r="E1312">
        <f t="shared" si="162"/>
        <v>0.5495495495495496</v>
      </c>
      <c r="F1312">
        <f t="shared" si="163"/>
        <v>260</v>
      </c>
      <c r="G1312">
        <f t="shared" si="164"/>
        <v>142.88288288288288</v>
      </c>
      <c r="H1312" t="str">
        <f>_xlfn.XLOOKUP(A1312,Fact_Events!$D$2:$D$20,Fact_Events!$A$2:$A$20, "")</f>
        <v/>
      </c>
      <c r="I1312">
        <f t="shared" si="165"/>
        <v>0</v>
      </c>
      <c r="J1312" t="str">
        <f>_xlfn.XLOOKUP(H1312, Fact_Events!$A$2:$A$20, Fact_Events!$F$2:$F$20, "")</f>
        <v/>
      </c>
      <c r="K1312" t="str">
        <f t="shared" si="166"/>
        <v>Low</v>
      </c>
      <c r="L1312">
        <f t="shared" si="167"/>
        <v>0.55000000000000004</v>
      </c>
      <c r="M1312">
        <f>_xlfn.XLOOKUP(B1312, Dim_Hotel!$A$2:$A$11, Dim_Hotel!$I$2:$I$11)
 + (IF(J1312="",0,J1312)
    * _xlfn.XLOOKUP(B1312, Dim_Hotel!$A$2:$A$11, Dim_Hotel!$J$2:$J$11))</f>
        <v>260</v>
      </c>
    </row>
    <row r="1313" spans="1:13" x14ac:dyDescent="0.25">
      <c r="A1313" s="1">
        <f t="shared" si="160"/>
        <v>46154</v>
      </c>
      <c r="B1313" t="str" cm="1">
        <f t="array" ref="B1313">INDEX(HotelList,MOD(ROW()-2,10)+1)</f>
        <v>H002</v>
      </c>
      <c r="C1313">
        <f>_xlfn.XLOOKUP(B1313,Dim_Hotel!$A$2:$A$11,Dim_Hotel!$F$2:$F$11)</f>
        <v>147</v>
      </c>
      <c r="D1313">
        <f t="shared" si="161"/>
        <v>81</v>
      </c>
      <c r="E1313">
        <f t="shared" si="162"/>
        <v>0.55102040816326525</v>
      </c>
      <c r="F1313">
        <f t="shared" si="163"/>
        <v>175</v>
      </c>
      <c r="G1313">
        <f t="shared" si="164"/>
        <v>96.428571428571416</v>
      </c>
      <c r="H1313" t="str">
        <f>_xlfn.XLOOKUP(A1313,Fact_Events!$D$2:$D$20,Fact_Events!$A$2:$A$20, "")</f>
        <v/>
      </c>
      <c r="I1313">
        <f t="shared" si="165"/>
        <v>0</v>
      </c>
      <c r="J1313" t="str">
        <f>_xlfn.XLOOKUP(H1313, Fact_Events!$A$2:$A$20, Fact_Events!$F$2:$F$20, "")</f>
        <v/>
      </c>
      <c r="K1313" t="str">
        <f t="shared" si="166"/>
        <v>Low</v>
      </c>
      <c r="L1313">
        <f t="shared" si="167"/>
        <v>0.55000000000000004</v>
      </c>
      <c r="M1313">
        <f>_xlfn.XLOOKUP(B1313, Dim_Hotel!$A$2:$A$11, Dim_Hotel!$I$2:$I$11)
 + (IF(J1313="",0,J1313)
    * _xlfn.XLOOKUP(B1313, Dim_Hotel!$A$2:$A$11, Dim_Hotel!$J$2:$J$11))</f>
        <v>175</v>
      </c>
    </row>
    <row r="1314" spans="1:13" x14ac:dyDescent="0.25">
      <c r="A1314" s="1">
        <f t="shared" si="160"/>
        <v>46154</v>
      </c>
      <c r="B1314" t="str" cm="1">
        <f t="array" ref="B1314">INDEX(HotelList,MOD(ROW()-2,10)+1)</f>
        <v>H003</v>
      </c>
      <c r="C1314">
        <f>_xlfn.XLOOKUP(B1314,Dim_Hotel!$A$2:$A$11,Dim_Hotel!$F$2:$F$11)</f>
        <v>121</v>
      </c>
      <c r="D1314">
        <f t="shared" si="161"/>
        <v>67</v>
      </c>
      <c r="E1314">
        <f t="shared" si="162"/>
        <v>0.55371900826446285</v>
      </c>
      <c r="F1314">
        <f t="shared" si="163"/>
        <v>145</v>
      </c>
      <c r="G1314">
        <f t="shared" si="164"/>
        <v>80.289256198347118</v>
      </c>
      <c r="H1314" t="str">
        <f>_xlfn.XLOOKUP(A1314,Fact_Events!$D$2:$D$20,Fact_Events!$A$2:$A$20, "")</f>
        <v/>
      </c>
      <c r="I1314">
        <f t="shared" si="165"/>
        <v>0</v>
      </c>
      <c r="J1314" t="str">
        <f>_xlfn.XLOOKUP(H1314, Fact_Events!$A$2:$A$20, Fact_Events!$F$2:$F$20, "")</f>
        <v/>
      </c>
      <c r="K1314" t="str">
        <f t="shared" si="166"/>
        <v>Low</v>
      </c>
      <c r="L1314">
        <f t="shared" si="167"/>
        <v>0.55000000000000004</v>
      </c>
      <c r="M1314">
        <f>_xlfn.XLOOKUP(B1314, Dim_Hotel!$A$2:$A$11, Dim_Hotel!$I$2:$I$11)
 + (IF(J1314="",0,J1314)
    * _xlfn.XLOOKUP(B1314, Dim_Hotel!$A$2:$A$11, Dim_Hotel!$J$2:$J$11))</f>
        <v>145</v>
      </c>
    </row>
    <row r="1315" spans="1:13" x14ac:dyDescent="0.25">
      <c r="A1315" s="1">
        <f t="shared" si="160"/>
        <v>46154</v>
      </c>
      <c r="B1315" t="str" cm="1">
        <f t="array" ref="B1315">INDEX(HotelList,MOD(ROW()-2,10)+1)</f>
        <v>H004</v>
      </c>
      <c r="C1315">
        <f>_xlfn.XLOOKUP(B1315,Dim_Hotel!$A$2:$A$11,Dim_Hotel!$F$2:$F$11)</f>
        <v>108</v>
      </c>
      <c r="D1315">
        <f t="shared" si="161"/>
        <v>59</v>
      </c>
      <c r="E1315">
        <f t="shared" si="162"/>
        <v>0.54629629629629628</v>
      </c>
      <c r="F1315">
        <f t="shared" si="163"/>
        <v>135</v>
      </c>
      <c r="G1315">
        <f t="shared" si="164"/>
        <v>73.75</v>
      </c>
      <c r="H1315" t="str">
        <f>_xlfn.XLOOKUP(A1315,Fact_Events!$D$2:$D$20,Fact_Events!$A$2:$A$20, "")</f>
        <v/>
      </c>
      <c r="I1315">
        <f t="shared" si="165"/>
        <v>0</v>
      </c>
      <c r="J1315" t="str">
        <f>_xlfn.XLOOKUP(H1315, Fact_Events!$A$2:$A$20, Fact_Events!$F$2:$F$20, "")</f>
        <v/>
      </c>
      <c r="K1315" t="str">
        <f t="shared" si="166"/>
        <v>Low</v>
      </c>
      <c r="L1315">
        <f t="shared" si="167"/>
        <v>0.55000000000000004</v>
      </c>
      <c r="M1315">
        <f>_xlfn.XLOOKUP(B1315, Dim_Hotel!$A$2:$A$11, Dim_Hotel!$I$2:$I$11)
 + (IF(J1315="",0,J1315)
    * _xlfn.XLOOKUP(B1315, Dim_Hotel!$A$2:$A$11, Dim_Hotel!$J$2:$J$11))</f>
        <v>135</v>
      </c>
    </row>
    <row r="1316" spans="1:13" x14ac:dyDescent="0.25">
      <c r="A1316" s="1">
        <f t="shared" si="160"/>
        <v>46154</v>
      </c>
      <c r="B1316" t="str" cm="1">
        <f t="array" ref="B1316">INDEX(HotelList,MOD(ROW()-2,10)+1)</f>
        <v>H005</v>
      </c>
      <c r="C1316">
        <f>_xlfn.XLOOKUP(B1316,Dim_Hotel!$A$2:$A$11,Dim_Hotel!$F$2:$F$11)</f>
        <v>66</v>
      </c>
      <c r="D1316">
        <f t="shared" si="161"/>
        <v>36</v>
      </c>
      <c r="E1316">
        <f t="shared" si="162"/>
        <v>0.54545454545454541</v>
      </c>
      <c r="F1316">
        <f t="shared" si="163"/>
        <v>82</v>
      </c>
      <c r="G1316">
        <f t="shared" si="164"/>
        <v>44.727272727272727</v>
      </c>
      <c r="H1316" t="str">
        <f>_xlfn.XLOOKUP(A1316,Fact_Events!$D$2:$D$20,Fact_Events!$A$2:$A$20, "")</f>
        <v/>
      </c>
      <c r="I1316">
        <f t="shared" si="165"/>
        <v>0</v>
      </c>
      <c r="J1316" t="str">
        <f>_xlfn.XLOOKUP(H1316, Fact_Events!$A$2:$A$20, Fact_Events!$F$2:$F$20, "")</f>
        <v/>
      </c>
      <c r="K1316" t="str">
        <f t="shared" si="166"/>
        <v>Low</v>
      </c>
      <c r="L1316">
        <f t="shared" si="167"/>
        <v>0.55000000000000004</v>
      </c>
      <c r="M1316">
        <f>_xlfn.XLOOKUP(B1316, Dim_Hotel!$A$2:$A$11, Dim_Hotel!$I$2:$I$11)
 + (IF(J1316="",0,J1316)
    * _xlfn.XLOOKUP(B1316, Dim_Hotel!$A$2:$A$11, Dim_Hotel!$J$2:$J$11))</f>
        <v>82</v>
      </c>
    </row>
    <row r="1317" spans="1:13" x14ac:dyDescent="0.25">
      <c r="A1317" s="1">
        <f t="shared" si="160"/>
        <v>46154</v>
      </c>
      <c r="B1317" t="str" cm="1">
        <f t="array" ref="B1317">INDEX(HotelList,MOD(ROW()-2,10)+1)</f>
        <v>H006</v>
      </c>
      <c r="C1317">
        <f>_xlfn.XLOOKUP(B1317,Dim_Hotel!$A$2:$A$11,Dim_Hotel!$F$2:$F$11)</f>
        <v>311</v>
      </c>
      <c r="D1317">
        <f t="shared" si="161"/>
        <v>171</v>
      </c>
      <c r="E1317">
        <f t="shared" si="162"/>
        <v>0.54983922829581988</v>
      </c>
      <c r="F1317">
        <f t="shared" si="163"/>
        <v>190</v>
      </c>
      <c r="G1317">
        <f t="shared" si="164"/>
        <v>104.46945337620578</v>
      </c>
      <c r="H1317" t="str">
        <f>_xlfn.XLOOKUP(A1317,Fact_Events!$D$2:$D$20,Fact_Events!$A$2:$A$20, "")</f>
        <v/>
      </c>
      <c r="I1317">
        <f t="shared" si="165"/>
        <v>0</v>
      </c>
      <c r="J1317" t="str">
        <f>_xlfn.XLOOKUP(H1317, Fact_Events!$A$2:$A$20, Fact_Events!$F$2:$F$20, "")</f>
        <v/>
      </c>
      <c r="K1317" t="str">
        <f t="shared" si="166"/>
        <v>Low</v>
      </c>
      <c r="L1317">
        <f t="shared" si="167"/>
        <v>0.55000000000000004</v>
      </c>
      <c r="M1317">
        <f>_xlfn.XLOOKUP(B1317, Dim_Hotel!$A$2:$A$11, Dim_Hotel!$I$2:$I$11)
 + (IF(J1317="",0,J1317)
    * _xlfn.XLOOKUP(B1317, Dim_Hotel!$A$2:$A$11, Dim_Hotel!$J$2:$J$11))</f>
        <v>190</v>
      </c>
    </row>
    <row r="1318" spans="1:13" x14ac:dyDescent="0.25">
      <c r="A1318" s="1">
        <f t="shared" si="160"/>
        <v>46154</v>
      </c>
      <c r="B1318" t="str" cm="1">
        <f t="array" ref="B1318">INDEX(HotelList,MOD(ROW()-2,10)+1)</f>
        <v>H007</v>
      </c>
      <c r="C1318">
        <f>_xlfn.XLOOKUP(B1318,Dim_Hotel!$A$2:$A$11,Dim_Hotel!$F$2:$F$11)</f>
        <v>132</v>
      </c>
      <c r="D1318">
        <f t="shared" si="161"/>
        <v>73</v>
      </c>
      <c r="E1318">
        <f t="shared" si="162"/>
        <v>0.55303030303030298</v>
      </c>
      <c r="F1318">
        <f t="shared" si="163"/>
        <v>165</v>
      </c>
      <c r="G1318">
        <f t="shared" si="164"/>
        <v>91.249999999999986</v>
      </c>
      <c r="H1318" t="str">
        <f>_xlfn.XLOOKUP(A1318,Fact_Events!$D$2:$D$20,Fact_Events!$A$2:$A$20, "")</f>
        <v/>
      </c>
      <c r="I1318">
        <f t="shared" si="165"/>
        <v>0</v>
      </c>
      <c r="J1318" t="str">
        <f>_xlfn.XLOOKUP(H1318, Fact_Events!$A$2:$A$20, Fact_Events!$F$2:$F$20, "")</f>
        <v/>
      </c>
      <c r="K1318" t="str">
        <f t="shared" si="166"/>
        <v>Low</v>
      </c>
      <c r="L1318">
        <f t="shared" si="167"/>
        <v>0.55000000000000004</v>
      </c>
      <c r="M1318">
        <f>_xlfn.XLOOKUP(B1318, Dim_Hotel!$A$2:$A$11, Dim_Hotel!$I$2:$I$11)
 + (IF(J1318="",0,J1318)
    * _xlfn.XLOOKUP(B1318, Dim_Hotel!$A$2:$A$11, Dim_Hotel!$J$2:$J$11))</f>
        <v>165</v>
      </c>
    </row>
    <row r="1319" spans="1:13" x14ac:dyDescent="0.25">
      <c r="A1319" s="1">
        <f t="shared" si="160"/>
        <v>46154</v>
      </c>
      <c r="B1319" t="str" cm="1">
        <f t="array" ref="B1319">INDEX(HotelList,MOD(ROW()-2,10)+1)</f>
        <v>H008</v>
      </c>
      <c r="C1319">
        <f>_xlfn.XLOOKUP(B1319,Dim_Hotel!$A$2:$A$11,Dim_Hotel!$F$2:$F$11)</f>
        <v>103</v>
      </c>
      <c r="D1319">
        <f t="shared" si="161"/>
        <v>57</v>
      </c>
      <c r="E1319">
        <f t="shared" si="162"/>
        <v>0.55339805825242716</v>
      </c>
      <c r="F1319">
        <f t="shared" si="163"/>
        <v>140</v>
      </c>
      <c r="G1319">
        <f t="shared" si="164"/>
        <v>77.475728155339809</v>
      </c>
      <c r="H1319" t="str">
        <f>_xlfn.XLOOKUP(A1319,Fact_Events!$D$2:$D$20,Fact_Events!$A$2:$A$20, "")</f>
        <v/>
      </c>
      <c r="I1319">
        <f t="shared" si="165"/>
        <v>0</v>
      </c>
      <c r="J1319" t="str">
        <f>_xlfn.XLOOKUP(H1319, Fact_Events!$A$2:$A$20, Fact_Events!$F$2:$F$20, "")</f>
        <v/>
      </c>
      <c r="K1319" t="str">
        <f t="shared" si="166"/>
        <v>Low</v>
      </c>
      <c r="L1319">
        <f t="shared" si="167"/>
        <v>0.55000000000000004</v>
      </c>
      <c r="M1319">
        <f>_xlfn.XLOOKUP(B1319, Dim_Hotel!$A$2:$A$11, Dim_Hotel!$I$2:$I$11)
 + (IF(J1319="",0,J1319)
    * _xlfn.XLOOKUP(B1319, Dim_Hotel!$A$2:$A$11, Dim_Hotel!$J$2:$J$11))</f>
        <v>140</v>
      </c>
    </row>
    <row r="1320" spans="1:13" x14ac:dyDescent="0.25">
      <c r="A1320" s="1">
        <f t="shared" si="160"/>
        <v>46154</v>
      </c>
      <c r="B1320" t="str" cm="1">
        <f t="array" ref="B1320">INDEX(HotelList,MOD(ROW()-2,10)+1)</f>
        <v>H009</v>
      </c>
      <c r="C1320">
        <f>_xlfn.XLOOKUP(B1320,Dim_Hotel!$A$2:$A$11,Dim_Hotel!$F$2:$F$11)</f>
        <v>114</v>
      </c>
      <c r="D1320">
        <f t="shared" si="161"/>
        <v>63</v>
      </c>
      <c r="E1320">
        <f t="shared" si="162"/>
        <v>0.55263157894736847</v>
      </c>
      <c r="F1320">
        <f t="shared" si="163"/>
        <v>185</v>
      </c>
      <c r="G1320">
        <f t="shared" si="164"/>
        <v>102.23684210526316</v>
      </c>
      <c r="H1320" t="str">
        <f>_xlfn.XLOOKUP(A1320,Fact_Events!$D$2:$D$20,Fact_Events!$A$2:$A$20, "")</f>
        <v/>
      </c>
      <c r="I1320">
        <f t="shared" si="165"/>
        <v>0</v>
      </c>
      <c r="J1320" t="str">
        <f>_xlfn.XLOOKUP(H1320, Fact_Events!$A$2:$A$20, Fact_Events!$F$2:$F$20, "")</f>
        <v/>
      </c>
      <c r="K1320" t="str">
        <f t="shared" si="166"/>
        <v>Low</v>
      </c>
      <c r="L1320">
        <f t="shared" si="167"/>
        <v>0.55000000000000004</v>
      </c>
      <c r="M1320">
        <f>_xlfn.XLOOKUP(B1320, Dim_Hotel!$A$2:$A$11, Dim_Hotel!$I$2:$I$11)
 + (IF(J1320="",0,J1320)
    * _xlfn.XLOOKUP(B1320, Dim_Hotel!$A$2:$A$11, Dim_Hotel!$J$2:$J$11))</f>
        <v>185</v>
      </c>
    </row>
    <row r="1321" spans="1:13" x14ac:dyDescent="0.25">
      <c r="A1321" s="1">
        <f t="shared" si="160"/>
        <v>46154</v>
      </c>
      <c r="B1321" t="str" cm="1">
        <f t="array" ref="B1321">INDEX(HotelList,MOD(ROW()-2,10)+1)</f>
        <v>H010</v>
      </c>
      <c r="C1321">
        <f>_xlfn.XLOOKUP(B1321,Dim_Hotel!$A$2:$A$11,Dim_Hotel!$F$2:$F$11)</f>
        <v>89</v>
      </c>
      <c r="D1321">
        <f t="shared" si="161"/>
        <v>49</v>
      </c>
      <c r="E1321">
        <f t="shared" si="162"/>
        <v>0.550561797752809</v>
      </c>
      <c r="F1321">
        <f t="shared" si="163"/>
        <v>150</v>
      </c>
      <c r="G1321">
        <f t="shared" si="164"/>
        <v>82.584269662921344</v>
      </c>
      <c r="H1321" t="str">
        <f>_xlfn.XLOOKUP(A1321,Fact_Events!$D$2:$D$20,Fact_Events!$A$2:$A$20, "")</f>
        <v/>
      </c>
      <c r="I1321">
        <f t="shared" si="165"/>
        <v>0</v>
      </c>
      <c r="J1321" t="str">
        <f>_xlfn.XLOOKUP(H1321, Fact_Events!$A$2:$A$20, Fact_Events!$F$2:$F$20, "")</f>
        <v/>
      </c>
      <c r="K1321" t="str">
        <f t="shared" si="166"/>
        <v>Low</v>
      </c>
      <c r="L1321">
        <f t="shared" si="167"/>
        <v>0.55000000000000004</v>
      </c>
      <c r="M1321">
        <f>_xlfn.XLOOKUP(B1321, Dim_Hotel!$A$2:$A$11, Dim_Hotel!$I$2:$I$11)
 + (IF(J1321="",0,J1321)
    * _xlfn.XLOOKUP(B1321, Dim_Hotel!$A$2:$A$11, Dim_Hotel!$J$2:$J$11))</f>
        <v>150</v>
      </c>
    </row>
    <row r="1322" spans="1:13" x14ac:dyDescent="0.25">
      <c r="A1322" s="1">
        <f t="shared" si="160"/>
        <v>46155</v>
      </c>
      <c r="B1322" t="str" cm="1">
        <f t="array" ref="B1322">INDEX(HotelList,MOD(ROW()-2,10)+1)</f>
        <v>H001</v>
      </c>
      <c r="C1322">
        <f>_xlfn.XLOOKUP(B1322,Dim_Hotel!$A$2:$A$11,Dim_Hotel!$F$2:$F$11)</f>
        <v>888</v>
      </c>
      <c r="D1322">
        <f t="shared" si="161"/>
        <v>488</v>
      </c>
      <c r="E1322">
        <f t="shared" si="162"/>
        <v>0.5495495495495496</v>
      </c>
      <c r="F1322">
        <f t="shared" si="163"/>
        <v>260</v>
      </c>
      <c r="G1322">
        <f t="shared" si="164"/>
        <v>142.88288288288288</v>
      </c>
      <c r="H1322" t="str">
        <f>_xlfn.XLOOKUP(A1322,Fact_Events!$D$2:$D$20,Fact_Events!$A$2:$A$20, "")</f>
        <v/>
      </c>
      <c r="I1322">
        <f t="shared" si="165"/>
        <v>0</v>
      </c>
      <c r="J1322" t="str">
        <f>_xlfn.XLOOKUP(H1322, Fact_Events!$A$2:$A$20, Fact_Events!$F$2:$F$20, "")</f>
        <v/>
      </c>
      <c r="K1322" t="str">
        <f t="shared" si="166"/>
        <v>Low</v>
      </c>
      <c r="L1322">
        <f t="shared" si="167"/>
        <v>0.55000000000000004</v>
      </c>
      <c r="M1322">
        <f>_xlfn.XLOOKUP(B1322, Dim_Hotel!$A$2:$A$11, Dim_Hotel!$I$2:$I$11)
 + (IF(J1322="",0,J1322)
    * _xlfn.XLOOKUP(B1322, Dim_Hotel!$A$2:$A$11, Dim_Hotel!$J$2:$J$11))</f>
        <v>260</v>
      </c>
    </row>
    <row r="1323" spans="1:13" x14ac:dyDescent="0.25">
      <c r="A1323" s="1">
        <f t="shared" si="160"/>
        <v>46155</v>
      </c>
      <c r="B1323" t="str" cm="1">
        <f t="array" ref="B1323">INDEX(HotelList,MOD(ROW()-2,10)+1)</f>
        <v>H002</v>
      </c>
      <c r="C1323">
        <f>_xlfn.XLOOKUP(B1323,Dim_Hotel!$A$2:$A$11,Dim_Hotel!$F$2:$F$11)</f>
        <v>147</v>
      </c>
      <c r="D1323">
        <f t="shared" si="161"/>
        <v>81</v>
      </c>
      <c r="E1323">
        <f t="shared" si="162"/>
        <v>0.55102040816326525</v>
      </c>
      <c r="F1323">
        <f t="shared" si="163"/>
        <v>175</v>
      </c>
      <c r="G1323">
        <f t="shared" si="164"/>
        <v>96.428571428571416</v>
      </c>
      <c r="H1323" t="str">
        <f>_xlfn.XLOOKUP(A1323,Fact_Events!$D$2:$D$20,Fact_Events!$A$2:$A$20, "")</f>
        <v/>
      </c>
      <c r="I1323">
        <f t="shared" si="165"/>
        <v>0</v>
      </c>
      <c r="J1323" t="str">
        <f>_xlfn.XLOOKUP(H1323, Fact_Events!$A$2:$A$20, Fact_Events!$F$2:$F$20, "")</f>
        <v/>
      </c>
      <c r="K1323" t="str">
        <f t="shared" si="166"/>
        <v>Low</v>
      </c>
      <c r="L1323">
        <f t="shared" si="167"/>
        <v>0.55000000000000004</v>
      </c>
      <c r="M1323">
        <f>_xlfn.XLOOKUP(B1323, Dim_Hotel!$A$2:$A$11, Dim_Hotel!$I$2:$I$11)
 + (IF(J1323="",0,J1323)
    * _xlfn.XLOOKUP(B1323, Dim_Hotel!$A$2:$A$11, Dim_Hotel!$J$2:$J$11))</f>
        <v>175</v>
      </c>
    </row>
    <row r="1324" spans="1:13" x14ac:dyDescent="0.25">
      <c r="A1324" s="1">
        <f t="shared" si="160"/>
        <v>46155</v>
      </c>
      <c r="B1324" t="str" cm="1">
        <f t="array" ref="B1324">INDEX(HotelList,MOD(ROW()-2,10)+1)</f>
        <v>H003</v>
      </c>
      <c r="C1324">
        <f>_xlfn.XLOOKUP(B1324,Dim_Hotel!$A$2:$A$11,Dim_Hotel!$F$2:$F$11)</f>
        <v>121</v>
      </c>
      <c r="D1324">
        <f t="shared" si="161"/>
        <v>67</v>
      </c>
      <c r="E1324">
        <f t="shared" si="162"/>
        <v>0.55371900826446285</v>
      </c>
      <c r="F1324">
        <f t="shared" si="163"/>
        <v>145</v>
      </c>
      <c r="G1324">
        <f t="shared" si="164"/>
        <v>80.289256198347118</v>
      </c>
      <c r="H1324" t="str">
        <f>_xlfn.XLOOKUP(A1324,Fact_Events!$D$2:$D$20,Fact_Events!$A$2:$A$20, "")</f>
        <v/>
      </c>
      <c r="I1324">
        <f t="shared" si="165"/>
        <v>0</v>
      </c>
      <c r="J1324" t="str">
        <f>_xlfn.XLOOKUP(H1324, Fact_Events!$A$2:$A$20, Fact_Events!$F$2:$F$20, "")</f>
        <v/>
      </c>
      <c r="K1324" t="str">
        <f t="shared" si="166"/>
        <v>Low</v>
      </c>
      <c r="L1324">
        <f t="shared" si="167"/>
        <v>0.55000000000000004</v>
      </c>
      <c r="M1324">
        <f>_xlfn.XLOOKUP(B1324, Dim_Hotel!$A$2:$A$11, Dim_Hotel!$I$2:$I$11)
 + (IF(J1324="",0,J1324)
    * _xlfn.XLOOKUP(B1324, Dim_Hotel!$A$2:$A$11, Dim_Hotel!$J$2:$J$11))</f>
        <v>145</v>
      </c>
    </row>
    <row r="1325" spans="1:13" x14ac:dyDescent="0.25">
      <c r="A1325" s="1">
        <f t="shared" si="160"/>
        <v>46155</v>
      </c>
      <c r="B1325" t="str" cm="1">
        <f t="array" ref="B1325">INDEX(HotelList,MOD(ROW()-2,10)+1)</f>
        <v>H004</v>
      </c>
      <c r="C1325">
        <f>_xlfn.XLOOKUP(B1325,Dim_Hotel!$A$2:$A$11,Dim_Hotel!$F$2:$F$11)</f>
        <v>108</v>
      </c>
      <c r="D1325">
        <f t="shared" si="161"/>
        <v>59</v>
      </c>
      <c r="E1325">
        <f t="shared" si="162"/>
        <v>0.54629629629629628</v>
      </c>
      <c r="F1325">
        <f t="shared" si="163"/>
        <v>135</v>
      </c>
      <c r="G1325">
        <f t="shared" si="164"/>
        <v>73.75</v>
      </c>
      <c r="H1325" t="str">
        <f>_xlfn.XLOOKUP(A1325,Fact_Events!$D$2:$D$20,Fact_Events!$A$2:$A$20, "")</f>
        <v/>
      </c>
      <c r="I1325">
        <f t="shared" si="165"/>
        <v>0</v>
      </c>
      <c r="J1325" t="str">
        <f>_xlfn.XLOOKUP(H1325, Fact_Events!$A$2:$A$20, Fact_Events!$F$2:$F$20, "")</f>
        <v/>
      </c>
      <c r="K1325" t="str">
        <f t="shared" si="166"/>
        <v>Low</v>
      </c>
      <c r="L1325">
        <f t="shared" si="167"/>
        <v>0.55000000000000004</v>
      </c>
      <c r="M1325">
        <f>_xlfn.XLOOKUP(B1325, Dim_Hotel!$A$2:$A$11, Dim_Hotel!$I$2:$I$11)
 + (IF(J1325="",0,J1325)
    * _xlfn.XLOOKUP(B1325, Dim_Hotel!$A$2:$A$11, Dim_Hotel!$J$2:$J$11))</f>
        <v>135</v>
      </c>
    </row>
    <row r="1326" spans="1:13" x14ac:dyDescent="0.25">
      <c r="A1326" s="1">
        <f t="shared" si="160"/>
        <v>46155</v>
      </c>
      <c r="B1326" t="str" cm="1">
        <f t="array" ref="B1326">INDEX(HotelList,MOD(ROW()-2,10)+1)</f>
        <v>H005</v>
      </c>
      <c r="C1326">
        <f>_xlfn.XLOOKUP(B1326,Dim_Hotel!$A$2:$A$11,Dim_Hotel!$F$2:$F$11)</f>
        <v>66</v>
      </c>
      <c r="D1326">
        <f t="shared" si="161"/>
        <v>36</v>
      </c>
      <c r="E1326">
        <f t="shared" si="162"/>
        <v>0.54545454545454541</v>
      </c>
      <c r="F1326">
        <f t="shared" si="163"/>
        <v>82</v>
      </c>
      <c r="G1326">
        <f t="shared" si="164"/>
        <v>44.727272727272727</v>
      </c>
      <c r="H1326" t="str">
        <f>_xlfn.XLOOKUP(A1326,Fact_Events!$D$2:$D$20,Fact_Events!$A$2:$A$20, "")</f>
        <v/>
      </c>
      <c r="I1326">
        <f t="shared" si="165"/>
        <v>0</v>
      </c>
      <c r="J1326" t="str">
        <f>_xlfn.XLOOKUP(H1326, Fact_Events!$A$2:$A$20, Fact_Events!$F$2:$F$20, "")</f>
        <v/>
      </c>
      <c r="K1326" t="str">
        <f t="shared" si="166"/>
        <v>Low</v>
      </c>
      <c r="L1326">
        <f t="shared" si="167"/>
        <v>0.55000000000000004</v>
      </c>
      <c r="M1326">
        <f>_xlfn.XLOOKUP(B1326, Dim_Hotel!$A$2:$A$11, Dim_Hotel!$I$2:$I$11)
 + (IF(J1326="",0,J1326)
    * _xlfn.XLOOKUP(B1326, Dim_Hotel!$A$2:$A$11, Dim_Hotel!$J$2:$J$11))</f>
        <v>82</v>
      </c>
    </row>
    <row r="1327" spans="1:13" x14ac:dyDescent="0.25">
      <c r="A1327" s="1">
        <f t="shared" si="160"/>
        <v>46155</v>
      </c>
      <c r="B1327" t="str" cm="1">
        <f t="array" ref="B1327">INDEX(HotelList,MOD(ROW()-2,10)+1)</f>
        <v>H006</v>
      </c>
      <c r="C1327">
        <f>_xlfn.XLOOKUP(B1327,Dim_Hotel!$A$2:$A$11,Dim_Hotel!$F$2:$F$11)</f>
        <v>311</v>
      </c>
      <c r="D1327">
        <f t="shared" si="161"/>
        <v>171</v>
      </c>
      <c r="E1327">
        <f t="shared" si="162"/>
        <v>0.54983922829581988</v>
      </c>
      <c r="F1327">
        <f t="shared" si="163"/>
        <v>190</v>
      </c>
      <c r="G1327">
        <f t="shared" si="164"/>
        <v>104.46945337620578</v>
      </c>
      <c r="H1327" t="str">
        <f>_xlfn.XLOOKUP(A1327,Fact_Events!$D$2:$D$20,Fact_Events!$A$2:$A$20, "")</f>
        <v/>
      </c>
      <c r="I1327">
        <f t="shared" si="165"/>
        <v>0</v>
      </c>
      <c r="J1327" t="str">
        <f>_xlfn.XLOOKUP(H1327, Fact_Events!$A$2:$A$20, Fact_Events!$F$2:$F$20, "")</f>
        <v/>
      </c>
      <c r="K1327" t="str">
        <f t="shared" si="166"/>
        <v>Low</v>
      </c>
      <c r="L1327">
        <f t="shared" si="167"/>
        <v>0.55000000000000004</v>
      </c>
      <c r="M1327">
        <f>_xlfn.XLOOKUP(B1327, Dim_Hotel!$A$2:$A$11, Dim_Hotel!$I$2:$I$11)
 + (IF(J1327="",0,J1327)
    * _xlfn.XLOOKUP(B1327, Dim_Hotel!$A$2:$A$11, Dim_Hotel!$J$2:$J$11))</f>
        <v>190</v>
      </c>
    </row>
    <row r="1328" spans="1:13" x14ac:dyDescent="0.25">
      <c r="A1328" s="1">
        <f t="shared" si="160"/>
        <v>46155</v>
      </c>
      <c r="B1328" t="str" cm="1">
        <f t="array" ref="B1328">INDEX(HotelList,MOD(ROW()-2,10)+1)</f>
        <v>H007</v>
      </c>
      <c r="C1328">
        <f>_xlfn.XLOOKUP(B1328,Dim_Hotel!$A$2:$A$11,Dim_Hotel!$F$2:$F$11)</f>
        <v>132</v>
      </c>
      <c r="D1328">
        <f t="shared" si="161"/>
        <v>73</v>
      </c>
      <c r="E1328">
        <f t="shared" si="162"/>
        <v>0.55303030303030298</v>
      </c>
      <c r="F1328">
        <f t="shared" si="163"/>
        <v>165</v>
      </c>
      <c r="G1328">
        <f t="shared" si="164"/>
        <v>91.249999999999986</v>
      </c>
      <c r="H1328" t="str">
        <f>_xlfn.XLOOKUP(A1328,Fact_Events!$D$2:$D$20,Fact_Events!$A$2:$A$20, "")</f>
        <v/>
      </c>
      <c r="I1328">
        <f t="shared" si="165"/>
        <v>0</v>
      </c>
      <c r="J1328" t="str">
        <f>_xlfn.XLOOKUP(H1328, Fact_Events!$A$2:$A$20, Fact_Events!$F$2:$F$20, "")</f>
        <v/>
      </c>
      <c r="K1328" t="str">
        <f t="shared" si="166"/>
        <v>Low</v>
      </c>
      <c r="L1328">
        <f t="shared" si="167"/>
        <v>0.55000000000000004</v>
      </c>
      <c r="M1328">
        <f>_xlfn.XLOOKUP(B1328, Dim_Hotel!$A$2:$A$11, Dim_Hotel!$I$2:$I$11)
 + (IF(J1328="",0,J1328)
    * _xlfn.XLOOKUP(B1328, Dim_Hotel!$A$2:$A$11, Dim_Hotel!$J$2:$J$11))</f>
        <v>165</v>
      </c>
    </row>
    <row r="1329" spans="1:13" x14ac:dyDescent="0.25">
      <c r="A1329" s="1">
        <f t="shared" si="160"/>
        <v>46155</v>
      </c>
      <c r="B1329" t="str" cm="1">
        <f t="array" ref="B1329">INDEX(HotelList,MOD(ROW()-2,10)+1)</f>
        <v>H008</v>
      </c>
      <c r="C1329">
        <f>_xlfn.XLOOKUP(B1329,Dim_Hotel!$A$2:$A$11,Dim_Hotel!$F$2:$F$11)</f>
        <v>103</v>
      </c>
      <c r="D1329">
        <f t="shared" si="161"/>
        <v>57</v>
      </c>
      <c r="E1329">
        <f t="shared" si="162"/>
        <v>0.55339805825242716</v>
      </c>
      <c r="F1329">
        <f t="shared" si="163"/>
        <v>140</v>
      </c>
      <c r="G1329">
        <f t="shared" si="164"/>
        <v>77.475728155339809</v>
      </c>
      <c r="H1329" t="str">
        <f>_xlfn.XLOOKUP(A1329,Fact_Events!$D$2:$D$20,Fact_Events!$A$2:$A$20, "")</f>
        <v/>
      </c>
      <c r="I1329">
        <f t="shared" si="165"/>
        <v>0</v>
      </c>
      <c r="J1329" t="str">
        <f>_xlfn.XLOOKUP(H1329, Fact_Events!$A$2:$A$20, Fact_Events!$F$2:$F$20, "")</f>
        <v/>
      </c>
      <c r="K1329" t="str">
        <f t="shared" si="166"/>
        <v>Low</v>
      </c>
      <c r="L1329">
        <f t="shared" si="167"/>
        <v>0.55000000000000004</v>
      </c>
      <c r="M1329">
        <f>_xlfn.XLOOKUP(B1329, Dim_Hotel!$A$2:$A$11, Dim_Hotel!$I$2:$I$11)
 + (IF(J1329="",0,J1329)
    * _xlfn.XLOOKUP(B1329, Dim_Hotel!$A$2:$A$11, Dim_Hotel!$J$2:$J$11))</f>
        <v>140</v>
      </c>
    </row>
    <row r="1330" spans="1:13" x14ac:dyDescent="0.25">
      <c r="A1330" s="1">
        <f t="shared" si="160"/>
        <v>46155</v>
      </c>
      <c r="B1330" t="str" cm="1">
        <f t="array" ref="B1330">INDEX(HotelList,MOD(ROW()-2,10)+1)</f>
        <v>H009</v>
      </c>
      <c r="C1330">
        <f>_xlfn.XLOOKUP(B1330,Dim_Hotel!$A$2:$A$11,Dim_Hotel!$F$2:$F$11)</f>
        <v>114</v>
      </c>
      <c r="D1330">
        <f t="shared" si="161"/>
        <v>63</v>
      </c>
      <c r="E1330">
        <f t="shared" si="162"/>
        <v>0.55263157894736847</v>
      </c>
      <c r="F1330">
        <f t="shared" si="163"/>
        <v>185</v>
      </c>
      <c r="G1330">
        <f t="shared" si="164"/>
        <v>102.23684210526316</v>
      </c>
      <c r="H1330" t="str">
        <f>_xlfn.XLOOKUP(A1330,Fact_Events!$D$2:$D$20,Fact_Events!$A$2:$A$20, "")</f>
        <v/>
      </c>
      <c r="I1330">
        <f t="shared" si="165"/>
        <v>0</v>
      </c>
      <c r="J1330" t="str">
        <f>_xlfn.XLOOKUP(H1330, Fact_Events!$A$2:$A$20, Fact_Events!$F$2:$F$20, "")</f>
        <v/>
      </c>
      <c r="K1330" t="str">
        <f t="shared" si="166"/>
        <v>Low</v>
      </c>
      <c r="L1330">
        <f t="shared" si="167"/>
        <v>0.55000000000000004</v>
      </c>
      <c r="M1330">
        <f>_xlfn.XLOOKUP(B1330, Dim_Hotel!$A$2:$A$11, Dim_Hotel!$I$2:$I$11)
 + (IF(J1330="",0,J1330)
    * _xlfn.XLOOKUP(B1330, Dim_Hotel!$A$2:$A$11, Dim_Hotel!$J$2:$J$11))</f>
        <v>185</v>
      </c>
    </row>
    <row r="1331" spans="1:13" x14ac:dyDescent="0.25">
      <c r="A1331" s="1">
        <f t="shared" si="160"/>
        <v>46155</v>
      </c>
      <c r="B1331" t="str" cm="1">
        <f t="array" ref="B1331">INDEX(HotelList,MOD(ROW()-2,10)+1)</f>
        <v>H010</v>
      </c>
      <c r="C1331">
        <f>_xlfn.XLOOKUP(B1331,Dim_Hotel!$A$2:$A$11,Dim_Hotel!$F$2:$F$11)</f>
        <v>89</v>
      </c>
      <c r="D1331">
        <f t="shared" si="161"/>
        <v>49</v>
      </c>
      <c r="E1331">
        <f t="shared" si="162"/>
        <v>0.550561797752809</v>
      </c>
      <c r="F1331">
        <f t="shared" si="163"/>
        <v>150</v>
      </c>
      <c r="G1331">
        <f t="shared" si="164"/>
        <v>82.584269662921344</v>
      </c>
      <c r="H1331" t="str">
        <f>_xlfn.XLOOKUP(A1331,Fact_Events!$D$2:$D$20,Fact_Events!$A$2:$A$20, "")</f>
        <v/>
      </c>
      <c r="I1331">
        <f t="shared" si="165"/>
        <v>0</v>
      </c>
      <c r="J1331" t="str">
        <f>_xlfn.XLOOKUP(H1331, Fact_Events!$A$2:$A$20, Fact_Events!$F$2:$F$20, "")</f>
        <v/>
      </c>
      <c r="K1331" t="str">
        <f t="shared" si="166"/>
        <v>Low</v>
      </c>
      <c r="L1331">
        <f t="shared" si="167"/>
        <v>0.55000000000000004</v>
      </c>
      <c r="M1331">
        <f>_xlfn.XLOOKUP(B1331, Dim_Hotel!$A$2:$A$11, Dim_Hotel!$I$2:$I$11)
 + (IF(J1331="",0,J1331)
    * _xlfn.XLOOKUP(B1331, Dim_Hotel!$A$2:$A$11, Dim_Hotel!$J$2:$J$11))</f>
        <v>150</v>
      </c>
    </row>
    <row r="1332" spans="1:13" x14ac:dyDescent="0.25">
      <c r="A1332" s="1">
        <f t="shared" si="160"/>
        <v>46156</v>
      </c>
      <c r="B1332" t="str" cm="1">
        <f t="array" ref="B1332">INDEX(HotelList,MOD(ROW()-2,10)+1)</f>
        <v>H001</v>
      </c>
      <c r="C1332">
        <f>_xlfn.XLOOKUP(B1332,Dim_Hotel!$A$2:$A$11,Dim_Hotel!$F$2:$F$11)</f>
        <v>888</v>
      </c>
      <c r="D1332">
        <f t="shared" si="161"/>
        <v>488</v>
      </c>
      <c r="E1332">
        <f t="shared" si="162"/>
        <v>0.5495495495495496</v>
      </c>
      <c r="F1332">
        <f t="shared" si="163"/>
        <v>260</v>
      </c>
      <c r="G1332">
        <f t="shared" si="164"/>
        <v>142.88288288288288</v>
      </c>
      <c r="H1332" t="str">
        <f>_xlfn.XLOOKUP(A1332,Fact_Events!$D$2:$D$20,Fact_Events!$A$2:$A$20, "")</f>
        <v/>
      </c>
      <c r="I1332">
        <f t="shared" si="165"/>
        <v>0</v>
      </c>
      <c r="J1332" t="str">
        <f>_xlfn.XLOOKUP(H1332, Fact_Events!$A$2:$A$20, Fact_Events!$F$2:$F$20, "")</f>
        <v/>
      </c>
      <c r="K1332" t="str">
        <f t="shared" si="166"/>
        <v>Low</v>
      </c>
      <c r="L1332">
        <f t="shared" si="167"/>
        <v>0.55000000000000004</v>
      </c>
      <c r="M1332">
        <f>_xlfn.XLOOKUP(B1332, Dim_Hotel!$A$2:$A$11, Dim_Hotel!$I$2:$I$11)
 + (IF(J1332="",0,J1332)
    * _xlfn.XLOOKUP(B1332, Dim_Hotel!$A$2:$A$11, Dim_Hotel!$J$2:$J$11))</f>
        <v>260</v>
      </c>
    </row>
    <row r="1333" spans="1:13" x14ac:dyDescent="0.25">
      <c r="A1333" s="1">
        <f t="shared" si="160"/>
        <v>46156</v>
      </c>
      <c r="B1333" t="str" cm="1">
        <f t="array" ref="B1333">INDEX(HotelList,MOD(ROW()-2,10)+1)</f>
        <v>H002</v>
      </c>
      <c r="C1333">
        <f>_xlfn.XLOOKUP(B1333,Dim_Hotel!$A$2:$A$11,Dim_Hotel!$F$2:$F$11)</f>
        <v>147</v>
      </c>
      <c r="D1333">
        <f t="shared" si="161"/>
        <v>81</v>
      </c>
      <c r="E1333">
        <f t="shared" si="162"/>
        <v>0.55102040816326525</v>
      </c>
      <c r="F1333">
        <f t="shared" si="163"/>
        <v>175</v>
      </c>
      <c r="G1333">
        <f t="shared" si="164"/>
        <v>96.428571428571416</v>
      </c>
      <c r="H1333" t="str">
        <f>_xlfn.XLOOKUP(A1333,Fact_Events!$D$2:$D$20,Fact_Events!$A$2:$A$20, "")</f>
        <v/>
      </c>
      <c r="I1333">
        <f t="shared" si="165"/>
        <v>0</v>
      </c>
      <c r="J1333" t="str">
        <f>_xlfn.XLOOKUP(H1333, Fact_Events!$A$2:$A$20, Fact_Events!$F$2:$F$20, "")</f>
        <v/>
      </c>
      <c r="K1333" t="str">
        <f t="shared" si="166"/>
        <v>Low</v>
      </c>
      <c r="L1333">
        <f t="shared" si="167"/>
        <v>0.55000000000000004</v>
      </c>
      <c r="M1333">
        <f>_xlfn.XLOOKUP(B1333, Dim_Hotel!$A$2:$A$11, Dim_Hotel!$I$2:$I$11)
 + (IF(J1333="",0,J1333)
    * _xlfn.XLOOKUP(B1333, Dim_Hotel!$A$2:$A$11, Dim_Hotel!$J$2:$J$11))</f>
        <v>175</v>
      </c>
    </row>
    <row r="1334" spans="1:13" x14ac:dyDescent="0.25">
      <c r="A1334" s="1">
        <f t="shared" si="160"/>
        <v>46156</v>
      </c>
      <c r="B1334" t="str" cm="1">
        <f t="array" ref="B1334">INDEX(HotelList,MOD(ROW()-2,10)+1)</f>
        <v>H003</v>
      </c>
      <c r="C1334">
        <f>_xlfn.XLOOKUP(B1334,Dim_Hotel!$A$2:$A$11,Dim_Hotel!$F$2:$F$11)</f>
        <v>121</v>
      </c>
      <c r="D1334">
        <f t="shared" si="161"/>
        <v>67</v>
      </c>
      <c r="E1334">
        <f t="shared" si="162"/>
        <v>0.55371900826446285</v>
      </c>
      <c r="F1334">
        <f t="shared" si="163"/>
        <v>145</v>
      </c>
      <c r="G1334">
        <f t="shared" si="164"/>
        <v>80.289256198347118</v>
      </c>
      <c r="H1334" t="str">
        <f>_xlfn.XLOOKUP(A1334,Fact_Events!$D$2:$D$20,Fact_Events!$A$2:$A$20, "")</f>
        <v/>
      </c>
      <c r="I1334">
        <f t="shared" si="165"/>
        <v>0</v>
      </c>
      <c r="J1334" t="str">
        <f>_xlfn.XLOOKUP(H1334, Fact_Events!$A$2:$A$20, Fact_Events!$F$2:$F$20, "")</f>
        <v/>
      </c>
      <c r="K1334" t="str">
        <f t="shared" si="166"/>
        <v>Low</v>
      </c>
      <c r="L1334">
        <f t="shared" si="167"/>
        <v>0.55000000000000004</v>
      </c>
      <c r="M1334">
        <f>_xlfn.XLOOKUP(B1334, Dim_Hotel!$A$2:$A$11, Dim_Hotel!$I$2:$I$11)
 + (IF(J1334="",0,J1334)
    * _xlfn.XLOOKUP(B1334, Dim_Hotel!$A$2:$A$11, Dim_Hotel!$J$2:$J$11))</f>
        <v>145</v>
      </c>
    </row>
    <row r="1335" spans="1:13" x14ac:dyDescent="0.25">
      <c r="A1335" s="1">
        <f t="shared" si="160"/>
        <v>46156</v>
      </c>
      <c r="B1335" t="str" cm="1">
        <f t="array" ref="B1335">INDEX(HotelList,MOD(ROW()-2,10)+1)</f>
        <v>H004</v>
      </c>
      <c r="C1335">
        <f>_xlfn.XLOOKUP(B1335,Dim_Hotel!$A$2:$A$11,Dim_Hotel!$F$2:$F$11)</f>
        <v>108</v>
      </c>
      <c r="D1335">
        <f t="shared" si="161"/>
        <v>59</v>
      </c>
      <c r="E1335">
        <f t="shared" si="162"/>
        <v>0.54629629629629628</v>
      </c>
      <c r="F1335">
        <f t="shared" si="163"/>
        <v>135</v>
      </c>
      <c r="G1335">
        <f t="shared" si="164"/>
        <v>73.75</v>
      </c>
      <c r="H1335" t="str">
        <f>_xlfn.XLOOKUP(A1335,Fact_Events!$D$2:$D$20,Fact_Events!$A$2:$A$20, "")</f>
        <v/>
      </c>
      <c r="I1335">
        <f t="shared" si="165"/>
        <v>0</v>
      </c>
      <c r="J1335" t="str">
        <f>_xlfn.XLOOKUP(H1335, Fact_Events!$A$2:$A$20, Fact_Events!$F$2:$F$20, "")</f>
        <v/>
      </c>
      <c r="K1335" t="str">
        <f t="shared" si="166"/>
        <v>Low</v>
      </c>
      <c r="L1335">
        <f t="shared" si="167"/>
        <v>0.55000000000000004</v>
      </c>
      <c r="M1335">
        <f>_xlfn.XLOOKUP(B1335, Dim_Hotel!$A$2:$A$11, Dim_Hotel!$I$2:$I$11)
 + (IF(J1335="",0,J1335)
    * _xlfn.XLOOKUP(B1335, Dim_Hotel!$A$2:$A$11, Dim_Hotel!$J$2:$J$11))</f>
        <v>135</v>
      </c>
    </row>
    <row r="1336" spans="1:13" x14ac:dyDescent="0.25">
      <c r="A1336" s="1">
        <f t="shared" si="160"/>
        <v>46156</v>
      </c>
      <c r="B1336" t="str" cm="1">
        <f t="array" ref="B1336">INDEX(HotelList,MOD(ROW()-2,10)+1)</f>
        <v>H005</v>
      </c>
      <c r="C1336">
        <f>_xlfn.XLOOKUP(B1336,Dim_Hotel!$A$2:$A$11,Dim_Hotel!$F$2:$F$11)</f>
        <v>66</v>
      </c>
      <c r="D1336">
        <f t="shared" si="161"/>
        <v>36</v>
      </c>
      <c r="E1336">
        <f t="shared" si="162"/>
        <v>0.54545454545454541</v>
      </c>
      <c r="F1336">
        <f t="shared" si="163"/>
        <v>82</v>
      </c>
      <c r="G1336">
        <f t="shared" si="164"/>
        <v>44.727272727272727</v>
      </c>
      <c r="H1336" t="str">
        <f>_xlfn.XLOOKUP(A1336,Fact_Events!$D$2:$D$20,Fact_Events!$A$2:$A$20, "")</f>
        <v/>
      </c>
      <c r="I1336">
        <f t="shared" si="165"/>
        <v>0</v>
      </c>
      <c r="J1336" t="str">
        <f>_xlfn.XLOOKUP(H1336, Fact_Events!$A$2:$A$20, Fact_Events!$F$2:$F$20, "")</f>
        <v/>
      </c>
      <c r="K1336" t="str">
        <f t="shared" si="166"/>
        <v>Low</v>
      </c>
      <c r="L1336">
        <f t="shared" si="167"/>
        <v>0.55000000000000004</v>
      </c>
      <c r="M1336">
        <f>_xlfn.XLOOKUP(B1336, Dim_Hotel!$A$2:$A$11, Dim_Hotel!$I$2:$I$11)
 + (IF(J1336="",0,J1336)
    * _xlfn.XLOOKUP(B1336, Dim_Hotel!$A$2:$A$11, Dim_Hotel!$J$2:$J$11))</f>
        <v>82</v>
      </c>
    </row>
    <row r="1337" spans="1:13" x14ac:dyDescent="0.25">
      <c r="A1337" s="1">
        <f t="shared" si="160"/>
        <v>46156</v>
      </c>
      <c r="B1337" t="str" cm="1">
        <f t="array" ref="B1337">INDEX(HotelList,MOD(ROW()-2,10)+1)</f>
        <v>H006</v>
      </c>
      <c r="C1337">
        <f>_xlfn.XLOOKUP(B1337,Dim_Hotel!$A$2:$A$11,Dim_Hotel!$F$2:$F$11)</f>
        <v>311</v>
      </c>
      <c r="D1337">
        <f t="shared" si="161"/>
        <v>171</v>
      </c>
      <c r="E1337">
        <f t="shared" si="162"/>
        <v>0.54983922829581988</v>
      </c>
      <c r="F1337">
        <f t="shared" si="163"/>
        <v>190</v>
      </c>
      <c r="G1337">
        <f t="shared" si="164"/>
        <v>104.46945337620578</v>
      </c>
      <c r="H1337" t="str">
        <f>_xlfn.XLOOKUP(A1337,Fact_Events!$D$2:$D$20,Fact_Events!$A$2:$A$20, "")</f>
        <v/>
      </c>
      <c r="I1337">
        <f t="shared" si="165"/>
        <v>0</v>
      </c>
      <c r="J1337" t="str">
        <f>_xlfn.XLOOKUP(H1337, Fact_Events!$A$2:$A$20, Fact_Events!$F$2:$F$20, "")</f>
        <v/>
      </c>
      <c r="K1337" t="str">
        <f t="shared" si="166"/>
        <v>Low</v>
      </c>
      <c r="L1337">
        <f t="shared" si="167"/>
        <v>0.55000000000000004</v>
      </c>
      <c r="M1337">
        <f>_xlfn.XLOOKUP(B1337, Dim_Hotel!$A$2:$A$11, Dim_Hotel!$I$2:$I$11)
 + (IF(J1337="",0,J1337)
    * _xlfn.XLOOKUP(B1337, Dim_Hotel!$A$2:$A$11, Dim_Hotel!$J$2:$J$11))</f>
        <v>190</v>
      </c>
    </row>
    <row r="1338" spans="1:13" x14ac:dyDescent="0.25">
      <c r="A1338" s="1">
        <f t="shared" si="160"/>
        <v>46156</v>
      </c>
      <c r="B1338" t="str" cm="1">
        <f t="array" ref="B1338">INDEX(HotelList,MOD(ROW()-2,10)+1)</f>
        <v>H007</v>
      </c>
      <c r="C1338">
        <f>_xlfn.XLOOKUP(B1338,Dim_Hotel!$A$2:$A$11,Dim_Hotel!$F$2:$F$11)</f>
        <v>132</v>
      </c>
      <c r="D1338">
        <f t="shared" si="161"/>
        <v>73</v>
      </c>
      <c r="E1338">
        <f t="shared" si="162"/>
        <v>0.55303030303030298</v>
      </c>
      <c r="F1338">
        <f t="shared" si="163"/>
        <v>165</v>
      </c>
      <c r="G1338">
        <f t="shared" si="164"/>
        <v>91.249999999999986</v>
      </c>
      <c r="H1338" t="str">
        <f>_xlfn.XLOOKUP(A1338,Fact_Events!$D$2:$D$20,Fact_Events!$A$2:$A$20, "")</f>
        <v/>
      </c>
      <c r="I1338">
        <f t="shared" si="165"/>
        <v>0</v>
      </c>
      <c r="J1338" t="str">
        <f>_xlfn.XLOOKUP(H1338, Fact_Events!$A$2:$A$20, Fact_Events!$F$2:$F$20, "")</f>
        <v/>
      </c>
      <c r="K1338" t="str">
        <f t="shared" si="166"/>
        <v>Low</v>
      </c>
      <c r="L1338">
        <f t="shared" si="167"/>
        <v>0.55000000000000004</v>
      </c>
      <c r="M1338">
        <f>_xlfn.XLOOKUP(B1338, Dim_Hotel!$A$2:$A$11, Dim_Hotel!$I$2:$I$11)
 + (IF(J1338="",0,J1338)
    * _xlfn.XLOOKUP(B1338, Dim_Hotel!$A$2:$A$11, Dim_Hotel!$J$2:$J$11))</f>
        <v>165</v>
      </c>
    </row>
    <row r="1339" spans="1:13" x14ac:dyDescent="0.25">
      <c r="A1339" s="1">
        <f t="shared" si="160"/>
        <v>46156</v>
      </c>
      <c r="B1339" t="str" cm="1">
        <f t="array" ref="B1339">INDEX(HotelList,MOD(ROW()-2,10)+1)</f>
        <v>H008</v>
      </c>
      <c r="C1339">
        <f>_xlfn.XLOOKUP(B1339,Dim_Hotel!$A$2:$A$11,Dim_Hotel!$F$2:$F$11)</f>
        <v>103</v>
      </c>
      <c r="D1339">
        <f t="shared" si="161"/>
        <v>57</v>
      </c>
      <c r="E1339">
        <f t="shared" si="162"/>
        <v>0.55339805825242716</v>
      </c>
      <c r="F1339">
        <f t="shared" si="163"/>
        <v>140</v>
      </c>
      <c r="G1339">
        <f t="shared" si="164"/>
        <v>77.475728155339809</v>
      </c>
      <c r="H1339" t="str">
        <f>_xlfn.XLOOKUP(A1339,Fact_Events!$D$2:$D$20,Fact_Events!$A$2:$A$20, "")</f>
        <v/>
      </c>
      <c r="I1339">
        <f t="shared" si="165"/>
        <v>0</v>
      </c>
      <c r="J1339" t="str">
        <f>_xlfn.XLOOKUP(H1339, Fact_Events!$A$2:$A$20, Fact_Events!$F$2:$F$20, "")</f>
        <v/>
      </c>
      <c r="K1339" t="str">
        <f t="shared" si="166"/>
        <v>Low</v>
      </c>
      <c r="L1339">
        <f t="shared" si="167"/>
        <v>0.55000000000000004</v>
      </c>
      <c r="M1339">
        <f>_xlfn.XLOOKUP(B1339, Dim_Hotel!$A$2:$A$11, Dim_Hotel!$I$2:$I$11)
 + (IF(J1339="",0,J1339)
    * _xlfn.XLOOKUP(B1339, Dim_Hotel!$A$2:$A$11, Dim_Hotel!$J$2:$J$11))</f>
        <v>140</v>
      </c>
    </row>
    <row r="1340" spans="1:13" x14ac:dyDescent="0.25">
      <c r="A1340" s="1">
        <f t="shared" si="160"/>
        <v>46156</v>
      </c>
      <c r="B1340" t="str" cm="1">
        <f t="array" ref="B1340">INDEX(HotelList,MOD(ROW()-2,10)+1)</f>
        <v>H009</v>
      </c>
      <c r="C1340">
        <f>_xlfn.XLOOKUP(B1340,Dim_Hotel!$A$2:$A$11,Dim_Hotel!$F$2:$F$11)</f>
        <v>114</v>
      </c>
      <c r="D1340">
        <f t="shared" si="161"/>
        <v>63</v>
      </c>
      <c r="E1340">
        <f t="shared" si="162"/>
        <v>0.55263157894736847</v>
      </c>
      <c r="F1340">
        <f t="shared" si="163"/>
        <v>185</v>
      </c>
      <c r="G1340">
        <f t="shared" si="164"/>
        <v>102.23684210526316</v>
      </c>
      <c r="H1340" t="str">
        <f>_xlfn.XLOOKUP(A1340,Fact_Events!$D$2:$D$20,Fact_Events!$A$2:$A$20, "")</f>
        <v/>
      </c>
      <c r="I1340">
        <f t="shared" si="165"/>
        <v>0</v>
      </c>
      <c r="J1340" t="str">
        <f>_xlfn.XLOOKUP(H1340, Fact_Events!$A$2:$A$20, Fact_Events!$F$2:$F$20, "")</f>
        <v/>
      </c>
      <c r="K1340" t="str">
        <f t="shared" si="166"/>
        <v>Low</v>
      </c>
      <c r="L1340">
        <f t="shared" si="167"/>
        <v>0.55000000000000004</v>
      </c>
      <c r="M1340">
        <f>_xlfn.XLOOKUP(B1340, Dim_Hotel!$A$2:$A$11, Dim_Hotel!$I$2:$I$11)
 + (IF(J1340="",0,J1340)
    * _xlfn.XLOOKUP(B1340, Dim_Hotel!$A$2:$A$11, Dim_Hotel!$J$2:$J$11))</f>
        <v>185</v>
      </c>
    </row>
    <row r="1341" spans="1:13" x14ac:dyDescent="0.25">
      <c r="A1341" s="1">
        <f t="shared" si="160"/>
        <v>46156</v>
      </c>
      <c r="B1341" t="str" cm="1">
        <f t="array" ref="B1341">INDEX(HotelList,MOD(ROW()-2,10)+1)</f>
        <v>H010</v>
      </c>
      <c r="C1341">
        <f>_xlfn.XLOOKUP(B1341,Dim_Hotel!$A$2:$A$11,Dim_Hotel!$F$2:$F$11)</f>
        <v>89</v>
      </c>
      <c r="D1341">
        <f t="shared" si="161"/>
        <v>49</v>
      </c>
      <c r="E1341">
        <f t="shared" si="162"/>
        <v>0.550561797752809</v>
      </c>
      <c r="F1341">
        <f t="shared" si="163"/>
        <v>150</v>
      </c>
      <c r="G1341">
        <f t="shared" si="164"/>
        <v>82.584269662921344</v>
      </c>
      <c r="H1341" t="str">
        <f>_xlfn.XLOOKUP(A1341,Fact_Events!$D$2:$D$20,Fact_Events!$A$2:$A$20, "")</f>
        <v/>
      </c>
      <c r="I1341">
        <f t="shared" si="165"/>
        <v>0</v>
      </c>
      <c r="J1341" t="str">
        <f>_xlfn.XLOOKUP(H1341, Fact_Events!$A$2:$A$20, Fact_Events!$F$2:$F$20, "")</f>
        <v/>
      </c>
      <c r="K1341" t="str">
        <f t="shared" si="166"/>
        <v>Low</v>
      </c>
      <c r="L1341">
        <f t="shared" si="167"/>
        <v>0.55000000000000004</v>
      </c>
      <c r="M1341">
        <f>_xlfn.XLOOKUP(B1341, Dim_Hotel!$A$2:$A$11, Dim_Hotel!$I$2:$I$11)
 + (IF(J1341="",0,J1341)
    * _xlfn.XLOOKUP(B1341, Dim_Hotel!$A$2:$A$11, Dim_Hotel!$J$2:$J$11))</f>
        <v>150</v>
      </c>
    </row>
    <row r="1342" spans="1:13" x14ac:dyDescent="0.25">
      <c r="A1342" s="1">
        <f t="shared" si="160"/>
        <v>46157</v>
      </c>
      <c r="B1342" t="str" cm="1">
        <f t="array" ref="B1342">INDEX(HotelList,MOD(ROW()-2,10)+1)</f>
        <v>H001</v>
      </c>
      <c r="C1342">
        <f>_xlfn.XLOOKUP(B1342,Dim_Hotel!$A$2:$A$11,Dim_Hotel!$F$2:$F$11)</f>
        <v>888</v>
      </c>
      <c r="D1342">
        <f t="shared" si="161"/>
        <v>488</v>
      </c>
      <c r="E1342">
        <f t="shared" si="162"/>
        <v>0.5495495495495496</v>
      </c>
      <c r="F1342">
        <f t="shared" si="163"/>
        <v>260</v>
      </c>
      <c r="G1342">
        <f t="shared" si="164"/>
        <v>142.88288288288288</v>
      </c>
      <c r="H1342" t="str">
        <f>_xlfn.XLOOKUP(A1342,Fact_Events!$D$2:$D$20,Fact_Events!$A$2:$A$20, "")</f>
        <v/>
      </c>
      <c r="I1342">
        <f t="shared" si="165"/>
        <v>0</v>
      </c>
      <c r="J1342" t="str">
        <f>_xlfn.XLOOKUP(H1342, Fact_Events!$A$2:$A$20, Fact_Events!$F$2:$F$20, "")</f>
        <v/>
      </c>
      <c r="K1342" t="str">
        <f t="shared" si="166"/>
        <v>Low</v>
      </c>
      <c r="L1342">
        <f t="shared" si="167"/>
        <v>0.55000000000000004</v>
      </c>
      <c r="M1342">
        <f>_xlfn.XLOOKUP(B1342, Dim_Hotel!$A$2:$A$11, Dim_Hotel!$I$2:$I$11)
 + (IF(J1342="",0,J1342)
    * _xlfn.XLOOKUP(B1342, Dim_Hotel!$A$2:$A$11, Dim_Hotel!$J$2:$J$11))</f>
        <v>260</v>
      </c>
    </row>
    <row r="1343" spans="1:13" x14ac:dyDescent="0.25">
      <c r="A1343" s="1">
        <f t="shared" si="160"/>
        <v>46157</v>
      </c>
      <c r="B1343" t="str" cm="1">
        <f t="array" ref="B1343">INDEX(HotelList,MOD(ROW()-2,10)+1)</f>
        <v>H002</v>
      </c>
      <c r="C1343">
        <f>_xlfn.XLOOKUP(B1343,Dim_Hotel!$A$2:$A$11,Dim_Hotel!$F$2:$F$11)</f>
        <v>147</v>
      </c>
      <c r="D1343">
        <f t="shared" si="161"/>
        <v>81</v>
      </c>
      <c r="E1343">
        <f t="shared" si="162"/>
        <v>0.55102040816326525</v>
      </c>
      <c r="F1343">
        <f t="shared" si="163"/>
        <v>175</v>
      </c>
      <c r="G1343">
        <f t="shared" si="164"/>
        <v>96.428571428571416</v>
      </c>
      <c r="H1343" t="str">
        <f>_xlfn.XLOOKUP(A1343,Fact_Events!$D$2:$D$20,Fact_Events!$A$2:$A$20, "")</f>
        <v/>
      </c>
      <c r="I1343">
        <f t="shared" si="165"/>
        <v>0</v>
      </c>
      <c r="J1343" t="str">
        <f>_xlfn.XLOOKUP(H1343, Fact_Events!$A$2:$A$20, Fact_Events!$F$2:$F$20, "")</f>
        <v/>
      </c>
      <c r="K1343" t="str">
        <f t="shared" si="166"/>
        <v>Low</v>
      </c>
      <c r="L1343">
        <f t="shared" si="167"/>
        <v>0.55000000000000004</v>
      </c>
      <c r="M1343">
        <f>_xlfn.XLOOKUP(B1343, Dim_Hotel!$A$2:$A$11, Dim_Hotel!$I$2:$I$11)
 + (IF(J1343="",0,J1343)
    * _xlfn.XLOOKUP(B1343, Dim_Hotel!$A$2:$A$11, Dim_Hotel!$J$2:$J$11))</f>
        <v>175</v>
      </c>
    </row>
    <row r="1344" spans="1:13" x14ac:dyDescent="0.25">
      <c r="A1344" s="1">
        <f t="shared" si="160"/>
        <v>46157</v>
      </c>
      <c r="B1344" t="str" cm="1">
        <f t="array" ref="B1344">INDEX(HotelList,MOD(ROW()-2,10)+1)</f>
        <v>H003</v>
      </c>
      <c r="C1344">
        <f>_xlfn.XLOOKUP(B1344,Dim_Hotel!$A$2:$A$11,Dim_Hotel!$F$2:$F$11)</f>
        <v>121</v>
      </c>
      <c r="D1344">
        <f t="shared" si="161"/>
        <v>67</v>
      </c>
      <c r="E1344">
        <f t="shared" si="162"/>
        <v>0.55371900826446285</v>
      </c>
      <c r="F1344">
        <f t="shared" si="163"/>
        <v>145</v>
      </c>
      <c r="G1344">
        <f t="shared" si="164"/>
        <v>80.289256198347118</v>
      </c>
      <c r="H1344" t="str">
        <f>_xlfn.XLOOKUP(A1344,Fact_Events!$D$2:$D$20,Fact_Events!$A$2:$A$20, "")</f>
        <v/>
      </c>
      <c r="I1344">
        <f t="shared" si="165"/>
        <v>0</v>
      </c>
      <c r="J1344" t="str">
        <f>_xlfn.XLOOKUP(H1344, Fact_Events!$A$2:$A$20, Fact_Events!$F$2:$F$20, "")</f>
        <v/>
      </c>
      <c r="K1344" t="str">
        <f t="shared" si="166"/>
        <v>Low</v>
      </c>
      <c r="L1344">
        <f t="shared" si="167"/>
        <v>0.55000000000000004</v>
      </c>
      <c r="M1344">
        <f>_xlfn.XLOOKUP(B1344, Dim_Hotel!$A$2:$A$11, Dim_Hotel!$I$2:$I$11)
 + (IF(J1344="",0,J1344)
    * _xlfn.XLOOKUP(B1344, Dim_Hotel!$A$2:$A$11, Dim_Hotel!$J$2:$J$11))</f>
        <v>145</v>
      </c>
    </row>
    <row r="1345" spans="1:13" x14ac:dyDescent="0.25">
      <c r="A1345" s="1">
        <f t="shared" si="160"/>
        <v>46157</v>
      </c>
      <c r="B1345" t="str" cm="1">
        <f t="array" ref="B1345">INDEX(HotelList,MOD(ROW()-2,10)+1)</f>
        <v>H004</v>
      </c>
      <c r="C1345">
        <f>_xlfn.XLOOKUP(B1345,Dim_Hotel!$A$2:$A$11,Dim_Hotel!$F$2:$F$11)</f>
        <v>108</v>
      </c>
      <c r="D1345">
        <f t="shared" si="161"/>
        <v>59</v>
      </c>
      <c r="E1345">
        <f t="shared" si="162"/>
        <v>0.54629629629629628</v>
      </c>
      <c r="F1345">
        <f t="shared" si="163"/>
        <v>135</v>
      </c>
      <c r="G1345">
        <f t="shared" si="164"/>
        <v>73.75</v>
      </c>
      <c r="H1345" t="str">
        <f>_xlfn.XLOOKUP(A1345,Fact_Events!$D$2:$D$20,Fact_Events!$A$2:$A$20, "")</f>
        <v/>
      </c>
      <c r="I1345">
        <f t="shared" si="165"/>
        <v>0</v>
      </c>
      <c r="J1345" t="str">
        <f>_xlfn.XLOOKUP(H1345, Fact_Events!$A$2:$A$20, Fact_Events!$F$2:$F$20, "")</f>
        <v/>
      </c>
      <c r="K1345" t="str">
        <f t="shared" si="166"/>
        <v>Low</v>
      </c>
      <c r="L1345">
        <f t="shared" si="167"/>
        <v>0.55000000000000004</v>
      </c>
      <c r="M1345">
        <f>_xlfn.XLOOKUP(B1345, Dim_Hotel!$A$2:$A$11, Dim_Hotel!$I$2:$I$11)
 + (IF(J1345="",0,J1345)
    * _xlfn.XLOOKUP(B1345, Dim_Hotel!$A$2:$A$11, Dim_Hotel!$J$2:$J$11))</f>
        <v>135</v>
      </c>
    </row>
    <row r="1346" spans="1:13" x14ac:dyDescent="0.25">
      <c r="A1346" s="1">
        <f t="shared" si="160"/>
        <v>46157</v>
      </c>
      <c r="B1346" t="str" cm="1">
        <f t="array" ref="B1346">INDEX(HotelList,MOD(ROW()-2,10)+1)</f>
        <v>H005</v>
      </c>
      <c r="C1346">
        <f>_xlfn.XLOOKUP(B1346,Dim_Hotel!$A$2:$A$11,Dim_Hotel!$F$2:$F$11)</f>
        <v>66</v>
      </c>
      <c r="D1346">
        <f t="shared" si="161"/>
        <v>36</v>
      </c>
      <c r="E1346">
        <f t="shared" si="162"/>
        <v>0.54545454545454541</v>
      </c>
      <c r="F1346">
        <f t="shared" si="163"/>
        <v>82</v>
      </c>
      <c r="G1346">
        <f t="shared" si="164"/>
        <v>44.727272727272727</v>
      </c>
      <c r="H1346" t="str">
        <f>_xlfn.XLOOKUP(A1346,Fact_Events!$D$2:$D$20,Fact_Events!$A$2:$A$20, "")</f>
        <v/>
      </c>
      <c r="I1346">
        <f t="shared" si="165"/>
        <v>0</v>
      </c>
      <c r="J1346" t="str">
        <f>_xlfn.XLOOKUP(H1346, Fact_Events!$A$2:$A$20, Fact_Events!$F$2:$F$20, "")</f>
        <v/>
      </c>
      <c r="K1346" t="str">
        <f t="shared" si="166"/>
        <v>Low</v>
      </c>
      <c r="L1346">
        <f t="shared" si="167"/>
        <v>0.55000000000000004</v>
      </c>
      <c r="M1346">
        <f>_xlfn.XLOOKUP(B1346, Dim_Hotel!$A$2:$A$11, Dim_Hotel!$I$2:$I$11)
 + (IF(J1346="",0,J1346)
    * _xlfn.XLOOKUP(B1346, Dim_Hotel!$A$2:$A$11, Dim_Hotel!$J$2:$J$11))</f>
        <v>82</v>
      </c>
    </row>
    <row r="1347" spans="1:13" x14ac:dyDescent="0.25">
      <c r="A1347" s="1">
        <f t="shared" ref="A1347:A1410" si="168">DATE(2026,1,1) + INT((ROW()-2)/10)</f>
        <v>46157</v>
      </c>
      <c r="B1347" t="str" cm="1">
        <f t="array" ref="B1347">INDEX(HotelList,MOD(ROW()-2,10)+1)</f>
        <v>H006</v>
      </c>
      <c r="C1347">
        <f>_xlfn.XLOOKUP(B1347,Dim_Hotel!$A$2:$A$11,Dim_Hotel!$F$2:$F$11)</f>
        <v>311</v>
      </c>
      <c r="D1347">
        <f t="shared" ref="D1347:D1410" si="169">ROUND(L1347 * C1347, 0)</f>
        <v>171</v>
      </c>
      <c r="E1347">
        <f t="shared" ref="E1347:E1410" si="170">D1347/C1347</f>
        <v>0.54983922829581988</v>
      </c>
      <c r="F1347">
        <f t="shared" ref="F1347:F1410" si="171">M1347</f>
        <v>190</v>
      </c>
      <c r="G1347">
        <f t="shared" ref="G1347:G1410" si="172">E1347*F1347</f>
        <v>104.46945337620578</v>
      </c>
      <c r="H1347" t="str">
        <f>_xlfn.XLOOKUP(A1347,Fact_Events!$D$2:$D$20,Fact_Events!$A$2:$A$20, "")</f>
        <v/>
      </c>
      <c r="I1347">
        <f t="shared" ref="I1347:I1410" si="173">IF(H1347="",0,1)</f>
        <v>0</v>
      </c>
      <c r="J1347" t="str">
        <f>_xlfn.XLOOKUP(H1347, Fact_Events!$A$2:$A$20, Fact_Events!$F$2:$F$20, "")</f>
        <v/>
      </c>
      <c r="K1347" t="str">
        <f t="shared" ref="K1347:K1410" si="174">IF(I1347=0,"Low",
   IF(J1347&gt;=9,"High","Medium"))</f>
        <v>Low</v>
      </c>
      <c r="L1347">
        <f t="shared" ref="L1347:L1410" si="175">MIN(1,
  0.55
  + (I1347 * 0.25)
  + (IF(J1347="",0,J1347) / 100)
)</f>
        <v>0.55000000000000004</v>
      </c>
      <c r="M1347">
        <f>_xlfn.XLOOKUP(B1347, Dim_Hotel!$A$2:$A$11, Dim_Hotel!$I$2:$I$11)
 + (IF(J1347="",0,J1347)
    * _xlfn.XLOOKUP(B1347, Dim_Hotel!$A$2:$A$11, Dim_Hotel!$J$2:$J$11))</f>
        <v>190</v>
      </c>
    </row>
    <row r="1348" spans="1:13" x14ac:dyDescent="0.25">
      <c r="A1348" s="1">
        <f t="shared" si="168"/>
        <v>46157</v>
      </c>
      <c r="B1348" t="str" cm="1">
        <f t="array" ref="B1348">INDEX(HotelList,MOD(ROW()-2,10)+1)</f>
        <v>H007</v>
      </c>
      <c r="C1348">
        <f>_xlfn.XLOOKUP(B1348,Dim_Hotel!$A$2:$A$11,Dim_Hotel!$F$2:$F$11)</f>
        <v>132</v>
      </c>
      <c r="D1348">
        <f t="shared" si="169"/>
        <v>73</v>
      </c>
      <c r="E1348">
        <f t="shared" si="170"/>
        <v>0.55303030303030298</v>
      </c>
      <c r="F1348">
        <f t="shared" si="171"/>
        <v>165</v>
      </c>
      <c r="G1348">
        <f t="shared" si="172"/>
        <v>91.249999999999986</v>
      </c>
      <c r="H1348" t="str">
        <f>_xlfn.XLOOKUP(A1348,Fact_Events!$D$2:$D$20,Fact_Events!$A$2:$A$20, "")</f>
        <v/>
      </c>
      <c r="I1348">
        <f t="shared" si="173"/>
        <v>0</v>
      </c>
      <c r="J1348" t="str">
        <f>_xlfn.XLOOKUP(H1348, Fact_Events!$A$2:$A$20, Fact_Events!$F$2:$F$20, "")</f>
        <v/>
      </c>
      <c r="K1348" t="str">
        <f t="shared" si="174"/>
        <v>Low</v>
      </c>
      <c r="L1348">
        <f t="shared" si="175"/>
        <v>0.55000000000000004</v>
      </c>
      <c r="M1348">
        <f>_xlfn.XLOOKUP(B1348, Dim_Hotel!$A$2:$A$11, Dim_Hotel!$I$2:$I$11)
 + (IF(J1348="",0,J1348)
    * _xlfn.XLOOKUP(B1348, Dim_Hotel!$A$2:$A$11, Dim_Hotel!$J$2:$J$11))</f>
        <v>165</v>
      </c>
    </row>
    <row r="1349" spans="1:13" x14ac:dyDescent="0.25">
      <c r="A1349" s="1">
        <f t="shared" si="168"/>
        <v>46157</v>
      </c>
      <c r="B1349" t="str" cm="1">
        <f t="array" ref="B1349">INDEX(HotelList,MOD(ROW()-2,10)+1)</f>
        <v>H008</v>
      </c>
      <c r="C1349">
        <f>_xlfn.XLOOKUP(B1349,Dim_Hotel!$A$2:$A$11,Dim_Hotel!$F$2:$F$11)</f>
        <v>103</v>
      </c>
      <c r="D1349">
        <f t="shared" si="169"/>
        <v>57</v>
      </c>
      <c r="E1349">
        <f t="shared" si="170"/>
        <v>0.55339805825242716</v>
      </c>
      <c r="F1349">
        <f t="shared" si="171"/>
        <v>140</v>
      </c>
      <c r="G1349">
        <f t="shared" si="172"/>
        <v>77.475728155339809</v>
      </c>
      <c r="H1349" t="str">
        <f>_xlfn.XLOOKUP(A1349,Fact_Events!$D$2:$D$20,Fact_Events!$A$2:$A$20, "")</f>
        <v/>
      </c>
      <c r="I1349">
        <f t="shared" si="173"/>
        <v>0</v>
      </c>
      <c r="J1349" t="str">
        <f>_xlfn.XLOOKUP(H1349, Fact_Events!$A$2:$A$20, Fact_Events!$F$2:$F$20, "")</f>
        <v/>
      </c>
      <c r="K1349" t="str">
        <f t="shared" si="174"/>
        <v>Low</v>
      </c>
      <c r="L1349">
        <f t="shared" si="175"/>
        <v>0.55000000000000004</v>
      </c>
      <c r="M1349">
        <f>_xlfn.XLOOKUP(B1349, Dim_Hotel!$A$2:$A$11, Dim_Hotel!$I$2:$I$11)
 + (IF(J1349="",0,J1349)
    * _xlfn.XLOOKUP(B1349, Dim_Hotel!$A$2:$A$11, Dim_Hotel!$J$2:$J$11))</f>
        <v>140</v>
      </c>
    </row>
    <row r="1350" spans="1:13" x14ac:dyDescent="0.25">
      <c r="A1350" s="1">
        <f t="shared" si="168"/>
        <v>46157</v>
      </c>
      <c r="B1350" t="str" cm="1">
        <f t="array" ref="B1350">INDEX(HotelList,MOD(ROW()-2,10)+1)</f>
        <v>H009</v>
      </c>
      <c r="C1350">
        <f>_xlfn.XLOOKUP(B1350,Dim_Hotel!$A$2:$A$11,Dim_Hotel!$F$2:$F$11)</f>
        <v>114</v>
      </c>
      <c r="D1350">
        <f t="shared" si="169"/>
        <v>63</v>
      </c>
      <c r="E1350">
        <f t="shared" si="170"/>
        <v>0.55263157894736847</v>
      </c>
      <c r="F1350">
        <f t="shared" si="171"/>
        <v>185</v>
      </c>
      <c r="G1350">
        <f t="shared" si="172"/>
        <v>102.23684210526316</v>
      </c>
      <c r="H1350" t="str">
        <f>_xlfn.XLOOKUP(A1350,Fact_Events!$D$2:$D$20,Fact_Events!$A$2:$A$20, "")</f>
        <v/>
      </c>
      <c r="I1350">
        <f t="shared" si="173"/>
        <v>0</v>
      </c>
      <c r="J1350" t="str">
        <f>_xlfn.XLOOKUP(H1350, Fact_Events!$A$2:$A$20, Fact_Events!$F$2:$F$20, "")</f>
        <v/>
      </c>
      <c r="K1350" t="str">
        <f t="shared" si="174"/>
        <v>Low</v>
      </c>
      <c r="L1350">
        <f t="shared" si="175"/>
        <v>0.55000000000000004</v>
      </c>
      <c r="M1350">
        <f>_xlfn.XLOOKUP(B1350, Dim_Hotel!$A$2:$A$11, Dim_Hotel!$I$2:$I$11)
 + (IF(J1350="",0,J1350)
    * _xlfn.XLOOKUP(B1350, Dim_Hotel!$A$2:$A$11, Dim_Hotel!$J$2:$J$11))</f>
        <v>185</v>
      </c>
    </row>
    <row r="1351" spans="1:13" x14ac:dyDescent="0.25">
      <c r="A1351" s="1">
        <f t="shared" si="168"/>
        <v>46157</v>
      </c>
      <c r="B1351" t="str" cm="1">
        <f t="array" ref="B1351">INDEX(HotelList,MOD(ROW()-2,10)+1)</f>
        <v>H010</v>
      </c>
      <c r="C1351">
        <f>_xlfn.XLOOKUP(B1351,Dim_Hotel!$A$2:$A$11,Dim_Hotel!$F$2:$F$11)</f>
        <v>89</v>
      </c>
      <c r="D1351">
        <f t="shared" si="169"/>
        <v>49</v>
      </c>
      <c r="E1351">
        <f t="shared" si="170"/>
        <v>0.550561797752809</v>
      </c>
      <c r="F1351">
        <f t="shared" si="171"/>
        <v>150</v>
      </c>
      <c r="G1351">
        <f t="shared" si="172"/>
        <v>82.584269662921344</v>
      </c>
      <c r="H1351" t="str">
        <f>_xlfn.XLOOKUP(A1351,Fact_Events!$D$2:$D$20,Fact_Events!$A$2:$A$20, "")</f>
        <v/>
      </c>
      <c r="I1351">
        <f t="shared" si="173"/>
        <v>0</v>
      </c>
      <c r="J1351" t="str">
        <f>_xlfn.XLOOKUP(H1351, Fact_Events!$A$2:$A$20, Fact_Events!$F$2:$F$20, "")</f>
        <v/>
      </c>
      <c r="K1351" t="str">
        <f t="shared" si="174"/>
        <v>Low</v>
      </c>
      <c r="L1351">
        <f t="shared" si="175"/>
        <v>0.55000000000000004</v>
      </c>
      <c r="M1351">
        <f>_xlfn.XLOOKUP(B1351, Dim_Hotel!$A$2:$A$11, Dim_Hotel!$I$2:$I$11)
 + (IF(J1351="",0,J1351)
    * _xlfn.XLOOKUP(B1351, Dim_Hotel!$A$2:$A$11, Dim_Hotel!$J$2:$J$11))</f>
        <v>150</v>
      </c>
    </row>
    <row r="1352" spans="1:13" x14ac:dyDescent="0.25">
      <c r="A1352" s="1">
        <f t="shared" si="168"/>
        <v>46158</v>
      </c>
      <c r="B1352" t="str" cm="1">
        <f t="array" ref="B1352">INDEX(HotelList,MOD(ROW()-2,10)+1)</f>
        <v>H001</v>
      </c>
      <c r="C1352">
        <f>_xlfn.XLOOKUP(B1352,Dim_Hotel!$A$2:$A$11,Dim_Hotel!$F$2:$F$11)</f>
        <v>888</v>
      </c>
      <c r="D1352">
        <f t="shared" si="169"/>
        <v>488</v>
      </c>
      <c r="E1352">
        <f t="shared" si="170"/>
        <v>0.5495495495495496</v>
      </c>
      <c r="F1352">
        <f t="shared" si="171"/>
        <v>260</v>
      </c>
      <c r="G1352">
        <f t="shared" si="172"/>
        <v>142.88288288288288</v>
      </c>
      <c r="H1352" t="str">
        <f>_xlfn.XLOOKUP(A1352,Fact_Events!$D$2:$D$20,Fact_Events!$A$2:$A$20, "")</f>
        <v/>
      </c>
      <c r="I1352">
        <f t="shared" si="173"/>
        <v>0</v>
      </c>
      <c r="J1352" t="str">
        <f>_xlfn.XLOOKUP(H1352, Fact_Events!$A$2:$A$20, Fact_Events!$F$2:$F$20, "")</f>
        <v/>
      </c>
      <c r="K1352" t="str">
        <f t="shared" si="174"/>
        <v>Low</v>
      </c>
      <c r="L1352">
        <f t="shared" si="175"/>
        <v>0.55000000000000004</v>
      </c>
      <c r="M1352">
        <f>_xlfn.XLOOKUP(B1352, Dim_Hotel!$A$2:$A$11, Dim_Hotel!$I$2:$I$11)
 + (IF(J1352="",0,J1352)
    * _xlfn.XLOOKUP(B1352, Dim_Hotel!$A$2:$A$11, Dim_Hotel!$J$2:$J$11))</f>
        <v>260</v>
      </c>
    </row>
    <row r="1353" spans="1:13" x14ac:dyDescent="0.25">
      <c r="A1353" s="1">
        <f t="shared" si="168"/>
        <v>46158</v>
      </c>
      <c r="B1353" t="str" cm="1">
        <f t="array" ref="B1353">INDEX(HotelList,MOD(ROW()-2,10)+1)</f>
        <v>H002</v>
      </c>
      <c r="C1353">
        <f>_xlfn.XLOOKUP(B1353,Dim_Hotel!$A$2:$A$11,Dim_Hotel!$F$2:$F$11)</f>
        <v>147</v>
      </c>
      <c r="D1353">
        <f t="shared" si="169"/>
        <v>81</v>
      </c>
      <c r="E1353">
        <f t="shared" si="170"/>
        <v>0.55102040816326525</v>
      </c>
      <c r="F1353">
        <f t="shared" si="171"/>
        <v>175</v>
      </c>
      <c r="G1353">
        <f t="shared" si="172"/>
        <v>96.428571428571416</v>
      </c>
      <c r="H1353" t="str">
        <f>_xlfn.XLOOKUP(A1353,Fact_Events!$D$2:$D$20,Fact_Events!$A$2:$A$20, "")</f>
        <v/>
      </c>
      <c r="I1353">
        <f t="shared" si="173"/>
        <v>0</v>
      </c>
      <c r="J1353" t="str">
        <f>_xlfn.XLOOKUP(H1353, Fact_Events!$A$2:$A$20, Fact_Events!$F$2:$F$20, "")</f>
        <v/>
      </c>
      <c r="K1353" t="str">
        <f t="shared" si="174"/>
        <v>Low</v>
      </c>
      <c r="L1353">
        <f t="shared" si="175"/>
        <v>0.55000000000000004</v>
      </c>
      <c r="M1353">
        <f>_xlfn.XLOOKUP(B1353, Dim_Hotel!$A$2:$A$11, Dim_Hotel!$I$2:$I$11)
 + (IF(J1353="",0,J1353)
    * _xlfn.XLOOKUP(B1353, Dim_Hotel!$A$2:$A$11, Dim_Hotel!$J$2:$J$11))</f>
        <v>175</v>
      </c>
    </row>
    <row r="1354" spans="1:13" x14ac:dyDescent="0.25">
      <c r="A1354" s="1">
        <f t="shared" si="168"/>
        <v>46158</v>
      </c>
      <c r="B1354" t="str" cm="1">
        <f t="array" ref="B1354">INDEX(HotelList,MOD(ROW()-2,10)+1)</f>
        <v>H003</v>
      </c>
      <c r="C1354">
        <f>_xlfn.XLOOKUP(B1354,Dim_Hotel!$A$2:$A$11,Dim_Hotel!$F$2:$F$11)</f>
        <v>121</v>
      </c>
      <c r="D1354">
        <f t="shared" si="169"/>
        <v>67</v>
      </c>
      <c r="E1354">
        <f t="shared" si="170"/>
        <v>0.55371900826446285</v>
      </c>
      <c r="F1354">
        <f t="shared" si="171"/>
        <v>145</v>
      </c>
      <c r="G1354">
        <f t="shared" si="172"/>
        <v>80.289256198347118</v>
      </c>
      <c r="H1354" t="str">
        <f>_xlfn.XLOOKUP(A1354,Fact_Events!$D$2:$D$20,Fact_Events!$A$2:$A$20, "")</f>
        <v/>
      </c>
      <c r="I1354">
        <f t="shared" si="173"/>
        <v>0</v>
      </c>
      <c r="J1354" t="str">
        <f>_xlfn.XLOOKUP(H1354, Fact_Events!$A$2:$A$20, Fact_Events!$F$2:$F$20, "")</f>
        <v/>
      </c>
      <c r="K1354" t="str">
        <f t="shared" si="174"/>
        <v>Low</v>
      </c>
      <c r="L1354">
        <f t="shared" si="175"/>
        <v>0.55000000000000004</v>
      </c>
      <c r="M1354">
        <f>_xlfn.XLOOKUP(B1354, Dim_Hotel!$A$2:$A$11, Dim_Hotel!$I$2:$I$11)
 + (IF(J1354="",0,J1354)
    * _xlfn.XLOOKUP(B1354, Dim_Hotel!$A$2:$A$11, Dim_Hotel!$J$2:$J$11))</f>
        <v>145</v>
      </c>
    </row>
    <row r="1355" spans="1:13" x14ac:dyDescent="0.25">
      <c r="A1355" s="1">
        <f t="shared" si="168"/>
        <v>46158</v>
      </c>
      <c r="B1355" t="str" cm="1">
        <f t="array" ref="B1355">INDEX(HotelList,MOD(ROW()-2,10)+1)</f>
        <v>H004</v>
      </c>
      <c r="C1355">
        <f>_xlfn.XLOOKUP(B1355,Dim_Hotel!$A$2:$A$11,Dim_Hotel!$F$2:$F$11)</f>
        <v>108</v>
      </c>
      <c r="D1355">
        <f t="shared" si="169"/>
        <v>59</v>
      </c>
      <c r="E1355">
        <f t="shared" si="170"/>
        <v>0.54629629629629628</v>
      </c>
      <c r="F1355">
        <f t="shared" si="171"/>
        <v>135</v>
      </c>
      <c r="G1355">
        <f t="shared" si="172"/>
        <v>73.75</v>
      </c>
      <c r="H1355" t="str">
        <f>_xlfn.XLOOKUP(A1355,Fact_Events!$D$2:$D$20,Fact_Events!$A$2:$A$20, "")</f>
        <v/>
      </c>
      <c r="I1355">
        <f t="shared" si="173"/>
        <v>0</v>
      </c>
      <c r="J1355" t="str">
        <f>_xlfn.XLOOKUP(H1355, Fact_Events!$A$2:$A$20, Fact_Events!$F$2:$F$20, "")</f>
        <v/>
      </c>
      <c r="K1355" t="str">
        <f t="shared" si="174"/>
        <v>Low</v>
      </c>
      <c r="L1355">
        <f t="shared" si="175"/>
        <v>0.55000000000000004</v>
      </c>
      <c r="M1355">
        <f>_xlfn.XLOOKUP(B1355, Dim_Hotel!$A$2:$A$11, Dim_Hotel!$I$2:$I$11)
 + (IF(J1355="",0,J1355)
    * _xlfn.XLOOKUP(B1355, Dim_Hotel!$A$2:$A$11, Dim_Hotel!$J$2:$J$11))</f>
        <v>135</v>
      </c>
    </row>
    <row r="1356" spans="1:13" x14ac:dyDescent="0.25">
      <c r="A1356" s="1">
        <f t="shared" si="168"/>
        <v>46158</v>
      </c>
      <c r="B1356" t="str" cm="1">
        <f t="array" ref="B1356">INDEX(HotelList,MOD(ROW()-2,10)+1)</f>
        <v>H005</v>
      </c>
      <c r="C1356">
        <f>_xlfn.XLOOKUP(B1356,Dim_Hotel!$A$2:$A$11,Dim_Hotel!$F$2:$F$11)</f>
        <v>66</v>
      </c>
      <c r="D1356">
        <f t="shared" si="169"/>
        <v>36</v>
      </c>
      <c r="E1356">
        <f t="shared" si="170"/>
        <v>0.54545454545454541</v>
      </c>
      <c r="F1356">
        <f t="shared" si="171"/>
        <v>82</v>
      </c>
      <c r="G1356">
        <f t="shared" si="172"/>
        <v>44.727272727272727</v>
      </c>
      <c r="H1356" t="str">
        <f>_xlfn.XLOOKUP(A1356,Fact_Events!$D$2:$D$20,Fact_Events!$A$2:$A$20, "")</f>
        <v/>
      </c>
      <c r="I1356">
        <f t="shared" si="173"/>
        <v>0</v>
      </c>
      <c r="J1356" t="str">
        <f>_xlfn.XLOOKUP(H1356, Fact_Events!$A$2:$A$20, Fact_Events!$F$2:$F$20, "")</f>
        <v/>
      </c>
      <c r="K1356" t="str">
        <f t="shared" si="174"/>
        <v>Low</v>
      </c>
      <c r="L1356">
        <f t="shared" si="175"/>
        <v>0.55000000000000004</v>
      </c>
      <c r="M1356">
        <f>_xlfn.XLOOKUP(B1356, Dim_Hotel!$A$2:$A$11, Dim_Hotel!$I$2:$I$11)
 + (IF(J1356="",0,J1356)
    * _xlfn.XLOOKUP(B1356, Dim_Hotel!$A$2:$A$11, Dim_Hotel!$J$2:$J$11))</f>
        <v>82</v>
      </c>
    </row>
    <row r="1357" spans="1:13" x14ac:dyDescent="0.25">
      <c r="A1357" s="1">
        <f t="shared" si="168"/>
        <v>46158</v>
      </c>
      <c r="B1357" t="str" cm="1">
        <f t="array" ref="B1357">INDEX(HotelList,MOD(ROW()-2,10)+1)</f>
        <v>H006</v>
      </c>
      <c r="C1357">
        <f>_xlfn.XLOOKUP(B1357,Dim_Hotel!$A$2:$A$11,Dim_Hotel!$F$2:$F$11)</f>
        <v>311</v>
      </c>
      <c r="D1357">
        <f t="shared" si="169"/>
        <v>171</v>
      </c>
      <c r="E1357">
        <f t="shared" si="170"/>
        <v>0.54983922829581988</v>
      </c>
      <c r="F1357">
        <f t="shared" si="171"/>
        <v>190</v>
      </c>
      <c r="G1357">
        <f t="shared" si="172"/>
        <v>104.46945337620578</v>
      </c>
      <c r="H1357" t="str">
        <f>_xlfn.XLOOKUP(A1357,Fact_Events!$D$2:$D$20,Fact_Events!$A$2:$A$20, "")</f>
        <v/>
      </c>
      <c r="I1357">
        <f t="shared" si="173"/>
        <v>0</v>
      </c>
      <c r="J1357" t="str">
        <f>_xlfn.XLOOKUP(H1357, Fact_Events!$A$2:$A$20, Fact_Events!$F$2:$F$20, "")</f>
        <v/>
      </c>
      <c r="K1357" t="str">
        <f t="shared" si="174"/>
        <v>Low</v>
      </c>
      <c r="L1357">
        <f t="shared" si="175"/>
        <v>0.55000000000000004</v>
      </c>
      <c r="M1357">
        <f>_xlfn.XLOOKUP(B1357, Dim_Hotel!$A$2:$A$11, Dim_Hotel!$I$2:$I$11)
 + (IF(J1357="",0,J1357)
    * _xlfn.XLOOKUP(B1357, Dim_Hotel!$A$2:$A$11, Dim_Hotel!$J$2:$J$11))</f>
        <v>190</v>
      </c>
    </row>
    <row r="1358" spans="1:13" x14ac:dyDescent="0.25">
      <c r="A1358" s="1">
        <f t="shared" si="168"/>
        <v>46158</v>
      </c>
      <c r="B1358" t="str" cm="1">
        <f t="array" ref="B1358">INDEX(HotelList,MOD(ROW()-2,10)+1)</f>
        <v>H007</v>
      </c>
      <c r="C1358">
        <f>_xlfn.XLOOKUP(B1358,Dim_Hotel!$A$2:$A$11,Dim_Hotel!$F$2:$F$11)</f>
        <v>132</v>
      </c>
      <c r="D1358">
        <f t="shared" si="169"/>
        <v>73</v>
      </c>
      <c r="E1358">
        <f t="shared" si="170"/>
        <v>0.55303030303030298</v>
      </c>
      <c r="F1358">
        <f t="shared" si="171"/>
        <v>165</v>
      </c>
      <c r="G1358">
        <f t="shared" si="172"/>
        <v>91.249999999999986</v>
      </c>
      <c r="H1358" t="str">
        <f>_xlfn.XLOOKUP(A1358,Fact_Events!$D$2:$D$20,Fact_Events!$A$2:$A$20, "")</f>
        <v/>
      </c>
      <c r="I1358">
        <f t="shared" si="173"/>
        <v>0</v>
      </c>
      <c r="J1358" t="str">
        <f>_xlfn.XLOOKUP(H1358, Fact_Events!$A$2:$A$20, Fact_Events!$F$2:$F$20, "")</f>
        <v/>
      </c>
      <c r="K1358" t="str">
        <f t="shared" si="174"/>
        <v>Low</v>
      </c>
      <c r="L1358">
        <f t="shared" si="175"/>
        <v>0.55000000000000004</v>
      </c>
      <c r="M1358">
        <f>_xlfn.XLOOKUP(B1358, Dim_Hotel!$A$2:$A$11, Dim_Hotel!$I$2:$I$11)
 + (IF(J1358="",0,J1358)
    * _xlfn.XLOOKUP(B1358, Dim_Hotel!$A$2:$A$11, Dim_Hotel!$J$2:$J$11))</f>
        <v>165</v>
      </c>
    </row>
    <row r="1359" spans="1:13" x14ac:dyDescent="0.25">
      <c r="A1359" s="1">
        <f t="shared" si="168"/>
        <v>46158</v>
      </c>
      <c r="B1359" t="str" cm="1">
        <f t="array" ref="B1359">INDEX(HotelList,MOD(ROW()-2,10)+1)</f>
        <v>H008</v>
      </c>
      <c r="C1359">
        <f>_xlfn.XLOOKUP(B1359,Dim_Hotel!$A$2:$A$11,Dim_Hotel!$F$2:$F$11)</f>
        <v>103</v>
      </c>
      <c r="D1359">
        <f t="shared" si="169"/>
        <v>57</v>
      </c>
      <c r="E1359">
        <f t="shared" si="170"/>
        <v>0.55339805825242716</v>
      </c>
      <c r="F1359">
        <f t="shared" si="171"/>
        <v>140</v>
      </c>
      <c r="G1359">
        <f t="shared" si="172"/>
        <v>77.475728155339809</v>
      </c>
      <c r="H1359" t="str">
        <f>_xlfn.XLOOKUP(A1359,Fact_Events!$D$2:$D$20,Fact_Events!$A$2:$A$20, "")</f>
        <v/>
      </c>
      <c r="I1359">
        <f t="shared" si="173"/>
        <v>0</v>
      </c>
      <c r="J1359" t="str">
        <f>_xlfn.XLOOKUP(H1359, Fact_Events!$A$2:$A$20, Fact_Events!$F$2:$F$20, "")</f>
        <v/>
      </c>
      <c r="K1359" t="str">
        <f t="shared" si="174"/>
        <v>Low</v>
      </c>
      <c r="L1359">
        <f t="shared" si="175"/>
        <v>0.55000000000000004</v>
      </c>
      <c r="M1359">
        <f>_xlfn.XLOOKUP(B1359, Dim_Hotel!$A$2:$A$11, Dim_Hotel!$I$2:$I$11)
 + (IF(J1359="",0,J1359)
    * _xlfn.XLOOKUP(B1359, Dim_Hotel!$A$2:$A$11, Dim_Hotel!$J$2:$J$11))</f>
        <v>140</v>
      </c>
    </row>
    <row r="1360" spans="1:13" x14ac:dyDescent="0.25">
      <c r="A1360" s="1">
        <f t="shared" si="168"/>
        <v>46158</v>
      </c>
      <c r="B1360" t="str" cm="1">
        <f t="array" ref="B1360">INDEX(HotelList,MOD(ROW()-2,10)+1)</f>
        <v>H009</v>
      </c>
      <c r="C1360">
        <f>_xlfn.XLOOKUP(B1360,Dim_Hotel!$A$2:$A$11,Dim_Hotel!$F$2:$F$11)</f>
        <v>114</v>
      </c>
      <c r="D1360">
        <f t="shared" si="169"/>
        <v>63</v>
      </c>
      <c r="E1360">
        <f t="shared" si="170"/>
        <v>0.55263157894736847</v>
      </c>
      <c r="F1360">
        <f t="shared" si="171"/>
        <v>185</v>
      </c>
      <c r="G1360">
        <f t="shared" si="172"/>
        <v>102.23684210526316</v>
      </c>
      <c r="H1360" t="str">
        <f>_xlfn.XLOOKUP(A1360,Fact_Events!$D$2:$D$20,Fact_Events!$A$2:$A$20, "")</f>
        <v/>
      </c>
      <c r="I1360">
        <f t="shared" si="173"/>
        <v>0</v>
      </c>
      <c r="J1360" t="str">
        <f>_xlfn.XLOOKUP(H1360, Fact_Events!$A$2:$A$20, Fact_Events!$F$2:$F$20, "")</f>
        <v/>
      </c>
      <c r="K1360" t="str">
        <f t="shared" si="174"/>
        <v>Low</v>
      </c>
      <c r="L1360">
        <f t="shared" si="175"/>
        <v>0.55000000000000004</v>
      </c>
      <c r="M1360">
        <f>_xlfn.XLOOKUP(B1360, Dim_Hotel!$A$2:$A$11, Dim_Hotel!$I$2:$I$11)
 + (IF(J1360="",0,J1360)
    * _xlfn.XLOOKUP(B1360, Dim_Hotel!$A$2:$A$11, Dim_Hotel!$J$2:$J$11))</f>
        <v>185</v>
      </c>
    </row>
    <row r="1361" spans="1:13" x14ac:dyDescent="0.25">
      <c r="A1361" s="1">
        <f t="shared" si="168"/>
        <v>46158</v>
      </c>
      <c r="B1361" t="str" cm="1">
        <f t="array" ref="B1361">INDEX(HotelList,MOD(ROW()-2,10)+1)</f>
        <v>H010</v>
      </c>
      <c r="C1361">
        <f>_xlfn.XLOOKUP(B1361,Dim_Hotel!$A$2:$A$11,Dim_Hotel!$F$2:$F$11)</f>
        <v>89</v>
      </c>
      <c r="D1361">
        <f t="shared" si="169"/>
        <v>49</v>
      </c>
      <c r="E1361">
        <f t="shared" si="170"/>
        <v>0.550561797752809</v>
      </c>
      <c r="F1361">
        <f t="shared" si="171"/>
        <v>150</v>
      </c>
      <c r="G1361">
        <f t="shared" si="172"/>
        <v>82.584269662921344</v>
      </c>
      <c r="H1361" t="str">
        <f>_xlfn.XLOOKUP(A1361,Fact_Events!$D$2:$D$20,Fact_Events!$A$2:$A$20, "")</f>
        <v/>
      </c>
      <c r="I1361">
        <f t="shared" si="173"/>
        <v>0</v>
      </c>
      <c r="J1361" t="str">
        <f>_xlfn.XLOOKUP(H1361, Fact_Events!$A$2:$A$20, Fact_Events!$F$2:$F$20, "")</f>
        <v/>
      </c>
      <c r="K1361" t="str">
        <f t="shared" si="174"/>
        <v>Low</v>
      </c>
      <c r="L1361">
        <f t="shared" si="175"/>
        <v>0.55000000000000004</v>
      </c>
      <c r="M1361">
        <f>_xlfn.XLOOKUP(B1361, Dim_Hotel!$A$2:$A$11, Dim_Hotel!$I$2:$I$11)
 + (IF(J1361="",0,J1361)
    * _xlfn.XLOOKUP(B1361, Dim_Hotel!$A$2:$A$11, Dim_Hotel!$J$2:$J$11))</f>
        <v>150</v>
      </c>
    </row>
    <row r="1362" spans="1:13" x14ac:dyDescent="0.25">
      <c r="A1362" s="1">
        <f t="shared" si="168"/>
        <v>46159</v>
      </c>
      <c r="B1362" t="str" cm="1">
        <f t="array" ref="B1362">INDEX(HotelList,MOD(ROW()-2,10)+1)</f>
        <v>H001</v>
      </c>
      <c r="C1362">
        <f>_xlfn.XLOOKUP(B1362,Dim_Hotel!$A$2:$A$11,Dim_Hotel!$F$2:$F$11)</f>
        <v>888</v>
      </c>
      <c r="D1362">
        <f t="shared" si="169"/>
        <v>488</v>
      </c>
      <c r="E1362">
        <f t="shared" si="170"/>
        <v>0.5495495495495496</v>
      </c>
      <c r="F1362">
        <f t="shared" si="171"/>
        <v>260</v>
      </c>
      <c r="G1362">
        <f t="shared" si="172"/>
        <v>142.88288288288288</v>
      </c>
      <c r="H1362" t="str">
        <f>_xlfn.XLOOKUP(A1362,Fact_Events!$D$2:$D$20,Fact_Events!$A$2:$A$20, "")</f>
        <v/>
      </c>
      <c r="I1362">
        <f t="shared" si="173"/>
        <v>0</v>
      </c>
      <c r="J1362" t="str">
        <f>_xlfn.XLOOKUP(H1362, Fact_Events!$A$2:$A$20, Fact_Events!$F$2:$F$20, "")</f>
        <v/>
      </c>
      <c r="K1362" t="str">
        <f t="shared" si="174"/>
        <v>Low</v>
      </c>
      <c r="L1362">
        <f t="shared" si="175"/>
        <v>0.55000000000000004</v>
      </c>
      <c r="M1362">
        <f>_xlfn.XLOOKUP(B1362, Dim_Hotel!$A$2:$A$11, Dim_Hotel!$I$2:$I$11)
 + (IF(J1362="",0,J1362)
    * _xlfn.XLOOKUP(B1362, Dim_Hotel!$A$2:$A$11, Dim_Hotel!$J$2:$J$11))</f>
        <v>260</v>
      </c>
    </row>
    <row r="1363" spans="1:13" x14ac:dyDescent="0.25">
      <c r="A1363" s="1">
        <f t="shared" si="168"/>
        <v>46159</v>
      </c>
      <c r="B1363" t="str" cm="1">
        <f t="array" ref="B1363">INDEX(HotelList,MOD(ROW()-2,10)+1)</f>
        <v>H002</v>
      </c>
      <c r="C1363">
        <f>_xlfn.XLOOKUP(B1363,Dim_Hotel!$A$2:$A$11,Dim_Hotel!$F$2:$F$11)</f>
        <v>147</v>
      </c>
      <c r="D1363">
        <f t="shared" si="169"/>
        <v>81</v>
      </c>
      <c r="E1363">
        <f t="shared" si="170"/>
        <v>0.55102040816326525</v>
      </c>
      <c r="F1363">
        <f t="shared" si="171"/>
        <v>175</v>
      </c>
      <c r="G1363">
        <f t="shared" si="172"/>
        <v>96.428571428571416</v>
      </c>
      <c r="H1363" t="str">
        <f>_xlfn.XLOOKUP(A1363,Fact_Events!$D$2:$D$20,Fact_Events!$A$2:$A$20, "")</f>
        <v/>
      </c>
      <c r="I1363">
        <f t="shared" si="173"/>
        <v>0</v>
      </c>
      <c r="J1363" t="str">
        <f>_xlfn.XLOOKUP(H1363, Fact_Events!$A$2:$A$20, Fact_Events!$F$2:$F$20, "")</f>
        <v/>
      </c>
      <c r="K1363" t="str">
        <f t="shared" si="174"/>
        <v>Low</v>
      </c>
      <c r="L1363">
        <f t="shared" si="175"/>
        <v>0.55000000000000004</v>
      </c>
      <c r="M1363">
        <f>_xlfn.XLOOKUP(B1363, Dim_Hotel!$A$2:$A$11, Dim_Hotel!$I$2:$I$11)
 + (IF(J1363="",0,J1363)
    * _xlfn.XLOOKUP(B1363, Dim_Hotel!$A$2:$A$11, Dim_Hotel!$J$2:$J$11))</f>
        <v>175</v>
      </c>
    </row>
    <row r="1364" spans="1:13" x14ac:dyDescent="0.25">
      <c r="A1364" s="1">
        <f t="shared" si="168"/>
        <v>46159</v>
      </c>
      <c r="B1364" t="str" cm="1">
        <f t="array" ref="B1364">INDEX(HotelList,MOD(ROW()-2,10)+1)</f>
        <v>H003</v>
      </c>
      <c r="C1364">
        <f>_xlfn.XLOOKUP(B1364,Dim_Hotel!$A$2:$A$11,Dim_Hotel!$F$2:$F$11)</f>
        <v>121</v>
      </c>
      <c r="D1364">
        <f t="shared" si="169"/>
        <v>67</v>
      </c>
      <c r="E1364">
        <f t="shared" si="170"/>
        <v>0.55371900826446285</v>
      </c>
      <c r="F1364">
        <f t="shared" si="171"/>
        <v>145</v>
      </c>
      <c r="G1364">
        <f t="shared" si="172"/>
        <v>80.289256198347118</v>
      </c>
      <c r="H1364" t="str">
        <f>_xlfn.XLOOKUP(A1364,Fact_Events!$D$2:$D$20,Fact_Events!$A$2:$A$20, "")</f>
        <v/>
      </c>
      <c r="I1364">
        <f t="shared" si="173"/>
        <v>0</v>
      </c>
      <c r="J1364" t="str">
        <f>_xlfn.XLOOKUP(H1364, Fact_Events!$A$2:$A$20, Fact_Events!$F$2:$F$20, "")</f>
        <v/>
      </c>
      <c r="K1364" t="str">
        <f t="shared" si="174"/>
        <v>Low</v>
      </c>
      <c r="L1364">
        <f t="shared" si="175"/>
        <v>0.55000000000000004</v>
      </c>
      <c r="M1364">
        <f>_xlfn.XLOOKUP(B1364, Dim_Hotel!$A$2:$A$11, Dim_Hotel!$I$2:$I$11)
 + (IF(J1364="",0,J1364)
    * _xlfn.XLOOKUP(B1364, Dim_Hotel!$A$2:$A$11, Dim_Hotel!$J$2:$J$11))</f>
        <v>145</v>
      </c>
    </row>
    <row r="1365" spans="1:13" x14ac:dyDescent="0.25">
      <c r="A1365" s="1">
        <f t="shared" si="168"/>
        <v>46159</v>
      </c>
      <c r="B1365" t="str" cm="1">
        <f t="array" ref="B1365">INDEX(HotelList,MOD(ROW()-2,10)+1)</f>
        <v>H004</v>
      </c>
      <c r="C1365">
        <f>_xlfn.XLOOKUP(B1365,Dim_Hotel!$A$2:$A$11,Dim_Hotel!$F$2:$F$11)</f>
        <v>108</v>
      </c>
      <c r="D1365">
        <f t="shared" si="169"/>
        <v>59</v>
      </c>
      <c r="E1365">
        <f t="shared" si="170"/>
        <v>0.54629629629629628</v>
      </c>
      <c r="F1365">
        <f t="shared" si="171"/>
        <v>135</v>
      </c>
      <c r="G1365">
        <f t="shared" si="172"/>
        <v>73.75</v>
      </c>
      <c r="H1365" t="str">
        <f>_xlfn.XLOOKUP(A1365,Fact_Events!$D$2:$D$20,Fact_Events!$A$2:$A$20, "")</f>
        <v/>
      </c>
      <c r="I1365">
        <f t="shared" si="173"/>
        <v>0</v>
      </c>
      <c r="J1365" t="str">
        <f>_xlfn.XLOOKUP(H1365, Fact_Events!$A$2:$A$20, Fact_Events!$F$2:$F$20, "")</f>
        <v/>
      </c>
      <c r="K1365" t="str">
        <f t="shared" si="174"/>
        <v>Low</v>
      </c>
      <c r="L1365">
        <f t="shared" si="175"/>
        <v>0.55000000000000004</v>
      </c>
      <c r="M1365">
        <f>_xlfn.XLOOKUP(B1365, Dim_Hotel!$A$2:$A$11, Dim_Hotel!$I$2:$I$11)
 + (IF(J1365="",0,J1365)
    * _xlfn.XLOOKUP(B1365, Dim_Hotel!$A$2:$A$11, Dim_Hotel!$J$2:$J$11))</f>
        <v>135</v>
      </c>
    </row>
    <row r="1366" spans="1:13" x14ac:dyDescent="0.25">
      <c r="A1366" s="1">
        <f t="shared" si="168"/>
        <v>46159</v>
      </c>
      <c r="B1366" t="str" cm="1">
        <f t="array" ref="B1366">INDEX(HotelList,MOD(ROW()-2,10)+1)</f>
        <v>H005</v>
      </c>
      <c r="C1366">
        <f>_xlfn.XLOOKUP(B1366,Dim_Hotel!$A$2:$A$11,Dim_Hotel!$F$2:$F$11)</f>
        <v>66</v>
      </c>
      <c r="D1366">
        <f t="shared" si="169"/>
        <v>36</v>
      </c>
      <c r="E1366">
        <f t="shared" si="170"/>
        <v>0.54545454545454541</v>
      </c>
      <c r="F1366">
        <f t="shared" si="171"/>
        <v>82</v>
      </c>
      <c r="G1366">
        <f t="shared" si="172"/>
        <v>44.727272727272727</v>
      </c>
      <c r="H1366" t="str">
        <f>_xlfn.XLOOKUP(A1366,Fact_Events!$D$2:$D$20,Fact_Events!$A$2:$A$20, "")</f>
        <v/>
      </c>
      <c r="I1366">
        <f t="shared" si="173"/>
        <v>0</v>
      </c>
      <c r="J1366" t="str">
        <f>_xlfn.XLOOKUP(H1366, Fact_Events!$A$2:$A$20, Fact_Events!$F$2:$F$20, "")</f>
        <v/>
      </c>
      <c r="K1366" t="str">
        <f t="shared" si="174"/>
        <v>Low</v>
      </c>
      <c r="L1366">
        <f t="shared" si="175"/>
        <v>0.55000000000000004</v>
      </c>
      <c r="M1366">
        <f>_xlfn.XLOOKUP(B1366, Dim_Hotel!$A$2:$A$11, Dim_Hotel!$I$2:$I$11)
 + (IF(J1366="",0,J1366)
    * _xlfn.XLOOKUP(B1366, Dim_Hotel!$A$2:$A$11, Dim_Hotel!$J$2:$J$11))</f>
        <v>82</v>
      </c>
    </row>
    <row r="1367" spans="1:13" x14ac:dyDescent="0.25">
      <c r="A1367" s="1">
        <f t="shared" si="168"/>
        <v>46159</v>
      </c>
      <c r="B1367" t="str" cm="1">
        <f t="array" ref="B1367">INDEX(HotelList,MOD(ROW()-2,10)+1)</f>
        <v>H006</v>
      </c>
      <c r="C1367">
        <f>_xlfn.XLOOKUP(B1367,Dim_Hotel!$A$2:$A$11,Dim_Hotel!$F$2:$F$11)</f>
        <v>311</v>
      </c>
      <c r="D1367">
        <f t="shared" si="169"/>
        <v>171</v>
      </c>
      <c r="E1367">
        <f t="shared" si="170"/>
        <v>0.54983922829581988</v>
      </c>
      <c r="F1367">
        <f t="shared" si="171"/>
        <v>190</v>
      </c>
      <c r="G1367">
        <f t="shared" si="172"/>
        <v>104.46945337620578</v>
      </c>
      <c r="H1367" t="str">
        <f>_xlfn.XLOOKUP(A1367,Fact_Events!$D$2:$D$20,Fact_Events!$A$2:$A$20, "")</f>
        <v/>
      </c>
      <c r="I1367">
        <f t="shared" si="173"/>
        <v>0</v>
      </c>
      <c r="J1367" t="str">
        <f>_xlfn.XLOOKUP(H1367, Fact_Events!$A$2:$A$20, Fact_Events!$F$2:$F$20, "")</f>
        <v/>
      </c>
      <c r="K1367" t="str">
        <f t="shared" si="174"/>
        <v>Low</v>
      </c>
      <c r="L1367">
        <f t="shared" si="175"/>
        <v>0.55000000000000004</v>
      </c>
      <c r="M1367">
        <f>_xlfn.XLOOKUP(B1367, Dim_Hotel!$A$2:$A$11, Dim_Hotel!$I$2:$I$11)
 + (IF(J1367="",0,J1367)
    * _xlfn.XLOOKUP(B1367, Dim_Hotel!$A$2:$A$11, Dim_Hotel!$J$2:$J$11))</f>
        <v>190</v>
      </c>
    </row>
    <row r="1368" spans="1:13" x14ac:dyDescent="0.25">
      <c r="A1368" s="1">
        <f t="shared" si="168"/>
        <v>46159</v>
      </c>
      <c r="B1368" t="str" cm="1">
        <f t="array" ref="B1368">INDEX(HotelList,MOD(ROW()-2,10)+1)</f>
        <v>H007</v>
      </c>
      <c r="C1368">
        <f>_xlfn.XLOOKUP(B1368,Dim_Hotel!$A$2:$A$11,Dim_Hotel!$F$2:$F$11)</f>
        <v>132</v>
      </c>
      <c r="D1368">
        <f t="shared" si="169"/>
        <v>73</v>
      </c>
      <c r="E1368">
        <f t="shared" si="170"/>
        <v>0.55303030303030298</v>
      </c>
      <c r="F1368">
        <f t="shared" si="171"/>
        <v>165</v>
      </c>
      <c r="G1368">
        <f t="shared" si="172"/>
        <v>91.249999999999986</v>
      </c>
      <c r="H1368" t="str">
        <f>_xlfn.XLOOKUP(A1368,Fact_Events!$D$2:$D$20,Fact_Events!$A$2:$A$20, "")</f>
        <v/>
      </c>
      <c r="I1368">
        <f t="shared" si="173"/>
        <v>0</v>
      </c>
      <c r="J1368" t="str">
        <f>_xlfn.XLOOKUP(H1368, Fact_Events!$A$2:$A$20, Fact_Events!$F$2:$F$20, "")</f>
        <v/>
      </c>
      <c r="K1368" t="str">
        <f t="shared" si="174"/>
        <v>Low</v>
      </c>
      <c r="L1368">
        <f t="shared" si="175"/>
        <v>0.55000000000000004</v>
      </c>
      <c r="M1368">
        <f>_xlfn.XLOOKUP(B1368, Dim_Hotel!$A$2:$A$11, Dim_Hotel!$I$2:$I$11)
 + (IF(J1368="",0,J1368)
    * _xlfn.XLOOKUP(B1368, Dim_Hotel!$A$2:$A$11, Dim_Hotel!$J$2:$J$11))</f>
        <v>165</v>
      </c>
    </row>
    <row r="1369" spans="1:13" x14ac:dyDescent="0.25">
      <c r="A1369" s="1">
        <f t="shared" si="168"/>
        <v>46159</v>
      </c>
      <c r="B1369" t="str" cm="1">
        <f t="array" ref="B1369">INDEX(HotelList,MOD(ROW()-2,10)+1)</f>
        <v>H008</v>
      </c>
      <c r="C1369">
        <f>_xlfn.XLOOKUP(B1369,Dim_Hotel!$A$2:$A$11,Dim_Hotel!$F$2:$F$11)</f>
        <v>103</v>
      </c>
      <c r="D1369">
        <f t="shared" si="169"/>
        <v>57</v>
      </c>
      <c r="E1369">
        <f t="shared" si="170"/>
        <v>0.55339805825242716</v>
      </c>
      <c r="F1369">
        <f t="shared" si="171"/>
        <v>140</v>
      </c>
      <c r="G1369">
        <f t="shared" si="172"/>
        <v>77.475728155339809</v>
      </c>
      <c r="H1369" t="str">
        <f>_xlfn.XLOOKUP(A1369,Fact_Events!$D$2:$D$20,Fact_Events!$A$2:$A$20, "")</f>
        <v/>
      </c>
      <c r="I1369">
        <f t="shared" si="173"/>
        <v>0</v>
      </c>
      <c r="J1369" t="str">
        <f>_xlfn.XLOOKUP(H1369, Fact_Events!$A$2:$A$20, Fact_Events!$F$2:$F$20, "")</f>
        <v/>
      </c>
      <c r="K1369" t="str">
        <f t="shared" si="174"/>
        <v>Low</v>
      </c>
      <c r="L1369">
        <f t="shared" si="175"/>
        <v>0.55000000000000004</v>
      </c>
      <c r="M1369">
        <f>_xlfn.XLOOKUP(B1369, Dim_Hotel!$A$2:$A$11, Dim_Hotel!$I$2:$I$11)
 + (IF(J1369="",0,J1369)
    * _xlfn.XLOOKUP(B1369, Dim_Hotel!$A$2:$A$11, Dim_Hotel!$J$2:$J$11))</f>
        <v>140</v>
      </c>
    </row>
    <row r="1370" spans="1:13" x14ac:dyDescent="0.25">
      <c r="A1370" s="1">
        <f t="shared" si="168"/>
        <v>46159</v>
      </c>
      <c r="B1370" t="str" cm="1">
        <f t="array" ref="B1370">INDEX(HotelList,MOD(ROW()-2,10)+1)</f>
        <v>H009</v>
      </c>
      <c r="C1370">
        <f>_xlfn.XLOOKUP(B1370,Dim_Hotel!$A$2:$A$11,Dim_Hotel!$F$2:$F$11)</f>
        <v>114</v>
      </c>
      <c r="D1370">
        <f t="shared" si="169"/>
        <v>63</v>
      </c>
      <c r="E1370">
        <f t="shared" si="170"/>
        <v>0.55263157894736847</v>
      </c>
      <c r="F1370">
        <f t="shared" si="171"/>
        <v>185</v>
      </c>
      <c r="G1370">
        <f t="shared" si="172"/>
        <v>102.23684210526316</v>
      </c>
      <c r="H1370" t="str">
        <f>_xlfn.XLOOKUP(A1370,Fact_Events!$D$2:$D$20,Fact_Events!$A$2:$A$20, "")</f>
        <v/>
      </c>
      <c r="I1370">
        <f t="shared" si="173"/>
        <v>0</v>
      </c>
      <c r="J1370" t="str">
        <f>_xlfn.XLOOKUP(H1370, Fact_Events!$A$2:$A$20, Fact_Events!$F$2:$F$20, "")</f>
        <v/>
      </c>
      <c r="K1370" t="str">
        <f t="shared" si="174"/>
        <v>Low</v>
      </c>
      <c r="L1370">
        <f t="shared" si="175"/>
        <v>0.55000000000000004</v>
      </c>
      <c r="M1370">
        <f>_xlfn.XLOOKUP(B1370, Dim_Hotel!$A$2:$A$11, Dim_Hotel!$I$2:$I$11)
 + (IF(J1370="",0,J1370)
    * _xlfn.XLOOKUP(B1370, Dim_Hotel!$A$2:$A$11, Dim_Hotel!$J$2:$J$11))</f>
        <v>185</v>
      </c>
    </row>
    <row r="1371" spans="1:13" x14ac:dyDescent="0.25">
      <c r="A1371" s="1">
        <f t="shared" si="168"/>
        <v>46159</v>
      </c>
      <c r="B1371" t="str" cm="1">
        <f t="array" ref="B1371">INDEX(HotelList,MOD(ROW()-2,10)+1)</f>
        <v>H010</v>
      </c>
      <c r="C1371">
        <f>_xlfn.XLOOKUP(B1371,Dim_Hotel!$A$2:$A$11,Dim_Hotel!$F$2:$F$11)</f>
        <v>89</v>
      </c>
      <c r="D1371">
        <f t="shared" si="169"/>
        <v>49</v>
      </c>
      <c r="E1371">
        <f t="shared" si="170"/>
        <v>0.550561797752809</v>
      </c>
      <c r="F1371">
        <f t="shared" si="171"/>
        <v>150</v>
      </c>
      <c r="G1371">
        <f t="shared" si="172"/>
        <v>82.584269662921344</v>
      </c>
      <c r="H1371" t="str">
        <f>_xlfn.XLOOKUP(A1371,Fact_Events!$D$2:$D$20,Fact_Events!$A$2:$A$20, "")</f>
        <v/>
      </c>
      <c r="I1371">
        <f t="shared" si="173"/>
        <v>0</v>
      </c>
      <c r="J1371" t="str">
        <f>_xlfn.XLOOKUP(H1371, Fact_Events!$A$2:$A$20, Fact_Events!$F$2:$F$20, "")</f>
        <v/>
      </c>
      <c r="K1371" t="str">
        <f t="shared" si="174"/>
        <v>Low</v>
      </c>
      <c r="L1371">
        <f t="shared" si="175"/>
        <v>0.55000000000000004</v>
      </c>
      <c r="M1371">
        <f>_xlfn.XLOOKUP(B1371, Dim_Hotel!$A$2:$A$11, Dim_Hotel!$I$2:$I$11)
 + (IF(J1371="",0,J1371)
    * _xlfn.XLOOKUP(B1371, Dim_Hotel!$A$2:$A$11, Dim_Hotel!$J$2:$J$11))</f>
        <v>150</v>
      </c>
    </row>
    <row r="1372" spans="1:13" x14ac:dyDescent="0.25">
      <c r="A1372" s="1">
        <f t="shared" si="168"/>
        <v>46160</v>
      </c>
      <c r="B1372" t="str" cm="1">
        <f t="array" ref="B1372">INDEX(HotelList,MOD(ROW()-2,10)+1)</f>
        <v>H001</v>
      </c>
      <c r="C1372">
        <f>_xlfn.XLOOKUP(B1372,Dim_Hotel!$A$2:$A$11,Dim_Hotel!$F$2:$F$11)</f>
        <v>888</v>
      </c>
      <c r="D1372">
        <f t="shared" si="169"/>
        <v>488</v>
      </c>
      <c r="E1372">
        <f t="shared" si="170"/>
        <v>0.5495495495495496</v>
      </c>
      <c r="F1372">
        <f t="shared" si="171"/>
        <v>260</v>
      </c>
      <c r="G1372">
        <f t="shared" si="172"/>
        <v>142.88288288288288</v>
      </c>
      <c r="H1372" t="str">
        <f>_xlfn.XLOOKUP(A1372,Fact_Events!$D$2:$D$20,Fact_Events!$A$2:$A$20, "")</f>
        <v/>
      </c>
      <c r="I1372">
        <f t="shared" si="173"/>
        <v>0</v>
      </c>
      <c r="J1372" t="str">
        <f>_xlfn.XLOOKUP(H1372, Fact_Events!$A$2:$A$20, Fact_Events!$F$2:$F$20, "")</f>
        <v/>
      </c>
      <c r="K1372" t="str">
        <f t="shared" si="174"/>
        <v>Low</v>
      </c>
      <c r="L1372">
        <f t="shared" si="175"/>
        <v>0.55000000000000004</v>
      </c>
      <c r="M1372">
        <f>_xlfn.XLOOKUP(B1372, Dim_Hotel!$A$2:$A$11, Dim_Hotel!$I$2:$I$11)
 + (IF(J1372="",0,J1372)
    * _xlfn.XLOOKUP(B1372, Dim_Hotel!$A$2:$A$11, Dim_Hotel!$J$2:$J$11))</f>
        <v>260</v>
      </c>
    </row>
    <row r="1373" spans="1:13" x14ac:dyDescent="0.25">
      <c r="A1373" s="1">
        <f t="shared" si="168"/>
        <v>46160</v>
      </c>
      <c r="B1373" t="str" cm="1">
        <f t="array" ref="B1373">INDEX(HotelList,MOD(ROW()-2,10)+1)</f>
        <v>H002</v>
      </c>
      <c r="C1373">
        <f>_xlfn.XLOOKUP(B1373,Dim_Hotel!$A$2:$A$11,Dim_Hotel!$F$2:$F$11)</f>
        <v>147</v>
      </c>
      <c r="D1373">
        <f t="shared" si="169"/>
        <v>81</v>
      </c>
      <c r="E1373">
        <f t="shared" si="170"/>
        <v>0.55102040816326525</v>
      </c>
      <c r="F1373">
        <f t="shared" si="171"/>
        <v>175</v>
      </c>
      <c r="G1373">
        <f t="shared" si="172"/>
        <v>96.428571428571416</v>
      </c>
      <c r="H1373" t="str">
        <f>_xlfn.XLOOKUP(A1373,Fact_Events!$D$2:$D$20,Fact_Events!$A$2:$A$20, "")</f>
        <v/>
      </c>
      <c r="I1373">
        <f t="shared" si="173"/>
        <v>0</v>
      </c>
      <c r="J1373" t="str">
        <f>_xlfn.XLOOKUP(H1373, Fact_Events!$A$2:$A$20, Fact_Events!$F$2:$F$20, "")</f>
        <v/>
      </c>
      <c r="K1373" t="str">
        <f t="shared" si="174"/>
        <v>Low</v>
      </c>
      <c r="L1373">
        <f t="shared" si="175"/>
        <v>0.55000000000000004</v>
      </c>
      <c r="M1373">
        <f>_xlfn.XLOOKUP(B1373, Dim_Hotel!$A$2:$A$11, Dim_Hotel!$I$2:$I$11)
 + (IF(J1373="",0,J1373)
    * _xlfn.XLOOKUP(B1373, Dim_Hotel!$A$2:$A$11, Dim_Hotel!$J$2:$J$11))</f>
        <v>175</v>
      </c>
    </row>
    <row r="1374" spans="1:13" x14ac:dyDescent="0.25">
      <c r="A1374" s="1">
        <f t="shared" si="168"/>
        <v>46160</v>
      </c>
      <c r="B1374" t="str" cm="1">
        <f t="array" ref="B1374">INDEX(HotelList,MOD(ROW()-2,10)+1)</f>
        <v>H003</v>
      </c>
      <c r="C1374">
        <f>_xlfn.XLOOKUP(B1374,Dim_Hotel!$A$2:$A$11,Dim_Hotel!$F$2:$F$11)</f>
        <v>121</v>
      </c>
      <c r="D1374">
        <f t="shared" si="169"/>
        <v>67</v>
      </c>
      <c r="E1374">
        <f t="shared" si="170"/>
        <v>0.55371900826446285</v>
      </c>
      <c r="F1374">
        <f t="shared" si="171"/>
        <v>145</v>
      </c>
      <c r="G1374">
        <f t="shared" si="172"/>
        <v>80.289256198347118</v>
      </c>
      <c r="H1374" t="str">
        <f>_xlfn.XLOOKUP(A1374,Fact_Events!$D$2:$D$20,Fact_Events!$A$2:$A$20, "")</f>
        <v/>
      </c>
      <c r="I1374">
        <f t="shared" si="173"/>
        <v>0</v>
      </c>
      <c r="J1374" t="str">
        <f>_xlfn.XLOOKUP(H1374, Fact_Events!$A$2:$A$20, Fact_Events!$F$2:$F$20, "")</f>
        <v/>
      </c>
      <c r="K1374" t="str">
        <f t="shared" si="174"/>
        <v>Low</v>
      </c>
      <c r="L1374">
        <f t="shared" si="175"/>
        <v>0.55000000000000004</v>
      </c>
      <c r="M1374">
        <f>_xlfn.XLOOKUP(B1374, Dim_Hotel!$A$2:$A$11, Dim_Hotel!$I$2:$I$11)
 + (IF(J1374="",0,J1374)
    * _xlfn.XLOOKUP(B1374, Dim_Hotel!$A$2:$A$11, Dim_Hotel!$J$2:$J$11))</f>
        <v>145</v>
      </c>
    </row>
    <row r="1375" spans="1:13" x14ac:dyDescent="0.25">
      <c r="A1375" s="1">
        <f t="shared" si="168"/>
        <v>46160</v>
      </c>
      <c r="B1375" t="str" cm="1">
        <f t="array" ref="B1375">INDEX(HotelList,MOD(ROW()-2,10)+1)</f>
        <v>H004</v>
      </c>
      <c r="C1375">
        <f>_xlfn.XLOOKUP(B1375,Dim_Hotel!$A$2:$A$11,Dim_Hotel!$F$2:$F$11)</f>
        <v>108</v>
      </c>
      <c r="D1375">
        <f t="shared" si="169"/>
        <v>59</v>
      </c>
      <c r="E1375">
        <f t="shared" si="170"/>
        <v>0.54629629629629628</v>
      </c>
      <c r="F1375">
        <f t="shared" si="171"/>
        <v>135</v>
      </c>
      <c r="G1375">
        <f t="shared" si="172"/>
        <v>73.75</v>
      </c>
      <c r="H1375" t="str">
        <f>_xlfn.XLOOKUP(A1375,Fact_Events!$D$2:$D$20,Fact_Events!$A$2:$A$20, "")</f>
        <v/>
      </c>
      <c r="I1375">
        <f t="shared" si="173"/>
        <v>0</v>
      </c>
      <c r="J1375" t="str">
        <f>_xlfn.XLOOKUP(H1375, Fact_Events!$A$2:$A$20, Fact_Events!$F$2:$F$20, "")</f>
        <v/>
      </c>
      <c r="K1375" t="str">
        <f t="shared" si="174"/>
        <v>Low</v>
      </c>
      <c r="L1375">
        <f t="shared" si="175"/>
        <v>0.55000000000000004</v>
      </c>
      <c r="M1375">
        <f>_xlfn.XLOOKUP(B1375, Dim_Hotel!$A$2:$A$11, Dim_Hotel!$I$2:$I$11)
 + (IF(J1375="",0,J1375)
    * _xlfn.XLOOKUP(B1375, Dim_Hotel!$A$2:$A$11, Dim_Hotel!$J$2:$J$11))</f>
        <v>135</v>
      </c>
    </row>
    <row r="1376" spans="1:13" x14ac:dyDescent="0.25">
      <c r="A1376" s="1">
        <f t="shared" si="168"/>
        <v>46160</v>
      </c>
      <c r="B1376" t="str" cm="1">
        <f t="array" ref="B1376">INDEX(HotelList,MOD(ROW()-2,10)+1)</f>
        <v>H005</v>
      </c>
      <c r="C1376">
        <f>_xlfn.XLOOKUP(B1376,Dim_Hotel!$A$2:$A$11,Dim_Hotel!$F$2:$F$11)</f>
        <v>66</v>
      </c>
      <c r="D1376">
        <f t="shared" si="169"/>
        <v>36</v>
      </c>
      <c r="E1376">
        <f t="shared" si="170"/>
        <v>0.54545454545454541</v>
      </c>
      <c r="F1376">
        <f t="shared" si="171"/>
        <v>82</v>
      </c>
      <c r="G1376">
        <f t="shared" si="172"/>
        <v>44.727272727272727</v>
      </c>
      <c r="H1376" t="str">
        <f>_xlfn.XLOOKUP(A1376,Fact_Events!$D$2:$D$20,Fact_Events!$A$2:$A$20, "")</f>
        <v/>
      </c>
      <c r="I1376">
        <f t="shared" si="173"/>
        <v>0</v>
      </c>
      <c r="J1376" t="str">
        <f>_xlfn.XLOOKUP(H1376, Fact_Events!$A$2:$A$20, Fact_Events!$F$2:$F$20, "")</f>
        <v/>
      </c>
      <c r="K1376" t="str">
        <f t="shared" si="174"/>
        <v>Low</v>
      </c>
      <c r="L1376">
        <f t="shared" si="175"/>
        <v>0.55000000000000004</v>
      </c>
      <c r="M1376">
        <f>_xlfn.XLOOKUP(B1376, Dim_Hotel!$A$2:$A$11, Dim_Hotel!$I$2:$I$11)
 + (IF(J1376="",0,J1376)
    * _xlfn.XLOOKUP(B1376, Dim_Hotel!$A$2:$A$11, Dim_Hotel!$J$2:$J$11))</f>
        <v>82</v>
      </c>
    </row>
    <row r="1377" spans="1:13" x14ac:dyDescent="0.25">
      <c r="A1377" s="1">
        <f t="shared" si="168"/>
        <v>46160</v>
      </c>
      <c r="B1377" t="str" cm="1">
        <f t="array" ref="B1377">INDEX(HotelList,MOD(ROW()-2,10)+1)</f>
        <v>H006</v>
      </c>
      <c r="C1377">
        <f>_xlfn.XLOOKUP(B1377,Dim_Hotel!$A$2:$A$11,Dim_Hotel!$F$2:$F$11)</f>
        <v>311</v>
      </c>
      <c r="D1377">
        <f t="shared" si="169"/>
        <v>171</v>
      </c>
      <c r="E1377">
        <f t="shared" si="170"/>
        <v>0.54983922829581988</v>
      </c>
      <c r="F1377">
        <f t="shared" si="171"/>
        <v>190</v>
      </c>
      <c r="G1377">
        <f t="shared" si="172"/>
        <v>104.46945337620578</v>
      </c>
      <c r="H1377" t="str">
        <f>_xlfn.XLOOKUP(A1377,Fact_Events!$D$2:$D$20,Fact_Events!$A$2:$A$20, "")</f>
        <v/>
      </c>
      <c r="I1377">
        <f t="shared" si="173"/>
        <v>0</v>
      </c>
      <c r="J1377" t="str">
        <f>_xlfn.XLOOKUP(H1377, Fact_Events!$A$2:$A$20, Fact_Events!$F$2:$F$20, "")</f>
        <v/>
      </c>
      <c r="K1377" t="str">
        <f t="shared" si="174"/>
        <v>Low</v>
      </c>
      <c r="L1377">
        <f t="shared" si="175"/>
        <v>0.55000000000000004</v>
      </c>
      <c r="M1377">
        <f>_xlfn.XLOOKUP(B1377, Dim_Hotel!$A$2:$A$11, Dim_Hotel!$I$2:$I$11)
 + (IF(J1377="",0,J1377)
    * _xlfn.XLOOKUP(B1377, Dim_Hotel!$A$2:$A$11, Dim_Hotel!$J$2:$J$11))</f>
        <v>190</v>
      </c>
    </row>
    <row r="1378" spans="1:13" x14ac:dyDescent="0.25">
      <c r="A1378" s="1">
        <f t="shared" si="168"/>
        <v>46160</v>
      </c>
      <c r="B1378" t="str" cm="1">
        <f t="array" ref="B1378">INDEX(HotelList,MOD(ROW()-2,10)+1)</f>
        <v>H007</v>
      </c>
      <c r="C1378">
        <f>_xlfn.XLOOKUP(B1378,Dim_Hotel!$A$2:$A$11,Dim_Hotel!$F$2:$F$11)</f>
        <v>132</v>
      </c>
      <c r="D1378">
        <f t="shared" si="169"/>
        <v>73</v>
      </c>
      <c r="E1378">
        <f t="shared" si="170"/>
        <v>0.55303030303030298</v>
      </c>
      <c r="F1378">
        <f t="shared" si="171"/>
        <v>165</v>
      </c>
      <c r="G1378">
        <f t="shared" si="172"/>
        <v>91.249999999999986</v>
      </c>
      <c r="H1378" t="str">
        <f>_xlfn.XLOOKUP(A1378,Fact_Events!$D$2:$D$20,Fact_Events!$A$2:$A$20, "")</f>
        <v/>
      </c>
      <c r="I1378">
        <f t="shared" si="173"/>
        <v>0</v>
      </c>
      <c r="J1378" t="str">
        <f>_xlfn.XLOOKUP(H1378, Fact_Events!$A$2:$A$20, Fact_Events!$F$2:$F$20, "")</f>
        <v/>
      </c>
      <c r="K1378" t="str">
        <f t="shared" si="174"/>
        <v>Low</v>
      </c>
      <c r="L1378">
        <f t="shared" si="175"/>
        <v>0.55000000000000004</v>
      </c>
      <c r="M1378">
        <f>_xlfn.XLOOKUP(B1378, Dim_Hotel!$A$2:$A$11, Dim_Hotel!$I$2:$I$11)
 + (IF(J1378="",0,J1378)
    * _xlfn.XLOOKUP(B1378, Dim_Hotel!$A$2:$A$11, Dim_Hotel!$J$2:$J$11))</f>
        <v>165</v>
      </c>
    </row>
    <row r="1379" spans="1:13" x14ac:dyDescent="0.25">
      <c r="A1379" s="1">
        <f t="shared" si="168"/>
        <v>46160</v>
      </c>
      <c r="B1379" t="str" cm="1">
        <f t="array" ref="B1379">INDEX(HotelList,MOD(ROW()-2,10)+1)</f>
        <v>H008</v>
      </c>
      <c r="C1379">
        <f>_xlfn.XLOOKUP(B1379,Dim_Hotel!$A$2:$A$11,Dim_Hotel!$F$2:$F$11)</f>
        <v>103</v>
      </c>
      <c r="D1379">
        <f t="shared" si="169"/>
        <v>57</v>
      </c>
      <c r="E1379">
        <f t="shared" si="170"/>
        <v>0.55339805825242716</v>
      </c>
      <c r="F1379">
        <f t="shared" si="171"/>
        <v>140</v>
      </c>
      <c r="G1379">
        <f t="shared" si="172"/>
        <v>77.475728155339809</v>
      </c>
      <c r="H1379" t="str">
        <f>_xlfn.XLOOKUP(A1379,Fact_Events!$D$2:$D$20,Fact_Events!$A$2:$A$20, "")</f>
        <v/>
      </c>
      <c r="I1379">
        <f t="shared" si="173"/>
        <v>0</v>
      </c>
      <c r="J1379" t="str">
        <f>_xlfn.XLOOKUP(H1379, Fact_Events!$A$2:$A$20, Fact_Events!$F$2:$F$20, "")</f>
        <v/>
      </c>
      <c r="K1379" t="str">
        <f t="shared" si="174"/>
        <v>Low</v>
      </c>
      <c r="L1379">
        <f t="shared" si="175"/>
        <v>0.55000000000000004</v>
      </c>
      <c r="M1379">
        <f>_xlfn.XLOOKUP(B1379, Dim_Hotel!$A$2:$A$11, Dim_Hotel!$I$2:$I$11)
 + (IF(J1379="",0,J1379)
    * _xlfn.XLOOKUP(B1379, Dim_Hotel!$A$2:$A$11, Dim_Hotel!$J$2:$J$11))</f>
        <v>140</v>
      </c>
    </row>
    <row r="1380" spans="1:13" x14ac:dyDescent="0.25">
      <c r="A1380" s="1">
        <f t="shared" si="168"/>
        <v>46160</v>
      </c>
      <c r="B1380" t="str" cm="1">
        <f t="array" ref="B1380">INDEX(HotelList,MOD(ROW()-2,10)+1)</f>
        <v>H009</v>
      </c>
      <c r="C1380">
        <f>_xlfn.XLOOKUP(B1380,Dim_Hotel!$A$2:$A$11,Dim_Hotel!$F$2:$F$11)</f>
        <v>114</v>
      </c>
      <c r="D1380">
        <f t="shared" si="169"/>
        <v>63</v>
      </c>
      <c r="E1380">
        <f t="shared" si="170"/>
        <v>0.55263157894736847</v>
      </c>
      <c r="F1380">
        <f t="shared" si="171"/>
        <v>185</v>
      </c>
      <c r="G1380">
        <f t="shared" si="172"/>
        <v>102.23684210526316</v>
      </c>
      <c r="H1380" t="str">
        <f>_xlfn.XLOOKUP(A1380,Fact_Events!$D$2:$D$20,Fact_Events!$A$2:$A$20, "")</f>
        <v/>
      </c>
      <c r="I1380">
        <f t="shared" si="173"/>
        <v>0</v>
      </c>
      <c r="J1380" t="str">
        <f>_xlfn.XLOOKUP(H1380, Fact_Events!$A$2:$A$20, Fact_Events!$F$2:$F$20, "")</f>
        <v/>
      </c>
      <c r="K1380" t="str">
        <f t="shared" si="174"/>
        <v>Low</v>
      </c>
      <c r="L1380">
        <f t="shared" si="175"/>
        <v>0.55000000000000004</v>
      </c>
      <c r="M1380">
        <f>_xlfn.XLOOKUP(B1380, Dim_Hotel!$A$2:$A$11, Dim_Hotel!$I$2:$I$11)
 + (IF(J1380="",0,J1380)
    * _xlfn.XLOOKUP(B1380, Dim_Hotel!$A$2:$A$11, Dim_Hotel!$J$2:$J$11))</f>
        <v>185</v>
      </c>
    </row>
    <row r="1381" spans="1:13" x14ac:dyDescent="0.25">
      <c r="A1381" s="1">
        <f t="shared" si="168"/>
        <v>46160</v>
      </c>
      <c r="B1381" t="str" cm="1">
        <f t="array" ref="B1381">INDEX(HotelList,MOD(ROW()-2,10)+1)</f>
        <v>H010</v>
      </c>
      <c r="C1381">
        <f>_xlfn.XLOOKUP(B1381,Dim_Hotel!$A$2:$A$11,Dim_Hotel!$F$2:$F$11)</f>
        <v>89</v>
      </c>
      <c r="D1381">
        <f t="shared" si="169"/>
        <v>49</v>
      </c>
      <c r="E1381">
        <f t="shared" si="170"/>
        <v>0.550561797752809</v>
      </c>
      <c r="F1381">
        <f t="shared" si="171"/>
        <v>150</v>
      </c>
      <c r="G1381">
        <f t="shared" si="172"/>
        <v>82.584269662921344</v>
      </c>
      <c r="H1381" t="str">
        <f>_xlfn.XLOOKUP(A1381,Fact_Events!$D$2:$D$20,Fact_Events!$A$2:$A$20, "")</f>
        <v/>
      </c>
      <c r="I1381">
        <f t="shared" si="173"/>
        <v>0</v>
      </c>
      <c r="J1381" t="str">
        <f>_xlfn.XLOOKUP(H1381, Fact_Events!$A$2:$A$20, Fact_Events!$F$2:$F$20, "")</f>
        <v/>
      </c>
      <c r="K1381" t="str">
        <f t="shared" si="174"/>
        <v>Low</v>
      </c>
      <c r="L1381">
        <f t="shared" si="175"/>
        <v>0.55000000000000004</v>
      </c>
      <c r="M1381">
        <f>_xlfn.XLOOKUP(B1381, Dim_Hotel!$A$2:$A$11, Dim_Hotel!$I$2:$I$11)
 + (IF(J1381="",0,J1381)
    * _xlfn.XLOOKUP(B1381, Dim_Hotel!$A$2:$A$11, Dim_Hotel!$J$2:$J$11))</f>
        <v>150</v>
      </c>
    </row>
    <row r="1382" spans="1:13" x14ac:dyDescent="0.25">
      <c r="A1382" s="1">
        <f t="shared" si="168"/>
        <v>46161</v>
      </c>
      <c r="B1382" t="str" cm="1">
        <f t="array" ref="B1382">INDEX(HotelList,MOD(ROW()-2,10)+1)</f>
        <v>H001</v>
      </c>
      <c r="C1382">
        <f>_xlfn.XLOOKUP(B1382,Dim_Hotel!$A$2:$A$11,Dim_Hotel!$F$2:$F$11)</f>
        <v>888</v>
      </c>
      <c r="D1382">
        <f t="shared" si="169"/>
        <v>488</v>
      </c>
      <c r="E1382">
        <f t="shared" si="170"/>
        <v>0.5495495495495496</v>
      </c>
      <c r="F1382">
        <f t="shared" si="171"/>
        <v>260</v>
      </c>
      <c r="G1382">
        <f t="shared" si="172"/>
        <v>142.88288288288288</v>
      </c>
      <c r="H1382" t="str">
        <f>_xlfn.XLOOKUP(A1382,Fact_Events!$D$2:$D$20,Fact_Events!$A$2:$A$20, "")</f>
        <v/>
      </c>
      <c r="I1382">
        <f t="shared" si="173"/>
        <v>0</v>
      </c>
      <c r="J1382" t="str">
        <f>_xlfn.XLOOKUP(H1382, Fact_Events!$A$2:$A$20, Fact_Events!$F$2:$F$20, "")</f>
        <v/>
      </c>
      <c r="K1382" t="str">
        <f t="shared" si="174"/>
        <v>Low</v>
      </c>
      <c r="L1382">
        <f t="shared" si="175"/>
        <v>0.55000000000000004</v>
      </c>
      <c r="M1382">
        <f>_xlfn.XLOOKUP(B1382, Dim_Hotel!$A$2:$A$11, Dim_Hotel!$I$2:$I$11)
 + (IF(J1382="",0,J1382)
    * _xlfn.XLOOKUP(B1382, Dim_Hotel!$A$2:$A$11, Dim_Hotel!$J$2:$J$11))</f>
        <v>260</v>
      </c>
    </row>
    <row r="1383" spans="1:13" x14ac:dyDescent="0.25">
      <c r="A1383" s="1">
        <f t="shared" si="168"/>
        <v>46161</v>
      </c>
      <c r="B1383" t="str" cm="1">
        <f t="array" ref="B1383">INDEX(HotelList,MOD(ROW()-2,10)+1)</f>
        <v>H002</v>
      </c>
      <c r="C1383">
        <f>_xlfn.XLOOKUP(B1383,Dim_Hotel!$A$2:$A$11,Dim_Hotel!$F$2:$F$11)</f>
        <v>147</v>
      </c>
      <c r="D1383">
        <f t="shared" si="169"/>
        <v>81</v>
      </c>
      <c r="E1383">
        <f t="shared" si="170"/>
        <v>0.55102040816326525</v>
      </c>
      <c r="F1383">
        <f t="shared" si="171"/>
        <v>175</v>
      </c>
      <c r="G1383">
        <f t="shared" si="172"/>
        <v>96.428571428571416</v>
      </c>
      <c r="H1383" t="str">
        <f>_xlfn.XLOOKUP(A1383,Fact_Events!$D$2:$D$20,Fact_Events!$A$2:$A$20, "")</f>
        <v/>
      </c>
      <c r="I1383">
        <f t="shared" si="173"/>
        <v>0</v>
      </c>
      <c r="J1383" t="str">
        <f>_xlfn.XLOOKUP(H1383, Fact_Events!$A$2:$A$20, Fact_Events!$F$2:$F$20, "")</f>
        <v/>
      </c>
      <c r="K1383" t="str">
        <f t="shared" si="174"/>
        <v>Low</v>
      </c>
      <c r="L1383">
        <f t="shared" si="175"/>
        <v>0.55000000000000004</v>
      </c>
      <c r="M1383">
        <f>_xlfn.XLOOKUP(B1383, Dim_Hotel!$A$2:$A$11, Dim_Hotel!$I$2:$I$11)
 + (IF(J1383="",0,J1383)
    * _xlfn.XLOOKUP(B1383, Dim_Hotel!$A$2:$A$11, Dim_Hotel!$J$2:$J$11))</f>
        <v>175</v>
      </c>
    </row>
    <row r="1384" spans="1:13" x14ac:dyDescent="0.25">
      <c r="A1384" s="1">
        <f t="shared" si="168"/>
        <v>46161</v>
      </c>
      <c r="B1384" t="str" cm="1">
        <f t="array" ref="B1384">INDEX(HotelList,MOD(ROW()-2,10)+1)</f>
        <v>H003</v>
      </c>
      <c r="C1384">
        <f>_xlfn.XLOOKUP(B1384,Dim_Hotel!$A$2:$A$11,Dim_Hotel!$F$2:$F$11)</f>
        <v>121</v>
      </c>
      <c r="D1384">
        <f t="shared" si="169"/>
        <v>67</v>
      </c>
      <c r="E1384">
        <f t="shared" si="170"/>
        <v>0.55371900826446285</v>
      </c>
      <c r="F1384">
        <f t="shared" si="171"/>
        <v>145</v>
      </c>
      <c r="G1384">
        <f t="shared" si="172"/>
        <v>80.289256198347118</v>
      </c>
      <c r="H1384" t="str">
        <f>_xlfn.XLOOKUP(A1384,Fact_Events!$D$2:$D$20,Fact_Events!$A$2:$A$20, "")</f>
        <v/>
      </c>
      <c r="I1384">
        <f t="shared" si="173"/>
        <v>0</v>
      </c>
      <c r="J1384" t="str">
        <f>_xlfn.XLOOKUP(H1384, Fact_Events!$A$2:$A$20, Fact_Events!$F$2:$F$20, "")</f>
        <v/>
      </c>
      <c r="K1384" t="str">
        <f t="shared" si="174"/>
        <v>Low</v>
      </c>
      <c r="L1384">
        <f t="shared" si="175"/>
        <v>0.55000000000000004</v>
      </c>
      <c r="M1384">
        <f>_xlfn.XLOOKUP(B1384, Dim_Hotel!$A$2:$A$11, Dim_Hotel!$I$2:$I$11)
 + (IF(J1384="",0,J1384)
    * _xlfn.XLOOKUP(B1384, Dim_Hotel!$A$2:$A$11, Dim_Hotel!$J$2:$J$11))</f>
        <v>145</v>
      </c>
    </row>
    <row r="1385" spans="1:13" x14ac:dyDescent="0.25">
      <c r="A1385" s="1">
        <f t="shared" si="168"/>
        <v>46161</v>
      </c>
      <c r="B1385" t="str" cm="1">
        <f t="array" ref="B1385">INDEX(HotelList,MOD(ROW()-2,10)+1)</f>
        <v>H004</v>
      </c>
      <c r="C1385">
        <f>_xlfn.XLOOKUP(B1385,Dim_Hotel!$A$2:$A$11,Dim_Hotel!$F$2:$F$11)</f>
        <v>108</v>
      </c>
      <c r="D1385">
        <f t="shared" si="169"/>
        <v>59</v>
      </c>
      <c r="E1385">
        <f t="shared" si="170"/>
        <v>0.54629629629629628</v>
      </c>
      <c r="F1385">
        <f t="shared" si="171"/>
        <v>135</v>
      </c>
      <c r="G1385">
        <f t="shared" si="172"/>
        <v>73.75</v>
      </c>
      <c r="H1385" t="str">
        <f>_xlfn.XLOOKUP(A1385,Fact_Events!$D$2:$D$20,Fact_Events!$A$2:$A$20, "")</f>
        <v/>
      </c>
      <c r="I1385">
        <f t="shared" si="173"/>
        <v>0</v>
      </c>
      <c r="J1385" t="str">
        <f>_xlfn.XLOOKUP(H1385, Fact_Events!$A$2:$A$20, Fact_Events!$F$2:$F$20, "")</f>
        <v/>
      </c>
      <c r="K1385" t="str">
        <f t="shared" si="174"/>
        <v>Low</v>
      </c>
      <c r="L1385">
        <f t="shared" si="175"/>
        <v>0.55000000000000004</v>
      </c>
      <c r="M1385">
        <f>_xlfn.XLOOKUP(B1385, Dim_Hotel!$A$2:$A$11, Dim_Hotel!$I$2:$I$11)
 + (IF(J1385="",0,J1385)
    * _xlfn.XLOOKUP(B1385, Dim_Hotel!$A$2:$A$11, Dim_Hotel!$J$2:$J$11))</f>
        <v>135</v>
      </c>
    </row>
    <row r="1386" spans="1:13" x14ac:dyDescent="0.25">
      <c r="A1386" s="1">
        <f t="shared" si="168"/>
        <v>46161</v>
      </c>
      <c r="B1386" t="str" cm="1">
        <f t="array" ref="B1386">INDEX(HotelList,MOD(ROW()-2,10)+1)</f>
        <v>H005</v>
      </c>
      <c r="C1386">
        <f>_xlfn.XLOOKUP(B1386,Dim_Hotel!$A$2:$A$11,Dim_Hotel!$F$2:$F$11)</f>
        <v>66</v>
      </c>
      <c r="D1386">
        <f t="shared" si="169"/>
        <v>36</v>
      </c>
      <c r="E1386">
        <f t="shared" si="170"/>
        <v>0.54545454545454541</v>
      </c>
      <c r="F1386">
        <f t="shared" si="171"/>
        <v>82</v>
      </c>
      <c r="G1386">
        <f t="shared" si="172"/>
        <v>44.727272727272727</v>
      </c>
      <c r="H1386" t="str">
        <f>_xlfn.XLOOKUP(A1386,Fact_Events!$D$2:$D$20,Fact_Events!$A$2:$A$20, "")</f>
        <v/>
      </c>
      <c r="I1386">
        <f t="shared" si="173"/>
        <v>0</v>
      </c>
      <c r="J1386" t="str">
        <f>_xlfn.XLOOKUP(H1386, Fact_Events!$A$2:$A$20, Fact_Events!$F$2:$F$20, "")</f>
        <v/>
      </c>
      <c r="K1386" t="str">
        <f t="shared" si="174"/>
        <v>Low</v>
      </c>
      <c r="L1386">
        <f t="shared" si="175"/>
        <v>0.55000000000000004</v>
      </c>
      <c r="M1386">
        <f>_xlfn.XLOOKUP(B1386, Dim_Hotel!$A$2:$A$11, Dim_Hotel!$I$2:$I$11)
 + (IF(J1386="",0,J1386)
    * _xlfn.XLOOKUP(B1386, Dim_Hotel!$A$2:$A$11, Dim_Hotel!$J$2:$J$11))</f>
        <v>82</v>
      </c>
    </row>
    <row r="1387" spans="1:13" x14ac:dyDescent="0.25">
      <c r="A1387" s="1">
        <f t="shared" si="168"/>
        <v>46161</v>
      </c>
      <c r="B1387" t="str" cm="1">
        <f t="array" ref="B1387">INDEX(HotelList,MOD(ROW()-2,10)+1)</f>
        <v>H006</v>
      </c>
      <c r="C1387">
        <f>_xlfn.XLOOKUP(B1387,Dim_Hotel!$A$2:$A$11,Dim_Hotel!$F$2:$F$11)</f>
        <v>311</v>
      </c>
      <c r="D1387">
        <f t="shared" si="169"/>
        <v>171</v>
      </c>
      <c r="E1387">
        <f t="shared" si="170"/>
        <v>0.54983922829581988</v>
      </c>
      <c r="F1387">
        <f t="shared" si="171"/>
        <v>190</v>
      </c>
      <c r="G1387">
        <f t="shared" si="172"/>
        <v>104.46945337620578</v>
      </c>
      <c r="H1387" t="str">
        <f>_xlfn.XLOOKUP(A1387,Fact_Events!$D$2:$D$20,Fact_Events!$A$2:$A$20, "")</f>
        <v/>
      </c>
      <c r="I1387">
        <f t="shared" si="173"/>
        <v>0</v>
      </c>
      <c r="J1387" t="str">
        <f>_xlfn.XLOOKUP(H1387, Fact_Events!$A$2:$A$20, Fact_Events!$F$2:$F$20, "")</f>
        <v/>
      </c>
      <c r="K1387" t="str">
        <f t="shared" si="174"/>
        <v>Low</v>
      </c>
      <c r="L1387">
        <f t="shared" si="175"/>
        <v>0.55000000000000004</v>
      </c>
      <c r="M1387">
        <f>_xlfn.XLOOKUP(B1387, Dim_Hotel!$A$2:$A$11, Dim_Hotel!$I$2:$I$11)
 + (IF(J1387="",0,J1387)
    * _xlfn.XLOOKUP(B1387, Dim_Hotel!$A$2:$A$11, Dim_Hotel!$J$2:$J$11))</f>
        <v>190</v>
      </c>
    </row>
    <row r="1388" spans="1:13" x14ac:dyDescent="0.25">
      <c r="A1388" s="1">
        <f t="shared" si="168"/>
        <v>46161</v>
      </c>
      <c r="B1388" t="str" cm="1">
        <f t="array" ref="B1388">INDEX(HotelList,MOD(ROW()-2,10)+1)</f>
        <v>H007</v>
      </c>
      <c r="C1388">
        <f>_xlfn.XLOOKUP(B1388,Dim_Hotel!$A$2:$A$11,Dim_Hotel!$F$2:$F$11)</f>
        <v>132</v>
      </c>
      <c r="D1388">
        <f t="shared" si="169"/>
        <v>73</v>
      </c>
      <c r="E1388">
        <f t="shared" si="170"/>
        <v>0.55303030303030298</v>
      </c>
      <c r="F1388">
        <f t="shared" si="171"/>
        <v>165</v>
      </c>
      <c r="G1388">
        <f t="shared" si="172"/>
        <v>91.249999999999986</v>
      </c>
      <c r="H1388" t="str">
        <f>_xlfn.XLOOKUP(A1388,Fact_Events!$D$2:$D$20,Fact_Events!$A$2:$A$20, "")</f>
        <v/>
      </c>
      <c r="I1388">
        <f t="shared" si="173"/>
        <v>0</v>
      </c>
      <c r="J1388" t="str">
        <f>_xlfn.XLOOKUP(H1388, Fact_Events!$A$2:$A$20, Fact_Events!$F$2:$F$20, "")</f>
        <v/>
      </c>
      <c r="K1388" t="str">
        <f t="shared" si="174"/>
        <v>Low</v>
      </c>
      <c r="L1388">
        <f t="shared" si="175"/>
        <v>0.55000000000000004</v>
      </c>
      <c r="M1388">
        <f>_xlfn.XLOOKUP(B1388, Dim_Hotel!$A$2:$A$11, Dim_Hotel!$I$2:$I$11)
 + (IF(J1388="",0,J1388)
    * _xlfn.XLOOKUP(B1388, Dim_Hotel!$A$2:$A$11, Dim_Hotel!$J$2:$J$11))</f>
        <v>165</v>
      </c>
    </row>
    <row r="1389" spans="1:13" x14ac:dyDescent="0.25">
      <c r="A1389" s="1">
        <f t="shared" si="168"/>
        <v>46161</v>
      </c>
      <c r="B1389" t="str" cm="1">
        <f t="array" ref="B1389">INDEX(HotelList,MOD(ROW()-2,10)+1)</f>
        <v>H008</v>
      </c>
      <c r="C1389">
        <f>_xlfn.XLOOKUP(B1389,Dim_Hotel!$A$2:$A$11,Dim_Hotel!$F$2:$F$11)</f>
        <v>103</v>
      </c>
      <c r="D1389">
        <f t="shared" si="169"/>
        <v>57</v>
      </c>
      <c r="E1389">
        <f t="shared" si="170"/>
        <v>0.55339805825242716</v>
      </c>
      <c r="F1389">
        <f t="shared" si="171"/>
        <v>140</v>
      </c>
      <c r="G1389">
        <f t="shared" si="172"/>
        <v>77.475728155339809</v>
      </c>
      <c r="H1389" t="str">
        <f>_xlfn.XLOOKUP(A1389,Fact_Events!$D$2:$D$20,Fact_Events!$A$2:$A$20, "")</f>
        <v/>
      </c>
      <c r="I1389">
        <f t="shared" si="173"/>
        <v>0</v>
      </c>
      <c r="J1389" t="str">
        <f>_xlfn.XLOOKUP(H1389, Fact_Events!$A$2:$A$20, Fact_Events!$F$2:$F$20, "")</f>
        <v/>
      </c>
      <c r="K1389" t="str">
        <f t="shared" si="174"/>
        <v>Low</v>
      </c>
      <c r="L1389">
        <f t="shared" si="175"/>
        <v>0.55000000000000004</v>
      </c>
      <c r="M1389">
        <f>_xlfn.XLOOKUP(B1389, Dim_Hotel!$A$2:$A$11, Dim_Hotel!$I$2:$I$11)
 + (IF(J1389="",0,J1389)
    * _xlfn.XLOOKUP(B1389, Dim_Hotel!$A$2:$A$11, Dim_Hotel!$J$2:$J$11))</f>
        <v>140</v>
      </c>
    </row>
    <row r="1390" spans="1:13" x14ac:dyDescent="0.25">
      <c r="A1390" s="1">
        <f t="shared" si="168"/>
        <v>46161</v>
      </c>
      <c r="B1390" t="str" cm="1">
        <f t="array" ref="B1390">INDEX(HotelList,MOD(ROW()-2,10)+1)</f>
        <v>H009</v>
      </c>
      <c r="C1390">
        <f>_xlfn.XLOOKUP(B1390,Dim_Hotel!$A$2:$A$11,Dim_Hotel!$F$2:$F$11)</f>
        <v>114</v>
      </c>
      <c r="D1390">
        <f t="shared" si="169"/>
        <v>63</v>
      </c>
      <c r="E1390">
        <f t="shared" si="170"/>
        <v>0.55263157894736847</v>
      </c>
      <c r="F1390">
        <f t="shared" si="171"/>
        <v>185</v>
      </c>
      <c r="G1390">
        <f t="shared" si="172"/>
        <v>102.23684210526316</v>
      </c>
      <c r="H1390" t="str">
        <f>_xlfn.XLOOKUP(A1390,Fact_Events!$D$2:$D$20,Fact_Events!$A$2:$A$20, "")</f>
        <v/>
      </c>
      <c r="I1390">
        <f t="shared" si="173"/>
        <v>0</v>
      </c>
      <c r="J1390" t="str">
        <f>_xlfn.XLOOKUP(H1390, Fact_Events!$A$2:$A$20, Fact_Events!$F$2:$F$20, "")</f>
        <v/>
      </c>
      <c r="K1390" t="str">
        <f t="shared" si="174"/>
        <v>Low</v>
      </c>
      <c r="L1390">
        <f t="shared" si="175"/>
        <v>0.55000000000000004</v>
      </c>
      <c r="M1390">
        <f>_xlfn.XLOOKUP(B1390, Dim_Hotel!$A$2:$A$11, Dim_Hotel!$I$2:$I$11)
 + (IF(J1390="",0,J1390)
    * _xlfn.XLOOKUP(B1390, Dim_Hotel!$A$2:$A$11, Dim_Hotel!$J$2:$J$11))</f>
        <v>185</v>
      </c>
    </row>
    <row r="1391" spans="1:13" x14ac:dyDescent="0.25">
      <c r="A1391" s="1">
        <f t="shared" si="168"/>
        <v>46161</v>
      </c>
      <c r="B1391" t="str" cm="1">
        <f t="array" ref="B1391">INDEX(HotelList,MOD(ROW()-2,10)+1)</f>
        <v>H010</v>
      </c>
      <c r="C1391">
        <f>_xlfn.XLOOKUP(B1391,Dim_Hotel!$A$2:$A$11,Dim_Hotel!$F$2:$F$11)</f>
        <v>89</v>
      </c>
      <c r="D1391">
        <f t="shared" si="169"/>
        <v>49</v>
      </c>
      <c r="E1391">
        <f t="shared" si="170"/>
        <v>0.550561797752809</v>
      </c>
      <c r="F1391">
        <f t="shared" si="171"/>
        <v>150</v>
      </c>
      <c r="G1391">
        <f t="shared" si="172"/>
        <v>82.584269662921344</v>
      </c>
      <c r="H1391" t="str">
        <f>_xlfn.XLOOKUP(A1391,Fact_Events!$D$2:$D$20,Fact_Events!$A$2:$A$20, "")</f>
        <v/>
      </c>
      <c r="I1391">
        <f t="shared" si="173"/>
        <v>0</v>
      </c>
      <c r="J1391" t="str">
        <f>_xlfn.XLOOKUP(H1391, Fact_Events!$A$2:$A$20, Fact_Events!$F$2:$F$20, "")</f>
        <v/>
      </c>
      <c r="K1391" t="str">
        <f t="shared" si="174"/>
        <v>Low</v>
      </c>
      <c r="L1391">
        <f t="shared" si="175"/>
        <v>0.55000000000000004</v>
      </c>
      <c r="M1391">
        <f>_xlfn.XLOOKUP(B1391, Dim_Hotel!$A$2:$A$11, Dim_Hotel!$I$2:$I$11)
 + (IF(J1391="",0,J1391)
    * _xlfn.XLOOKUP(B1391, Dim_Hotel!$A$2:$A$11, Dim_Hotel!$J$2:$J$11))</f>
        <v>150</v>
      </c>
    </row>
    <row r="1392" spans="1:13" x14ac:dyDescent="0.25">
      <c r="A1392" s="1">
        <f t="shared" si="168"/>
        <v>46162</v>
      </c>
      <c r="B1392" t="str" cm="1">
        <f t="array" ref="B1392">INDEX(HotelList,MOD(ROW()-2,10)+1)</f>
        <v>H001</v>
      </c>
      <c r="C1392">
        <f>_xlfn.XLOOKUP(B1392,Dim_Hotel!$A$2:$A$11,Dim_Hotel!$F$2:$F$11)</f>
        <v>888</v>
      </c>
      <c r="D1392">
        <f t="shared" si="169"/>
        <v>488</v>
      </c>
      <c r="E1392">
        <f t="shared" si="170"/>
        <v>0.5495495495495496</v>
      </c>
      <c r="F1392">
        <f t="shared" si="171"/>
        <v>260</v>
      </c>
      <c r="G1392">
        <f t="shared" si="172"/>
        <v>142.88288288288288</v>
      </c>
      <c r="H1392" t="str">
        <f>_xlfn.XLOOKUP(A1392,Fact_Events!$D$2:$D$20,Fact_Events!$A$2:$A$20, "")</f>
        <v/>
      </c>
      <c r="I1392">
        <f t="shared" si="173"/>
        <v>0</v>
      </c>
      <c r="J1392" t="str">
        <f>_xlfn.XLOOKUP(H1392, Fact_Events!$A$2:$A$20, Fact_Events!$F$2:$F$20, "")</f>
        <v/>
      </c>
      <c r="K1392" t="str">
        <f t="shared" si="174"/>
        <v>Low</v>
      </c>
      <c r="L1392">
        <f t="shared" si="175"/>
        <v>0.55000000000000004</v>
      </c>
      <c r="M1392">
        <f>_xlfn.XLOOKUP(B1392, Dim_Hotel!$A$2:$A$11, Dim_Hotel!$I$2:$I$11)
 + (IF(J1392="",0,J1392)
    * _xlfn.XLOOKUP(B1392, Dim_Hotel!$A$2:$A$11, Dim_Hotel!$J$2:$J$11))</f>
        <v>260</v>
      </c>
    </row>
    <row r="1393" spans="1:13" x14ac:dyDescent="0.25">
      <c r="A1393" s="1">
        <f t="shared" si="168"/>
        <v>46162</v>
      </c>
      <c r="B1393" t="str" cm="1">
        <f t="array" ref="B1393">INDEX(HotelList,MOD(ROW()-2,10)+1)</f>
        <v>H002</v>
      </c>
      <c r="C1393">
        <f>_xlfn.XLOOKUP(B1393,Dim_Hotel!$A$2:$A$11,Dim_Hotel!$F$2:$F$11)</f>
        <v>147</v>
      </c>
      <c r="D1393">
        <f t="shared" si="169"/>
        <v>81</v>
      </c>
      <c r="E1393">
        <f t="shared" si="170"/>
        <v>0.55102040816326525</v>
      </c>
      <c r="F1393">
        <f t="shared" si="171"/>
        <v>175</v>
      </c>
      <c r="G1393">
        <f t="shared" si="172"/>
        <v>96.428571428571416</v>
      </c>
      <c r="H1393" t="str">
        <f>_xlfn.XLOOKUP(A1393,Fact_Events!$D$2:$D$20,Fact_Events!$A$2:$A$20, "")</f>
        <v/>
      </c>
      <c r="I1393">
        <f t="shared" si="173"/>
        <v>0</v>
      </c>
      <c r="J1393" t="str">
        <f>_xlfn.XLOOKUP(H1393, Fact_Events!$A$2:$A$20, Fact_Events!$F$2:$F$20, "")</f>
        <v/>
      </c>
      <c r="K1393" t="str">
        <f t="shared" si="174"/>
        <v>Low</v>
      </c>
      <c r="L1393">
        <f t="shared" si="175"/>
        <v>0.55000000000000004</v>
      </c>
      <c r="M1393">
        <f>_xlfn.XLOOKUP(B1393, Dim_Hotel!$A$2:$A$11, Dim_Hotel!$I$2:$I$11)
 + (IF(J1393="",0,J1393)
    * _xlfn.XLOOKUP(B1393, Dim_Hotel!$A$2:$A$11, Dim_Hotel!$J$2:$J$11))</f>
        <v>175</v>
      </c>
    </row>
    <row r="1394" spans="1:13" x14ac:dyDescent="0.25">
      <c r="A1394" s="1">
        <f t="shared" si="168"/>
        <v>46162</v>
      </c>
      <c r="B1394" t="str" cm="1">
        <f t="array" ref="B1394">INDEX(HotelList,MOD(ROW()-2,10)+1)</f>
        <v>H003</v>
      </c>
      <c r="C1394">
        <f>_xlfn.XLOOKUP(B1394,Dim_Hotel!$A$2:$A$11,Dim_Hotel!$F$2:$F$11)</f>
        <v>121</v>
      </c>
      <c r="D1394">
        <f t="shared" si="169"/>
        <v>67</v>
      </c>
      <c r="E1394">
        <f t="shared" si="170"/>
        <v>0.55371900826446285</v>
      </c>
      <c r="F1394">
        <f t="shared" si="171"/>
        <v>145</v>
      </c>
      <c r="G1394">
        <f t="shared" si="172"/>
        <v>80.289256198347118</v>
      </c>
      <c r="H1394" t="str">
        <f>_xlfn.XLOOKUP(A1394,Fact_Events!$D$2:$D$20,Fact_Events!$A$2:$A$20, "")</f>
        <v/>
      </c>
      <c r="I1394">
        <f t="shared" si="173"/>
        <v>0</v>
      </c>
      <c r="J1394" t="str">
        <f>_xlfn.XLOOKUP(H1394, Fact_Events!$A$2:$A$20, Fact_Events!$F$2:$F$20, "")</f>
        <v/>
      </c>
      <c r="K1394" t="str">
        <f t="shared" si="174"/>
        <v>Low</v>
      </c>
      <c r="L1394">
        <f t="shared" si="175"/>
        <v>0.55000000000000004</v>
      </c>
      <c r="M1394">
        <f>_xlfn.XLOOKUP(B1394, Dim_Hotel!$A$2:$A$11, Dim_Hotel!$I$2:$I$11)
 + (IF(J1394="",0,J1394)
    * _xlfn.XLOOKUP(B1394, Dim_Hotel!$A$2:$A$11, Dim_Hotel!$J$2:$J$11))</f>
        <v>145</v>
      </c>
    </row>
    <row r="1395" spans="1:13" x14ac:dyDescent="0.25">
      <c r="A1395" s="1">
        <f t="shared" si="168"/>
        <v>46162</v>
      </c>
      <c r="B1395" t="str" cm="1">
        <f t="array" ref="B1395">INDEX(HotelList,MOD(ROW()-2,10)+1)</f>
        <v>H004</v>
      </c>
      <c r="C1395">
        <f>_xlfn.XLOOKUP(B1395,Dim_Hotel!$A$2:$A$11,Dim_Hotel!$F$2:$F$11)</f>
        <v>108</v>
      </c>
      <c r="D1395">
        <f t="shared" si="169"/>
        <v>59</v>
      </c>
      <c r="E1395">
        <f t="shared" si="170"/>
        <v>0.54629629629629628</v>
      </c>
      <c r="F1395">
        <f t="shared" si="171"/>
        <v>135</v>
      </c>
      <c r="G1395">
        <f t="shared" si="172"/>
        <v>73.75</v>
      </c>
      <c r="H1395" t="str">
        <f>_xlfn.XLOOKUP(A1395,Fact_Events!$D$2:$D$20,Fact_Events!$A$2:$A$20, "")</f>
        <v/>
      </c>
      <c r="I1395">
        <f t="shared" si="173"/>
        <v>0</v>
      </c>
      <c r="J1395" t="str">
        <f>_xlfn.XLOOKUP(H1395, Fact_Events!$A$2:$A$20, Fact_Events!$F$2:$F$20, "")</f>
        <v/>
      </c>
      <c r="K1395" t="str">
        <f t="shared" si="174"/>
        <v>Low</v>
      </c>
      <c r="L1395">
        <f t="shared" si="175"/>
        <v>0.55000000000000004</v>
      </c>
      <c r="M1395">
        <f>_xlfn.XLOOKUP(B1395, Dim_Hotel!$A$2:$A$11, Dim_Hotel!$I$2:$I$11)
 + (IF(J1395="",0,J1395)
    * _xlfn.XLOOKUP(B1395, Dim_Hotel!$A$2:$A$11, Dim_Hotel!$J$2:$J$11))</f>
        <v>135</v>
      </c>
    </row>
    <row r="1396" spans="1:13" x14ac:dyDescent="0.25">
      <c r="A1396" s="1">
        <f t="shared" si="168"/>
        <v>46162</v>
      </c>
      <c r="B1396" t="str" cm="1">
        <f t="array" ref="B1396">INDEX(HotelList,MOD(ROW()-2,10)+1)</f>
        <v>H005</v>
      </c>
      <c r="C1396">
        <f>_xlfn.XLOOKUP(B1396,Dim_Hotel!$A$2:$A$11,Dim_Hotel!$F$2:$F$11)</f>
        <v>66</v>
      </c>
      <c r="D1396">
        <f t="shared" si="169"/>
        <v>36</v>
      </c>
      <c r="E1396">
        <f t="shared" si="170"/>
        <v>0.54545454545454541</v>
      </c>
      <c r="F1396">
        <f t="shared" si="171"/>
        <v>82</v>
      </c>
      <c r="G1396">
        <f t="shared" si="172"/>
        <v>44.727272727272727</v>
      </c>
      <c r="H1396" t="str">
        <f>_xlfn.XLOOKUP(A1396,Fact_Events!$D$2:$D$20,Fact_Events!$A$2:$A$20, "")</f>
        <v/>
      </c>
      <c r="I1396">
        <f t="shared" si="173"/>
        <v>0</v>
      </c>
      <c r="J1396" t="str">
        <f>_xlfn.XLOOKUP(H1396, Fact_Events!$A$2:$A$20, Fact_Events!$F$2:$F$20, "")</f>
        <v/>
      </c>
      <c r="K1396" t="str">
        <f t="shared" si="174"/>
        <v>Low</v>
      </c>
      <c r="L1396">
        <f t="shared" si="175"/>
        <v>0.55000000000000004</v>
      </c>
      <c r="M1396">
        <f>_xlfn.XLOOKUP(B1396, Dim_Hotel!$A$2:$A$11, Dim_Hotel!$I$2:$I$11)
 + (IF(J1396="",0,J1396)
    * _xlfn.XLOOKUP(B1396, Dim_Hotel!$A$2:$A$11, Dim_Hotel!$J$2:$J$11))</f>
        <v>82</v>
      </c>
    </row>
    <row r="1397" spans="1:13" x14ac:dyDescent="0.25">
      <c r="A1397" s="1">
        <f t="shared" si="168"/>
        <v>46162</v>
      </c>
      <c r="B1397" t="str" cm="1">
        <f t="array" ref="B1397">INDEX(HotelList,MOD(ROW()-2,10)+1)</f>
        <v>H006</v>
      </c>
      <c r="C1397">
        <f>_xlfn.XLOOKUP(B1397,Dim_Hotel!$A$2:$A$11,Dim_Hotel!$F$2:$F$11)</f>
        <v>311</v>
      </c>
      <c r="D1397">
        <f t="shared" si="169"/>
        <v>171</v>
      </c>
      <c r="E1397">
        <f t="shared" si="170"/>
        <v>0.54983922829581988</v>
      </c>
      <c r="F1397">
        <f t="shared" si="171"/>
        <v>190</v>
      </c>
      <c r="G1397">
        <f t="shared" si="172"/>
        <v>104.46945337620578</v>
      </c>
      <c r="H1397" t="str">
        <f>_xlfn.XLOOKUP(A1397,Fact_Events!$D$2:$D$20,Fact_Events!$A$2:$A$20, "")</f>
        <v/>
      </c>
      <c r="I1397">
        <f t="shared" si="173"/>
        <v>0</v>
      </c>
      <c r="J1397" t="str">
        <f>_xlfn.XLOOKUP(H1397, Fact_Events!$A$2:$A$20, Fact_Events!$F$2:$F$20, "")</f>
        <v/>
      </c>
      <c r="K1397" t="str">
        <f t="shared" si="174"/>
        <v>Low</v>
      </c>
      <c r="L1397">
        <f t="shared" si="175"/>
        <v>0.55000000000000004</v>
      </c>
      <c r="M1397">
        <f>_xlfn.XLOOKUP(B1397, Dim_Hotel!$A$2:$A$11, Dim_Hotel!$I$2:$I$11)
 + (IF(J1397="",0,J1397)
    * _xlfn.XLOOKUP(B1397, Dim_Hotel!$A$2:$A$11, Dim_Hotel!$J$2:$J$11))</f>
        <v>190</v>
      </c>
    </row>
    <row r="1398" spans="1:13" x14ac:dyDescent="0.25">
      <c r="A1398" s="1">
        <f t="shared" si="168"/>
        <v>46162</v>
      </c>
      <c r="B1398" t="str" cm="1">
        <f t="array" ref="B1398">INDEX(HotelList,MOD(ROW()-2,10)+1)</f>
        <v>H007</v>
      </c>
      <c r="C1398">
        <f>_xlfn.XLOOKUP(B1398,Dim_Hotel!$A$2:$A$11,Dim_Hotel!$F$2:$F$11)</f>
        <v>132</v>
      </c>
      <c r="D1398">
        <f t="shared" si="169"/>
        <v>73</v>
      </c>
      <c r="E1398">
        <f t="shared" si="170"/>
        <v>0.55303030303030298</v>
      </c>
      <c r="F1398">
        <f t="shared" si="171"/>
        <v>165</v>
      </c>
      <c r="G1398">
        <f t="shared" si="172"/>
        <v>91.249999999999986</v>
      </c>
      <c r="H1398" t="str">
        <f>_xlfn.XLOOKUP(A1398,Fact_Events!$D$2:$D$20,Fact_Events!$A$2:$A$20, "")</f>
        <v/>
      </c>
      <c r="I1398">
        <f t="shared" si="173"/>
        <v>0</v>
      </c>
      <c r="J1398" t="str">
        <f>_xlfn.XLOOKUP(H1398, Fact_Events!$A$2:$A$20, Fact_Events!$F$2:$F$20, "")</f>
        <v/>
      </c>
      <c r="K1398" t="str">
        <f t="shared" si="174"/>
        <v>Low</v>
      </c>
      <c r="L1398">
        <f t="shared" si="175"/>
        <v>0.55000000000000004</v>
      </c>
      <c r="M1398">
        <f>_xlfn.XLOOKUP(B1398, Dim_Hotel!$A$2:$A$11, Dim_Hotel!$I$2:$I$11)
 + (IF(J1398="",0,J1398)
    * _xlfn.XLOOKUP(B1398, Dim_Hotel!$A$2:$A$11, Dim_Hotel!$J$2:$J$11))</f>
        <v>165</v>
      </c>
    </row>
    <row r="1399" spans="1:13" x14ac:dyDescent="0.25">
      <c r="A1399" s="1">
        <f t="shared" si="168"/>
        <v>46162</v>
      </c>
      <c r="B1399" t="str" cm="1">
        <f t="array" ref="B1399">INDEX(HotelList,MOD(ROW()-2,10)+1)</f>
        <v>H008</v>
      </c>
      <c r="C1399">
        <f>_xlfn.XLOOKUP(B1399,Dim_Hotel!$A$2:$A$11,Dim_Hotel!$F$2:$F$11)</f>
        <v>103</v>
      </c>
      <c r="D1399">
        <f t="shared" si="169"/>
        <v>57</v>
      </c>
      <c r="E1399">
        <f t="shared" si="170"/>
        <v>0.55339805825242716</v>
      </c>
      <c r="F1399">
        <f t="shared" si="171"/>
        <v>140</v>
      </c>
      <c r="G1399">
        <f t="shared" si="172"/>
        <v>77.475728155339809</v>
      </c>
      <c r="H1399" t="str">
        <f>_xlfn.XLOOKUP(A1399,Fact_Events!$D$2:$D$20,Fact_Events!$A$2:$A$20, "")</f>
        <v/>
      </c>
      <c r="I1399">
        <f t="shared" si="173"/>
        <v>0</v>
      </c>
      <c r="J1399" t="str">
        <f>_xlfn.XLOOKUP(H1399, Fact_Events!$A$2:$A$20, Fact_Events!$F$2:$F$20, "")</f>
        <v/>
      </c>
      <c r="K1399" t="str">
        <f t="shared" si="174"/>
        <v>Low</v>
      </c>
      <c r="L1399">
        <f t="shared" si="175"/>
        <v>0.55000000000000004</v>
      </c>
      <c r="M1399">
        <f>_xlfn.XLOOKUP(B1399, Dim_Hotel!$A$2:$A$11, Dim_Hotel!$I$2:$I$11)
 + (IF(J1399="",0,J1399)
    * _xlfn.XLOOKUP(B1399, Dim_Hotel!$A$2:$A$11, Dim_Hotel!$J$2:$J$11))</f>
        <v>140</v>
      </c>
    </row>
    <row r="1400" spans="1:13" x14ac:dyDescent="0.25">
      <c r="A1400" s="1">
        <f t="shared" si="168"/>
        <v>46162</v>
      </c>
      <c r="B1400" t="str" cm="1">
        <f t="array" ref="B1400">INDEX(HotelList,MOD(ROW()-2,10)+1)</f>
        <v>H009</v>
      </c>
      <c r="C1400">
        <f>_xlfn.XLOOKUP(B1400,Dim_Hotel!$A$2:$A$11,Dim_Hotel!$F$2:$F$11)</f>
        <v>114</v>
      </c>
      <c r="D1400">
        <f t="shared" si="169"/>
        <v>63</v>
      </c>
      <c r="E1400">
        <f t="shared" si="170"/>
        <v>0.55263157894736847</v>
      </c>
      <c r="F1400">
        <f t="shared" si="171"/>
        <v>185</v>
      </c>
      <c r="G1400">
        <f t="shared" si="172"/>
        <v>102.23684210526316</v>
      </c>
      <c r="H1400" t="str">
        <f>_xlfn.XLOOKUP(A1400,Fact_Events!$D$2:$D$20,Fact_Events!$A$2:$A$20, "")</f>
        <v/>
      </c>
      <c r="I1400">
        <f t="shared" si="173"/>
        <v>0</v>
      </c>
      <c r="J1400" t="str">
        <f>_xlfn.XLOOKUP(H1400, Fact_Events!$A$2:$A$20, Fact_Events!$F$2:$F$20, "")</f>
        <v/>
      </c>
      <c r="K1400" t="str">
        <f t="shared" si="174"/>
        <v>Low</v>
      </c>
      <c r="L1400">
        <f t="shared" si="175"/>
        <v>0.55000000000000004</v>
      </c>
      <c r="M1400">
        <f>_xlfn.XLOOKUP(B1400, Dim_Hotel!$A$2:$A$11, Dim_Hotel!$I$2:$I$11)
 + (IF(J1400="",0,J1400)
    * _xlfn.XLOOKUP(B1400, Dim_Hotel!$A$2:$A$11, Dim_Hotel!$J$2:$J$11))</f>
        <v>185</v>
      </c>
    </row>
    <row r="1401" spans="1:13" x14ac:dyDescent="0.25">
      <c r="A1401" s="1">
        <f t="shared" si="168"/>
        <v>46162</v>
      </c>
      <c r="B1401" t="str" cm="1">
        <f t="array" ref="B1401">INDEX(HotelList,MOD(ROW()-2,10)+1)</f>
        <v>H010</v>
      </c>
      <c r="C1401">
        <f>_xlfn.XLOOKUP(B1401,Dim_Hotel!$A$2:$A$11,Dim_Hotel!$F$2:$F$11)</f>
        <v>89</v>
      </c>
      <c r="D1401">
        <f t="shared" si="169"/>
        <v>49</v>
      </c>
      <c r="E1401">
        <f t="shared" si="170"/>
        <v>0.550561797752809</v>
      </c>
      <c r="F1401">
        <f t="shared" si="171"/>
        <v>150</v>
      </c>
      <c r="G1401">
        <f t="shared" si="172"/>
        <v>82.584269662921344</v>
      </c>
      <c r="H1401" t="str">
        <f>_xlfn.XLOOKUP(A1401,Fact_Events!$D$2:$D$20,Fact_Events!$A$2:$A$20, "")</f>
        <v/>
      </c>
      <c r="I1401">
        <f t="shared" si="173"/>
        <v>0</v>
      </c>
      <c r="J1401" t="str">
        <f>_xlfn.XLOOKUP(H1401, Fact_Events!$A$2:$A$20, Fact_Events!$F$2:$F$20, "")</f>
        <v/>
      </c>
      <c r="K1401" t="str">
        <f t="shared" si="174"/>
        <v>Low</v>
      </c>
      <c r="L1401">
        <f t="shared" si="175"/>
        <v>0.55000000000000004</v>
      </c>
      <c r="M1401">
        <f>_xlfn.XLOOKUP(B1401, Dim_Hotel!$A$2:$A$11, Dim_Hotel!$I$2:$I$11)
 + (IF(J1401="",0,J1401)
    * _xlfn.XLOOKUP(B1401, Dim_Hotel!$A$2:$A$11, Dim_Hotel!$J$2:$J$11))</f>
        <v>150</v>
      </c>
    </row>
    <row r="1402" spans="1:13" x14ac:dyDescent="0.25">
      <c r="A1402" s="1">
        <f t="shared" si="168"/>
        <v>46163</v>
      </c>
      <c r="B1402" t="str" cm="1">
        <f t="array" ref="B1402">INDEX(HotelList,MOD(ROW()-2,10)+1)</f>
        <v>H001</v>
      </c>
      <c r="C1402">
        <f>_xlfn.XLOOKUP(B1402,Dim_Hotel!$A$2:$A$11,Dim_Hotel!$F$2:$F$11)</f>
        <v>888</v>
      </c>
      <c r="D1402">
        <f t="shared" si="169"/>
        <v>488</v>
      </c>
      <c r="E1402">
        <f t="shared" si="170"/>
        <v>0.5495495495495496</v>
      </c>
      <c r="F1402">
        <f t="shared" si="171"/>
        <v>260</v>
      </c>
      <c r="G1402">
        <f t="shared" si="172"/>
        <v>142.88288288288288</v>
      </c>
      <c r="H1402" t="str">
        <f>_xlfn.XLOOKUP(A1402,Fact_Events!$D$2:$D$20,Fact_Events!$A$2:$A$20, "")</f>
        <v/>
      </c>
      <c r="I1402">
        <f t="shared" si="173"/>
        <v>0</v>
      </c>
      <c r="J1402" t="str">
        <f>_xlfn.XLOOKUP(H1402, Fact_Events!$A$2:$A$20, Fact_Events!$F$2:$F$20, "")</f>
        <v/>
      </c>
      <c r="K1402" t="str">
        <f t="shared" si="174"/>
        <v>Low</v>
      </c>
      <c r="L1402">
        <f t="shared" si="175"/>
        <v>0.55000000000000004</v>
      </c>
      <c r="M1402">
        <f>_xlfn.XLOOKUP(B1402, Dim_Hotel!$A$2:$A$11, Dim_Hotel!$I$2:$I$11)
 + (IF(J1402="",0,J1402)
    * _xlfn.XLOOKUP(B1402, Dim_Hotel!$A$2:$A$11, Dim_Hotel!$J$2:$J$11))</f>
        <v>260</v>
      </c>
    </row>
    <row r="1403" spans="1:13" x14ac:dyDescent="0.25">
      <c r="A1403" s="1">
        <f t="shared" si="168"/>
        <v>46163</v>
      </c>
      <c r="B1403" t="str" cm="1">
        <f t="array" ref="B1403">INDEX(HotelList,MOD(ROW()-2,10)+1)</f>
        <v>H002</v>
      </c>
      <c r="C1403">
        <f>_xlfn.XLOOKUP(B1403,Dim_Hotel!$A$2:$A$11,Dim_Hotel!$F$2:$F$11)</f>
        <v>147</v>
      </c>
      <c r="D1403">
        <f t="shared" si="169"/>
        <v>81</v>
      </c>
      <c r="E1403">
        <f t="shared" si="170"/>
        <v>0.55102040816326525</v>
      </c>
      <c r="F1403">
        <f t="shared" si="171"/>
        <v>175</v>
      </c>
      <c r="G1403">
        <f t="shared" si="172"/>
        <v>96.428571428571416</v>
      </c>
      <c r="H1403" t="str">
        <f>_xlfn.XLOOKUP(A1403,Fact_Events!$D$2:$D$20,Fact_Events!$A$2:$A$20, "")</f>
        <v/>
      </c>
      <c r="I1403">
        <f t="shared" si="173"/>
        <v>0</v>
      </c>
      <c r="J1403" t="str">
        <f>_xlfn.XLOOKUP(H1403, Fact_Events!$A$2:$A$20, Fact_Events!$F$2:$F$20, "")</f>
        <v/>
      </c>
      <c r="K1403" t="str">
        <f t="shared" si="174"/>
        <v>Low</v>
      </c>
      <c r="L1403">
        <f t="shared" si="175"/>
        <v>0.55000000000000004</v>
      </c>
      <c r="M1403">
        <f>_xlfn.XLOOKUP(B1403, Dim_Hotel!$A$2:$A$11, Dim_Hotel!$I$2:$I$11)
 + (IF(J1403="",0,J1403)
    * _xlfn.XLOOKUP(B1403, Dim_Hotel!$A$2:$A$11, Dim_Hotel!$J$2:$J$11))</f>
        <v>175</v>
      </c>
    </row>
    <row r="1404" spans="1:13" x14ac:dyDescent="0.25">
      <c r="A1404" s="1">
        <f t="shared" si="168"/>
        <v>46163</v>
      </c>
      <c r="B1404" t="str" cm="1">
        <f t="array" ref="B1404">INDEX(HotelList,MOD(ROW()-2,10)+1)</f>
        <v>H003</v>
      </c>
      <c r="C1404">
        <f>_xlfn.XLOOKUP(B1404,Dim_Hotel!$A$2:$A$11,Dim_Hotel!$F$2:$F$11)</f>
        <v>121</v>
      </c>
      <c r="D1404">
        <f t="shared" si="169"/>
        <v>67</v>
      </c>
      <c r="E1404">
        <f t="shared" si="170"/>
        <v>0.55371900826446285</v>
      </c>
      <c r="F1404">
        <f t="shared" si="171"/>
        <v>145</v>
      </c>
      <c r="G1404">
        <f t="shared" si="172"/>
        <v>80.289256198347118</v>
      </c>
      <c r="H1404" t="str">
        <f>_xlfn.XLOOKUP(A1404,Fact_Events!$D$2:$D$20,Fact_Events!$A$2:$A$20, "")</f>
        <v/>
      </c>
      <c r="I1404">
        <f t="shared" si="173"/>
        <v>0</v>
      </c>
      <c r="J1404" t="str">
        <f>_xlfn.XLOOKUP(H1404, Fact_Events!$A$2:$A$20, Fact_Events!$F$2:$F$20, "")</f>
        <v/>
      </c>
      <c r="K1404" t="str">
        <f t="shared" si="174"/>
        <v>Low</v>
      </c>
      <c r="L1404">
        <f t="shared" si="175"/>
        <v>0.55000000000000004</v>
      </c>
      <c r="M1404">
        <f>_xlfn.XLOOKUP(B1404, Dim_Hotel!$A$2:$A$11, Dim_Hotel!$I$2:$I$11)
 + (IF(J1404="",0,J1404)
    * _xlfn.XLOOKUP(B1404, Dim_Hotel!$A$2:$A$11, Dim_Hotel!$J$2:$J$11))</f>
        <v>145</v>
      </c>
    </row>
    <row r="1405" spans="1:13" x14ac:dyDescent="0.25">
      <c r="A1405" s="1">
        <f t="shared" si="168"/>
        <v>46163</v>
      </c>
      <c r="B1405" t="str" cm="1">
        <f t="array" ref="B1405">INDEX(HotelList,MOD(ROW()-2,10)+1)</f>
        <v>H004</v>
      </c>
      <c r="C1405">
        <f>_xlfn.XLOOKUP(B1405,Dim_Hotel!$A$2:$A$11,Dim_Hotel!$F$2:$F$11)</f>
        <v>108</v>
      </c>
      <c r="D1405">
        <f t="shared" si="169"/>
        <v>59</v>
      </c>
      <c r="E1405">
        <f t="shared" si="170"/>
        <v>0.54629629629629628</v>
      </c>
      <c r="F1405">
        <f t="shared" si="171"/>
        <v>135</v>
      </c>
      <c r="G1405">
        <f t="shared" si="172"/>
        <v>73.75</v>
      </c>
      <c r="H1405" t="str">
        <f>_xlfn.XLOOKUP(A1405,Fact_Events!$D$2:$D$20,Fact_Events!$A$2:$A$20, "")</f>
        <v/>
      </c>
      <c r="I1405">
        <f t="shared" si="173"/>
        <v>0</v>
      </c>
      <c r="J1405" t="str">
        <f>_xlfn.XLOOKUP(H1405, Fact_Events!$A$2:$A$20, Fact_Events!$F$2:$F$20, "")</f>
        <v/>
      </c>
      <c r="K1405" t="str">
        <f t="shared" si="174"/>
        <v>Low</v>
      </c>
      <c r="L1405">
        <f t="shared" si="175"/>
        <v>0.55000000000000004</v>
      </c>
      <c r="M1405">
        <f>_xlfn.XLOOKUP(B1405, Dim_Hotel!$A$2:$A$11, Dim_Hotel!$I$2:$I$11)
 + (IF(J1405="",0,J1405)
    * _xlfn.XLOOKUP(B1405, Dim_Hotel!$A$2:$A$11, Dim_Hotel!$J$2:$J$11))</f>
        <v>135</v>
      </c>
    </row>
    <row r="1406" spans="1:13" x14ac:dyDescent="0.25">
      <c r="A1406" s="1">
        <f t="shared" si="168"/>
        <v>46163</v>
      </c>
      <c r="B1406" t="str" cm="1">
        <f t="array" ref="B1406">INDEX(HotelList,MOD(ROW()-2,10)+1)</f>
        <v>H005</v>
      </c>
      <c r="C1406">
        <f>_xlfn.XLOOKUP(B1406,Dim_Hotel!$A$2:$A$11,Dim_Hotel!$F$2:$F$11)</f>
        <v>66</v>
      </c>
      <c r="D1406">
        <f t="shared" si="169"/>
        <v>36</v>
      </c>
      <c r="E1406">
        <f t="shared" si="170"/>
        <v>0.54545454545454541</v>
      </c>
      <c r="F1406">
        <f t="shared" si="171"/>
        <v>82</v>
      </c>
      <c r="G1406">
        <f t="shared" si="172"/>
        <v>44.727272727272727</v>
      </c>
      <c r="H1406" t="str">
        <f>_xlfn.XLOOKUP(A1406,Fact_Events!$D$2:$D$20,Fact_Events!$A$2:$A$20, "")</f>
        <v/>
      </c>
      <c r="I1406">
        <f t="shared" si="173"/>
        <v>0</v>
      </c>
      <c r="J1406" t="str">
        <f>_xlfn.XLOOKUP(H1406, Fact_Events!$A$2:$A$20, Fact_Events!$F$2:$F$20, "")</f>
        <v/>
      </c>
      <c r="K1406" t="str">
        <f t="shared" si="174"/>
        <v>Low</v>
      </c>
      <c r="L1406">
        <f t="shared" si="175"/>
        <v>0.55000000000000004</v>
      </c>
      <c r="M1406">
        <f>_xlfn.XLOOKUP(B1406, Dim_Hotel!$A$2:$A$11, Dim_Hotel!$I$2:$I$11)
 + (IF(J1406="",0,J1406)
    * _xlfn.XLOOKUP(B1406, Dim_Hotel!$A$2:$A$11, Dim_Hotel!$J$2:$J$11))</f>
        <v>82</v>
      </c>
    </row>
    <row r="1407" spans="1:13" x14ac:dyDescent="0.25">
      <c r="A1407" s="1">
        <f t="shared" si="168"/>
        <v>46163</v>
      </c>
      <c r="B1407" t="str" cm="1">
        <f t="array" ref="B1407">INDEX(HotelList,MOD(ROW()-2,10)+1)</f>
        <v>H006</v>
      </c>
      <c r="C1407">
        <f>_xlfn.XLOOKUP(B1407,Dim_Hotel!$A$2:$A$11,Dim_Hotel!$F$2:$F$11)</f>
        <v>311</v>
      </c>
      <c r="D1407">
        <f t="shared" si="169"/>
        <v>171</v>
      </c>
      <c r="E1407">
        <f t="shared" si="170"/>
        <v>0.54983922829581988</v>
      </c>
      <c r="F1407">
        <f t="shared" si="171"/>
        <v>190</v>
      </c>
      <c r="G1407">
        <f t="shared" si="172"/>
        <v>104.46945337620578</v>
      </c>
      <c r="H1407" t="str">
        <f>_xlfn.XLOOKUP(A1407,Fact_Events!$D$2:$D$20,Fact_Events!$A$2:$A$20, "")</f>
        <v/>
      </c>
      <c r="I1407">
        <f t="shared" si="173"/>
        <v>0</v>
      </c>
      <c r="J1407" t="str">
        <f>_xlfn.XLOOKUP(H1407, Fact_Events!$A$2:$A$20, Fact_Events!$F$2:$F$20, "")</f>
        <v/>
      </c>
      <c r="K1407" t="str">
        <f t="shared" si="174"/>
        <v>Low</v>
      </c>
      <c r="L1407">
        <f t="shared" si="175"/>
        <v>0.55000000000000004</v>
      </c>
      <c r="M1407">
        <f>_xlfn.XLOOKUP(B1407, Dim_Hotel!$A$2:$A$11, Dim_Hotel!$I$2:$I$11)
 + (IF(J1407="",0,J1407)
    * _xlfn.XLOOKUP(B1407, Dim_Hotel!$A$2:$A$11, Dim_Hotel!$J$2:$J$11))</f>
        <v>190</v>
      </c>
    </row>
    <row r="1408" spans="1:13" x14ac:dyDescent="0.25">
      <c r="A1408" s="1">
        <f t="shared" si="168"/>
        <v>46163</v>
      </c>
      <c r="B1408" t="str" cm="1">
        <f t="array" ref="B1408">INDEX(HotelList,MOD(ROW()-2,10)+1)</f>
        <v>H007</v>
      </c>
      <c r="C1408">
        <f>_xlfn.XLOOKUP(B1408,Dim_Hotel!$A$2:$A$11,Dim_Hotel!$F$2:$F$11)</f>
        <v>132</v>
      </c>
      <c r="D1408">
        <f t="shared" si="169"/>
        <v>73</v>
      </c>
      <c r="E1408">
        <f t="shared" si="170"/>
        <v>0.55303030303030298</v>
      </c>
      <c r="F1408">
        <f t="shared" si="171"/>
        <v>165</v>
      </c>
      <c r="G1408">
        <f t="shared" si="172"/>
        <v>91.249999999999986</v>
      </c>
      <c r="H1408" t="str">
        <f>_xlfn.XLOOKUP(A1408,Fact_Events!$D$2:$D$20,Fact_Events!$A$2:$A$20, "")</f>
        <v/>
      </c>
      <c r="I1408">
        <f t="shared" si="173"/>
        <v>0</v>
      </c>
      <c r="J1408" t="str">
        <f>_xlfn.XLOOKUP(H1408, Fact_Events!$A$2:$A$20, Fact_Events!$F$2:$F$20, "")</f>
        <v/>
      </c>
      <c r="K1408" t="str">
        <f t="shared" si="174"/>
        <v>Low</v>
      </c>
      <c r="L1408">
        <f t="shared" si="175"/>
        <v>0.55000000000000004</v>
      </c>
      <c r="M1408">
        <f>_xlfn.XLOOKUP(B1408, Dim_Hotel!$A$2:$A$11, Dim_Hotel!$I$2:$I$11)
 + (IF(J1408="",0,J1408)
    * _xlfn.XLOOKUP(B1408, Dim_Hotel!$A$2:$A$11, Dim_Hotel!$J$2:$J$11))</f>
        <v>165</v>
      </c>
    </row>
    <row r="1409" spans="1:13" x14ac:dyDescent="0.25">
      <c r="A1409" s="1">
        <f t="shared" si="168"/>
        <v>46163</v>
      </c>
      <c r="B1409" t="str" cm="1">
        <f t="array" ref="B1409">INDEX(HotelList,MOD(ROW()-2,10)+1)</f>
        <v>H008</v>
      </c>
      <c r="C1409">
        <f>_xlfn.XLOOKUP(B1409,Dim_Hotel!$A$2:$A$11,Dim_Hotel!$F$2:$F$11)</f>
        <v>103</v>
      </c>
      <c r="D1409">
        <f t="shared" si="169"/>
        <v>57</v>
      </c>
      <c r="E1409">
        <f t="shared" si="170"/>
        <v>0.55339805825242716</v>
      </c>
      <c r="F1409">
        <f t="shared" si="171"/>
        <v>140</v>
      </c>
      <c r="G1409">
        <f t="shared" si="172"/>
        <v>77.475728155339809</v>
      </c>
      <c r="H1409" t="str">
        <f>_xlfn.XLOOKUP(A1409,Fact_Events!$D$2:$D$20,Fact_Events!$A$2:$A$20, "")</f>
        <v/>
      </c>
      <c r="I1409">
        <f t="shared" si="173"/>
        <v>0</v>
      </c>
      <c r="J1409" t="str">
        <f>_xlfn.XLOOKUP(H1409, Fact_Events!$A$2:$A$20, Fact_Events!$F$2:$F$20, "")</f>
        <v/>
      </c>
      <c r="K1409" t="str">
        <f t="shared" si="174"/>
        <v>Low</v>
      </c>
      <c r="L1409">
        <f t="shared" si="175"/>
        <v>0.55000000000000004</v>
      </c>
      <c r="M1409">
        <f>_xlfn.XLOOKUP(B1409, Dim_Hotel!$A$2:$A$11, Dim_Hotel!$I$2:$I$11)
 + (IF(J1409="",0,J1409)
    * _xlfn.XLOOKUP(B1409, Dim_Hotel!$A$2:$A$11, Dim_Hotel!$J$2:$J$11))</f>
        <v>140</v>
      </c>
    </row>
    <row r="1410" spans="1:13" x14ac:dyDescent="0.25">
      <c r="A1410" s="1">
        <f t="shared" si="168"/>
        <v>46163</v>
      </c>
      <c r="B1410" t="str" cm="1">
        <f t="array" ref="B1410">INDEX(HotelList,MOD(ROW()-2,10)+1)</f>
        <v>H009</v>
      </c>
      <c r="C1410">
        <f>_xlfn.XLOOKUP(B1410,Dim_Hotel!$A$2:$A$11,Dim_Hotel!$F$2:$F$11)</f>
        <v>114</v>
      </c>
      <c r="D1410">
        <f t="shared" si="169"/>
        <v>63</v>
      </c>
      <c r="E1410">
        <f t="shared" si="170"/>
        <v>0.55263157894736847</v>
      </c>
      <c r="F1410">
        <f t="shared" si="171"/>
        <v>185</v>
      </c>
      <c r="G1410">
        <f t="shared" si="172"/>
        <v>102.23684210526316</v>
      </c>
      <c r="H1410" t="str">
        <f>_xlfn.XLOOKUP(A1410,Fact_Events!$D$2:$D$20,Fact_Events!$A$2:$A$20, "")</f>
        <v/>
      </c>
      <c r="I1410">
        <f t="shared" si="173"/>
        <v>0</v>
      </c>
      <c r="J1410" t="str">
        <f>_xlfn.XLOOKUP(H1410, Fact_Events!$A$2:$A$20, Fact_Events!$F$2:$F$20, "")</f>
        <v/>
      </c>
      <c r="K1410" t="str">
        <f t="shared" si="174"/>
        <v>Low</v>
      </c>
      <c r="L1410">
        <f t="shared" si="175"/>
        <v>0.55000000000000004</v>
      </c>
      <c r="M1410">
        <f>_xlfn.XLOOKUP(B1410, Dim_Hotel!$A$2:$A$11, Dim_Hotel!$I$2:$I$11)
 + (IF(J1410="",0,J1410)
    * _xlfn.XLOOKUP(B1410, Dim_Hotel!$A$2:$A$11, Dim_Hotel!$J$2:$J$11))</f>
        <v>185</v>
      </c>
    </row>
    <row r="1411" spans="1:13" x14ac:dyDescent="0.25">
      <c r="A1411" s="1">
        <f t="shared" ref="A1411:A1474" si="176">DATE(2026,1,1) + INT((ROW()-2)/10)</f>
        <v>46163</v>
      </c>
      <c r="B1411" t="str" cm="1">
        <f t="array" ref="B1411">INDEX(HotelList,MOD(ROW()-2,10)+1)</f>
        <v>H010</v>
      </c>
      <c r="C1411">
        <f>_xlfn.XLOOKUP(B1411,Dim_Hotel!$A$2:$A$11,Dim_Hotel!$F$2:$F$11)</f>
        <v>89</v>
      </c>
      <c r="D1411">
        <f t="shared" ref="D1411:D1474" si="177">ROUND(L1411 * C1411, 0)</f>
        <v>49</v>
      </c>
      <c r="E1411">
        <f t="shared" ref="E1411:E1474" si="178">D1411/C1411</f>
        <v>0.550561797752809</v>
      </c>
      <c r="F1411">
        <f t="shared" ref="F1411:F1474" si="179">M1411</f>
        <v>150</v>
      </c>
      <c r="G1411">
        <f t="shared" ref="G1411:G1474" si="180">E1411*F1411</f>
        <v>82.584269662921344</v>
      </c>
      <c r="H1411" t="str">
        <f>_xlfn.XLOOKUP(A1411,Fact_Events!$D$2:$D$20,Fact_Events!$A$2:$A$20, "")</f>
        <v/>
      </c>
      <c r="I1411">
        <f t="shared" ref="I1411:I1474" si="181">IF(H1411="",0,1)</f>
        <v>0</v>
      </c>
      <c r="J1411" t="str">
        <f>_xlfn.XLOOKUP(H1411, Fact_Events!$A$2:$A$20, Fact_Events!$F$2:$F$20, "")</f>
        <v/>
      </c>
      <c r="K1411" t="str">
        <f t="shared" ref="K1411:K1474" si="182">IF(I1411=0,"Low",
   IF(J1411&gt;=9,"High","Medium"))</f>
        <v>Low</v>
      </c>
      <c r="L1411">
        <f t="shared" ref="L1411:L1474" si="183">MIN(1,
  0.55
  + (I1411 * 0.25)
  + (IF(J1411="",0,J1411) / 100)
)</f>
        <v>0.55000000000000004</v>
      </c>
      <c r="M1411">
        <f>_xlfn.XLOOKUP(B1411, Dim_Hotel!$A$2:$A$11, Dim_Hotel!$I$2:$I$11)
 + (IF(J1411="",0,J1411)
    * _xlfn.XLOOKUP(B1411, Dim_Hotel!$A$2:$A$11, Dim_Hotel!$J$2:$J$11))</f>
        <v>150</v>
      </c>
    </row>
    <row r="1412" spans="1:13" x14ac:dyDescent="0.25">
      <c r="A1412" s="1">
        <f t="shared" si="176"/>
        <v>46164</v>
      </c>
      <c r="B1412" t="str" cm="1">
        <f t="array" ref="B1412">INDEX(HotelList,MOD(ROW()-2,10)+1)</f>
        <v>H001</v>
      </c>
      <c r="C1412">
        <f>_xlfn.XLOOKUP(B1412,Dim_Hotel!$A$2:$A$11,Dim_Hotel!$F$2:$F$11)</f>
        <v>888</v>
      </c>
      <c r="D1412">
        <f t="shared" si="177"/>
        <v>488</v>
      </c>
      <c r="E1412">
        <f t="shared" si="178"/>
        <v>0.5495495495495496</v>
      </c>
      <c r="F1412">
        <f t="shared" si="179"/>
        <v>260</v>
      </c>
      <c r="G1412">
        <f t="shared" si="180"/>
        <v>142.88288288288288</v>
      </c>
      <c r="H1412" t="str">
        <f>_xlfn.XLOOKUP(A1412,Fact_Events!$D$2:$D$20,Fact_Events!$A$2:$A$20, "")</f>
        <v/>
      </c>
      <c r="I1412">
        <f t="shared" si="181"/>
        <v>0</v>
      </c>
      <c r="J1412" t="str">
        <f>_xlfn.XLOOKUP(H1412, Fact_Events!$A$2:$A$20, Fact_Events!$F$2:$F$20, "")</f>
        <v/>
      </c>
      <c r="K1412" t="str">
        <f t="shared" si="182"/>
        <v>Low</v>
      </c>
      <c r="L1412">
        <f t="shared" si="183"/>
        <v>0.55000000000000004</v>
      </c>
      <c r="M1412">
        <f>_xlfn.XLOOKUP(B1412, Dim_Hotel!$A$2:$A$11, Dim_Hotel!$I$2:$I$11)
 + (IF(J1412="",0,J1412)
    * _xlfn.XLOOKUP(B1412, Dim_Hotel!$A$2:$A$11, Dim_Hotel!$J$2:$J$11))</f>
        <v>260</v>
      </c>
    </row>
    <row r="1413" spans="1:13" x14ac:dyDescent="0.25">
      <c r="A1413" s="1">
        <f t="shared" si="176"/>
        <v>46164</v>
      </c>
      <c r="B1413" t="str" cm="1">
        <f t="array" ref="B1413">INDEX(HotelList,MOD(ROW()-2,10)+1)</f>
        <v>H002</v>
      </c>
      <c r="C1413">
        <f>_xlfn.XLOOKUP(B1413,Dim_Hotel!$A$2:$A$11,Dim_Hotel!$F$2:$F$11)</f>
        <v>147</v>
      </c>
      <c r="D1413">
        <f t="shared" si="177"/>
        <v>81</v>
      </c>
      <c r="E1413">
        <f t="shared" si="178"/>
        <v>0.55102040816326525</v>
      </c>
      <c r="F1413">
        <f t="shared" si="179"/>
        <v>175</v>
      </c>
      <c r="G1413">
        <f t="shared" si="180"/>
        <v>96.428571428571416</v>
      </c>
      <c r="H1413" t="str">
        <f>_xlfn.XLOOKUP(A1413,Fact_Events!$D$2:$D$20,Fact_Events!$A$2:$A$20, "")</f>
        <v/>
      </c>
      <c r="I1413">
        <f t="shared" si="181"/>
        <v>0</v>
      </c>
      <c r="J1413" t="str">
        <f>_xlfn.XLOOKUP(H1413, Fact_Events!$A$2:$A$20, Fact_Events!$F$2:$F$20, "")</f>
        <v/>
      </c>
      <c r="K1413" t="str">
        <f t="shared" si="182"/>
        <v>Low</v>
      </c>
      <c r="L1413">
        <f t="shared" si="183"/>
        <v>0.55000000000000004</v>
      </c>
      <c r="M1413">
        <f>_xlfn.XLOOKUP(B1413, Dim_Hotel!$A$2:$A$11, Dim_Hotel!$I$2:$I$11)
 + (IF(J1413="",0,J1413)
    * _xlfn.XLOOKUP(B1413, Dim_Hotel!$A$2:$A$11, Dim_Hotel!$J$2:$J$11))</f>
        <v>175</v>
      </c>
    </row>
    <row r="1414" spans="1:13" x14ac:dyDescent="0.25">
      <c r="A1414" s="1">
        <f t="shared" si="176"/>
        <v>46164</v>
      </c>
      <c r="B1414" t="str" cm="1">
        <f t="array" ref="B1414">INDEX(HotelList,MOD(ROW()-2,10)+1)</f>
        <v>H003</v>
      </c>
      <c r="C1414">
        <f>_xlfn.XLOOKUP(B1414,Dim_Hotel!$A$2:$A$11,Dim_Hotel!$F$2:$F$11)</f>
        <v>121</v>
      </c>
      <c r="D1414">
        <f t="shared" si="177"/>
        <v>67</v>
      </c>
      <c r="E1414">
        <f t="shared" si="178"/>
        <v>0.55371900826446285</v>
      </c>
      <c r="F1414">
        <f t="shared" si="179"/>
        <v>145</v>
      </c>
      <c r="G1414">
        <f t="shared" si="180"/>
        <v>80.289256198347118</v>
      </c>
      <c r="H1414" t="str">
        <f>_xlfn.XLOOKUP(A1414,Fact_Events!$D$2:$D$20,Fact_Events!$A$2:$A$20, "")</f>
        <v/>
      </c>
      <c r="I1414">
        <f t="shared" si="181"/>
        <v>0</v>
      </c>
      <c r="J1414" t="str">
        <f>_xlfn.XLOOKUP(H1414, Fact_Events!$A$2:$A$20, Fact_Events!$F$2:$F$20, "")</f>
        <v/>
      </c>
      <c r="K1414" t="str">
        <f t="shared" si="182"/>
        <v>Low</v>
      </c>
      <c r="L1414">
        <f t="shared" si="183"/>
        <v>0.55000000000000004</v>
      </c>
      <c r="M1414">
        <f>_xlfn.XLOOKUP(B1414, Dim_Hotel!$A$2:$A$11, Dim_Hotel!$I$2:$I$11)
 + (IF(J1414="",0,J1414)
    * _xlfn.XLOOKUP(B1414, Dim_Hotel!$A$2:$A$11, Dim_Hotel!$J$2:$J$11))</f>
        <v>145</v>
      </c>
    </row>
    <row r="1415" spans="1:13" x14ac:dyDescent="0.25">
      <c r="A1415" s="1">
        <f t="shared" si="176"/>
        <v>46164</v>
      </c>
      <c r="B1415" t="str" cm="1">
        <f t="array" ref="B1415">INDEX(HotelList,MOD(ROW()-2,10)+1)</f>
        <v>H004</v>
      </c>
      <c r="C1415">
        <f>_xlfn.XLOOKUP(B1415,Dim_Hotel!$A$2:$A$11,Dim_Hotel!$F$2:$F$11)</f>
        <v>108</v>
      </c>
      <c r="D1415">
        <f t="shared" si="177"/>
        <v>59</v>
      </c>
      <c r="E1415">
        <f t="shared" si="178"/>
        <v>0.54629629629629628</v>
      </c>
      <c r="F1415">
        <f t="shared" si="179"/>
        <v>135</v>
      </c>
      <c r="G1415">
        <f t="shared" si="180"/>
        <v>73.75</v>
      </c>
      <c r="H1415" t="str">
        <f>_xlfn.XLOOKUP(A1415,Fact_Events!$D$2:$D$20,Fact_Events!$A$2:$A$20, "")</f>
        <v/>
      </c>
      <c r="I1415">
        <f t="shared" si="181"/>
        <v>0</v>
      </c>
      <c r="J1415" t="str">
        <f>_xlfn.XLOOKUP(H1415, Fact_Events!$A$2:$A$20, Fact_Events!$F$2:$F$20, "")</f>
        <v/>
      </c>
      <c r="K1415" t="str">
        <f t="shared" si="182"/>
        <v>Low</v>
      </c>
      <c r="L1415">
        <f t="shared" si="183"/>
        <v>0.55000000000000004</v>
      </c>
      <c r="M1415">
        <f>_xlfn.XLOOKUP(B1415, Dim_Hotel!$A$2:$A$11, Dim_Hotel!$I$2:$I$11)
 + (IF(J1415="",0,J1415)
    * _xlfn.XLOOKUP(B1415, Dim_Hotel!$A$2:$A$11, Dim_Hotel!$J$2:$J$11))</f>
        <v>135</v>
      </c>
    </row>
    <row r="1416" spans="1:13" x14ac:dyDescent="0.25">
      <c r="A1416" s="1">
        <f t="shared" si="176"/>
        <v>46164</v>
      </c>
      <c r="B1416" t="str" cm="1">
        <f t="array" ref="B1416">INDEX(HotelList,MOD(ROW()-2,10)+1)</f>
        <v>H005</v>
      </c>
      <c r="C1416">
        <f>_xlfn.XLOOKUP(B1416,Dim_Hotel!$A$2:$A$11,Dim_Hotel!$F$2:$F$11)</f>
        <v>66</v>
      </c>
      <c r="D1416">
        <f t="shared" si="177"/>
        <v>36</v>
      </c>
      <c r="E1416">
        <f t="shared" si="178"/>
        <v>0.54545454545454541</v>
      </c>
      <c r="F1416">
        <f t="shared" si="179"/>
        <v>82</v>
      </c>
      <c r="G1416">
        <f t="shared" si="180"/>
        <v>44.727272727272727</v>
      </c>
      <c r="H1416" t="str">
        <f>_xlfn.XLOOKUP(A1416,Fact_Events!$D$2:$D$20,Fact_Events!$A$2:$A$20, "")</f>
        <v/>
      </c>
      <c r="I1416">
        <f t="shared" si="181"/>
        <v>0</v>
      </c>
      <c r="J1416" t="str">
        <f>_xlfn.XLOOKUP(H1416, Fact_Events!$A$2:$A$20, Fact_Events!$F$2:$F$20, "")</f>
        <v/>
      </c>
      <c r="K1416" t="str">
        <f t="shared" si="182"/>
        <v>Low</v>
      </c>
      <c r="L1416">
        <f t="shared" si="183"/>
        <v>0.55000000000000004</v>
      </c>
      <c r="M1416">
        <f>_xlfn.XLOOKUP(B1416, Dim_Hotel!$A$2:$A$11, Dim_Hotel!$I$2:$I$11)
 + (IF(J1416="",0,J1416)
    * _xlfn.XLOOKUP(B1416, Dim_Hotel!$A$2:$A$11, Dim_Hotel!$J$2:$J$11))</f>
        <v>82</v>
      </c>
    </row>
    <row r="1417" spans="1:13" x14ac:dyDescent="0.25">
      <c r="A1417" s="1">
        <f t="shared" si="176"/>
        <v>46164</v>
      </c>
      <c r="B1417" t="str" cm="1">
        <f t="array" ref="B1417">INDEX(HotelList,MOD(ROW()-2,10)+1)</f>
        <v>H006</v>
      </c>
      <c r="C1417">
        <f>_xlfn.XLOOKUP(B1417,Dim_Hotel!$A$2:$A$11,Dim_Hotel!$F$2:$F$11)</f>
        <v>311</v>
      </c>
      <c r="D1417">
        <f t="shared" si="177"/>
        <v>171</v>
      </c>
      <c r="E1417">
        <f t="shared" si="178"/>
        <v>0.54983922829581988</v>
      </c>
      <c r="F1417">
        <f t="shared" si="179"/>
        <v>190</v>
      </c>
      <c r="G1417">
        <f t="shared" si="180"/>
        <v>104.46945337620578</v>
      </c>
      <c r="H1417" t="str">
        <f>_xlfn.XLOOKUP(A1417,Fact_Events!$D$2:$D$20,Fact_Events!$A$2:$A$20, "")</f>
        <v/>
      </c>
      <c r="I1417">
        <f t="shared" si="181"/>
        <v>0</v>
      </c>
      <c r="J1417" t="str">
        <f>_xlfn.XLOOKUP(H1417, Fact_Events!$A$2:$A$20, Fact_Events!$F$2:$F$20, "")</f>
        <v/>
      </c>
      <c r="K1417" t="str">
        <f t="shared" si="182"/>
        <v>Low</v>
      </c>
      <c r="L1417">
        <f t="shared" si="183"/>
        <v>0.55000000000000004</v>
      </c>
      <c r="M1417">
        <f>_xlfn.XLOOKUP(B1417, Dim_Hotel!$A$2:$A$11, Dim_Hotel!$I$2:$I$11)
 + (IF(J1417="",0,J1417)
    * _xlfn.XLOOKUP(B1417, Dim_Hotel!$A$2:$A$11, Dim_Hotel!$J$2:$J$11))</f>
        <v>190</v>
      </c>
    </row>
    <row r="1418" spans="1:13" x14ac:dyDescent="0.25">
      <c r="A1418" s="1">
        <f t="shared" si="176"/>
        <v>46164</v>
      </c>
      <c r="B1418" t="str" cm="1">
        <f t="array" ref="B1418">INDEX(HotelList,MOD(ROW()-2,10)+1)</f>
        <v>H007</v>
      </c>
      <c r="C1418">
        <f>_xlfn.XLOOKUP(B1418,Dim_Hotel!$A$2:$A$11,Dim_Hotel!$F$2:$F$11)</f>
        <v>132</v>
      </c>
      <c r="D1418">
        <f t="shared" si="177"/>
        <v>73</v>
      </c>
      <c r="E1418">
        <f t="shared" si="178"/>
        <v>0.55303030303030298</v>
      </c>
      <c r="F1418">
        <f t="shared" si="179"/>
        <v>165</v>
      </c>
      <c r="G1418">
        <f t="shared" si="180"/>
        <v>91.249999999999986</v>
      </c>
      <c r="H1418" t="str">
        <f>_xlfn.XLOOKUP(A1418,Fact_Events!$D$2:$D$20,Fact_Events!$A$2:$A$20, "")</f>
        <v/>
      </c>
      <c r="I1418">
        <f t="shared" si="181"/>
        <v>0</v>
      </c>
      <c r="J1418" t="str">
        <f>_xlfn.XLOOKUP(H1418, Fact_Events!$A$2:$A$20, Fact_Events!$F$2:$F$20, "")</f>
        <v/>
      </c>
      <c r="K1418" t="str">
        <f t="shared" si="182"/>
        <v>Low</v>
      </c>
      <c r="L1418">
        <f t="shared" si="183"/>
        <v>0.55000000000000004</v>
      </c>
      <c r="M1418">
        <f>_xlfn.XLOOKUP(B1418, Dim_Hotel!$A$2:$A$11, Dim_Hotel!$I$2:$I$11)
 + (IF(J1418="",0,J1418)
    * _xlfn.XLOOKUP(B1418, Dim_Hotel!$A$2:$A$11, Dim_Hotel!$J$2:$J$11))</f>
        <v>165</v>
      </c>
    </row>
    <row r="1419" spans="1:13" x14ac:dyDescent="0.25">
      <c r="A1419" s="1">
        <f t="shared" si="176"/>
        <v>46164</v>
      </c>
      <c r="B1419" t="str" cm="1">
        <f t="array" ref="B1419">INDEX(HotelList,MOD(ROW()-2,10)+1)</f>
        <v>H008</v>
      </c>
      <c r="C1419">
        <f>_xlfn.XLOOKUP(B1419,Dim_Hotel!$A$2:$A$11,Dim_Hotel!$F$2:$F$11)</f>
        <v>103</v>
      </c>
      <c r="D1419">
        <f t="shared" si="177"/>
        <v>57</v>
      </c>
      <c r="E1419">
        <f t="shared" si="178"/>
        <v>0.55339805825242716</v>
      </c>
      <c r="F1419">
        <f t="shared" si="179"/>
        <v>140</v>
      </c>
      <c r="G1419">
        <f t="shared" si="180"/>
        <v>77.475728155339809</v>
      </c>
      <c r="H1419" t="str">
        <f>_xlfn.XLOOKUP(A1419,Fact_Events!$D$2:$D$20,Fact_Events!$A$2:$A$20, "")</f>
        <v/>
      </c>
      <c r="I1419">
        <f t="shared" si="181"/>
        <v>0</v>
      </c>
      <c r="J1419" t="str">
        <f>_xlfn.XLOOKUP(H1419, Fact_Events!$A$2:$A$20, Fact_Events!$F$2:$F$20, "")</f>
        <v/>
      </c>
      <c r="K1419" t="str">
        <f t="shared" si="182"/>
        <v>Low</v>
      </c>
      <c r="L1419">
        <f t="shared" si="183"/>
        <v>0.55000000000000004</v>
      </c>
      <c r="M1419">
        <f>_xlfn.XLOOKUP(B1419, Dim_Hotel!$A$2:$A$11, Dim_Hotel!$I$2:$I$11)
 + (IF(J1419="",0,J1419)
    * _xlfn.XLOOKUP(B1419, Dim_Hotel!$A$2:$A$11, Dim_Hotel!$J$2:$J$11))</f>
        <v>140</v>
      </c>
    </row>
    <row r="1420" spans="1:13" x14ac:dyDescent="0.25">
      <c r="A1420" s="1">
        <f t="shared" si="176"/>
        <v>46164</v>
      </c>
      <c r="B1420" t="str" cm="1">
        <f t="array" ref="B1420">INDEX(HotelList,MOD(ROW()-2,10)+1)</f>
        <v>H009</v>
      </c>
      <c r="C1420">
        <f>_xlfn.XLOOKUP(B1420,Dim_Hotel!$A$2:$A$11,Dim_Hotel!$F$2:$F$11)</f>
        <v>114</v>
      </c>
      <c r="D1420">
        <f t="shared" si="177"/>
        <v>63</v>
      </c>
      <c r="E1420">
        <f t="shared" si="178"/>
        <v>0.55263157894736847</v>
      </c>
      <c r="F1420">
        <f t="shared" si="179"/>
        <v>185</v>
      </c>
      <c r="G1420">
        <f t="shared" si="180"/>
        <v>102.23684210526316</v>
      </c>
      <c r="H1420" t="str">
        <f>_xlfn.XLOOKUP(A1420,Fact_Events!$D$2:$D$20,Fact_Events!$A$2:$A$20, "")</f>
        <v/>
      </c>
      <c r="I1420">
        <f t="shared" si="181"/>
        <v>0</v>
      </c>
      <c r="J1420" t="str">
        <f>_xlfn.XLOOKUP(H1420, Fact_Events!$A$2:$A$20, Fact_Events!$F$2:$F$20, "")</f>
        <v/>
      </c>
      <c r="K1420" t="str">
        <f t="shared" si="182"/>
        <v>Low</v>
      </c>
      <c r="L1420">
        <f t="shared" si="183"/>
        <v>0.55000000000000004</v>
      </c>
      <c r="M1420">
        <f>_xlfn.XLOOKUP(B1420, Dim_Hotel!$A$2:$A$11, Dim_Hotel!$I$2:$I$11)
 + (IF(J1420="",0,J1420)
    * _xlfn.XLOOKUP(B1420, Dim_Hotel!$A$2:$A$11, Dim_Hotel!$J$2:$J$11))</f>
        <v>185</v>
      </c>
    </row>
    <row r="1421" spans="1:13" x14ac:dyDescent="0.25">
      <c r="A1421" s="1">
        <f t="shared" si="176"/>
        <v>46164</v>
      </c>
      <c r="B1421" t="str" cm="1">
        <f t="array" ref="B1421">INDEX(HotelList,MOD(ROW()-2,10)+1)</f>
        <v>H010</v>
      </c>
      <c r="C1421">
        <f>_xlfn.XLOOKUP(B1421,Dim_Hotel!$A$2:$A$11,Dim_Hotel!$F$2:$F$11)</f>
        <v>89</v>
      </c>
      <c r="D1421">
        <f t="shared" si="177"/>
        <v>49</v>
      </c>
      <c r="E1421">
        <f t="shared" si="178"/>
        <v>0.550561797752809</v>
      </c>
      <c r="F1421">
        <f t="shared" si="179"/>
        <v>150</v>
      </c>
      <c r="G1421">
        <f t="shared" si="180"/>
        <v>82.584269662921344</v>
      </c>
      <c r="H1421" t="str">
        <f>_xlfn.XLOOKUP(A1421,Fact_Events!$D$2:$D$20,Fact_Events!$A$2:$A$20, "")</f>
        <v/>
      </c>
      <c r="I1421">
        <f t="shared" si="181"/>
        <v>0</v>
      </c>
      <c r="J1421" t="str">
        <f>_xlfn.XLOOKUP(H1421, Fact_Events!$A$2:$A$20, Fact_Events!$F$2:$F$20, "")</f>
        <v/>
      </c>
      <c r="K1421" t="str">
        <f t="shared" si="182"/>
        <v>Low</v>
      </c>
      <c r="L1421">
        <f t="shared" si="183"/>
        <v>0.55000000000000004</v>
      </c>
      <c r="M1421">
        <f>_xlfn.XLOOKUP(B1421, Dim_Hotel!$A$2:$A$11, Dim_Hotel!$I$2:$I$11)
 + (IF(J1421="",0,J1421)
    * _xlfn.XLOOKUP(B1421, Dim_Hotel!$A$2:$A$11, Dim_Hotel!$J$2:$J$11))</f>
        <v>150</v>
      </c>
    </row>
    <row r="1422" spans="1:13" x14ac:dyDescent="0.25">
      <c r="A1422" s="1">
        <f t="shared" si="176"/>
        <v>46165</v>
      </c>
      <c r="B1422" t="str" cm="1">
        <f t="array" ref="B1422">INDEX(HotelList,MOD(ROW()-2,10)+1)</f>
        <v>H001</v>
      </c>
      <c r="C1422">
        <f>_xlfn.XLOOKUP(B1422,Dim_Hotel!$A$2:$A$11,Dim_Hotel!$F$2:$F$11)</f>
        <v>888</v>
      </c>
      <c r="D1422">
        <f t="shared" si="177"/>
        <v>488</v>
      </c>
      <c r="E1422">
        <f t="shared" si="178"/>
        <v>0.5495495495495496</v>
      </c>
      <c r="F1422">
        <f t="shared" si="179"/>
        <v>260</v>
      </c>
      <c r="G1422">
        <f t="shared" si="180"/>
        <v>142.88288288288288</v>
      </c>
      <c r="H1422" t="str">
        <f>_xlfn.XLOOKUP(A1422,Fact_Events!$D$2:$D$20,Fact_Events!$A$2:$A$20, "")</f>
        <v/>
      </c>
      <c r="I1422">
        <f t="shared" si="181"/>
        <v>0</v>
      </c>
      <c r="J1422" t="str">
        <f>_xlfn.XLOOKUP(H1422, Fact_Events!$A$2:$A$20, Fact_Events!$F$2:$F$20, "")</f>
        <v/>
      </c>
      <c r="K1422" t="str">
        <f t="shared" si="182"/>
        <v>Low</v>
      </c>
      <c r="L1422">
        <f t="shared" si="183"/>
        <v>0.55000000000000004</v>
      </c>
      <c r="M1422">
        <f>_xlfn.XLOOKUP(B1422, Dim_Hotel!$A$2:$A$11, Dim_Hotel!$I$2:$I$11)
 + (IF(J1422="",0,J1422)
    * _xlfn.XLOOKUP(B1422, Dim_Hotel!$A$2:$A$11, Dim_Hotel!$J$2:$J$11))</f>
        <v>260</v>
      </c>
    </row>
    <row r="1423" spans="1:13" x14ac:dyDescent="0.25">
      <c r="A1423" s="1">
        <f t="shared" si="176"/>
        <v>46165</v>
      </c>
      <c r="B1423" t="str" cm="1">
        <f t="array" ref="B1423">INDEX(HotelList,MOD(ROW()-2,10)+1)</f>
        <v>H002</v>
      </c>
      <c r="C1423">
        <f>_xlfn.XLOOKUP(B1423,Dim_Hotel!$A$2:$A$11,Dim_Hotel!$F$2:$F$11)</f>
        <v>147</v>
      </c>
      <c r="D1423">
        <f t="shared" si="177"/>
        <v>81</v>
      </c>
      <c r="E1423">
        <f t="shared" si="178"/>
        <v>0.55102040816326525</v>
      </c>
      <c r="F1423">
        <f t="shared" si="179"/>
        <v>175</v>
      </c>
      <c r="G1423">
        <f t="shared" si="180"/>
        <v>96.428571428571416</v>
      </c>
      <c r="H1423" t="str">
        <f>_xlfn.XLOOKUP(A1423,Fact_Events!$D$2:$D$20,Fact_Events!$A$2:$A$20, "")</f>
        <v/>
      </c>
      <c r="I1423">
        <f t="shared" si="181"/>
        <v>0</v>
      </c>
      <c r="J1423" t="str">
        <f>_xlfn.XLOOKUP(H1423, Fact_Events!$A$2:$A$20, Fact_Events!$F$2:$F$20, "")</f>
        <v/>
      </c>
      <c r="K1423" t="str">
        <f t="shared" si="182"/>
        <v>Low</v>
      </c>
      <c r="L1423">
        <f t="shared" si="183"/>
        <v>0.55000000000000004</v>
      </c>
      <c r="M1423">
        <f>_xlfn.XLOOKUP(B1423, Dim_Hotel!$A$2:$A$11, Dim_Hotel!$I$2:$I$11)
 + (IF(J1423="",0,J1423)
    * _xlfn.XLOOKUP(B1423, Dim_Hotel!$A$2:$A$11, Dim_Hotel!$J$2:$J$11))</f>
        <v>175</v>
      </c>
    </row>
    <row r="1424" spans="1:13" x14ac:dyDescent="0.25">
      <c r="A1424" s="1">
        <f t="shared" si="176"/>
        <v>46165</v>
      </c>
      <c r="B1424" t="str" cm="1">
        <f t="array" ref="B1424">INDEX(HotelList,MOD(ROW()-2,10)+1)</f>
        <v>H003</v>
      </c>
      <c r="C1424">
        <f>_xlfn.XLOOKUP(B1424,Dim_Hotel!$A$2:$A$11,Dim_Hotel!$F$2:$F$11)</f>
        <v>121</v>
      </c>
      <c r="D1424">
        <f t="shared" si="177"/>
        <v>67</v>
      </c>
      <c r="E1424">
        <f t="shared" si="178"/>
        <v>0.55371900826446285</v>
      </c>
      <c r="F1424">
        <f t="shared" si="179"/>
        <v>145</v>
      </c>
      <c r="G1424">
        <f t="shared" si="180"/>
        <v>80.289256198347118</v>
      </c>
      <c r="H1424" t="str">
        <f>_xlfn.XLOOKUP(A1424,Fact_Events!$D$2:$D$20,Fact_Events!$A$2:$A$20, "")</f>
        <v/>
      </c>
      <c r="I1424">
        <f t="shared" si="181"/>
        <v>0</v>
      </c>
      <c r="J1424" t="str">
        <f>_xlfn.XLOOKUP(H1424, Fact_Events!$A$2:$A$20, Fact_Events!$F$2:$F$20, "")</f>
        <v/>
      </c>
      <c r="K1424" t="str">
        <f t="shared" si="182"/>
        <v>Low</v>
      </c>
      <c r="L1424">
        <f t="shared" si="183"/>
        <v>0.55000000000000004</v>
      </c>
      <c r="M1424">
        <f>_xlfn.XLOOKUP(B1424, Dim_Hotel!$A$2:$A$11, Dim_Hotel!$I$2:$I$11)
 + (IF(J1424="",0,J1424)
    * _xlfn.XLOOKUP(B1424, Dim_Hotel!$A$2:$A$11, Dim_Hotel!$J$2:$J$11))</f>
        <v>145</v>
      </c>
    </row>
    <row r="1425" spans="1:13" x14ac:dyDescent="0.25">
      <c r="A1425" s="1">
        <f t="shared" si="176"/>
        <v>46165</v>
      </c>
      <c r="B1425" t="str" cm="1">
        <f t="array" ref="B1425">INDEX(HotelList,MOD(ROW()-2,10)+1)</f>
        <v>H004</v>
      </c>
      <c r="C1425">
        <f>_xlfn.XLOOKUP(B1425,Dim_Hotel!$A$2:$A$11,Dim_Hotel!$F$2:$F$11)</f>
        <v>108</v>
      </c>
      <c r="D1425">
        <f t="shared" si="177"/>
        <v>59</v>
      </c>
      <c r="E1425">
        <f t="shared" si="178"/>
        <v>0.54629629629629628</v>
      </c>
      <c r="F1425">
        <f t="shared" si="179"/>
        <v>135</v>
      </c>
      <c r="G1425">
        <f t="shared" si="180"/>
        <v>73.75</v>
      </c>
      <c r="H1425" t="str">
        <f>_xlfn.XLOOKUP(A1425,Fact_Events!$D$2:$D$20,Fact_Events!$A$2:$A$20, "")</f>
        <v/>
      </c>
      <c r="I1425">
        <f t="shared" si="181"/>
        <v>0</v>
      </c>
      <c r="J1425" t="str">
        <f>_xlfn.XLOOKUP(H1425, Fact_Events!$A$2:$A$20, Fact_Events!$F$2:$F$20, "")</f>
        <v/>
      </c>
      <c r="K1425" t="str">
        <f t="shared" si="182"/>
        <v>Low</v>
      </c>
      <c r="L1425">
        <f t="shared" si="183"/>
        <v>0.55000000000000004</v>
      </c>
      <c r="M1425">
        <f>_xlfn.XLOOKUP(B1425, Dim_Hotel!$A$2:$A$11, Dim_Hotel!$I$2:$I$11)
 + (IF(J1425="",0,J1425)
    * _xlfn.XLOOKUP(B1425, Dim_Hotel!$A$2:$A$11, Dim_Hotel!$J$2:$J$11))</f>
        <v>135</v>
      </c>
    </row>
    <row r="1426" spans="1:13" x14ac:dyDescent="0.25">
      <c r="A1426" s="1">
        <f t="shared" si="176"/>
        <v>46165</v>
      </c>
      <c r="B1426" t="str" cm="1">
        <f t="array" ref="B1426">INDEX(HotelList,MOD(ROW()-2,10)+1)</f>
        <v>H005</v>
      </c>
      <c r="C1426">
        <f>_xlfn.XLOOKUP(B1426,Dim_Hotel!$A$2:$A$11,Dim_Hotel!$F$2:$F$11)</f>
        <v>66</v>
      </c>
      <c r="D1426">
        <f t="shared" si="177"/>
        <v>36</v>
      </c>
      <c r="E1426">
        <f t="shared" si="178"/>
        <v>0.54545454545454541</v>
      </c>
      <c r="F1426">
        <f t="shared" si="179"/>
        <v>82</v>
      </c>
      <c r="G1426">
        <f t="shared" si="180"/>
        <v>44.727272727272727</v>
      </c>
      <c r="H1426" t="str">
        <f>_xlfn.XLOOKUP(A1426,Fact_Events!$D$2:$D$20,Fact_Events!$A$2:$A$20, "")</f>
        <v/>
      </c>
      <c r="I1426">
        <f t="shared" si="181"/>
        <v>0</v>
      </c>
      <c r="J1426" t="str">
        <f>_xlfn.XLOOKUP(H1426, Fact_Events!$A$2:$A$20, Fact_Events!$F$2:$F$20, "")</f>
        <v/>
      </c>
      <c r="K1426" t="str">
        <f t="shared" si="182"/>
        <v>Low</v>
      </c>
      <c r="L1426">
        <f t="shared" si="183"/>
        <v>0.55000000000000004</v>
      </c>
      <c r="M1426">
        <f>_xlfn.XLOOKUP(B1426, Dim_Hotel!$A$2:$A$11, Dim_Hotel!$I$2:$I$11)
 + (IF(J1426="",0,J1426)
    * _xlfn.XLOOKUP(B1426, Dim_Hotel!$A$2:$A$11, Dim_Hotel!$J$2:$J$11))</f>
        <v>82</v>
      </c>
    </row>
    <row r="1427" spans="1:13" x14ac:dyDescent="0.25">
      <c r="A1427" s="1">
        <f t="shared" si="176"/>
        <v>46165</v>
      </c>
      <c r="B1427" t="str" cm="1">
        <f t="array" ref="B1427">INDEX(HotelList,MOD(ROW()-2,10)+1)</f>
        <v>H006</v>
      </c>
      <c r="C1427">
        <f>_xlfn.XLOOKUP(B1427,Dim_Hotel!$A$2:$A$11,Dim_Hotel!$F$2:$F$11)</f>
        <v>311</v>
      </c>
      <c r="D1427">
        <f t="shared" si="177"/>
        <v>171</v>
      </c>
      <c r="E1427">
        <f t="shared" si="178"/>
        <v>0.54983922829581988</v>
      </c>
      <c r="F1427">
        <f t="shared" si="179"/>
        <v>190</v>
      </c>
      <c r="G1427">
        <f t="shared" si="180"/>
        <v>104.46945337620578</v>
      </c>
      <c r="H1427" t="str">
        <f>_xlfn.XLOOKUP(A1427,Fact_Events!$D$2:$D$20,Fact_Events!$A$2:$A$20, "")</f>
        <v/>
      </c>
      <c r="I1427">
        <f t="shared" si="181"/>
        <v>0</v>
      </c>
      <c r="J1427" t="str">
        <f>_xlfn.XLOOKUP(H1427, Fact_Events!$A$2:$A$20, Fact_Events!$F$2:$F$20, "")</f>
        <v/>
      </c>
      <c r="K1427" t="str">
        <f t="shared" si="182"/>
        <v>Low</v>
      </c>
      <c r="L1427">
        <f t="shared" si="183"/>
        <v>0.55000000000000004</v>
      </c>
      <c r="M1427">
        <f>_xlfn.XLOOKUP(B1427, Dim_Hotel!$A$2:$A$11, Dim_Hotel!$I$2:$I$11)
 + (IF(J1427="",0,J1427)
    * _xlfn.XLOOKUP(B1427, Dim_Hotel!$A$2:$A$11, Dim_Hotel!$J$2:$J$11))</f>
        <v>190</v>
      </c>
    </row>
    <row r="1428" spans="1:13" x14ac:dyDescent="0.25">
      <c r="A1428" s="1">
        <f t="shared" si="176"/>
        <v>46165</v>
      </c>
      <c r="B1428" t="str" cm="1">
        <f t="array" ref="B1428">INDEX(HotelList,MOD(ROW()-2,10)+1)</f>
        <v>H007</v>
      </c>
      <c r="C1428">
        <f>_xlfn.XLOOKUP(B1428,Dim_Hotel!$A$2:$A$11,Dim_Hotel!$F$2:$F$11)</f>
        <v>132</v>
      </c>
      <c r="D1428">
        <f t="shared" si="177"/>
        <v>73</v>
      </c>
      <c r="E1428">
        <f t="shared" si="178"/>
        <v>0.55303030303030298</v>
      </c>
      <c r="F1428">
        <f t="shared" si="179"/>
        <v>165</v>
      </c>
      <c r="G1428">
        <f t="shared" si="180"/>
        <v>91.249999999999986</v>
      </c>
      <c r="H1428" t="str">
        <f>_xlfn.XLOOKUP(A1428,Fact_Events!$D$2:$D$20,Fact_Events!$A$2:$A$20, "")</f>
        <v/>
      </c>
      <c r="I1428">
        <f t="shared" si="181"/>
        <v>0</v>
      </c>
      <c r="J1428" t="str">
        <f>_xlfn.XLOOKUP(H1428, Fact_Events!$A$2:$A$20, Fact_Events!$F$2:$F$20, "")</f>
        <v/>
      </c>
      <c r="K1428" t="str">
        <f t="shared" si="182"/>
        <v>Low</v>
      </c>
      <c r="L1428">
        <f t="shared" si="183"/>
        <v>0.55000000000000004</v>
      </c>
      <c r="M1428">
        <f>_xlfn.XLOOKUP(B1428, Dim_Hotel!$A$2:$A$11, Dim_Hotel!$I$2:$I$11)
 + (IF(J1428="",0,J1428)
    * _xlfn.XLOOKUP(B1428, Dim_Hotel!$A$2:$A$11, Dim_Hotel!$J$2:$J$11))</f>
        <v>165</v>
      </c>
    </row>
    <row r="1429" spans="1:13" x14ac:dyDescent="0.25">
      <c r="A1429" s="1">
        <f t="shared" si="176"/>
        <v>46165</v>
      </c>
      <c r="B1429" t="str" cm="1">
        <f t="array" ref="B1429">INDEX(HotelList,MOD(ROW()-2,10)+1)</f>
        <v>H008</v>
      </c>
      <c r="C1429">
        <f>_xlfn.XLOOKUP(B1429,Dim_Hotel!$A$2:$A$11,Dim_Hotel!$F$2:$F$11)</f>
        <v>103</v>
      </c>
      <c r="D1429">
        <f t="shared" si="177"/>
        <v>57</v>
      </c>
      <c r="E1429">
        <f t="shared" si="178"/>
        <v>0.55339805825242716</v>
      </c>
      <c r="F1429">
        <f t="shared" si="179"/>
        <v>140</v>
      </c>
      <c r="G1429">
        <f t="shared" si="180"/>
        <v>77.475728155339809</v>
      </c>
      <c r="H1429" t="str">
        <f>_xlfn.XLOOKUP(A1429,Fact_Events!$D$2:$D$20,Fact_Events!$A$2:$A$20, "")</f>
        <v/>
      </c>
      <c r="I1429">
        <f t="shared" si="181"/>
        <v>0</v>
      </c>
      <c r="J1429" t="str">
        <f>_xlfn.XLOOKUP(H1429, Fact_Events!$A$2:$A$20, Fact_Events!$F$2:$F$20, "")</f>
        <v/>
      </c>
      <c r="K1429" t="str">
        <f t="shared" si="182"/>
        <v>Low</v>
      </c>
      <c r="L1429">
        <f t="shared" si="183"/>
        <v>0.55000000000000004</v>
      </c>
      <c r="M1429">
        <f>_xlfn.XLOOKUP(B1429, Dim_Hotel!$A$2:$A$11, Dim_Hotel!$I$2:$I$11)
 + (IF(J1429="",0,J1429)
    * _xlfn.XLOOKUP(B1429, Dim_Hotel!$A$2:$A$11, Dim_Hotel!$J$2:$J$11))</f>
        <v>140</v>
      </c>
    </row>
    <row r="1430" spans="1:13" x14ac:dyDescent="0.25">
      <c r="A1430" s="1">
        <f t="shared" si="176"/>
        <v>46165</v>
      </c>
      <c r="B1430" t="str" cm="1">
        <f t="array" ref="B1430">INDEX(HotelList,MOD(ROW()-2,10)+1)</f>
        <v>H009</v>
      </c>
      <c r="C1430">
        <f>_xlfn.XLOOKUP(B1430,Dim_Hotel!$A$2:$A$11,Dim_Hotel!$F$2:$F$11)</f>
        <v>114</v>
      </c>
      <c r="D1430">
        <f t="shared" si="177"/>
        <v>63</v>
      </c>
      <c r="E1430">
        <f t="shared" si="178"/>
        <v>0.55263157894736847</v>
      </c>
      <c r="F1430">
        <f t="shared" si="179"/>
        <v>185</v>
      </c>
      <c r="G1430">
        <f t="shared" si="180"/>
        <v>102.23684210526316</v>
      </c>
      <c r="H1430" t="str">
        <f>_xlfn.XLOOKUP(A1430,Fact_Events!$D$2:$D$20,Fact_Events!$A$2:$A$20, "")</f>
        <v/>
      </c>
      <c r="I1430">
        <f t="shared" si="181"/>
        <v>0</v>
      </c>
      <c r="J1430" t="str">
        <f>_xlfn.XLOOKUP(H1430, Fact_Events!$A$2:$A$20, Fact_Events!$F$2:$F$20, "")</f>
        <v/>
      </c>
      <c r="K1430" t="str">
        <f t="shared" si="182"/>
        <v>Low</v>
      </c>
      <c r="L1430">
        <f t="shared" si="183"/>
        <v>0.55000000000000004</v>
      </c>
      <c r="M1430">
        <f>_xlfn.XLOOKUP(B1430, Dim_Hotel!$A$2:$A$11, Dim_Hotel!$I$2:$I$11)
 + (IF(J1430="",0,J1430)
    * _xlfn.XLOOKUP(B1430, Dim_Hotel!$A$2:$A$11, Dim_Hotel!$J$2:$J$11))</f>
        <v>185</v>
      </c>
    </row>
    <row r="1431" spans="1:13" x14ac:dyDescent="0.25">
      <c r="A1431" s="1">
        <f t="shared" si="176"/>
        <v>46165</v>
      </c>
      <c r="B1431" t="str" cm="1">
        <f t="array" ref="B1431">INDEX(HotelList,MOD(ROW()-2,10)+1)</f>
        <v>H010</v>
      </c>
      <c r="C1431">
        <f>_xlfn.XLOOKUP(B1431,Dim_Hotel!$A$2:$A$11,Dim_Hotel!$F$2:$F$11)</f>
        <v>89</v>
      </c>
      <c r="D1431">
        <f t="shared" si="177"/>
        <v>49</v>
      </c>
      <c r="E1431">
        <f t="shared" si="178"/>
        <v>0.550561797752809</v>
      </c>
      <c r="F1431">
        <f t="shared" si="179"/>
        <v>150</v>
      </c>
      <c r="G1431">
        <f t="shared" si="180"/>
        <v>82.584269662921344</v>
      </c>
      <c r="H1431" t="str">
        <f>_xlfn.XLOOKUP(A1431,Fact_Events!$D$2:$D$20,Fact_Events!$A$2:$A$20, "")</f>
        <v/>
      </c>
      <c r="I1431">
        <f t="shared" si="181"/>
        <v>0</v>
      </c>
      <c r="J1431" t="str">
        <f>_xlfn.XLOOKUP(H1431, Fact_Events!$A$2:$A$20, Fact_Events!$F$2:$F$20, "")</f>
        <v/>
      </c>
      <c r="K1431" t="str">
        <f t="shared" si="182"/>
        <v>Low</v>
      </c>
      <c r="L1431">
        <f t="shared" si="183"/>
        <v>0.55000000000000004</v>
      </c>
      <c r="M1431">
        <f>_xlfn.XLOOKUP(B1431, Dim_Hotel!$A$2:$A$11, Dim_Hotel!$I$2:$I$11)
 + (IF(J1431="",0,J1431)
    * _xlfn.XLOOKUP(B1431, Dim_Hotel!$A$2:$A$11, Dim_Hotel!$J$2:$J$11))</f>
        <v>150</v>
      </c>
    </row>
    <row r="1432" spans="1:13" x14ac:dyDescent="0.25">
      <c r="A1432" s="1">
        <f t="shared" si="176"/>
        <v>46166</v>
      </c>
      <c r="B1432" t="str" cm="1">
        <f t="array" ref="B1432">INDEX(HotelList,MOD(ROW()-2,10)+1)</f>
        <v>H001</v>
      </c>
      <c r="C1432">
        <f>_xlfn.XLOOKUP(B1432,Dim_Hotel!$A$2:$A$11,Dim_Hotel!$F$2:$F$11)</f>
        <v>888</v>
      </c>
      <c r="D1432">
        <f t="shared" si="177"/>
        <v>488</v>
      </c>
      <c r="E1432">
        <f t="shared" si="178"/>
        <v>0.5495495495495496</v>
      </c>
      <c r="F1432">
        <f t="shared" si="179"/>
        <v>260</v>
      </c>
      <c r="G1432">
        <f t="shared" si="180"/>
        <v>142.88288288288288</v>
      </c>
      <c r="H1432" t="str">
        <f>_xlfn.XLOOKUP(A1432,Fact_Events!$D$2:$D$20,Fact_Events!$A$2:$A$20, "")</f>
        <v/>
      </c>
      <c r="I1432">
        <f t="shared" si="181"/>
        <v>0</v>
      </c>
      <c r="J1432" t="str">
        <f>_xlfn.XLOOKUP(H1432, Fact_Events!$A$2:$A$20, Fact_Events!$F$2:$F$20, "")</f>
        <v/>
      </c>
      <c r="K1432" t="str">
        <f t="shared" si="182"/>
        <v>Low</v>
      </c>
      <c r="L1432">
        <f t="shared" si="183"/>
        <v>0.55000000000000004</v>
      </c>
      <c r="M1432">
        <f>_xlfn.XLOOKUP(B1432, Dim_Hotel!$A$2:$A$11, Dim_Hotel!$I$2:$I$11)
 + (IF(J1432="",0,J1432)
    * _xlfn.XLOOKUP(B1432, Dim_Hotel!$A$2:$A$11, Dim_Hotel!$J$2:$J$11))</f>
        <v>260</v>
      </c>
    </row>
    <row r="1433" spans="1:13" x14ac:dyDescent="0.25">
      <c r="A1433" s="1">
        <f t="shared" si="176"/>
        <v>46166</v>
      </c>
      <c r="B1433" t="str" cm="1">
        <f t="array" ref="B1433">INDEX(HotelList,MOD(ROW()-2,10)+1)</f>
        <v>H002</v>
      </c>
      <c r="C1433">
        <f>_xlfn.XLOOKUP(B1433,Dim_Hotel!$A$2:$A$11,Dim_Hotel!$F$2:$F$11)</f>
        <v>147</v>
      </c>
      <c r="D1433">
        <f t="shared" si="177"/>
        <v>81</v>
      </c>
      <c r="E1433">
        <f t="shared" si="178"/>
        <v>0.55102040816326525</v>
      </c>
      <c r="F1433">
        <f t="shared" si="179"/>
        <v>175</v>
      </c>
      <c r="G1433">
        <f t="shared" si="180"/>
        <v>96.428571428571416</v>
      </c>
      <c r="H1433" t="str">
        <f>_xlfn.XLOOKUP(A1433,Fact_Events!$D$2:$D$20,Fact_Events!$A$2:$A$20, "")</f>
        <v/>
      </c>
      <c r="I1433">
        <f t="shared" si="181"/>
        <v>0</v>
      </c>
      <c r="J1433" t="str">
        <f>_xlfn.XLOOKUP(H1433, Fact_Events!$A$2:$A$20, Fact_Events!$F$2:$F$20, "")</f>
        <v/>
      </c>
      <c r="K1433" t="str">
        <f t="shared" si="182"/>
        <v>Low</v>
      </c>
      <c r="L1433">
        <f t="shared" si="183"/>
        <v>0.55000000000000004</v>
      </c>
      <c r="M1433">
        <f>_xlfn.XLOOKUP(B1433, Dim_Hotel!$A$2:$A$11, Dim_Hotel!$I$2:$I$11)
 + (IF(J1433="",0,J1433)
    * _xlfn.XLOOKUP(B1433, Dim_Hotel!$A$2:$A$11, Dim_Hotel!$J$2:$J$11))</f>
        <v>175</v>
      </c>
    </row>
    <row r="1434" spans="1:13" x14ac:dyDescent="0.25">
      <c r="A1434" s="1">
        <f t="shared" si="176"/>
        <v>46166</v>
      </c>
      <c r="B1434" t="str" cm="1">
        <f t="array" ref="B1434">INDEX(HotelList,MOD(ROW()-2,10)+1)</f>
        <v>H003</v>
      </c>
      <c r="C1434">
        <f>_xlfn.XLOOKUP(B1434,Dim_Hotel!$A$2:$A$11,Dim_Hotel!$F$2:$F$11)</f>
        <v>121</v>
      </c>
      <c r="D1434">
        <f t="shared" si="177"/>
        <v>67</v>
      </c>
      <c r="E1434">
        <f t="shared" si="178"/>
        <v>0.55371900826446285</v>
      </c>
      <c r="F1434">
        <f t="shared" si="179"/>
        <v>145</v>
      </c>
      <c r="G1434">
        <f t="shared" si="180"/>
        <v>80.289256198347118</v>
      </c>
      <c r="H1434" t="str">
        <f>_xlfn.XLOOKUP(A1434,Fact_Events!$D$2:$D$20,Fact_Events!$A$2:$A$20, "")</f>
        <v/>
      </c>
      <c r="I1434">
        <f t="shared" si="181"/>
        <v>0</v>
      </c>
      <c r="J1434" t="str">
        <f>_xlfn.XLOOKUP(H1434, Fact_Events!$A$2:$A$20, Fact_Events!$F$2:$F$20, "")</f>
        <v/>
      </c>
      <c r="K1434" t="str">
        <f t="shared" si="182"/>
        <v>Low</v>
      </c>
      <c r="L1434">
        <f t="shared" si="183"/>
        <v>0.55000000000000004</v>
      </c>
      <c r="M1434">
        <f>_xlfn.XLOOKUP(B1434, Dim_Hotel!$A$2:$A$11, Dim_Hotel!$I$2:$I$11)
 + (IF(J1434="",0,J1434)
    * _xlfn.XLOOKUP(B1434, Dim_Hotel!$A$2:$A$11, Dim_Hotel!$J$2:$J$11))</f>
        <v>145</v>
      </c>
    </row>
    <row r="1435" spans="1:13" x14ac:dyDescent="0.25">
      <c r="A1435" s="1">
        <f t="shared" si="176"/>
        <v>46166</v>
      </c>
      <c r="B1435" t="str" cm="1">
        <f t="array" ref="B1435">INDEX(HotelList,MOD(ROW()-2,10)+1)</f>
        <v>H004</v>
      </c>
      <c r="C1435">
        <f>_xlfn.XLOOKUP(B1435,Dim_Hotel!$A$2:$A$11,Dim_Hotel!$F$2:$F$11)</f>
        <v>108</v>
      </c>
      <c r="D1435">
        <f t="shared" si="177"/>
        <v>59</v>
      </c>
      <c r="E1435">
        <f t="shared" si="178"/>
        <v>0.54629629629629628</v>
      </c>
      <c r="F1435">
        <f t="shared" si="179"/>
        <v>135</v>
      </c>
      <c r="G1435">
        <f t="shared" si="180"/>
        <v>73.75</v>
      </c>
      <c r="H1435" t="str">
        <f>_xlfn.XLOOKUP(A1435,Fact_Events!$D$2:$D$20,Fact_Events!$A$2:$A$20, "")</f>
        <v/>
      </c>
      <c r="I1435">
        <f t="shared" si="181"/>
        <v>0</v>
      </c>
      <c r="J1435" t="str">
        <f>_xlfn.XLOOKUP(H1435, Fact_Events!$A$2:$A$20, Fact_Events!$F$2:$F$20, "")</f>
        <v/>
      </c>
      <c r="K1435" t="str">
        <f t="shared" si="182"/>
        <v>Low</v>
      </c>
      <c r="L1435">
        <f t="shared" si="183"/>
        <v>0.55000000000000004</v>
      </c>
      <c r="M1435">
        <f>_xlfn.XLOOKUP(B1435, Dim_Hotel!$A$2:$A$11, Dim_Hotel!$I$2:$I$11)
 + (IF(J1435="",0,J1435)
    * _xlfn.XLOOKUP(B1435, Dim_Hotel!$A$2:$A$11, Dim_Hotel!$J$2:$J$11))</f>
        <v>135</v>
      </c>
    </row>
    <row r="1436" spans="1:13" x14ac:dyDescent="0.25">
      <c r="A1436" s="1">
        <f t="shared" si="176"/>
        <v>46166</v>
      </c>
      <c r="B1436" t="str" cm="1">
        <f t="array" ref="B1436">INDEX(HotelList,MOD(ROW()-2,10)+1)</f>
        <v>H005</v>
      </c>
      <c r="C1436">
        <f>_xlfn.XLOOKUP(B1436,Dim_Hotel!$A$2:$A$11,Dim_Hotel!$F$2:$F$11)</f>
        <v>66</v>
      </c>
      <c r="D1436">
        <f t="shared" si="177"/>
        <v>36</v>
      </c>
      <c r="E1436">
        <f t="shared" si="178"/>
        <v>0.54545454545454541</v>
      </c>
      <c r="F1436">
        <f t="shared" si="179"/>
        <v>82</v>
      </c>
      <c r="G1436">
        <f t="shared" si="180"/>
        <v>44.727272727272727</v>
      </c>
      <c r="H1436" t="str">
        <f>_xlfn.XLOOKUP(A1436,Fact_Events!$D$2:$D$20,Fact_Events!$A$2:$A$20, "")</f>
        <v/>
      </c>
      <c r="I1436">
        <f t="shared" si="181"/>
        <v>0</v>
      </c>
      <c r="J1436" t="str">
        <f>_xlfn.XLOOKUP(H1436, Fact_Events!$A$2:$A$20, Fact_Events!$F$2:$F$20, "")</f>
        <v/>
      </c>
      <c r="K1436" t="str">
        <f t="shared" si="182"/>
        <v>Low</v>
      </c>
      <c r="L1436">
        <f t="shared" si="183"/>
        <v>0.55000000000000004</v>
      </c>
      <c r="M1436">
        <f>_xlfn.XLOOKUP(B1436, Dim_Hotel!$A$2:$A$11, Dim_Hotel!$I$2:$I$11)
 + (IF(J1436="",0,J1436)
    * _xlfn.XLOOKUP(B1436, Dim_Hotel!$A$2:$A$11, Dim_Hotel!$J$2:$J$11))</f>
        <v>82</v>
      </c>
    </row>
    <row r="1437" spans="1:13" x14ac:dyDescent="0.25">
      <c r="A1437" s="1">
        <f t="shared" si="176"/>
        <v>46166</v>
      </c>
      <c r="B1437" t="str" cm="1">
        <f t="array" ref="B1437">INDEX(HotelList,MOD(ROW()-2,10)+1)</f>
        <v>H006</v>
      </c>
      <c r="C1437">
        <f>_xlfn.XLOOKUP(B1437,Dim_Hotel!$A$2:$A$11,Dim_Hotel!$F$2:$F$11)</f>
        <v>311</v>
      </c>
      <c r="D1437">
        <f t="shared" si="177"/>
        <v>171</v>
      </c>
      <c r="E1437">
        <f t="shared" si="178"/>
        <v>0.54983922829581988</v>
      </c>
      <c r="F1437">
        <f t="shared" si="179"/>
        <v>190</v>
      </c>
      <c r="G1437">
        <f t="shared" si="180"/>
        <v>104.46945337620578</v>
      </c>
      <c r="H1437" t="str">
        <f>_xlfn.XLOOKUP(A1437,Fact_Events!$D$2:$D$20,Fact_Events!$A$2:$A$20, "")</f>
        <v/>
      </c>
      <c r="I1437">
        <f t="shared" si="181"/>
        <v>0</v>
      </c>
      <c r="J1437" t="str">
        <f>_xlfn.XLOOKUP(H1437, Fact_Events!$A$2:$A$20, Fact_Events!$F$2:$F$20, "")</f>
        <v/>
      </c>
      <c r="K1437" t="str">
        <f t="shared" si="182"/>
        <v>Low</v>
      </c>
      <c r="L1437">
        <f t="shared" si="183"/>
        <v>0.55000000000000004</v>
      </c>
      <c r="M1437">
        <f>_xlfn.XLOOKUP(B1437, Dim_Hotel!$A$2:$A$11, Dim_Hotel!$I$2:$I$11)
 + (IF(J1437="",0,J1437)
    * _xlfn.XLOOKUP(B1437, Dim_Hotel!$A$2:$A$11, Dim_Hotel!$J$2:$J$11))</f>
        <v>190</v>
      </c>
    </row>
    <row r="1438" spans="1:13" x14ac:dyDescent="0.25">
      <c r="A1438" s="1">
        <f t="shared" si="176"/>
        <v>46166</v>
      </c>
      <c r="B1438" t="str" cm="1">
        <f t="array" ref="B1438">INDEX(HotelList,MOD(ROW()-2,10)+1)</f>
        <v>H007</v>
      </c>
      <c r="C1438">
        <f>_xlfn.XLOOKUP(B1438,Dim_Hotel!$A$2:$A$11,Dim_Hotel!$F$2:$F$11)</f>
        <v>132</v>
      </c>
      <c r="D1438">
        <f t="shared" si="177"/>
        <v>73</v>
      </c>
      <c r="E1438">
        <f t="shared" si="178"/>
        <v>0.55303030303030298</v>
      </c>
      <c r="F1438">
        <f t="shared" si="179"/>
        <v>165</v>
      </c>
      <c r="G1438">
        <f t="shared" si="180"/>
        <v>91.249999999999986</v>
      </c>
      <c r="H1438" t="str">
        <f>_xlfn.XLOOKUP(A1438,Fact_Events!$D$2:$D$20,Fact_Events!$A$2:$A$20, "")</f>
        <v/>
      </c>
      <c r="I1438">
        <f t="shared" si="181"/>
        <v>0</v>
      </c>
      <c r="J1438" t="str">
        <f>_xlfn.XLOOKUP(H1438, Fact_Events!$A$2:$A$20, Fact_Events!$F$2:$F$20, "")</f>
        <v/>
      </c>
      <c r="K1438" t="str">
        <f t="shared" si="182"/>
        <v>Low</v>
      </c>
      <c r="L1438">
        <f t="shared" si="183"/>
        <v>0.55000000000000004</v>
      </c>
      <c r="M1438">
        <f>_xlfn.XLOOKUP(B1438, Dim_Hotel!$A$2:$A$11, Dim_Hotel!$I$2:$I$11)
 + (IF(J1438="",0,J1438)
    * _xlfn.XLOOKUP(B1438, Dim_Hotel!$A$2:$A$11, Dim_Hotel!$J$2:$J$11))</f>
        <v>165</v>
      </c>
    </row>
    <row r="1439" spans="1:13" x14ac:dyDescent="0.25">
      <c r="A1439" s="1">
        <f t="shared" si="176"/>
        <v>46166</v>
      </c>
      <c r="B1439" t="str" cm="1">
        <f t="array" ref="B1439">INDEX(HotelList,MOD(ROW()-2,10)+1)</f>
        <v>H008</v>
      </c>
      <c r="C1439">
        <f>_xlfn.XLOOKUP(B1439,Dim_Hotel!$A$2:$A$11,Dim_Hotel!$F$2:$F$11)</f>
        <v>103</v>
      </c>
      <c r="D1439">
        <f t="shared" si="177"/>
        <v>57</v>
      </c>
      <c r="E1439">
        <f t="shared" si="178"/>
        <v>0.55339805825242716</v>
      </c>
      <c r="F1439">
        <f t="shared" si="179"/>
        <v>140</v>
      </c>
      <c r="G1439">
        <f t="shared" si="180"/>
        <v>77.475728155339809</v>
      </c>
      <c r="H1439" t="str">
        <f>_xlfn.XLOOKUP(A1439,Fact_Events!$D$2:$D$20,Fact_Events!$A$2:$A$20, "")</f>
        <v/>
      </c>
      <c r="I1439">
        <f t="shared" si="181"/>
        <v>0</v>
      </c>
      <c r="J1439" t="str">
        <f>_xlfn.XLOOKUP(H1439, Fact_Events!$A$2:$A$20, Fact_Events!$F$2:$F$20, "")</f>
        <v/>
      </c>
      <c r="K1439" t="str">
        <f t="shared" si="182"/>
        <v>Low</v>
      </c>
      <c r="L1439">
        <f t="shared" si="183"/>
        <v>0.55000000000000004</v>
      </c>
      <c r="M1439">
        <f>_xlfn.XLOOKUP(B1439, Dim_Hotel!$A$2:$A$11, Dim_Hotel!$I$2:$I$11)
 + (IF(J1439="",0,J1439)
    * _xlfn.XLOOKUP(B1439, Dim_Hotel!$A$2:$A$11, Dim_Hotel!$J$2:$J$11))</f>
        <v>140</v>
      </c>
    </row>
    <row r="1440" spans="1:13" x14ac:dyDescent="0.25">
      <c r="A1440" s="1">
        <f t="shared" si="176"/>
        <v>46166</v>
      </c>
      <c r="B1440" t="str" cm="1">
        <f t="array" ref="B1440">INDEX(HotelList,MOD(ROW()-2,10)+1)</f>
        <v>H009</v>
      </c>
      <c r="C1440">
        <f>_xlfn.XLOOKUP(B1440,Dim_Hotel!$A$2:$A$11,Dim_Hotel!$F$2:$F$11)</f>
        <v>114</v>
      </c>
      <c r="D1440">
        <f t="shared" si="177"/>
        <v>63</v>
      </c>
      <c r="E1440">
        <f t="shared" si="178"/>
        <v>0.55263157894736847</v>
      </c>
      <c r="F1440">
        <f t="shared" si="179"/>
        <v>185</v>
      </c>
      <c r="G1440">
        <f t="shared" si="180"/>
        <v>102.23684210526316</v>
      </c>
      <c r="H1440" t="str">
        <f>_xlfn.XLOOKUP(A1440,Fact_Events!$D$2:$D$20,Fact_Events!$A$2:$A$20, "")</f>
        <v/>
      </c>
      <c r="I1440">
        <f t="shared" si="181"/>
        <v>0</v>
      </c>
      <c r="J1440" t="str">
        <f>_xlfn.XLOOKUP(H1440, Fact_Events!$A$2:$A$20, Fact_Events!$F$2:$F$20, "")</f>
        <v/>
      </c>
      <c r="K1440" t="str">
        <f t="shared" si="182"/>
        <v>Low</v>
      </c>
      <c r="L1440">
        <f t="shared" si="183"/>
        <v>0.55000000000000004</v>
      </c>
      <c r="M1440">
        <f>_xlfn.XLOOKUP(B1440, Dim_Hotel!$A$2:$A$11, Dim_Hotel!$I$2:$I$11)
 + (IF(J1440="",0,J1440)
    * _xlfn.XLOOKUP(B1440, Dim_Hotel!$A$2:$A$11, Dim_Hotel!$J$2:$J$11))</f>
        <v>185</v>
      </c>
    </row>
    <row r="1441" spans="1:13" x14ac:dyDescent="0.25">
      <c r="A1441" s="1">
        <f t="shared" si="176"/>
        <v>46166</v>
      </c>
      <c r="B1441" t="str" cm="1">
        <f t="array" ref="B1441">INDEX(HotelList,MOD(ROW()-2,10)+1)</f>
        <v>H010</v>
      </c>
      <c r="C1441">
        <f>_xlfn.XLOOKUP(B1441,Dim_Hotel!$A$2:$A$11,Dim_Hotel!$F$2:$F$11)</f>
        <v>89</v>
      </c>
      <c r="D1441">
        <f t="shared" si="177"/>
        <v>49</v>
      </c>
      <c r="E1441">
        <f t="shared" si="178"/>
        <v>0.550561797752809</v>
      </c>
      <c r="F1441">
        <f t="shared" si="179"/>
        <v>150</v>
      </c>
      <c r="G1441">
        <f t="shared" si="180"/>
        <v>82.584269662921344</v>
      </c>
      <c r="H1441" t="str">
        <f>_xlfn.XLOOKUP(A1441,Fact_Events!$D$2:$D$20,Fact_Events!$A$2:$A$20, "")</f>
        <v/>
      </c>
      <c r="I1441">
        <f t="shared" si="181"/>
        <v>0</v>
      </c>
      <c r="J1441" t="str">
        <f>_xlfn.XLOOKUP(H1441, Fact_Events!$A$2:$A$20, Fact_Events!$F$2:$F$20, "")</f>
        <v/>
      </c>
      <c r="K1441" t="str">
        <f t="shared" si="182"/>
        <v>Low</v>
      </c>
      <c r="L1441">
        <f t="shared" si="183"/>
        <v>0.55000000000000004</v>
      </c>
      <c r="M1441">
        <f>_xlfn.XLOOKUP(B1441, Dim_Hotel!$A$2:$A$11, Dim_Hotel!$I$2:$I$11)
 + (IF(J1441="",0,J1441)
    * _xlfn.XLOOKUP(B1441, Dim_Hotel!$A$2:$A$11, Dim_Hotel!$J$2:$J$11))</f>
        <v>150</v>
      </c>
    </row>
    <row r="1442" spans="1:13" x14ac:dyDescent="0.25">
      <c r="A1442" s="1">
        <f t="shared" si="176"/>
        <v>46167</v>
      </c>
      <c r="B1442" t="str" cm="1">
        <f t="array" ref="B1442">INDEX(HotelList,MOD(ROW()-2,10)+1)</f>
        <v>H001</v>
      </c>
      <c r="C1442">
        <f>_xlfn.XLOOKUP(B1442,Dim_Hotel!$A$2:$A$11,Dim_Hotel!$F$2:$F$11)</f>
        <v>888</v>
      </c>
      <c r="D1442">
        <f t="shared" si="177"/>
        <v>488</v>
      </c>
      <c r="E1442">
        <f t="shared" si="178"/>
        <v>0.5495495495495496</v>
      </c>
      <c r="F1442">
        <f t="shared" si="179"/>
        <v>260</v>
      </c>
      <c r="G1442">
        <f t="shared" si="180"/>
        <v>142.88288288288288</v>
      </c>
      <c r="H1442" t="str">
        <f>_xlfn.XLOOKUP(A1442,Fact_Events!$D$2:$D$20,Fact_Events!$A$2:$A$20, "")</f>
        <v/>
      </c>
      <c r="I1442">
        <f t="shared" si="181"/>
        <v>0</v>
      </c>
      <c r="J1442" t="str">
        <f>_xlfn.XLOOKUP(H1442, Fact_Events!$A$2:$A$20, Fact_Events!$F$2:$F$20, "")</f>
        <v/>
      </c>
      <c r="K1442" t="str">
        <f t="shared" si="182"/>
        <v>Low</v>
      </c>
      <c r="L1442">
        <f t="shared" si="183"/>
        <v>0.55000000000000004</v>
      </c>
      <c r="M1442">
        <f>_xlfn.XLOOKUP(B1442, Dim_Hotel!$A$2:$A$11, Dim_Hotel!$I$2:$I$11)
 + (IF(J1442="",0,J1442)
    * _xlfn.XLOOKUP(B1442, Dim_Hotel!$A$2:$A$11, Dim_Hotel!$J$2:$J$11))</f>
        <v>260</v>
      </c>
    </row>
    <row r="1443" spans="1:13" x14ac:dyDescent="0.25">
      <c r="A1443" s="1">
        <f t="shared" si="176"/>
        <v>46167</v>
      </c>
      <c r="B1443" t="str" cm="1">
        <f t="array" ref="B1443">INDEX(HotelList,MOD(ROW()-2,10)+1)</f>
        <v>H002</v>
      </c>
      <c r="C1443">
        <f>_xlfn.XLOOKUP(B1443,Dim_Hotel!$A$2:$A$11,Dim_Hotel!$F$2:$F$11)</f>
        <v>147</v>
      </c>
      <c r="D1443">
        <f t="shared" si="177"/>
        <v>81</v>
      </c>
      <c r="E1443">
        <f t="shared" si="178"/>
        <v>0.55102040816326525</v>
      </c>
      <c r="F1443">
        <f t="shared" si="179"/>
        <v>175</v>
      </c>
      <c r="G1443">
        <f t="shared" si="180"/>
        <v>96.428571428571416</v>
      </c>
      <c r="H1443" t="str">
        <f>_xlfn.XLOOKUP(A1443,Fact_Events!$D$2:$D$20,Fact_Events!$A$2:$A$20, "")</f>
        <v/>
      </c>
      <c r="I1443">
        <f t="shared" si="181"/>
        <v>0</v>
      </c>
      <c r="J1443" t="str">
        <f>_xlfn.XLOOKUP(H1443, Fact_Events!$A$2:$A$20, Fact_Events!$F$2:$F$20, "")</f>
        <v/>
      </c>
      <c r="K1443" t="str">
        <f t="shared" si="182"/>
        <v>Low</v>
      </c>
      <c r="L1443">
        <f t="shared" si="183"/>
        <v>0.55000000000000004</v>
      </c>
      <c r="M1443">
        <f>_xlfn.XLOOKUP(B1443, Dim_Hotel!$A$2:$A$11, Dim_Hotel!$I$2:$I$11)
 + (IF(J1443="",0,J1443)
    * _xlfn.XLOOKUP(B1443, Dim_Hotel!$A$2:$A$11, Dim_Hotel!$J$2:$J$11))</f>
        <v>175</v>
      </c>
    </row>
    <row r="1444" spans="1:13" x14ac:dyDescent="0.25">
      <c r="A1444" s="1">
        <f t="shared" si="176"/>
        <v>46167</v>
      </c>
      <c r="B1444" t="str" cm="1">
        <f t="array" ref="B1444">INDEX(HotelList,MOD(ROW()-2,10)+1)</f>
        <v>H003</v>
      </c>
      <c r="C1444">
        <f>_xlfn.XLOOKUP(B1444,Dim_Hotel!$A$2:$A$11,Dim_Hotel!$F$2:$F$11)</f>
        <v>121</v>
      </c>
      <c r="D1444">
        <f t="shared" si="177"/>
        <v>67</v>
      </c>
      <c r="E1444">
        <f t="shared" si="178"/>
        <v>0.55371900826446285</v>
      </c>
      <c r="F1444">
        <f t="shared" si="179"/>
        <v>145</v>
      </c>
      <c r="G1444">
        <f t="shared" si="180"/>
        <v>80.289256198347118</v>
      </c>
      <c r="H1444" t="str">
        <f>_xlfn.XLOOKUP(A1444,Fact_Events!$D$2:$D$20,Fact_Events!$A$2:$A$20, "")</f>
        <v/>
      </c>
      <c r="I1444">
        <f t="shared" si="181"/>
        <v>0</v>
      </c>
      <c r="J1444" t="str">
        <f>_xlfn.XLOOKUP(H1444, Fact_Events!$A$2:$A$20, Fact_Events!$F$2:$F$20, "")</f>
        <v/>
      </c>
      <c r="K1444" t="str">
        <f t="shared" si="182"/>
        <v>Low</v>
      </c>
      <c r="L1444">
        <f t="shared" si="183"/>
        <v>0.55000000000000004</v>
      </c>
      <c r="M1444">
        <f>_xlfn.XLOOKUP(B1444, Dim_Hotel!$A$2:$A$11, Dim_Hotel!$I$2:$I$11)
 + (IF(J1444="",0,J1444)
    * _xlfn.XLOOKUP(B1444, Dim_Hotel!$A$2:$A$11, Dim_Hotel!$J$2:$J$11))</f>
        <v>145</v>
      </c>
    </row>
    <row r="1445" spans="1:13" x14ac:dyDescent="0.25">
      <c r="A1445" s="1">
        <f t="shared" si="176"/>
        <v>46167</v>
      </c>
      <c r="B1445" t="str" cm="1">
        <f t="array" ref="B1445">INDEX(HotelList,MOD(ROW()-2,10)+1)</f>
        <v>H004</v>
      </c>
      <c r="C1445">
        <f>_xlfn.XLOOKUP(B1445,Dim_Hotel!$A$2:$A$11,Dim_Hotel!$F$2:$F$11)</f>
        <v>108</v>
      </c>
      <c r="D1445">
        <f t="shared" si="177"/>
        <v>59</v>
      </c>
      <c r="E1445">
        <f t="shared" si="178"/>
        <v>0.54629629629629628</v>
      </c>
      <c r="F1445">
        <f t="shared" si="179"/>
        <v>135</v>
      </c>
      <c r="G1445">
        <f t="shared" si="180"/>
        <v>73.75</v>
      </c>
      <c r="H1445" t="str">
        <f>_xlfn.XLOOKUP(A1445,Fact_Events!$D$2:$D$20,Fact_Events!$A$2:$A$20, "")</f>
        <v/>
      </c>
      <c r="I1445">
        <f t="shared" si="181"/>
        <v>0</v>
      </c>
      <c r="J1445" t="str">
        <f>_xlfn.XLOOKUP(H1445, Fact_Events!$A$2:$A$20, Fact_Events!$F$2:$F$20, "")</f>
        <v/>
      </c>
      <c r="K1445" t="str">
        <f t="shared" si="182"/>
        <v>Low</v>
      </c>
      <c r="L1445">
        <f t="shared" si="183"/>
        <v>0.55000000000000004</v>
      </c>
      <c r="M1445">
        <f>_xlfn.XLOOKUP(B1445, Dim_Hotel!$A$2:$A$11, Dim_Hotel!$I$2:$I$11)
 + (IF(J1445="",0,J1445)
    * _xlfn.XLOOKUP(B1445, Dim_Hotel!$A$2:$A$11, Dim_Hotel!$J$2:$J$11))</f>
        <v>135</v>
      </c>
    </row>
    <row r="1446" spans="1:13" x14ac:dyDescent="0.25">
      <c r="A1446" s="1">
        <f t="shared" si="176"/>
        <v>46167</v>
      </c>
      <c r="B1446" t="str" cm="1">
        <f t="array" ref="B1446">INDEX(HotelList,MOD(ROW()-2,10)+1)</f>
        <v>H005</v>
      </c>
      <c r="C1446">
        <f>_xlfn.XLOOKUP(B1446,Dim_Hotel!$A$2:$A$11,Dim_Hotel!$F$2:$F$11)</f>
        <v>66</v>
      </c>
      <c r="D1446">
        <f t="shared" si="177"/>
        <v>36</v>
      </c>
      <c r="E1446">
        <f t="shared" si="178"/>
        <v>0.54545454545454541</v>
      </c>
      <c r="F1446">
        <f t="shared" si="179"/>
        <v>82</v>
      </c>
      <c r="G1446">
        <f t="shared" si="180"/>
        <v>44.727272727272727</v>
      </c>
      <c r="H1446" t="str">
        <f>_xlfn.XLOOKUP(A1446,Fact_Events!$D$2:$D$20,Fact_Events!$A$2:$A$20, "")</f>
        <v/>
      </c>
      <c r="I1446">
        <f t="shared" si="181"/>
        <v>0</v>
      </c>
      <c r="J1446" t="str">
        <f>_xlfn.XLOOKUP(H1446, Fact_Events!$A$2:$A$20, Fact_Events!$F$2:$F$20, "")</f>
        <v/>
      </c>
      <c r="K1446" t="str">
        <f t="shared" si="182"/>
        <v>Low</v>
      </c>
      <c r="L1446">
        <f t="shared" si="183"/>
        <v>0.55000000000000004</v>
      </c>
      <c r="M1446">
        <f>_xlfn.XLOOKUP(B1446, Dim_Hotel!$A$2:$A$11, Dim_Hotel!$I$2:$I$11)
 + (IF(J1446="",0,J1446)
    * _xlfn.XLOOKUP(B1446, Dim_Hotel!$A$2:$A$11, Dim_Hotel!$J$2:$J$11))</f>
        <v>82</v>
      </c>
    </row>
    <row r="1447" spans="1:13" x14ac:dyDescent="0.25">
      <c r="A1447" s="1">
        <f t="shared" si="176"/>
        <v>46167</v>
      </c>
      <c r="B1447" t="str" cm="1">
        <f t="array" ref="B1447">INDEX(HotelList,MOD(ROW()-2,10)+1)</f>
        <v>H006</v>
      </c>
      <c r="C1447">
        <f>_xlfn.XLOOKUP(B1447,Dim_Hotel!$A$2:$A$11,Dim_Hotel!$F$2:$F$11)</f>
        <v>311</v>
      </c>
      <c r="D1447">
        <f t="shared" si="177"/>
        <v>171</v>
      </c>
      <c r="E1447">
        <f t="shared" si="178"/>
        <v>0.54983922829581988</v>
      </c>
      <c r="F1447">
        <f t="shared" si="179"/>
        <v>190</v>
      </c>
      <c r="G1447">
        <f t="shared" si="180"/>
        <v>104.46945337620578</v>
      </c>
      <c r="H1447" t="str">
        <f>_xlfn.XLOOKUP(A1447,Fact_Events!$D$2:$D$20,Fact_Events!$A$2:$A$20, "")</f>
        <v/>
      </c>
      <c r="I1447">
        <f t="shared" si="181"/>
        <v>0</v>
      </c>
      <c r="J1447" t="str">
        <f>_xlfn.XLOOKUP(H1447, Fact_Events!$A$2:$A$20, Fact_Events!$F$2:$F$20, "")</f>
        <v/>
      </c>
      <c r="K1447" t="str">
        <f t="shared" si="182"/>
        <v>Low</v>
      </c>
      <c r="L1447">
        <f t="shared" si="183"/>
        <v>0.55000000000000004</v>
      </c>
      <c r="M1447">
        <f>_xlfn.XLOOKUP(B1447, Dim_Hotel!$A$2:$A$11, Dim_Hotel!$I$2:$I$11)
 + (IF(J1447="",0,J1447)
    * _xlfn.XLOOKUP(B1447, Dim_Hotel!$A$2:$A$11, Dim_Hotel!$J$2:$J$11))</f>
        <v>190</v>
      </c>
    </row>
    <row r="1448" spans="1:13" x14ac:dyDescent="0.25">
      <c r="A1448" s="1">
        <f t="shared" si="176"/>
        <v>46167</v>
      </c>
      <c r="B1448" t="str" cm="1">
        <f t="array" ref="B1448">INDEX(HotelList,MOD(ROW()-2,10)+1)</f>
        <v>H007</v>
      </c>
      <c r="C1448">
        <f>_xlfn.XLOOKUP(B1448,Dim_Hotel!$A$2:$A$11,Dim_Hotel!$F$2:$F$11)</f>
        <v>132</v>
      </c>
      <c r="D1448">
        <f t="shared" si="177"/>
        <v>73</v>
      </c>
      <c r="E1448">
        <f t="shared" si="178"/>
        <v>0.55303030303030298</v>
      </c>
      <c r="F1448">
        <f t="shared" si="179"/>
        <v>165</v>
      </c>
      <c r="G1448">
        <f t="shared" si="180"/>
        <v>91.249999999999986</v>
      </c>
      <c r="H1448" t="str">
        <f>_xlfn.XLOOKUP(A1448,Fact_Events!$D$2:$D$20,Fact_Events!$A$2:$A$20, "")</f>
        <v/>
      </c>
      <c r="I1448">
        <f t="shared" si="181"/>
        <v>0</v>
      </c>
      <c r="J1448" t="str">
        <f>_xlfn.XLOOKUP(H1448, Fact_Events!$A$2:$A$20, Fact_Events!$F$2:$F$20, "")</f>
        <v/>
      </c>
      <c r="K1448" t="str">
        <f t="shared" si="182"/>
        <v>Low</v>
      </c>
      <c r="L1448">
        <f t="shared" si="183"/>
        <v>0.55000000000000004</v>
      </c>
      <c r="M1448">
        <f>_xlfn.XLOOKUP(B1448, Dim_Hotel!$A$2:$A$11, Dim_Hotel!$I$2:$I$11)
 + (IF(J1448="",0,J1448)
    * _xlfn.XLOOKUP(B1448, Dim_Hotel!$A$2:$A$11, Dim_Hotel!$J$2:$J$11))</f>
        <v>165</v>
      </c>
    </row>
    <row r="1449" spans="1:13" x14ac:dyDescent="0.25">
      <c r="A1449" s="1">
        <f t="shared" si="176"/>
        <v>46167</v>
      </c>
      <c r="B1449" t="str" cm="1">
        <f t="array" ref="B1449">INDEX(HotelList,MOD(ROW()-2,10)+1)</f>
        <v>H008</v>
      </c>
      <c r="C1449">
        <f>_xlfn.XLOOKUP(B1449,Dim_Hotel!$A$2:$A$11,Dim_Hotel!$F$2:$F$11)</f>
        <v>103</v>
      </c>
      <c r="D1449">
        <f t="shared" si="177"/>
        <v>57</v>
      </c>
      <c r="E1449">
        <f t="shared" si="178"/>
        <v>0.55339805825242716</v>
      </c>
      <c r="F1449">
        <f t="shared" si="179"/>
        <v>140</v>
      </c>
      <c r="G1449">
        <f t="shared" si="180"/>
        <v>77.475728155339809</v>
      </c>
      <c r="H1449" t="str">
        <f>_xlfn.XLOOKUP(A1449,Fact_Events!$D$2:$D$20,Fact_Events!$A$2:$A$20, "")</f>
        <v/>
      </c>
      <c r="I1449">
        <f t="shared" si="181"/>
        <v>0</v>
      </c>
      <c r="J1449" t="str">
        <f>_xlfn.XLOOKUP(H1449, Fact_Events!$A$2:$A$20, Fact_Events!$F$2:$F$20, "")</f>
        <v/>
      </c>
      <c r="K1449" t="str">
        <f t="shared" si="182"/>
        <v>Low</v>
      </c>
      <c r="L1449">
        <f t="shared" si="183"/>
        <v>0.55000000000000004</v>
      </c>
      <c r="M1449">
        <f>_xlfn.XLOOKUP(B1449, Dim_Hotel!$A$2:$A$11, Dim_Hotel!$I$2:$I$11)
 + (IF(J1449="",0,J1449)
    * _xlfn.XLOOKUP(B1449, Dim_Hotel!$A$2:$A$11, Dim_Hotel!$J$2:$J$11))</f>
        <v>140</v>
      </c>
    </row>
    <row r="1450" spans="1:13" x14ac:dyDescent="0.25">
      <c r="A1450" s="1">
        <f t="shared" si="176"/>
        <v>46167</v>
      </c>
      <c r="B1450" t="str" cm="1">
        <f t="array" ref="B1450">INDEX(HotelList,MOD(ROW()-2,10)+1)</f>
        <v>H009</v>
      </c>
      <c r="C1450">
        <f>_xlfn.XLOOKUP(B1450,Dim_Hotel!$A$2:$A$11,Dim_Hotel!$F$2:$F$11)</f>
        <v>114</v>
      </c>
      <c r="D1450">
        <f t="shared" si="177"/>
        <v>63</v>
      </c>
      <c r="E1450">
        <f t="shared" si="178"/>
        <v>0.55263157894736847</v>
      </c>
      <c r="F1450">
        <f t="shared" si="179"/>
        <v>185</v>
      </c>
      <c r="G1450">
        <f t="shared" si="180"/>
        <v>102.23684210526316</v>
      </c>
      <c r="H1450" t="str">
        <f>_xlfn.XLOOKUP(A1450,Fact_Events!$D$2:$D$20,Fact_Events!$A$2:$A$20, "")</f>
        <v/>
      </c>
      <c r="I1450">
        <f t="shared" si="181"/>
        <v>0</v>
      </c>
      <c r="J1450" t="str">
        <f>_xlfn.XLOOKUP(H1450, Fact_Events!$A$2:$A$20, Fact_Events!$F$2:$F$20, "")</f>
        <v/>
      </c>
      <c r="K1450" t="str">
        <f t="shared" si="182"/>
        <v>Low</v>
      </c>
      <c r="L1450">
        <f t="shared" si="183"/>
        <v>0.55000000000000004</v>
      </c>
      <c r="M1450">
        <f>_xlfn.XLOOKUP(B1450, Dim_Hotel!$A$2:$A$11, Dim_Hotel!$I$2:$I$11)
 + (IF(J1450="",0,J1450)
    * _xlfn.XLOOKUP(B1450, Dim_Hotel!$A$2:$A$11, Dim_Hotel!$J$2:$J$11))</f>
        <v>185</v>
      </c>
    </row>
    <row r="1451" spans="1:13" x14ac:dyDescent="0.25">
      <c r="A1451" s="1">
        <f t="shared" si="176"/>
        <v>46167</v>
      </c>
      <c r="B1451" t="str" cm="1">
        <f t="array" ref="B1451">INDEX(HotelList,MOD(ROW()-2,10)+1)</f>
        <v>H010</v>
      </c>
      <c r="C1451">
        <f>_xlfn.XLOOKUP(B1451,Dim_Hotel!$A$2:$A$11,Dim_Hotel!$F$2:$F$11)</f>
        <v>89</v>
      </c>
      <c r="D1451">
        <f t="shared" si="177"/>
        <v>49</v>
      </c>
      <c r="E1451">
        <f t="shared" si="178"/>
        <v>0.550561797752809</v>
      </c>
      <c r="F1451">
        <f t="shared" si="179"/>
        <v>150</v>
      </c>
      <c r="G1451">
        <f t="shared" si="180"/>
        <v>82.584269662921344</v>
      </c>
      <c r="H1451" t="str">
        <f>_xlfn.XLOOKUP(A1451,Fact_Events!$D$2:$D$20,Fact_Events!$A$2:$A$20, "")</f>
        <v/>
      </c>
      <c r="I1451">
        <f t="shared" si="181"/>
        <v>0</v>
      </c>
      <c r="J1451" t="str">
        <f>_xlfn.XLOOKUP(H1451, Fact_Events!$A$2:$A$20, Fact_Events!$F$2:$F$20, "")</f>
        <v/>
      </c>
      <c r="K1451" t="str">
        <f t="shared" si="182"/>
        <v>Low</v>
      </c>
      <c r="L1451">
        <f t="shared" si="183"/>
        <v>0.55000000000000004</v>
      </c>
      <c r="M1451">
        <f>_xlfn.XLOOKUP(B1451, Dim_Hotel!$A$2:$A$11, Dim_Hotel!$I$2:$I$11)
 + (IF(J1451="",0,J1451)
    * _xlfn.XLOOKUP(B1451, Dim_Hotel!$A$2:$A$11, Dim_Hotel!$J$2:$J$11))</f>
        <v>150</v>
      </c>
    </row>
    <row r="1452" spans="1:13" x14ac:dyDescent="0.25">
      <c r="A1452" s="1">
        <f t="shared" si="176"/>
        <v>46168</v>
      </c>
      <c r="B1452" t="str" cm="1">
        <f t="array" ref="B1452">INDEX(HotelList,MOD(ROW()-2,10)+1)</f>
        <v>H001</v>
      </c>
      <c r="C1452">
        <f>_xlfn.XLOOKUP(B1452,Dim_Hotel!$A$2:$A$11,Dim_Hotel!$F$2:$F$11)</f>
        <v>888</v>
      </c>
      <c r="D1452">
        <f t="shared" si="177"/>
        <v>488</v>
      </c>
      <c r="E1452">
        <f t="shared" si="178"/>
        <v>0.5495495495495496</v>
      </c>
      <c r="F1452">
        <f t="shared" si="179"/>
        <v>260</v>
      </c>
      <c r="G1452">
        <f t="shared" si="180"/>
        <v>142.88288288288288</v>
      </c>
      <c r="H1452" t="str">
        <f>_xlfn.XLOOKUP(A1452,Fact_Events!$D$2:$D$20,Fact_Events!$A$2:$A$20, "")</f>
        <v/>
      </c>
      <c r="I1452">
        <f t="shared" si="181"/>
        <v>0</v>
      </c>
      <c r="J1452" t="str">
        <f>_xlfn.XLOOKUP(H1452, Fact_Events!$A$2:$A$20, Fact_Events!$F$2:$F$20, "")</f>
        <v/>
      </c>
      <c r="K1452" t="str">
        <f t="shared" si="182"/>
        <v>Low</v>
      </c>
      <c r="L1452">
        <f t="shared" si="183"/>
        <v>0.55000000000000004</v>
      </c>
      <c r="M1452">
        <f>_xlfn.XLOOKUP(B1452, Dim_Hotel!$A$2:$A$11, Dim_Hotel!$I$2:$I$11)
 + (IF(J1452="",0,J1452)
    * _xlfn.XLOOKUP(B1452, Dim_Hotel!$A$2:$A$11, Dim_Hotel!$J$2:$J$11))</f>
        <v>260</v>
      </c>
    </row>
    <row r="1453" spans="1:13" x14ac:dyDescent="0.25">
      <c r="A1453" s="1">
        <f t="shared" si="176"/>
        <v>46168</v>
      </c>
      <c r="B1453" t="str" cm="1">
        <f t="array" ref="B1453">INDEX(HotelList,MOD(ROW()-2,10)+1)</f>
        <v>H002</v>
      </c>
      <c r="C1453">
        <f>_xlfn.XLOOKUP(B1453,Dim_Hotel!$A$2:$A$11,Dim_Hotel!$F$2:$F$11)</f>
        <v>147</v>
      </c>
      <c r="D1453">
        <f t="shared" si="177"/>
        <v>81</v>
      </c>
      <c r="E1453">
        <f t="shared" si="178"/>
        <v>0.55102040816326525</v>
      </c>
      <c r="F1453">
        <f t="shared" si="179"/>
        <v>175</v>
      </c>
      <c r="G1453">
        <f t="shared" si="180"/>
        <v>96.428571428571416</v>
      </c>
      <c r="H1453" t="str">
        <f>_xlfn.XLOOKUP(A1453,Fact_Events!$D$2:$D$20,Fact_Events!$A$2:$A$20, "")</f>
        <v/>
      </c>
      <c r="I1453">
        <f t="shared" si="181"/>
        <v>0</v>
      </c>
      <c r="J1453" t="str">
        <f>_xlfn.XLOOKUP(H1453, Fact_Events!$A$2:$A$20, Fact_Events!$F$2:$F$20, "")</f>
        <v/>
      </c>
      <c r="K1453" t="str">
        <f t="shared" si="182"/>
        <v>Low</v>
      </c>
      <c r="L1453">
        <f t="shared" si="183"/>
        <v>0.55000000000000004</v>
      </c>
      <c r="M1453">
        <f>_xlfn.XLOOKUP(B1453, Dim_Hotel!$A$2:$A$11, Dim_Hotel!$I$2:$I$11)
 + (IF(J1453="",0,J1453)
    * _xlfn.XLOOKUP(B1453, Dim_Hotel!$A$2:$A$11, Dim_Hotel!$J$2:$J$11))</f>
        <v>175</v>
      </c>
    </row>
    <row r="1454" spans="1:13" x14ac:dyDescent="0.25">
      <c r="A1454" s="1">
        <f t="shared" si="176"/>
        <v>46168</v>
      </c>
      <c r="B1454" t="str" cm="1">
        <f t="array" ref="B1454">INDEX(HotelList,MOD(ROW()-2,10)+1)</f>
        <v>H003</v>
      </c>
      <c r="C1454">
        <f>_xlfn.XLOOKUP(B1454,Dim_Hotel!$A$2:$A$11,Dim_Hotel!$F$2:$F$11)</f>
        <v>121</v>
      </c>
      <c r="D1454">
        <f t="shared" si="177"/>
        <v>67</v>
      </c>
      <c r="E1454">
        <f t="shared" si="178"/>
        <v>0.55371900826446285</v>
      </c>
      <c r="F1454">
        <f t="shared" si="179"/>
        <v>145</v>
      </c>
      <c r="G1454">
        <f t="shared" si="180"/>
        <v>80.289256198347118</v>
      </c>
      <c r="H1454" t="str">
        <f>_xlfn.XLOOKUP(A1454,Fact_Events!$D$2:$D$20,Fact_Events!$A$2:$A$20, "")</f>
        <v/>
      </c>
      <c r="I1454">
        <f t="shared" si="181"/>
        <v>0</v>
      </c>
      <c r="J1454" t="str">
        <f>_xlfn.XLOOKUP(H1454, Fact_Events!$A$2:$A$20, Fact_Events!$F$2:$F$20, "")</f>
        <v/>
      </c>
      <c r="K1454" t="str">
        <f t="shared" si="182"/>
        <v>Low</v>
      </c>
      <c r="L1454">
        <f t="shared" si="183"/>
        <v>0.55000000000000004</v>
      </c>
      <c r="M1454">
        <f>_xlfn.XLOOKUP(B1454, Dim_Hotel!$A$2:$A$11, Dim_Hotel!$I$2:$I$11)
 + (IF(J1454="",0,J1454)
    * _xlfn.XLOOKUP(B1454, Dim_Hotel!$A$2:$A$11, Dim_Hotel!$J$2:$J$11))</f>
        <v>145</v>
      </c>
    </row>
    <row r="1455" spans="1:13" x14ac:dyDescent="0.25">
      <c r="A1455" s="1">
        <f t="shared" si="176"/>
        <v>46168</v>
      </c>
      <c r="B1455" t="str" cm="1">
        <f t="array" ref="B1455">INDEX(HotelList,MOD(ROW()-2,10)+1)</f>
        <v>H004</v>
      </c>
      <c r="C1455">
        <f>_xlfn.XLOOKUP(B1455,Dim_Hotel!$A$2:$A$11,Dim_Hotel!$F$2:$F$11)</f>
        <v>108</v>
      </c>
      <c r="D1455">
        <f t="shared" si="177"/>
        <v>59</v>
      </c>
      <c r="E1455">
        <f t="shared" si="178"/>
        <v>0.54629629629629628</v>
      </c>
      <c r="F1455">
        <f t="shared" si="179"/>
        <v>135</v>
      </c>
      <c r="G1455">
        <f t="shared" si="180"/>
        <v>73.75</v>
      </c>
      <c r="H1455" t="str">
        <f>_xlfn.XLOOKUP(A1455,Fact_Events!$D$2:$D$20,Fact_Events!$A$2:$A$20, "")</f>
        <v/>
      </c>
      <c r="I1455">
        <f t="shared" si="181"/>
        <v>0</v>
      </c>
      <c r="J1455" t="str">
        <f>_xlfn.XLOOKUP(H1455, Fact_Events!$A$2:$A$20, Fact_Events!$F$2:$F$20, "")</f>
        <v/>
      </c>
      <c r="K1455" t="str">
        <f t="shared" si="182"/>
        <v>Low</v>
      </c>
      <c r="L1455">
        <f t="shared" si="183"/>
        <v>0.55000000000000004</v>
      </c>
      <c r="M1455">
        <f>_xlfn.XLOOKUP(B1455, Dim_Hotel!$A$2:$A$11, Dim_Hotel!$I$2:$I$11)
 + (IF(J1455="",0,J1455)
    * _xlfn.XLOOKUP(B1455, Dim_Hotel!$A$2:$A$11, Dim_Hotel!$J$2:$J$11))</f>
        <v>135</v>
      </c>
    </row>
    <row r="1456" spans="1:13" x14ac:dyDescent="0.25">
      <c r="A1456" s="1">
        <f t="shared" si="176"/>
        <v>46168</v>
      </c>
      <c r="B1456" t="str" cm="1">
        <f t="array" ref="B1456">INDEX(HotelList,MOD(ROW()-2,10)+1)</f>
        <v>H005</v>
      </c>
      <c r="C1456">
        <f>_xlfn.XLOOKUP(B1456,Dim_Hotel!$A$2:$A$11,Dim_Hotel!$F$2:$F$11)</f>
        <v>66</v>
      </c>
      <c r="D1456">
        <f t="shared" si="177"/>
        <v>36</v>
      </c>
      <c r="E1456">
        <f t="shared" si="178"/>
        <v>0.54545454545454541</v>
      </c>
      <c r="F1456">
        <f t="shared" si="179"/>
        <v>82</v>
      </c>
      <c r="G1456">
        <f t="shared" si="180"/>
        <v>44.727272727272727</v>
      </c>
      <c r="H1456" t="str">
        <f>_xlfn.XLOOKUP(A1456,Fact_Events!$D$2:$D$20,Fact_Events!$A$2:$A$20, "")</f>
        <v/>
      </c>
      <c r="I1456">
        <f t="shared" si="181"/>
        <v>0</v>
      </c>
      <c r="J1456" t="str">
        <f>_xlfn.XLOOKUP(H1456, Fact_Events!$A$2:$A$20, Fact_Events!$F$2:$F$20, "")</f>
        <v/>
      </c>
      <c r="K1456" t="str">
        <f t="shared" si="182"/>
        <v>Low</v>
      </c>
      <c r="L1456">
        <f t="shared" si="183"/>
        <v>0.55000000000000004</v>
      </c>
      <c r="M1456">
        <f>_xlfn.XLOOKUP(B1456, Dim_Hotel!$A$2:$A$11, Dim_Hotel!$I$2:$I$11)
 + (IF(J1456="",0,J1456)
    * _xlfn.XLOOKUP(B1456, Dim_Hotel!$A$2:$A$11, Dim_Hotel!$J$2:$J$11))</f>
        <v>82</v>
      </c>
    </row>
    <row r="1457" spans="1:13" x14ac:dyDescent="0.25">
      <c r="A1457" s="1">
        <f t="shared" si="176"/>
        <v>46168</v>
      </c>
      <c r="B1457" t="str" cm="1">
        <f t="array" ref="B1457">INDEX(HotelList,MOD(ROW()-2,10)+1)</f>
        <v>H006</v>
      </c>
      <c r="C1457">
        <f>_xlfn.XLOOKUP(B1457,Dim_Hotel!$A$2:$A$11,Dim_Hotel!$F$2:$F$11)</f>
        <v>311</v>
      </c>
      <c r="D1457">
        <f t="shared" si="177"/>
        <v>171</v>
      </c>
      <c r="E1457">
        <f t="shared" si="178"/>
        <v>0.54983922829581988</v>
      </c>
      <c r="F1457">
        <f t="shared" si="179"/>
        <v>190</v>
      </c>
      <c r="G1457">
        <f t="shared" si="180"/>
        <v>104.46945337620578</v>
      </c>
      <c r="H1457" t="str">
        <f>_xlfn.XLOOKUP(A1457,Fact_Events!$D$2:$D$20,Fact_Events!$A$2:$A$20, "")</f>
        <v/>
      </c>
      <c r="I1457">
        <f t="shared" si="181"/>
        <v>0</v>
      </c>
      <c r="J1457" t="str">
        <f>_xlfn.XLOOKUP(H1457, Fact_Events!$A$2:$A$20, Fact_Events!$F$2:$F$20, "")</f>
        <v/>
      </c>
      <c r="K1457" t="str">
        <f t="shared" si="182"/>
        <v>Low</v>
      </c>
      <c r="L1457">
        <f t="shared" si="183"/>
        <v>0.55000000000000004</v>
      </c>
      <c r="M1457">
        <f>_xlfn.XLOOKUP(B1457, Dim_Hotel!$A$2:$A$11, Dim_Hotel!$I$2:$I$11)
 + (IF(J1457="",0,J1457)
    * _xlfn.XLOOKUP(B1457, Dim_Hotel!$A$2:$A$11, Dim_Hotel!$J$2:$J$11))</f>
        <v>190</v>
      </c>
    </row>
    <row r="1458" spans="1:13" x14ac:dyDescent="0.25">
      <c r="A1458" s="1">
        <f t="shared" si="176"/>
        <v>46168</v>
      </c>
      <c r="B1458" t="str" cm="1">
        <f t="array" ref="B1458">INDEX(HotelList,MOD(ROW()-2,10)+1)</f>
        <v>H007</v>
      </c>
      <c r="C1458">
        <f>_xlfn.XLOOKUP(B1458,Dim_Hotel!$A$2:$A$11,Dim_Hotel!$F$2:$F$11)</f>
        <v>132</v>
      </c>
      <c r="D1458">
        <f t="shared" si="177"/>
        <v>73</v>
      </c>
      <c r="E1458">
        <f t="shared" si="178"/>
        <v>0.55303030303030298</v>
      </c>
      <c r="F1458">
        <f t="shared" si="179"/>
        <v>165</v>
      </c>
      <c r="G1458">
        <f t="shared" si="180"/>
        <v>91.249999999999986</v>
      </c>
      <c r="H1458" t="str">
        <f>_xlfn.XLOOKUP(A1458,Fact_Events!$D$2:$D$20,Fact_Events!$A$2:$A$20, "")</f>
        <v/>
      </c>
      <c r="I1458">
        <f t="shared" si="181"/>
        <v>0</v>
      </c>
      <c r="J1458" t="str">
        <f>_xlfn.XLOOKUP(H1458, Fact_Events!$A$2:$A$20, Fact_Events!$F$2:$F$20, "")</f>
        <v/>
      </c>
      <c r="K1458" t="str">
        <f t="shared" si="182"/>
        <v>Low</v>
      </c>
      <c r="L1458">
        <f t="shared" si="183"/>
        <v>0.55000000000000004</v>
      </c>
      <c r="M1458">
        <f>_xlfn.XLOOKUP(B1458, Dim_Hotel!$A$2:$A$11, Dim_Hotel!$I$2:$I$11)
 + (IF(J1458="",0,J1458)
    * _xlfn.XLOOKUP(B1458, Dim_Hotel!$A$2:$A$11, Dim_Hotel!$J$2:$J$11))</f>
        <v>165</v>
      </c>
    </row>
    <row r="1459" spans="1:13" x14ac:dyDescent="0.25">
      <c r="A1459" s="1">
        <f t="shared" si="176"/>
        <v>46168</v>
      </c>
      <c r="B1459" t="str" cm="1">
        <f t="array" ref="B1459">INDEX(HotelList,MOD(ROW()-2,10)+1)</f>
        <v>H008</v>
      </c>
      <c r="C1459">
        <f>_xlfn.XLOOKUP(B1459,Dim_Hotel!$A$2:$A$11,Dim_Hotel!$F$2:$F$11)</f>
        <v>103</v>
      </c>
      <c r="D1459">
        <f t="shared" si="177"/>
        <v>57</v>
      </c>
      <c r="E1459">
        <f t="shared" si="178"/>
        <v>0.55339805825242716</v>
      </c>
      <c r="F1459">
        <f t="shared" si="179"/>
        <v>140</v>
      </c>
      <c r="G1459">
        <f t="shared" si="180"/>
        <v>77.475728155339809</v>
      </c>
      <c r="H1459" t="str">
        <f>_xlfn.XLOOKUP(A1459,Fact_Events!$D$2:$D$20,Fact_Events!$A$2:$A$20, "")</f>
        <v/>
      </c>
      <c r="I1459">
        <f t="shared" si="181"/>
        <v>0</v>
      </c>
      <c r="J1459" t="str">
        <f>_xlfn.XLOOKUP(H1459, Fact_Events!$A$2:$A$20, Fact_Events!$F$2:$F$20, "")</f>
        <v/>
      </c>
      <c r="K1459" t="str">
        <f t="shared" si="182"/>
        <v>Low</v>
      </c>
      <c r="L1459">
        <f t="shared" si="183"/>
        <v>0.55000000000000004</v>
      </c>
      <c r="M1459">
        <f>_xlfn.XLOOKUP(B1459, Dim_Hotel!$A$2:$A$11, Dim_Hotel!$I$2:$I$11)
 + (IF(J1459="",0,J1459)
    * _xlfn.XLOOKUP(B1459, Dim_Hotel!$A$2:$A$11, Dim_Hotel!$J$2:$J$11))</f>
        <v>140</v>
      </c>
    </row>
    <row r="1460" spans="1:13" x14ac:dyDescent="0.25">
      <c r="A1460" s="1">
        <f t="shared" si="176"/>
        <v>46168</v>
      </c>
      <c r="B1460" t="str" cm="1">
        <f t="array" ref="B1460">INDEX(HotelList,MOD(ROW()-2,10)+1)</f>
        <v>H009</v>
      </c>
      <c r="C1460">
        <f>_xlfn.XLOOKUP(B1460,Dim_Hotel!$A$2:$A$11,Dim_Hotel!$F$2:$F$11)</f>
        <v>114</v>
      </c>
      <c r="D1460">
        <f t="shared" si="177"/>
        <v>63</v>
      </c>
      <c r="E1460">
        <f t="shared" si="178"/>
        <v>0.55263157894736847</v>
      </c>
      <c r="F1460">
        <f t="shared" si="179"/>
        <v>185</v>
      </c>
      <c r="G1460">
        <f t="shared" si="180"/>
        <v>102.23684210526316</v>
      </c>
      <c r="H1460" t="str">
        <f>_xlfn.XLOOKUP(A1460,Fact_Events!$D$2:$D$20,Fact_Events!$A$2:$A$20, "")</f>
        <v/>
      </c>
      <c r="I1460">
        <f t="shared" si="181"/>
        <v>0</v>
      </c>
      <c r="J1460" t="str">
        <f>_xlfn.XLOOKUP(H1460, Fact_Events!$A$2:$A$20, Fact_Events!$F$2:$F$20, "")</f>
        <v/>
      </c>
      <c r="K1460" t="str">
        <f t="shared" si="182"/>
        <v>Low</v>
      </c>
      <c r="L1460">
        <f t="shared" si="183"/>
        <v>0.55000000000000004</v>
      </c>
      <c r="M1460">
        <f>_xlfn.XLOOKUP(B1460, Dim_Hotel!$A$2:$A$11, Dim_Hotel!$I$2:$I$11)
 + (IF(J1460="",0,J1460)
    * _xlfn.XLOOKUP(B1460, Dim_Hotel!$A$2:$A$11, Dim_Hotel!$J$2:$J$11))</f>
        <v>185</v>
      </c>
    </row>
    <row r="1461" spans="1:13" x14ac:dyDescent="0.25">
      <c r="A1461" s="1">
        <f t="shared" si="176"/>
        <v>46168</v>
      </c>
      <c r="B1461" t="str" cm="1">
        <f t="array" ref="B1461">INDEX(HotelList,MOD(ROW()-2,10)+1)</f>
        <v>H010</v>
      </c>
      <c r="C1461">
        <f>_xlfn.XLOOKUP(B1461,Dim_Hotel!$A$2:$A$11,Dim_Hotel!$F$2:$F$11)</f>
        <v>89</v>
      </c>
      <c r="D1461">
        <f t="shared" si="177"/>
        <v>49</v>
      </c>
      <c r="E1461">
        <f t="shared" si="178"/>
        <v>0.550561797752809</v>
      </c>
      <c r="F1461">
        <f t="shared" si="179"/>
        <v>150</v>
      </c>
      <c r="G1461">
        <f t="shared" si="180"/>
        <v>82.584269662921344</v>
      </c>
      <c r="H1461" t="str">
        <f>_xlfn.XLOOKUP(A1461,Fact_Events!$D$2:$D$20,Fact_Events!$A$2:$A$20, "")</f>
        <v/>
      </c>
      <c r="I1461">
        <f t="shared" si="181"/>
        <v>0</v>
      </c>
      <c r="J1461" t="str">
        <f>_xlfn.XLOOKUP(H1461, Fact_Events!$A$2:$A$20, Fact_Events!$F$2:$F$20, "")</f>
        <v/>
      </c>
      <c r="K1461" t="str">
        <f t="shared" si="182"/>
        <v>Low</v>
      </c>
      <c r="L1461">
        <f t="shared" si="183"/>
        <v>0.55000000000000004</v>
      </c>
      <c r="M1461">
        <f>_xlfn.XLOOKUP(B1461, Dim_Hotel!$A$2:$A$11, Dim_Hotel!$I$2:$I$11)
 + (IF(J1461="",0,J1461)
    * _xlfn.XLOOKUP(B1461, Dim_Hotel!$A$2:$A$11, Dim_Hotel!$J$2:$J$11))</f>
        <v>150</v>
      </c>
    </row>
    <row r="1462" spans="1:13" x14ac:dyDescent="0.25">
      <c r="A1462" s="1">
        <f t="shared" si="176"/>
        <v>46169</v>
      </c>
      <c r="B1462" t="str" cm="1">
        <f t="array" ref="B1462">INDEX(HotelList,MOD(ROW()-2,10)+1)</f>
        <v>H001</v>
      </c>
      <c r="C1462">
        <f>_xlfn.XLOOKUP(B1462,Dim_Hotel!$A$2:$A$11,Dim_Hotel!$F$2:$F$11)</f>
        <v>888</v>
      </c>
      <c r="D1462">
        <f t="shared" si="177"/>
        <v>488</v>
      </c>
      <c r="E1462">
        <f t="shared" si="178"/>
        <v>0.5495495495495496</v>
      </c>
      <c r="F1462">
        <f t="shared" si="179"/>
        <v>260</v>
      </c>
      <c r="G1462">
        <f t="shared" si="180"/>
        <v>142.88288288288288</v>
      </c>
      <c r="H1462" t="str">
        <f>_xlfn.XLOOKUP(A1462,Fact_Events!$D$2:$D$20,Fact_Events!$A$2:$A$20, "")</f>
        <v/>
      </c>
      <c r="I1462">
        <f t="shared" si="181"/>
        <v>0</v>
      </c>
      <c r="J1462" t="str">
        <f>_xlfn.XLOOKUP(H1462, Fact_Events!$A$2:$A$20, Fact_Events!$F$2:$F$20, "")</f>
        <v/>
      </c>
      <c r="K1462" t="str">
        <f t="shared" si="182"/>
        <v>Low</v>
      </c>
      <c r="L1462">
        <f t="shared" si="183"/>
        <v>0.55000000000000004</v>
      </c>
      <c r="M1462">
        <f>_xlfn.XLOOKUP(B1462, Dim_Hotel!$A$2:$A$11, Dim_Hotel!$I$2:$I$11)
 + (IF(J1462="",0,J1462)
    * _xlfn.XLOOKUP(B1462, Dim_Hotel!$A$2:$A$11, Dim_Hotel!$J$2:$J$11))</f>
        <v>260</v>
      </c>
    </row>
    <row r="1463" spans="1:13" x14ac:dyDescent="0.25">
      <c r="A1463" s="1">
        <f t="shared" si="176"/>
        <v>46169</v>
      </c>
      <c r="B1463" t="str" cm="1">
        <f t="array" ref="B1463">INDEX(HotelList,MOD(ROW()-2,10)+1)</f>
        <v>H002</v>
      </c>
      <c r="C1463">
        <f>_xlfn.XLOOKUP(B1463,Dim_Hotel!$A$2:$A$11,Dim_Hotel!$F$2:$F$11)</f>
        <v>147</v>
      </c>
      <c r="D1463">
        <f t="shared" si="177"/>
        <v>81</v>
      </c>
      <c r="E1463">
        <f t="shared" si="178"/>
        <v>0.55102040816326525</v>
      </c>
      <c r="F1463">
        <f t="shared" si="179"/>
        <v>175</v>
      </c>
      <c r="G1463">
        <f t="shared" si="180"/>
        <v>96.428571428571416</v>
      </c>
      <c r="H1463" t="str">
        <f>_xlfn.XLOOKUP(A1463,Fact_Events!$D$2:$D$20,Fact_Events!$A$2:$A$20, "")</f>
        <v/>
      </c>
      <c r="I1463">
        <f t="shared" si="181"/>
        <v>0</v>
      </c>
      <c r="J1463" t="str">
        <f>_xlfn.XLOOKUP(H1463, Fact_Events!$A$2:$A$20, Fact_Events!$F$2:$F$20, "")</f>
        <v/>
      </c>
      <c r="K1463" t="str">
        <f t="shared" si="182"/>
        <v>Low</v>
      </c>
      <c r="L1463">
        <f t="shared" si="183"/>
        <v>0.55000000000000004</v>
      </c>
      <c r="M1463">
        <f>_xlfn.XLOOKUP(B1463, Dim_Hotel!$A$2:$A$11, Dim_Hotel!$I$2:$I$11)
 + (IF(J1463="",0,J1463)
    * _xlfn.XLOOKUP(B1463, Dim_Hotel!$A$2:$A$11, Dim_Hotel!$J$2:$J$11))</f>
        <v>175</v>
      </c>
    </row>
    <row r="1464" spans="1:13" x14ac:dyDescent="0.25">
      <c r="A1464" s="1">
        <f t="shared" si="176"/>
        <v>46169</v>
      </c>
      <c r="B1464" t="str" cm="1">
        <f t="array" ref="B1464">INDEX(HotelList,MOD(ROW()-2,10)+1)</f>
        <v>H003</v>
      </c>
      <c r="C1464">
        <f>_xlfn.XLOOKUP(B1464,Dim_Hotel!$A$2:$A$11,Dim_Hotel!$F$2:$F$11)</f>
        <v>121</v>
      </c>
      <c r="D1464">
        <f t="shared" si="177"/>
        <v>67</v>
      </c>
      <c r="E1464">
        <f t="shared" si="178"/>
        <v>0.55371900826446285</v>
      </c>
      <c r="F1464">
        <f t="shared" si="179"/>
        <v>145</v>
      </c>
      <c r="G1464">
        <f t="shared" si="180"/>
        <v>80.289256198347118</v>
      </c>
      <c r="H1464" t="str">
        <f>_xlfn.XLOOKUP(A1464,Fact_Events!$D$2:$D$20,Fact_Events!$A$2:$A$20, "")</f>
        <v/>
      </c>
      <c r="I1464">
        <f t="shared" si="181"/>
        <v>0</v>
      </c>
      <c r="J1464" t="str">
        <f>_xlfn.XLOOKUP(H1464, Fact_Events!$A$2:$A$20, Fact_Events!$F$2:$F$20, "")</f>
        <v/>
      </c>
      <c r="K1464" t="str">
        <f t="shared" si="182"/>
        <v>Low</v>
      </c>
      <c r="L1464">
        <f t="shared" si="183"/>
        <v>0.55000000000000004</v>
      </c>
      <c r="M1464">
        <f>_xlfn.XLOOKUP(B1464, Dim_Hotel!$A$2:$A$11, Dim_Hotel!$I$2:$I$11)
 + (IF(J1464="",0,J1464)
    * _xlfn.XLOOKUP(B1464, Dim_Hotel!$A$2:$A$11, Dim_Hotel!$J$2:$J$11))</f>
        <v>145</v>
      </c>
    </row>
    <row r="1465" spans="1:13" x14ac:dyDescent="0.25">
      <c r="A1465" s="1">
        <f t="shared" si="176"/>
        <v>46169</v>
      </c>
      <c r="B1465" t="str" cm="1">
        <f t="array" ref="B1465">INDEX(HotelList,MOD(ROW()-2,10)+1)</f>
        <v>H004</v>
      </c>
      <c r="C1465">
        <f>_xlfn.XLOOKUP(B1465,Dim_Hotel!$A$2:$A$11,Dim_Hotel!$F$2:$F$11)</f>
        <v>108</v>
      </c>
      <c r="D1465">
        <f t="shared" si="177"/>
        <v>59</v>
      </c>
      <c r="E1465">
        <f t="shared" si="178"/>
        <v>0.54629629629629628</v>
      </c>
      <c r="F1465">
        <f t="shared" si="179"/>
        <v>135</v>
      </c>
      <c r="G1465">
        <f t="shared" si="180"/>
        <v>73.75</v>
      </c>
      <c r="H1465" t="str">
        <f>_xlfn.XLOOKUP(A1465,Fact_Events!$D$2:$D$20,Fact_Events!$A$2:$A$20, "")</f>
        <v/>
      </c>
      <c r="I1465">
        <f t="shared" si="181"/>
        <v>0</v>
      </c>
      <c r="J1465" t="str">
        <f>_xlfn.XLOOKUP(H1465, Fact_Events!$A$2:$A$20, Fact_Events!$F$2:$F$20, "")</f>
        <v/>
      </c>
      <c r="K1465" t="str">
        <f t="shared" si="182"/>
        <v>Low</v>
      </c>
      <c r="L1465">
        <f t="shared" si="183"/>
        <v>0.55000000000000004</v>
      </c>
      <c r="M1465">
        <f>_xlfn.XLOOKUP(B1465, Dim_Hotel!$A$2:$A$11, Dim_Hotel!$I$2:$I$11)
 + (IF(J1465="",0,J1465)
    * _xlfn.XLOOKUP(B1465, Dim_Hotel!$A$2:$A$11, Dim_Hotel!$J$2:$J$11))</f>
        <v>135</v>
      </c>
    </row>
    <row r="1466" spans="1:13" x14ac:dyDescent="0.25">
      <c r="A1466" s="1">
        <f t="shared" si="176"/>
        <v>46169</v>
      </c>
      <c r="B1466" t="str" cm="1">
        <f t="array" ref="B1466">INDEX(HotelList,MOD(ROW()-2,10)+1)</f>
        <v>H005</v>
      </c>
      <c r="C1466">
        <f>_xlfn.XLOOKUP(B1466,Dim_Hotel!$A$2:$A$11,Dim_Hotel!$F$2:$F$11)</f>
        <v>66</v>
      </c>
      <c r="D1466">
        <f t="shared" si="177"/>
        <v>36</v>
      </c>
      <c r="E1466">
        <f t="shared" si="178"/>
        <v>0.54545454545454541</v>
      </c>
      <c r="F1466">
        <f t="shared" si="179"/>
        <v>82</v>
      </c>
      <c r="G1466">
        <f t="shared" si="180"/>
        <v>44.727272727272727</v>
      </c>
      <c r="H1466" t="str">
        <f>_xlfn.XLOOKUP(A1466,Fact_Events!$D$2:$D$20,Fact_Events!$A$2:$A$20, "")</f>
        <v/>
      </c>
      <c r="I1466">
        <f t="shared" si="181"/>
        <v>0</v>
      </c>
      <c r="J1466" t="str">
        <f>_xlfn.XLOOKUP(H1466, Fact_Events!$A$2:$A$20, Fact_Events!$F$2:$F$20, "")</f>
        <v/>
      </c>
      <c r="K1466" t="str">
        <f t="shared" si="182"/>
        <v>Low</v>
      </c>
      <c r="L1466">
        <f t="shared" si="183"/>
        <v>0.55000000000000004</v>
      </c>
      <c r="M1466">
        <f>_xlfn.XLOOKUP(B1466, Dim_Hotel!$A$2:$A$11, Dim_Hotel!$I$2:$I$11)
 + (IF(J1466="",0,J1466)
    * _xlfn.XLOOKUP(B1466, Dim_Hotel!$A$2:$A$11, Dim_Hotel!$J$2:$J$11))</f>
        <v>82</v>
      </c>
    </row>
    <row r="1467" spans="1:13" x14ac:dyDescent="0.25">
      <c r="A1467" s="1">
        <f t="shared" si="176"/>
        <v>46169</v>
      </c>
      <c r="B1467" t="str" cm="1">
        <f t="array" ref="B1467">INDEX(HotelList,MOD(ROW()-2,10)+1)</f>
        <v>H006</v>
      </c>
      <c r="C1467">
        <f>_xlfn.XLOOKUP(B1467,Dim_Hotel!$A$2:$A$11,Dim_Hotel!$F$2:$F$11)</f>
        <v>311</v>
      </c>
      <c r="D1467">
        <f t="shared" si="177"/>
        <v>171</v>
      </c>
      <c r="E1467">
        <f t="shared" si="178"/>
        <v>0.54983922829581988</v>
      </c>
      <c r="F1467">
        <f t="shared" si="179"/>
        <v>190</v>
      </c>
      <c r="G1467">
        <f t="shared" si="180"/>
        <v>104.46945337620578</v>
      </c>
      <c r="H1467" t="str">
        <f>_xlfn.XLOOKUP(A1467,Fact_Events!$D$2:$D$20,Fact_Events!$A$2:$A$20, "")</f>
        <v/>
      </c>
      <c r="I1467">
        <f t="shared" si="181"/>
        <v>0</v>
      </c>
      <c r="J1467" t="str">
        <f>_xlfn.XLOOKUP(H1467, Fact_Events!$A$2:$A$20, Fact_Events!$F$2:$F$20, "")</f>
        <v/>
      </c>
      <c r="K1467" t="str">
        <f t="shared" si="182"/>
        <v>Low</v>
      </c>
      <c r="L1467">
        <f t="shared" si="183"/>
        <v>0.55000000000000004</v>
      </c>
      <c r="M1467">
        <f>_xlfn.XLOOKUP(B1467, Dim_Hotel!$A$2:$A$11, Dim_Hotel!$I$2:$I$11)
 + (IF(J1467="",0,J1467)
    * _xlfn.XLOOKUP(B1467, Dim_Hotel!$A$2:$A$11, Dim_Hotel!$J$2:$J$11))</f>
        <v>190</v>
      </c>
    </row>
    <row r="1468" spans="1:13" x14ac:dyDescent="0.25">
      <c r="A1468" s="1">
        <f t="shared" si="176"/>
        <v>46169</v>
      </c>
      <c r="B1468" t="str" cm="1">
        <f t="array" ref="B1468">INDEX(HotelList,MOD(ROW()-2,10)+1)</f>
        <v>H007</v>
      </c>
      <c r="C1468">
        <f>_xlfn.XLOOKUP(B1468,Dim_Hotel!$A$2:$A$11,Dim_Hotel!$F$2:$F$11)</f>
        <v>132</v>
      </c>
      <c r="D1468">
        <f t="shared" si="177"/>
        <v>73</v>
      </c>
      <c r="E1468">
        <f t="shared" si="178"/>
        <v>0.55303030303030298</v>
      </c>
      <c r="F1468">
        <f t="shared" si="179"/>
        <v>165</v>
      </c>
      <c r="G1468">
        <f t="shared" si="180"/>
        <v>91.249999999999986</v>
      </c>
      <c r="H1468" t="str">
        <f>_xlfn.XLOOKUP(A1468,Fact_Events!$D$2:$D$20,Fact_Events!$A$2:$A$20, "")</f>
        <v/>
      </c>
      <c r="I1468">
        <f t="shared" si="181"/>
        <v>0</v>
      </c>
      <c r="J1468" t="str">
        <f>_xlfn.XLOOKUP(H1468, Fact_Events!$A$2:$A$20, Fact_Events!$F$2:$F$20, "")</f>
        <v/>
      </c>
      <c r="K1468" t="str">
        <f t="shared" si="182"/>
        <v>Low</v>
      </c>
      <c r="L1468">
        <f t="shared" si="183"/>
        <v>0.55000000000000004</v>
      </c>
      <c r="M1468">
        <f>_xlfn.XLOOKUP(B1468, Dim_Hotel!$A$2:$A$11, Dim_Hotel!$I$2:$I$11)
 + (IF(J1468="",0,J1468)
    * _xlfn.XLOOKUP(B1468, Dim_Hotel!$A$2:$A$11, Dim_Hotel!$J$2:$J$11))</f>
        <v>165</v>
      </c>
    </row>
    <row r="1469" spans="1:13" x14ac:dyDescent="0.25">
      <c r="A1469" s="1">
        <f t="shared" si="176"/>
        <v>46169</v>
      </c>
      <c r="B1469" t="str" cm="1">
        <f t="array" ref="B1469">INDEX(HotelList,MOD(ROW()-2,10)+1)</f>
        <v>H008</v>
      </c>
      <c r="C1469">
        <f>_xlfn.XLOOKUP(B1469,Dim_Hotel!$A$2:$A$11,Dim_Hotel!$F$2:$F$11)</f>
        <v>103</v>
      </c>
      <c r="D1469">
        <f t="shared" si="177"/>
        <v>57</v>
      </c>
      <c r="E1469">
        <f t="shared" si="178"/>
        <v>0.55339805825242716</v>
      </c>
      <c r="F1469">
        <f t="shared" si="179"/>
        <v>140</v>
      </c>
      <c r="G1469">
        <f t="shared" si="180"/>
        <v>77.475728155339809</v>
      </c>
      <c r="H1469" t="str">
        <f>_xlfn.XLOOKUP(A1469,Fact_Events!$D$2:$D$20,Fact_Events!$A$2:$A$20, "")</f>
        <v/>
      </c>
      <c r="I1469">
        <f t="shared" si="181"/>
        <v>0</v>
      </c>
      <c r="J1469" t="str">
        <f>_xlfn.XLOOKUP(H1469, Fact_Events!$A$2:$A$20, Fact_Events!$F$2:$F$20, "")</f>
        <v/>
      </c>
      <c r="K1469" t="str">
        <f t="shared" si="182"/>
        <v>Low</v>
      </c>
      <c r="L1469">
        <f t="shared" si="183"/>
        <v>0.55000000000000004</v>
      </c>
      <c r="M1469">
        <f>_xlfn.XLOOKUP(B1469, Dim_Hotel!$A$2:$A$11, Dim_Hotel!$I$2:$I$11)
 + (IF(J1469="",0,J1469)
    * _xlfn.XLOOKUP(B1469, Dim_Hotel!$A$2:$A$11, Dim_Hotel!$J$2:$J$11))</f>
        <v>140</v>
      </c>
    </row>
    <row r="1470" spans="1:13" x14ac:dyDescent="0.25">
      <c r="A1470" s="1">
        <f t="shared" si="176"/>
        <v>46169</v>
      </c>
      <c r="B1470" t="str" cm="1">
        <f t="array" ref="B1470">INDEX(HotelList,MOD(ROW()-2,10)+1)</f>
        <v>H009</v>
      </c>
      <c r="C1470">
        <f>_xlfn.XLOOKUP(B1470,Dim_Hotel!$A$2:$A$11,Dim_Hotel!$F$2:$F$11)</f>
        <v>114</v>
      </c>
      <c r="D1470">
        <f t="shared" si="177"/>
        <v>63</v>
      </c>
      <c r="E1470">
        <f t="shared" si="178"/>
        <v>0.55263157894736847</v>
      </c>
      <c r="F1470">
        <f t="shared" si="179"/>
        <v>185</v>
      </c>
      <c r="G1470">
        <f t="shared" si="180"/>
        <v>102.23684210526316</v>
      </c>
      <c r="H1470" t="str">
        <f>_xlfn.XLOOKUP(A1470,Fact_Events!$D$2:$D$20,Fact_Events!$A$2:$A$20, "")</f>
        <v/>
      </c>
      <c r="I1470">
        <f t="shared" si="181"/>
        <v>0</v>
      </c>
      <c r="J1470" t="str">
        <f>_xlfn.XLOOKUP(H1470, Fact_Events!$A$2:$A$20, Fact_Events!$F$2:$F$20, "")</f>
        <v/>
      </c>
      <c r="K1470" t="str">
        <f t="shared" si="182"/>
        <v>Low</v>
      </c>
      <c r="L1470">
        <f t="shared" si="183"/>
        <v>0.55000000000000004</v>
      </c>
      <c r="M1470">
        <f>_xlfn.XLOOKUP(B1470, Dim_Hotel!$A$2:$A$11, Dim_Hotel!$I$2:$I$11)
 + (IF(J1470="",0,J1470)
    * _xlfn.XLOOKUP(B1470, Dim_Hotel!$A$2:$A$11, Dim_Hotel!$J$2:$J$11))</f>
        <v>185</v>
      </c>
    </row>
    <row r="1471" spans="1:13" x14ac:dyDescent="0.25">
      <c r="A1471" s="1">
        <f t="shared" si="176"/>
        <v>46169</v>
      </c>
      <c r="B1471" t="str" cm="1">
        <f t="array" ref="B1471">INDEX(HotelList,MOD(ROW()-2,10)+1)</f>
        <v>H010</v>
      </c>
      <c r="C1471">
        <f>_xlfn.XLOOKUP(B1471,Dim_Hotel!$A$2:$A$11,Dim_Hotel!$F$2:$F$11)</f>
        <v>89</v>
      </c>
      <c r="D1471">
        <f t="shared" si="177"/>
        <v>49</v>
      </c>
      <c r="E1471">
        <f t="shared" si="178"/>
        <v>0.550561797752809</v>
      </c>
      <c r="F1471">
        <f t="shared" si="179"/>
        <v>150</v>
      </c>
      <c r="G1471">
        <f t="shared" si="180"/>
        <v>82.584269662921344</v>
      </c>
      <c r="H1471" t="str">
        <f>_xlfn.XLOOKUP(A1471,Fact_Events!$D$2:$D$20,Fact_Events!$A$2:$A$20, "")</f>
        <v/>
      </c>
      <c r="I1471">
        <f t="shared" si="181"/>
        <v>0</v>
      </c>
      <c r="J1471" t="str">
        <f>_xlfn.XLOOKUP(H1471, Fact_Events!$A$2:$A$20, Fact_Events!$F$2:$F$20, "")</f>
        <v/>
      </c>
      <c r="K1471" t="str">
        <f t="shared" si="182"/>
        <v>Low</v>
      </c>
      <c r="L1471">
        <f t="shared" si="183"/>
        <v>0.55000000000000004</v>
      </c>
      <c r="M1471">
        <f>_xlfn.XLOOKUP(B1471, Dim_Hotel!$A$2:$A$11, Dim_Hotel!$I$2:$I$11)
 + (IF(J1471="",0,J1471)
    * _xlfn.XLOOKUP(B1471, Dim_Hotel!$A$2:$A$11, Dim_Hotel!$J$2:$J$11))</f>
        <v>150</v>
      </c>
    </row>
    <row r="1472" spans="1:13" x14ac:dyDescent="0.25">
      <c r="A1472" s="1">
        <f t="shared" si="176"/>
        <v>46170</v>
      </c>
      <c r="B1472" t="str" cm="1">
        <f t="array" ref="B1472">INDEX(HotelList,MOD(ROW()-2,10)+1)</f>
        <v>H001</v>
      </c>
      <c r="C1472">
        <f>_xlfn.XLOOKUP(B1472,Dim_Hotel!$A$2:$A$11,Dim_Hotel!$F$2:$F$11)</f>
        <v>888</v>
      </c>
      <c r="D1472">
        <f t="shared" si="177"/>
        <v>488</v>
      </c>
      <c r="E1472">
        <f t="shared" si="178"/>
        <v>0.5495495495495496</v>
      </c>
      <c r="F1472">
        <f t="shared" si="179"/>
        <v>260</v>
      </c>
      <c r="G1472">
        <f t="shared" si="180"/>
        <v>142.88288288288288</v>
      </c>
      <c r="H1472" t="str">
        <f>_xlfn.XLOOKUP(A1472,Fact_Events!$D$2:$D$20,Fact_Events!$A$2:$A$20, "")</f>
        <v/>
      </c>
      <c r="I1472">
        <f t="shared" si="181"/>
        <v>0</v>
      </c>
      <c r="J1472" t="str">
        <f>_xlfn.XLOOKUP(H1472, Fact_Events!$A$2:$A$20, Fact_Events!$F$2:$F$20, "")</f>
        <v/>
      </c>
      <c r="K1472" t="str">
        <f t="shared" si="182"/>
        <v>Low</v>
      </c>
      <c r="L1472">
        <f t="shared" si="183"/>
        <v>0.55000000000000004</v>
      </c>
      <c r="M1472">
        <f>_xlfn.XLOOKUP(B1472, Dim_Hotel!$A$2:$A$11, Dim_Hotel!$I$2:$I$11)
 + (IF(J1472="",0,J1472)
    * _xlfn.XLOOKUP(B1472, Dim_Hotel!$A$2:$A$11, Dim_Hotel!$J$2:$J$11))</f>
        <v>260</v>
      </c>
    </row>
    <row r="1473" spans="1:13" x14ac:dyDescent="0.25">
      <c r="A1473" s="1">
        <f t="shared" si="176"/>
        <v>46170</v>
      </c>
      <c r="B1473" t="str" cm="1">
        <f t="array" ref="B1473">INDEX(HotelList,MOD(ROW()-2,10)+1)</f>
        <v>H002</v>
      </c>
      <c r="C1473">
        <f>_xlfn.XLOOKUP(B1473,Dim_Hotel!$A$2:$A$11,Dim_Hotel!$F$2:$F$11)</f>
        <v>147</v>
      </c>
      <c r="D1473">
        <f t="shared" si="177"/>
        <v>81</v>
      </c>
      <c r="E1473">
        <f t="shared" si="178"/>
        <v>0.55102040816326525</v>
      </c>
      <c r="F1473">
        <f t="shared" si="179"/>
        <v>175</v>
      </c>
      <c r="G1473">
        <f t="shared" si="180"/>
        <v>96.428571428571416</v>
      </c>
      <c r="H1473" t="str">
        <f>_xlfn.XLOOKUP(A1473,Fact_Events!$D$2:$D$20,Fact_Events!$A$2:$A$20, "")</f>
        <v/>
      </c>
      <c r="I1473">
        <f t="shared" si="181"/>
        <v>0</v>
      </c>
      <c r="J1473" t="str">
        <f>_xlfn.XLOOKUP(H1473, Fact_Events!$A$2:$A$20, Fact_Events!$F$2:$F$20, "")</f>
        <v/>
      </c>
      <c r="K1473" t="str">
        <f t="shared" si="182"/>
        <v>Low</v>
      </c>
      <c r="L1473">
        <f t="shared" si="183"/>
        <v>0.55000000000000004</v>
      </c>
      <c r="M1473">
        <f>_xlfn.XLOOKUP(B1473, Dim_Hotel!$A$2:$A$11, Dim_Hotel!$I$2:$I$11)
 + (IF(J1473="",0,J1473)
    * _xlfn.XLOOKUP(B1473, Dim_Hotel!$A$2:$A$11, Dim_Hotel!$J$2:$J$11))</f>
        <v>175</v>
      </c>
    </row>
    <row r="1474" spans="1:13" x14ac:dyDescent="0.25">
      <c r="A1474" s="1">
        <f t="shared" si="176"/>
        <v>46170</v>
      </c>
      <c r="B1474" t="str" cm="1">
        <f t="array" ref="B1474">INDEX(HotelList,MOD(ROW()-2,10)+1)</f>
        <v>H003</v>
      </c>
      <c r="C1474">
        <f>_xlfn.XLOOKUP(B1474,Dim_Hotel!$A$2:$A$11,Dim_Hotel!$F$2:$F$11)</f>
        <v>121</v>
      </c>
      <c r="D1474">
        <f t="shared" si="177"/>
        <v>67</v>
      </c>
      <c r="E1474">
        <f t="shared" si="178"/>
        <v>0.55371900826446285</v>
      </c>
      <c r="F1474">
        <f t="shared" si="179"/>
        <v>145</v>
      </c>
      <c r="G1474">
        <f t="shared" si="180"/>
        <v>80.289256198347118</v>
      </c>
      <c r="H1474" t="str">
        <f>_xlfn.XLOOKUP(A1474,Fact_Events!$D$2:$D$20,Fact_Events!$A$2:$A$20, "")</f>
        <v/>
      </c>
      <c r="I1474">
        <f t="shared" si="181"/>
        <v>0</v>
      </c>
      <c r="J1474" t="str">
        <f>_xlfn.XLOOKUP(H1474, Fact_Events!$A$2:$A$20, Fact_Events!$F$2:$F$20, "")</f>
        <v/>
      </c>
      <c r="K1474" t="str">
        <f t="shared" si="182"/>
        <v>Low</v>
      </c>
      <c r="L1474">
        <f t="shared" si="183"/>
        <v>0.55000000000000004</v>
      </c>
      <c r="M1474">
        <f>_xlfn.XLOOKUP(B1474, Dim_Hotel!$A$2:$A$11, Dim_Hotel!$I$2:$I$11)
 + (IF(J1474="",0,J1474)
    * _xlfn.XLOOKUP(B1474, Dim_Hotel!$A$2:$A$11, Dim_Hotel!$J$2:$J$11))</f>
        <v>145</v>
      </c>
    </row>
    <row r="1475" spans="1:13" x14ac:dyDescent="0.25">
      <c r="A1475" s="1">
        <f t="shared" ref="A1475:A1538" si="184">DATE(2026,1,1) + INT((ROW()-2)/10)</f>
        <v>46170</v>
      </c>
      <c r="B1475" t="str" cm="1">
        <f t="array" ref="B1475">INDEX(HotelList,MOD(ROW()-2,10)+1)</f>
        <v>H004</v>
      </c>
      <c r="C1475">
        <f>_xlfn.XLOOKUP(B1475,Dim_Hotel!$A$2:$A$11,Dim_Hotel!$F$2:$F$11)</f>
        <v>108</v>
      </c>
      <c r="D1475">
        <f t="shared" ref="D1475:D1538" si="185">ROUND(L1475 * C1475, 0)</f>
        <v>59</v>
      </c>
      <c r="E1475">
        <f t="shared" ref="E1475:E1538" si="186">D1475/C1475</f>
        <v>0.54629629629629628</v>
      </c>
      <c r="F1475">
        <f t="shared" ref="F1475:F1538" si="187">M1475</f>
        <v>135</v>
      </c>
      <c r="G1475">
        <f t="shared" ref="G1475:G1538" si="188">E1475*F1475</f>
        <v>73.75</v>
      </c>
      <c r="H1475" t="str">
        <f>_xlfn.XLOOKUP(A1475,Fact_Events!$D$2:$D$20,Fact_Events!$A$2:$A$20, "")</f>
        <v/>
      </c>
      <c r="I1475">
        <f t="shared" ref="I1475:I1538" si="189">IF(H1475="",0,1)</f>
        <v>0</v>
      </c>
      <c r="J1475" t="str">
        <f>_xlfn.XLOOKUP(H1475, Fact_Events!$A$2:$A$20, Fact_Events!$F$2:$F$20, "")</f>
        <v/>
      </c>
      <c r="K1475" t="str">
        <f t="shared" ref="K1475:K1538" si="190">IF(I1475=0,"Low",
   IF(J1475&gt;=9,"High","Medium"))</f>
        <v>Low</v>
      </c>
      <c r="L1475">
        <f t="shared" ref="L1475:L1538" si="191">MIN(1,
  0.55
  + (I1475 * 0.25)
  + (IF(J1475="",0,J1475) / 100)
)</f>
        <v>0.55000000000000004</v>
      </c>
      <c r="M1475">
        <f>_xlfn.XLOOKUP(B1475, Dim_Hotel!$A$2:$A$11, Dim_Hotel!$I$2:$I$11)
 + (IF(J1475="",0,J1475)
    * _xlfn.XLOOKUP(B1475, Dim_Hotel!$A$2:$A$11, Dim_Hotel!$J$2:$J$11))</f>
        <v>135</v>
      </c>
    </row>
    <row r="1476" spans="1:13" x14ac:dyDescent="0.25">
      <c r="A1476" s="1">
        <f t="shared" si="184"/>
        <v>46170</v>
      </c>
      <c r="B1476" t="str" cm="1">
        <f t="array" ref="B1476">INDEX(HotelList,MOD(ROW()-2,10)+1)</f>
        <v>H005</v>
      </c>
      <c r="C1476">
        <f>_xlfn.XLOOKUP(B1476,Dim_Hotel!$A$2:$A$11,Dim_Hotel!$F$2:$F$11)</f>
        <v>66</v>
      </c>
      <c r="D1476">
        <f t="shared" si="185"/>
        <v>36</v>
      </c>
      <c r="E1476">
        <f t="shared" si="186"/>
        <v>0.54545454545454541</v>
      </c>
      <c r="F1476">
        <f t="shared" si="187"/>
        <v>82</v>
      </c>
      <c r="G1476">
        <f t="shared" si="188"/>
        <v>44.727272727272727</v>
      </c>
      <c r="H1476" t="str">
        <f>_xlfn.XLOOKUP(A1476,Fact_Events!$D$2:$D$20,Fact_Events!$A$2:$A$20, "")</f>
        <v/>
      </c>
      <c r="I1476">
        <f t="shared" si="189"/>
        <v>0</v>
      </c>
      <c r="J1476" t="str">
        <f>_xlfn.XLOOKUP(H1476, Fact_Events!$A$2:$A$20, Fact_Events!$F$2:$F$20, "")</f>
        <v/>
      </c>
      <c r="K1476" t="str">
        <f t="shared" si="190"/>
        <v>Low</v>
      </c>
      <c r="L1476">
        <f t="shared" si="191"/>
        <v>0.55000000000000004</v>
      </c>
      <c r="M1476">
        <f>_xlfn.XLOOKUP(B1476, Dim_Hotel!$A$2:$A$11, Dim_Hotel!$I$2:$I$11)
 + (IF(J1476="",0,J1476)
    * _xlfn.XLOOKUP(B1476, Dim_Hotel!$A$2:$A$11, Dim_Hotel!$J$2:$J$11))</f>
        <v>82</v>
      </c>
    </row>
    <row r="1477" spans="1:13" x14ac:dyDescent="0.25">
      <c r="A1477" s="1">
        <f t="shared" si="184"/>
        <v>46170</v>
      </c>
      <c r="B1477" t="str" cm="1">
        <f t="array" ref="B1477">INDEX(HotelList,MOD(ROW()-2,10)+1)</f>
        <v>H006</v>
      </c>
      <c r="C1477">
        <f>_xlfn.XLOOKUP(B1477,Dim_Hotel!$A$2:$A$11,Dim_Hotel!$F$2:$F$11)</f>
        <v>311</v>
      </c>
      <c r="D1477">
        <f t="shared" si="185"/>
        <v>171</v>
      </c>
      <c r="E1477">
        <f t="shared" si="186"/>
        <v>0.54983922829581988</v>
      </c>
      <c r="F1477">
        <f t="shared" si="187"/>
        <v>190</v>
      </c>
      <c r="G1477">
        <f t="shared" si="188"/>
        <v>104.46945337620578</v>
      </c>
      <c r="H1477" t="str">
        <f>_xlfn.XLOOKUP(A1477,Fact_Events!$D$2:$D$20,Fact_Events!$A$2:$A$20, "")</f>
        <v/>
      </c>
      <c r="I1477">
        <f t="shared" si="189"/>
        <v>0</v>
      </c>
      <c r="J1477" t="str">
        <f>_xlfn.XLOOKUP(H1477, Fact_Events!$A$2:$A$20, Fact_Events!$F$2:$F$20, "")</f>
        <v/>
      </c>
      <c r="K1477" t="str">
        <f t="shared" si="190"/>
        <v>Low</v>
      </c>
      <c r="L1477">
        <f t="shared" si="191"/>
        <v>0.55000000000000004</v>
      </c>
      <c r="M1477">
        <f>_xlfn.XLOOKUP(B1477, Dim_Hotel!$A$2:$A$11, Dim_Hotel!$I$2:$I$11)
 + (IF(J1477="",0,J1477)
    * _xlfn.XLOOKUP(B1477, Dim_Hotel!$A$2:$A$11, Dim_Hotel!$J$2:$J$11))</f>
        <v>190</v>
      </c>
    </row>
    <row r="1478" spans="1:13" x14ac:dyDescent="0.25">
      <c r="A1478" s="1">
        <f t="shared" si="184"/>
        <v>46170</v>
      </c>
      <c r="B1478" t="str" cm="1">
        <f t="array" ref="B1478">INDEX(HotelList,MOD(ROW()-2,10)+1)</f>
        <v>H007</v>
      </c>
      <c r="C1478">
        <f>_xlfn.XLOOKUP(B1478,Dim_Hotel!$A$2:$A$11,Dim_Hotel!$F$2:$F$11)</f>
        <v>132</v>
      </c>
      <c r="D1478">
        <f t="shared" si="185"/>
        <v>73</v>
      </c>
      <c r="E1478">
        <f t="shared" si="186"/>
        <v>0.55303030303030298</v>
      </c>
      <c r="F1478">
        <f t="shared" si="187"/>
        <v>165</v>
      </c>
      <c r="G1478">
        <f t="shared" si="188"/>
        <v>91.249999999999986</v>
      </c>
      <c r="H1478" t="str">
        <f>_xlfn.XLOOKUP(A1478,Fact_Events!$D$2:$D$20,Fact_Events!$A$2:$A$20, "")</f>
        <v/>
      </c>
      <c r="I1478">
        <f t="shared" si="189"/>
        <v>0</v>
      </c>
      <c r="J1478" t="str">
        <f>_xlfn.XLOOKUP(H1478, Fact_Events!$A$2:$A$20, Fact_Events!$F$2:$F$20, "")</f>
        <v/>
      </c>
      <c r="K1478" t="str">
        <f t="shared" si="190"/>
        <v>Low</v>
      </c>
      <c r="L1478">
        <f t="shared" si="191"/>
        <v>0.55000000000000004</v>
      </c>
      <c r="M1478">
        <f>_xlfn.XLOOKUP(B1478, Dim_Hotel!$A$2:$A$11, Dim_Hotel!$I$2:$I$11)
 + (IF(J1478="",0,J1478)
    * _xlfn.XLOOKUP(B1478, Dim_Hotel!$A$2:$A$11, Dim_Hotel!$J$2:$J$11))</f>
        <v>165</v>
      </c>
    </row>
    <row r="1479" spans="1:13" x14ac:dyDescent="0.25">
      <c r="A1479" s="1">
        <f t="shared" si="184"/>
        <v>46170</v>
      </c>
      <c r="B1479" t="str" cm="1">
        <f t="array" ref="B1479">INDEX(HotelList,MOD(ROW()-2,10)+1)</f>
        <v>H008</v>
      </c>
      <c r="C1479">
        <f>_xlfn.XLOOKUP(B1479,Dim_Hotel!$A$2:$A$11,Dim_Hotel!$F$2:$F$11)</f>
        <v>103</v>
      </c>
      <c r="D1479">
        <f t="shared" si="185"/>
        <v>57</v>
      </c>
      <c r="E1479">
        <f t="shared" si="186"/>
        <v>0.55339805825242716</v>
      </c>
      <c r="F1479">
        <f t="shared" si="187"/>
        <v>140</v>
      </c>
      <c r="G1479">
        <f t="shared" si="188"/>
        <v>77.475728155339809</v>
      </c>
      <c r="H1479" t="str">
        <f>_xlfn.XLOOKUP(A1479,Fact_Events!$D$2:$D$20,Fact_Events!$A$2:$A$20, "")</f>
        <v/>
      </c>
      <c r="I1479">
        <f t="shared" si="189"/>
        <v>0</v>
      </c>
      <c r="J1479" t="str">
        <f>_xlfn.XLOOKUP(H1479, Fact_Events!$A$2:$A$20, Fact_Events!$F$2:$F$20, "")</f>
        <v/>
      </c>
      <c r="K1479" t="str">
        <f t="shared" si="190"/>
        <v>Low</v>
      </c>
      <c r="L1479">
        <f t="shared" si="191"/>
        <v>0.55000000000000004</v>
      </c>
      <c r="M1479">
        <f>_xlfn.XLOOKUP(B1479, Dim_Hotel!$A$2:$A$11, Dim_Hotel!$I$2:$I$11)
 + (IF(J1479="",0,J1479)
    * _xlfn.XLOOKUP(B1479, Dim_Hotel!$A$2:$A$11, Dim_Hotel!$J$2:$J$11))</f>
        <v>140</v>
      </c>
    </row>
    <row r="1480" spans="1:13" x14ac:dyDescent="0.25">
      <c r="A1480" s="1">
        <f t="shared" si="184"/>
        <v>46170</v>
      </c>
      <c r="B1480" t="str" cm="1">
        <f t="array" ref="B1480">INDEX(HotelList,MOD(ROW()-2,10)+1)</f>
        <v>H009</v>
      </c>
      <c r="C1480">
        <f>_xlfn.XLOOKUP(B1480,Dim_Hotel!$A$2:$A$11,Dim_Hotel!$F$2:$F$11)</f>
        <v>114</v>
      </c>
      <c r="D1480">
        <f t="shared" si="185"/>
        <v>63</v>
      </c>
      <c r="E1480">
        <f t="shared" si="186"/>
        <v>0.55263157894736847</v>
      </c>
      <c r="F1480">
        <f t="shared" si="187"/>
        <v>185</v>
      </c>
      <c r="G1480">
        <f t="shared" si="188"/>
        <v>102.23684210526316</v>
      </c>
      <c r="H1480" t="str">
        <f>_xlfn.XLOOKUP(A1480,Fact_Events!$D$2:$D$20,Fact_Events!$A$2:$A$20, "")</f>
        <v/>
      </c>
      <c r="I1480">
        <f t="shared" si="189"/>
        <v>0</v>
      </c>
      <c r="J1480" t="str">
        <f>_xlfn.XLOOKUP(H1480, Fact_Events!$A$2:$A$20, Fact_Events!$F$2:$F$20, "")</f>
        <v/>
      </c>
      <c r="K1480" t="str">
        <f t="shared" si="190"/>
        <v>Low</v>
      </c>
      <c r="L1480">
        <f t="shared" si="191"/>
        <v>0.55000000000000004</v>
      </c>
      <c r="M1480">
        <f>_xlfn.XLOOKUP(B1480, Dim_Hotel!$A$2:$A$11, Dim_Hotel!$I$2:$I$11)
 + (IF(J1480="",0,J1480)
    * _xlfn.XLOOKUP(B1480, Dim_Hotel!$A$2:$A$11, Dim_Hotel!$J$2:$J$11))</f>
        <v>185</v>
      </c>
    </row>
    <row r="1481" spans="1:13" x14ac:dyDescent="0.25">
      <c r="A1481" s="1">
        <f t="shared" si="184"/>
        <v>46170</v>
      </c>
      <c r="B1481" t="str" cm="1">
        <f t="array" ref="B1481">INDEX(HotelList,MOD(ROW()-2,10)+1)</f>
        <v>H010</v>
      </c>
      <c r="C1481">
        <f>_xlfn.XLOOKUP(B1481,Dim_Hotel!$A$2:$A$11,Dim_Hotel!$F$2:$F$11)</f>
        <v>89</v>
      </c>
      <c r="D1481">
        <f t="shared" si="185"/>
        <v>49</v>
      </c>
      <c r="E1481">
        <f t="shared" si="186"/>
        <v>0.550561797752809</v>
      </c>
      <c r="F1481">
        <f t="shared" si="187"/>
        <v>150</v>
      </c>
      <c r="G1481">
        <f t="shared" si="188"/>
        <v>82.584269662921344</v>
      </c>
      <c r="H1481" t="str">
        <f>_xlfn.XLOOKUP(A1481,Fact_Events!$D$2:$D$20,Fact_Events!$A$2:$A$20, "")</f>
        <v/>
      </c>
      <c r="I1481">
        <f t="shared" si="189"/>
        <v>0</v>
      </c>
      <c r="J1481" t="str">
        <f>_xlfn.XLOOKUP(H1481, Fact_Events!$A$2:$A$20, Fact_Events!$F$2:$F$20, "")</f>
        <v/>
      </c>
      <c r="K1481" t="str">
        <f t="shared" si="190"/>
        <v>Low</v>
      </c>
      <c r="L1481">
        <f t="shared" si="191"/>
        <v>0.55000000000000004</v>
      </c>
      <c r="M1481">
        <f>_xlfn.XLOOKUP(B1481, Dim_Hotel!$A$2:$A$11, Dim_Hotel!$I$2:$I$11)
 + (IF(J1481="",0,J1481)
    * _xlfn.XLOOKUP(B1481, Dim_Hotel!$A$2:$A$11, Dim_Hotel!$J$2:$J$11))</f>
        <v>150</v>
      </c>
    </row>
    <row r="1482" spans="1:13" x14ac:dyDescent="0.25">
      <c r="A1482" s="1">
        <f t="shared" si="184"/>
        <v>46171</v>
      </c>
      <c r="B1482" t="str" cm="1">
        <f t="array" ref="B1482">INDEX(HotelList,MOD(ROW()-2,10)+1)</f>
        <v>H001</v>
      </c>
      <c r="C1482">
        <f>_xlfn.XLOOKUP(B1482,Dim_Hotel!$A$2:$A$11,Dim_Hotel!$F$2:$F$11)</f>
        <v>888</v>
      </c>
      <c r="D1482">
        <f t="shared" si="185"/>
        <v>488</v>
      </c>
      <c r="E1482">
        <f t="shared" si="186"/>
        <v>0.5495495495495496</v>
      </c>
      <c r="F1482">
        <f t="shared" si="187"/>
        <v>260</v>
      </c>
      <c r="G1482">
        <f t="shared" si="188"/>
        <v>142.88288288288288</v>
      </c>
      <c r="H1482" t="str">
        <f>_xlfn.XLOOKUP(A1482,Fact_Events!$D$2:$D$20,Fact_Events!$A$2:$A$20, "")</f>
        <v/>
      </c>
      <c r="I1482">
        <f t="shared" si="189"/>
        <v>0</v>
      </c>
      <c r="J1482" t="str">
        <f>_xlfn.XLOOKUP(H1482, Fact_Events!$A$2:$A$20, Fact_Events!$F$2:$F$20, "")</f>
        <v/>
      </c>
      <c r="K1482" t="str">
        <f t="shared" si="190"/>
        <v>Low</v>
      </c>
      <c r="L1482">
        <f t="shared" si="191"/>
        <v>0.55000000000000004</v>
      </c>
      <c r="M1482">
        <f>_xlfn.XLOOKUP(B1482, Dim_Hotel!$A$2:$A$11, Dim_Hotel!$I$2:$I$11)
 + (IF(J1482="",0,J1482)
    * _xlfn.XLOOKUP(B1482, Dim_Hotel!$A$2:$A$11, Dim_Hotel!$J$2:$J$11))</f>
        <v>260</v>
      </c>
    </row>
    <row r="1483" spans="1:13" x14ac:dyDescent="0.25">
      <c r="A1483" s="1">
        <f t="shared" si="184"/>
        <v>46171</v>
      </c>
      <c r="B1483" t="str" cm="1">
        <f t="array" ref="B1483">INDEX(HotelList,MOD(ROW()-2,10)+1)</f>
        <v>H002</v>
      </c>
      <c r="C1483">
        <f>_xlfn.XLOOKUP(B1483,Dim_Hotel!$A$2:$A$11,Dim_Hotel!$F$2:$F$11)</f>
        <v>147</v>
      </c>
      <c r="D1483">
        <f t="shared" si="185"/>
        <v>81</v>
      </c>
      <c r="E1483">
        <f t="shared" si="186"/>
        <v>0.55102040816326525</v>
      </c>
      <c r="F1483">
        <f t="shared" si="187"/>
        <v>175</v>
      </c>
      <c r="G1483">
        <f t="shared" si="188"/>
        <v>96.428571428571416</v>
      </c>
      <c r="H1483" t="str">
        <f>_xlfn.XLOOKUP(A1483,Fact_Events!$D$2:$D$20,Fact_Events!$A$2:$A$20, "")</f>
        <v/>
      </c>
      <c r="I1483">
        <f t="shared" si="189"/>
        <v>0</v>
      </c>
      <c r="J1483" t="str">
        <f>_xlfn.XLOOKUP(H1483, Fact_Events!$A$2:$A$20, Fact_Events!$F$2:$F$20, "")</f>
        <v/>
      </c>
      <c r="K1483" t="str">
        <f t="shared" si="190"/>
        <v>Low</v>
      </c>
      <c r="L1483">
        <f t="shared" si="191"/>
        <v>0.55000000000000004</v>
      </c>
      <c r="M1483">
        <f>_xlfn.XLOOKUP(B1483, Dim_Hotel!$A$2:$A$11, Dim_Hotel!$I$2:$I$11)
 + (IF(J1483="",0,J1483)
    * _xlfn.XLOOKUP(B1483, Dim_Hotel!$A$2:$A$11, Dim_Hotel!$J$2:$J$11))</f>
        <v>175</v>
      </c>
    </row>
    <row r="1484" spans="1:13" x14ac:dyDescent="0.25">
      <c r="A1484" s="1">
        <f t="shared" si="184"/>
        <v>46171</v>
      </c>
      <c r="B1484" t="str" cm="1">
        <f t="array" ref="B1484">INDEX(HotelList,MOD(ROW()-2,10)+1)</f>
        <v>H003</v>
      </c>
      <c r="C1484">
        <f>_xlfn.XLOOKUP(B1484,Dim_Hotel!$A$2:$A$11,Dim_Hotel!$F$2:$F$11)</f>
        <v>121</v>
      </c>
      <c r="D1484">
        <f t="shared" si="185"/>
        <v>67</v>
      </c>
      <c r="E1484">
        <f t="shared" si="186"/>
        <v>0.55371900826446285</v>
      </c>
      <c r="F1484">
        <f t="shared" si="187"/>
        <v>145</v>
      </c>
      <c r="G1484">
        <f t="shared" si="188"/>
        <v>80.289256198347118</v>
      </c>
      <c r="H1484" t="str">
        <f>_xlfn.XLOOKUP(A1484,Fact_Events!$D$2:$D$20,Fact_Events!$A$2:$A$20, "")</f>
        <v/>
      </c>
      <c r="I1484">
        <f t="shared" si="189"/>
        <v>0</v>
      </c>
      <c r="J1484" t="str">
        <f>_xlfn.XLOOKUP(H1484, Fact_Events!$A$2:$A$20, Fact_Events!$F$2:$F$20, "")</f>
        <v/>
      </c>
      <c r="K1484" t="str">
        <f t="shared" si="190"/>
        <v>Low</v>
      </c>
      <c r="L1484">
        <f t="shared" si="191"/>
        <v>0.55000000000000004</v>
      </c>
      <c r="M1484">
        <f>_xlfn.XLOOKUP(B1484, Dim_Hotel!$A$2:$A$11, Dim_Hotel!$I$2:$I$11)
 + (IF(J1484="",0,J1484)
    * _xlfn.XLOOKUP(B1484, Dim_Hotel!$A$2:$A$11, Dim_Hotel!$J$2:$J$11))</f>
        <v>145</v>
      </c>
    </row>
    <row r="1485" spans="1:13" x14ac:dyDescent="0.25">
      <c r="A1485" s="1">
        <f t="shared" si="184"/>
        <v>46171</v>
      </c>
      <c r="B1485" t="str" cm="1">
        <f t="array" ref="B1485">INDEX(HotelList,MOD(ROW()-2,10)+1)</f>
        <v>H004</v>
      </c>
      <c r="C1485">
        <f>_xlfn.XLOOKUP(B1485,Dim_Hotel!$A$2:$A$11,Dim_Hotel!$F$2:$F$11)</f>
        <v>108</v>
      </c>
      <c r="D1485">
        <f t="shared" si="185"/>
        <v>59</v>
      </c>
      <c r="E1485">
        <f t="shared" si="186"/>
        <v>0.54629629629629628</v>
      </c>
      <c r="F1485">
        <f t="shared" si="187"/>
        <v>135</v>
      </c>
      <c r="G1485">
        <f t="shared" si="188"/>
        <v>73.75</v>
      </c>
      <c r="H1485" t="str">
        <f>_xlfn.XLOOKUP(A1485,Fact_Events!$D$2:$D$20,Fact_Events!$A$2:$A$20, "")</f>
        <v/>
      </c>
      <c r="I1485">
        <f t="shared" si="189"/>
        <v>0</v>
      </c>
      <c r="J1485" t="str">
        <f>_xlfn.XLOOKUP(H1485, Fact_Events!$A$2:$A$20, Fact_Events!$F$2:$F$20, "")</f>
        <v/>
      </c>
      <c r="K1485" t="str">
        <f t="shared" si="190"/>
        <v>Low</v>
      </c>
      <c r="L1485">
        <f t="shared" si="191"/>
        <v>0.55000000000000004</v>
      </c>
      <c r="M1485">
        <f>_xlfn.XLOOKUP(B1485, Dim_Hotel!$A$2:$A$11, Dim_Hotel!$I$2:$I$11)
 + (IF(J1485="",0,J1485)
    * _xlfn.XLOOKUP(B1485, Dim_Hotel!$A$2:$A$11, Dim_Hotel!$J$2:$J$11))</f>
        <v>135</v>
      </c>
    </row>
    <row r="1486" spans="1:13" x14ac:dyDescent="0.25">
      <c r="A1486" s="1">
        <f t="shared" si="184"/>
        <v>46171</v>
      </c>
      <c r="B1486" t="str" cm="1">
        <f t="array" ref="B1486">INDEX(HotelList,MOD(ROW()-2,10)+1)</f>
        <v>H005</v>
      </c>
      <c r="C1486">
        <f>_xlfn.XLOOKUP(B1486,Dim_Hotel!$A$2:$A$11,Dim_Hotel!$F$2:$F$11)</f>
        <v>66</v>
      </c>
      <c r="D1486">
        <f t="shared" si="185"/>
        <v>36</v>
      </c>
      <c r="E1486">
        <f t="shared" si="186"/>
        <v>0.54545454545454541</v>
      </c>
      <c r="F1486">
        <f t="shared" si="187"/>
        <v>82</v>
      </c>
      <c r="G1486">
        <f t="shared" si="188"/>
        <v>44.727272727272727</v>
      </c>
      <c r="H1486" t="str">
        <f>_xlfn.XLOOKUP(A1486,Fact_Events!$D$2:$D$20,Fact_Events!$A$2:$A$20, "")</f>
        <v/>
      </c>
      <c r="I1486">
        <f t="shared" si="189"/>
        <v>0</v>
      </c>
      <c r="J1486" t="str">
        <f>_xlfn.XLOOKUP(H1486, Fact_Events!$A$2:$A$20, Fact_Events!$F$2:$F$20, "")</f>
        <v/>
      </c>
      <c r="K1486" t="str">
        <f t="shared" si="190"/>
        <v>Low</v>
      </c>
      <c r="L1486">
        <f t="shared" si="191"/>
        <v>0.55000000000000004</v>
      </c>
      <c r="M1486">
        <f>_xlfn.XLOOKUP(B1486, Dim_Hotel!$A$2:$A$11, Dim_Hotel!$I$2:$I$11)
 + (IF(J1486="",0,J1486)
    * _xlfn.XLOOKUP(B1486, Dim_Hotel!$A$2:$A$11, Dim_Hotel!$J$2:$J$11))</f>
        <v>82</v>
      </c>
    </row>
    <row r="1487" spans="1:13" x14ac:dyDescent="0.25">
      <c r="A1487" s="1">
        <f t="shared" si="184"/>
        <v>46171</v>
      </c>
      <c r="B1487" t="str" cm="1">
        <f t="array" ref="B1487">INDEX(HotelList,MOD(ROW()-2,10)+1)</f>
        <v>H006</v>
      </c>
      <c r="C1487">
        <f>_xlfn.XLOOKUP(B1487,Dim_Hotel!$A$2:$A$11,Dim_Hotel!$F$2:$F$11)</f>
        <v>311</v>
      </c>
      <c r="D1487">
        <f t="shared" si="185"/>
        <v>171</v>
      </c>
      <c r="E1487">
        <f t="shared" si="186"/>
        <v>0.54983922829581988</v>
      </c>
      <c r="F1487">
        <f t="shared" si="187"/>
        <v>190</v>
      </c>
      <c r="G1487">
        <f t="shared" si="188"/>
        <v>104.46945337620578</v>
      </c>
      <c r="H1487" t="str">
        <f>_xlfn.XLOOKUP(A1487,Fact_Events!$D$2:$D$20,Fact_Events!$A$2:$A$20, "")</f>
        <v/>
      </c>
      <c r="I1487">
        <f t="shared" si="189"/>
        <v>0</v>
      </c>
      <c r="J1487" t="str">
        <f>_xlfn.XLOOKUP(H1487, Fact_Events!$A$2:$A$20, Fact_Events!$F$2:$F$20, "")</f>
        <v/>
      </c>
      <c r="K1487" t="str">
        <f t="shared" si="190"/>
        <v>Low</v>
      </c>
      <c r="L1487">
        <f t="shared" si="191"/>
        <v>0.55000000000000004</v>
      </c>
      <c r="M1487">
        <f>_xlfn.XLOOKUP(B1487, Dim_Hotel!$A$2:$A$11, Dim_Hotel!$I$2:$I$11)
 + (IF(J1487="",0,J1487)
    * _xlfn.XLOOKUP(B1487, Dim_Hotel!$A$2:$A$11, Dim_Hotel!$J$2:$J$11))</f>
        <v>190</v>
      </c>
    </row>
    <row r="1488" spans="1:13" x14ac:dyDescent="0.25">
      <c r="A1488" s="1">
        <f t="shared" si="184"/>
        <v>46171</v>
      </c>
      <c r="B1488" t="str" cm="1">
        <f t="array" ref="B1488">INDEX(HotelList,MOD(ROW()-2,10)+1)</f>
        <v>H007</v>
      </c>
      <c r="C1488">
        <f>_xlfn.XLOOKUP(B1488,Dim_Hotel!$A$2:$A$11,Dim_Hotel!$F$2:$F$11)</f>
        <v>132</v>
      </c>
      <c r="D1488">
        <f t="shared" si="185"/>
        <v>73</v>
      </c>
      <c r="E1488">
        <f t="shared" si="186"/>
        <v>0.55303030303030298</v>
      </c>
      <c r="F1488">
        <f t="shared" si="187"/>
        <v>165</v>
      </c>
      <c r="G1488">
        <f t="shared" si="188"/>
        <v>91.249999999999986</v>
      </c>
      <c r="H1488" t="str">
        <f>_xlfn.XLOOKUP(A1488,Fact_Events!$D$2:$D$20,Fact_Events!$A$2:$A$20, "")</f>
        <v/>
      </c>
      <c r="I1488">
        <f t="shared" si="189"/>
        <v>0</v>
      </c>
      <c r="J1488" t="str">
        <f>_xlfn.XLOOKUP(H1488, Fact_Events!$A$2:$A$20, Fact_Events!$F$2:$F$20, "")</f>
        <v/>
      </c>
      <c r="K1488" t="str">
        <f t="shared" si="190"/>
        <v>Low</v>
      </c>
      <c r="L1488">
        <f t="shared" si="191"/>
        <v>0.55000000000000004</v>
      </c>
      <c r="M1488">
        <f>_xlfn.XLOOKUP(B1488, Dim_Hotel!$A$2:$A$11, Dim_Hotel!$I$2:$I$11)
 + (IF(J1488="",0,J1488)
    * _xlfn.XLOOKUP(B1488, Dim_Hotel!$A$2:$A$11, Dim_Hotel!$J$2:$J$11))</f>
        <v>165</v>
      </c>
    </row>
    <row r="1489" spans="1:13" x14ac:dyDescent="0.25">
      <c r="A1489" s="1">
        <f t="shared" si="184"/>
        <v>46171</v>
      </c>
      <c r="B1489" t="str" cm="1">
        <f t="array" ref="B1489">INDEX(HotelList,MOD(ROW()-2,10)+1)</f>
        <v>H008</v>
      </c>
      <c r="C1489">
        <f>_xlfn.XLOOKUP(B1489,Dim_Hotel!$A$2:$A$11,Dim_Hotel!$F$2:$F$11)</f>
        <v>103</v>
      </c>
      <c r="D1489">
        <f t="shared" si="185"/>
        <v>57</v>
      </c>
      <c r="E1489">
        <f t="shared" si="186"/>
        <v>0.55339805825242716</v>
      </c>
      <c r="F1489">
        <f t="shared" si="187"/>
        <v>140</v>
      </c>
      <c r="G1489">
        <f t="shared" si="188"/>
        <v>77.475728155339809</v>
      </c>
      <c r="H1489" t="str">
        <f>_xlfn.XLOOKUP(A1489,Fact_Events!$D$2:$D$20,Fact_Events!$A$2:$A$20, "")</f>
        <v/>
      </c>
      <c r="I1489">
        <f t="shared" si="189"/>
        <v>0</v>
      </c>
      <c r="J1489" t="str">
        <f>_xlfn.XLOOKUP(H1489, Fact_Events!$A$2:$A$20, Fact_Events!$F$2:$F$20, "")</f>
        <v/>
      </c>
      <c r="K1489" t="str">
        <f t="shared" si="190"/>
        <v>Low</v>
      </c>
      <c r="L1489">
        <f t="shared" si="191"/>
        <v>0.55000000000000004</v>
      </c>
      <c r="M1489">
        <f>_xlfn.XLOOKUP(B1489, Dim_Hotel!$A$2:$A$11, Dim_Hotel!$I$2:$I$11)
 + (IF(J1489="",0,J1489)
    * _xlfn.XLOOKUP(B1489, Dim_Hotel!$A$2:$A$11, Dim_Hotel!$J$2:$J$11))</f>
        <v>140</v>
      </c>
    </row>
    <row r="1490" spans="1:13" x14ac:dyDescent="0.25">
      <c r="A1490" s="1">
        <f t="shared" si="184"/>
        <v>46171</v>
      </c>
      <c r="B1490" t="str" cm="1">
        <f t="array" ref="B1490">INDEX(HotelList,MOD(ROW()-2,10)+1)</f>
        <v>H009</v>
      </c>
      <c r="C1490">
        <f>_xlfn.XLOOKUP(B1490,Dim_Hotel!$A$2:$A$11,Dim_Hotel!$F$2:$F$11)</f>
        <v>114</v>
      </c>
      <c r="D1490">
        <f t="shared" si="185"/>
        <v>63</v>
      </c>
      <c r="E1490">
        <f t="shared" si="186"/>
        <v>0.55263157894736847</v>
      </c>
      <c r="F1490">
        <f t="shared" si="187"/>
        <v>185</v>
      </c>
      <c r="G1490">
        <f t="shared" si="188"/>
        <v>102.23684210526316</v>
      </c>
      <c r="H1490" t="str">
        <f>_xlfn.XLOOKUP(A1490,Fact_Events!$D$2:$D$20,Fact_Events!$A$2:$A$20, "")</f>
        <v/>
      </c>
      <c r="I1490">
        <f t="shared" si="189"/>
        <v>0</v>
      </c>
      <c r="J1490" t="str">
        <f>_xlfn.XLOOKUP(H1490, Fact_Events!$A$2:$A$20, Fact_Events!$F$2:$F$20, "")</f>
        <v/>
      </c>
      <c r="K1490" t="str">
        <f t="shared" si="190"/>
        <v>Low</v>
      </c>
      <c r="L1490">
        <f t="shared" si="191"/>
        <v>0.55000000000000004</v>
      </c>
      <c r="M1490">
        <f>_xlfn.XLOOKUP(B1490, Dim_Hotel!$A$2:$A$11, Dim_Hotel!$I$2:$I$11)
 + (IF(J1490="",0,J1490)
    * _xlfn.XLOOKUP(B1490, Dim_Hotel!$A$2:$A$11, Dim_Hotel!$J$2:$J$11))</f>
        <v>185</v>
      </c>
    </row>
    <row r="1491" spans="1:13" x14ac:dyDescent="0.25">
      <c r="A1491" s="1">
        <f t="shared" si="184"/>
        <v>46171</v>
      </c>
      <c r="B1491" t="str" cm="1">
        <f t="array" ref="B1491">INDEX(HotelList,MOD(ROW()-2,10)+1)</f>
        <v>H010</v>
      </c>
      <c r="C1491">
        <f>_xlfn.XLOOKUP(B1491,Dim_Hotel!$A$2:$A$11,Dim_Hotel!$F$2:$F$11)</f>
        <v>89</v>
      </c>
      <c r="D1491">
        <f t="shared" si="185"/>
        <v>49</v>
      </c>
      <c r="E1491">
        <f t="shared" si="186"/>
        <v>0.550561797752809</v>
      </c>
      <c r="F1491">
        <f t="shared" si="187"/>
        <v>150</v>
      </c>
      <c r="G1491">
        <f t="shared" si="188"/>
        <v>82.584269662921344</v>
      </c>
      <c r="H1491" t="str">
        <f>_xlfn.XLOOKUP(A1491,Fact_Events!$D$2:$D$20,Fact_Events!$A$2:$A$20, "")</f>
        <v/>
      </c>
      <c r="I1491">
        <f t="shared" si="189"/>
        <v>0</v>
      </c>
      <c r="J1491" t="str">
        <f>_xlfn.XLOOKUP(H1491, Fact_Events!$A$2:$A$20, Fact_Events!$F$2:$F$20, "")</f>
        <v/>
      </c>
      <c r="K1491" t="str">
        <f t="shared" si="190"/>
        <v>Low</v>
      </c>
      <c r="L1491">
        <f t="shared" si="191"/>
        <v>0.55000000000000004</v>
      </c>
      <c r="M1491">
        <f>_xlfn.XLOOKUP(B1491, Dim_Hotel!$A$2:$A$11, Dim_Hotel!$I$2:$I$11)
 + (IF(J1491="",0,J1491)
    * _xlfn.XLOOKUP(B1491, Dim_Hotel!$A$2:$A$11, Dim_Hotel!$J$2:$J$11))</f>
        <v>150</v>
      </c>
    </row>
    <row r="1492" spans="1:13" x14ac:dyDescent="0.25">
      <c r="A1492" s="1">
        <f t="shared" si="184"/>
        <v>46172</v>
      </c>
      <c r="B1492" t="str" cm="1">
        <f t="array" ref="B1492">INDEX(HotelList,MOD(ROW()-2,10)+1)</f>
        <v>H001</v>
      </c>
      <c r="C1492">
        <f>_xlfn.XLOOKUP(B1492,Dim_Hotel!$A$2:$A$11,Dim_Hotel!$F$2:$F$11)</f>
        <v>888</v>
      </c>
      <c r="D1492">
        <f t="shared" si="185"/>
        <v>488</v>
      </c>
      <c r="E1492">
        <f t="shared" si="186"/>
        <v>0.5495495495495496</v>
      </c>
      <c r="F1492">
        <f t="shared" si="187"/>
        <v>260</v>
      </c>
      <c r="G1492">
        <f t="shared" si="188"/>
        <v>142.88288288288288</v>
      </c>
      <c r="H1492" t="str">
        <f>_xlfn.XLOOKUP(A1492,Fact_Events!$D$2:$D$20,Fact_Events!$A$2:$A$20, "")</f>
        <v/>
      </c>
      <c r="I1492">
        <f t="shared" si="189"/>
        <v>0</v>
      </c>
      <c r="J1492" t="str">
        <f>_xlfn.XLOOKUP(H1492, Fact_Events!$A$2:$A$20, Fact_Events!$F$2:$F$20, "")</f>
        <v/>
      </c>
      <c r="K1492" t="str">
        <f t="shared" si="190"/>
        <v>Low</v>
      </c>
      <c r="L1492">
        <f t="shared" si="191"/>
        <v>0.55000000000000004</v>
      </c>
      <c r="M1492">
        <f>_xlfn.XLOOKUP(B1492, Dim_Hotel!$A$2:$A$11, Dim_Hotel!$I$2:$I$11)
 + (IF(J1492="",0,J1492)
    * _xlfn.XLOOKUP(B1492, Dim_Hotel!$A$2:$A$11, Dim_Hotel!$J$2:$J$11))</f>
        <v>260</v>
      </c>
    </row>
    <row r="1493" spans="1:13" x14ac:dyDescent="0.25">
      <c r="A1493" s="1">
        <f t="shared" si="184"/>
        <v>46172</v>
      </c>
      <c r="B1493" t="str" cm="1">
        <f t="array" ref="B1493">INDEX(HotelList,MOD(ROW()-2,10)+1)</f>
        <v>H002</v>
      </c>
      <c r="C1493">
        <f>_xlfn.XLOOKUP(B1493,Dim_Hotel!$A$2:$A$11,Dim_Hotel!$F$2:$F$11)</f>
        <v>147</v>
      </c>
      <c r="D1493">
        <f t="shared" si="185"/>
        <v>81</v>
      </c>
      <c r="E1493">
        <f t="shared" si="186"/>
        <v>0.55102040816326525</v>
      </c>
      <c r="F1493">
        <f t="shared" si="187"/>
        <v>175</v>
      </c>
      <c r="G1493">
        <f t="shared" si="188"/>
        <v>96.428571428571416</v>
      </c>
      <c r="H1493" t="str">
        <f>_xlfn.XLOOKUP(A1493,Fact_Events!$D$2:$D$20,Fact_Events!$A$2:$A$20, "")</f>
        <v/>
      </c>
      <c r="I1493">
        <f t="shared" si="189"/>
        <v>0</v>
      </c>
      <c r="J1493" t="str">
        <f>_xlfn.XLOOKUP(H1493, Fact_Events!$A$2:$A$20, Fact_Events!$F$2:$F$20, "")</f>
        <v/>
      </c>
      <c r="K1493" t="str">
        <f t="shared" si="190"/>
        <v>Low</v>
      </c>
      <c r="L1493">
        <f t="shared" si="191"/>
        <v>0.55000000000000004</v>
      </c>
      <c r="M1493">
        <f>_xlfn.XLOOKUP(B1493, Dim_Hotel!$A$2:$A$11, Dim_Hotel!$I$2:$I$11)
 + (IF(J1493="",0,J1493)
    * _xlfn.XLOOKUP(B1493, Dim_Hotel!$A$2:$A$11, Dim_Hotel!$J$2:$J$11))</f>
        <v>175</v>
      </c>
    </row>
    <row r="1494" spans="1:13" x14ac:dyDescent="0.25">
      <c r="A1494" s="1">
        <f t="shared" si="184"/>
        <v>46172</v>
      </c>
      <c r="B1494" t="str" cm="1">
        <f t="array" ref="B1494">INDEX(HotelList,MOD(ROW()-2,10)+1)</f>
        <v>H003</v>
      </c>
      <c r="C1494">
        <f>_xlfn.XLOOKUP(B1494,Dim_Hotel!$A$2:$A$11,Dim_Hotel!$F$2:$F$11)</f>
        <v>121</v>
      </c>
      <c r="D1494">
        <f t="shared" si="185"/>
        <v>67</v>
      </c>
      <c r="E1494">
        <f t="shared" si="186"/>
        <v>0.55371900826446285</v>
      </c>
      <c r="F1494">
        <f t="shared" si="187"/>
        <v>145</v>
      </c>
      <c r="G1494">
        <f t="shared" si="188"/>
        <v>80.289256198347118</v>
      </c>
      <c r="H1494" t="str">
        <f>_xlfn.XLOOKUP(A1494,Fact_Events!$D$2:$D$20,Fact_Events!$A$2:$A$20, "")</f>
        <v/>
      </c>
      <c r="I1494">
        <f t="shared" si="189"/>
        <v>0</v>
      </c>
      <c r="J1494" t="str">
        <f>_xlfn.XLOOKUP(H1494, Fact_Events!$A$2:$A$20, Fact_Events!$F$2:$F$20, "")</f>
        <v/>
      </c>
      <c r="K1494" t="str">
        <f t="shared" si="190"/>
        <v>Low</v>
      </c>
      <c r="L1494">
        <f t="shared" si="191"/>
        <v>0.55000000000000004</v>
      </c>
      <c r="M1494">
        <f>_xlfn.XLOOKUP(B1494, Dim_Hotel!$A$2:$A$11, Dim_Hotel!$I$2:$I$11)
 + (IF(J1494="",0,J1494)
    * _xlfn.XLOOKUP(B1494, Dim_Hotel!$A$2:$A$11, Dim_Hotel!$J$2:$J$11))</f>
        <v>145</v>
      </c>
    </row>
    <row r="1495" spans="1:13" x14ac:dyDescent="0.25">
      <c r="A1495" s="1">
        <f t="shared" si="184"/>
        <v>46172</v>
      </c>
      <c r="B1495" t="str" cm="1">
        <f t="array" ref="B1495">INDEX(HotelList,MOD(ROW()-2,10)+1)</f>
        <v>H004</v>
      </c>
      <c r="C1495">
        <f>_xlfn.XLOOKUP(B1495,Dim_Hotel!$A$2:$A$11,Dim_Hotel!$F$2:$F$11)</f>
        <v>108</v>
      </c>
      <c r="D1495">
        <f t="shared" si="185"/>
        <v>59</v>
      </c>
      <c r="E1495">
        <f t="shared" si="186"/>
        <v>0.54629629629629628</v>
      </c>
      <c r="F1495">
        <f t="shared" si="187"/>
        <v>135</v>
      </c>
      <c r="G1495">
        <f t="shared" si="188"/>
        <v>73.75</v>
      </c>
      <c r="H1495" t="str">
        <f>_xlfn.XLOOKUP(A1495,Fact_Events!$D$2:$D$20,Fact_Events!$A$2:$A$20, "")</f>
        <v/>
      </c>
      <c r="I1495">
        <f t="shared" si="189"/>
        <v>0</v>
      </c>
      <c r="J1495" t="str">
        <f>_xlfn.XLOOKUP(H1495, Fact_Events!$A$2:$A$20, Fact_Events!$F$2:$F$20, "")</f>
        <v/>
      </c>
      <c r="K1495" t="str">
        <f t="shared" si="190"/>
        <v>Low</v>
      </c>
      <c r="L1495">
        <f t="shared" si="191"/>
        <v>0.55000000000000004</v>
      </c>
      <c r="M1495">
        <f>_xlfn.XLOOKUP(B1495, Dim_Hotel!$A$2:$A$11, Dim_Hotel!$I$2:$I$11)
 + (IF(J1495="",0,J1495)
    * _xlfn.XLOOKUP(B1495, Dim_Hotel!$A$2:$A$11, Dim_Hotel!$J$2:$J$11))</f>
        <v>135</v>
      </c>
    </row>
    <row r="1496" spans="1:13" x14ac:dyDescent="0.25">
      <c r="A1496" s="1">
        <f t="shared" si="184"/>
        <v>46172</v>
      </c>
      <c r="B1496" t="str" cm="1">
        <f t="array" ref="B1496">INDEX(HotelList,MOD(ROW()-2,10)+1)</f>
        <v>H005</v>
      </c>
      <c r="C1496">
        <f>_xlfn.XLOOKUP(B1496,Dim_Hotel!$A$2:$A$11,Dim_Hotel!$F$2:$F$11)</f>
        <v>66</v>
      </c>
      <c r="D1496">
        <f t="shared" si="185"/>
        <v>36</v>
      </c>
      <c r="E1496">
        <f t="shared" si="186"/>
        <v>0.54545454545454541</v>
      </c>
      <c r="F1496">
        <f t="shared" si="187"/>
        <v>82</v>
      </c>
      <c r="G1496">
        <f t="shared" si="188"/>
        <v>44.727272727272727</v>
      </c>
      <c r="H1496" t="str">
        <f>_xlfn.XLOOKUP(A1496,Fact_Events!$D$2:$D$20,Fact_Events!$A$2:$A$20, "")</f>
        <v/>
      </c>
      <c r="I1496">
        <f t="shared" si="189"/>
        <v>0</v>
      </c>
      <c r="J1496" t="str">
        <f>_xlfn.XLOOKUP(H1496, Fact_Events!$A$2:$A$20, Fact_Events!$F$2:$F$20, "")</f>
        <v/>
      </c>
      <c r="K1496" t="str">
        <f t="shared" si="190"/>
        <v>Low</v>
      </c>
      <c r="L1496">
        <f t="shared" si="191"/>
        <v>0.55000000000000004</v>
      </c>
      <c r="M1496">
        <f>_xlfn.XLOOKUP(B1496, Dim_Hotel!$A$2:$A$11, Dim_Hotel!$I$2:$I$11)
 + (IF(J1496="",0,J1496)
    * _xlfn.XLOOKUP(B1496, Dim_Hotel!$A$2:$A$11, Dim_Hotel!$J$2:$J$11))</f>
        <v>82</v>
      </c>
    </row>
    <row r="1497" spans="1:13" x14ac:dyDescent="0.25">
      <c r="A1497" s="1">
        <f t="shared" si="184"/>
        <v>46172</v>
      </c>
      <c r="B1497" t="str" cm="1">
        <f t="array" ref="B1497">INDEX(HotelList,MOD(ROW()-2,10)+1)</f>
        <v>H006</v>
      </c>
      <c r="C1497">
        <f>_xlfn.XLOOKUP(B1497,Dim_Hotel!$A$2:$A$11,Dim_Hotel!$F$2:$F$11)</f>
        <v>311</v>
      </c>
      <c r="D1497">
        <f t="shared" si="185"/>
        <v>171</v>
      </c>
      <c r="E1497">
        <f t="shared" si="186"/>
        <v>0.54983922829581988</v>
      </c>
      <c r="F1497">
        <f t="shared" si="187"/>
        <v>190</v>
      </c>
      <c r="G1497">
        <f t="shared" si="188"/>
        <v>104.46945337620578</v>
      </c>
      <c r="H1497" t="str">
        <f>_xlfn.XLOOKUP(A1497,Fact_Events!$D$2:$D$20,Fact_Events!$A$2:$A$20, "")</f>
        <v/>
      </c>
      <c r="I1497">
        <f t="shared" si="189"/>
        <v>0</v>
      </c>
      <c r="J1497" t="str">
        <f>_xlfn.XLOOKUP(H1497, Fact_Events!$A$2:$A$20, Fact_Events!$F$2:$F$20, "")</f>
        <v/>
      </c>
      <c r="K1497" t="str">
        <f t="shared" si="190"/>
        <v>Low</v>
      </c>
      <c r="L1497">
        <f t="shared" si="191"/>
        <v>0.55000000000000004</v>
      </c>
      <c r="M1497">
        <f>_xlfn.XLOOKUP(B1497, Dim_Hotel!$A$2:$A$11, Dim_Hotel!$I$2:$I$11)
 + (IF(J1497="",0,J1497)
    * _xlfn.XLOOKUP(B1497, Dim_Hotel!$A$2:$A$11, Dim_Hotel!$J$2:$J$11))</f>
        <v>190</v>
      </c>
    </row>
    <row r="1498" spans="1:13" x14ac:dyDescent="0.25">
      <c r="A1498" s="1">
        <f t="shared" si="184"/>
        <v>46172</v>
      </c>
      <c r="B1498" t="str" cm="1">
        <f t="array" ref="B1498">INDEX(HotelList,MOD(ROW()-2,10)+1)</f>
        <v>H007</v>
      </c>
      <c r="C1498">
        <f>_xlfn.XLOOKUP(B1498,Dim_Hotel!$A$2:$A$11,Dim_Hotel!$F$2:$F$11)</f>
        <v>132</v>
      </c>
      <c r="D1498">
        <f t="shared" si="185"/>
        <v>73</v>
      </c>
      <c r="E1498">
        <f t="shared" si="186"/>
        <v>0.55303030303030298</v>
      </c>
      <c r="F1498">
        <f t="shared" si="187"/>
        <v>165</v>
      </c>
      <c r="G1498">
        <f t="shared" si="188"/>
        <v>91.249999999999986</v>
      </c>
      <c r="H1498" t="str">
        <f>_xlfn.XLOOKUP(A1498,Fact_Events!$D$2:$D$20,Fact_Events!$A$2:$A$20, "")</f>
        <v/>
      </c>
      <c r="I1498">
        <f t="shared" si="189"/>
        <v>0</v>
      </c>
      <c r="J1498" t="str">
        <f>_xlfn.XLOOKUP(H1498, Fact_Events!$A$2:$A$20, Fact_Events!$F$2:$F$20, "")</f>
        <v/>
      </c>
      <c r="K1498" t="str">
        <f t="shared" si="190"/>
        <v>Low</v>
      </c>
      <c r="L1498">
        <f t="shared" si="191"/>
        <v>0.55000000000000004</v>
      </c>
      <c r="M1498">
        <f>_xlfn.XLOOKUP(B1498, Dim_Hotel!$A$2:$A$11, Dim_Hotel!$I$2:$I$11)
 + (IF(J1498="",0,J1498)
    * _xlfn.XLOOKUP(B1498, Dim_Hotel!$A$2:$A$11, Dim_Hotel!$J$2:$J$11))</f>
        <v>165</v>
      </c>
    </row>
    <row r="1499" spans="1:13" x14ac:dyDescent="0.25">
      <c r="A1499" s="1">
        <f t="shared" si="184"/>
        <v>46172</v>
      </c>
      <c r="B1499" t="str" cm="1">
        <f t="array" ref="B1499">INDEX(HotelList,MOD(ROW()-2,10)+1)</f>
        <v>H008</v>
      </c>
      <c r="C1499">
        <f>_xlfn.XLOOKUP(B1499,Dim_Hotel!$A$2:$A$11,Dim_Hotel!$F$2:$F$11)</f>
        <v>103</v>
      </c>
      <c r="D1499">
        <f t="shared" si="185"/>
        <v>57</v>
      </c>
      <c r="E1499">
        <f t="shared" si="186"/>
        <v>0.55339805825242716</v>
      </c>
      <c r="F1499">
        <f t="shared" si="187"/>
        <v>140</v>
      </c>
      <c r="G1499">
        <f t="shared" si="188"/>
        <v>77.475728155339809</v>
      </c>
      <c r="H1499" t="str">
        <f>_xlfn.XLOOKUP(A1499,Fact_Events!$D$2:$D$20,Fact_Events!$A$2:$A$20, "")</f>
        <v/>
      </c>
      <c r="I1499">
        <f t="shared" si="189"/>
        <v>0</v>
      </c>
      <c r="J1499" t="str">
        <f>_xlfn.XLOOKUP(H1499, Fact_Events!$A$2:$A$20, Fact_Events!$F$2:$F$20, "")</f>
        <v/>
      </c>
      <c r="K1499" t="str">
        <f t="shared" si="190"/>
        <v>Low</v>
      </c>
      <c r="L1499">
        <f t="shared" si="191"/>
        <v>0.55000000000000004</v>
      </c>
      <c r="M1499">
        <f>_xlfn.XLOOKUP(B1499, Dim_Hotel!$A$2:$A$11, Dim_Hotel!$I$2:$I$11)
 + (IF(J1499="",0,J1499)
    * _xlfn.XLOOKUP(B1499, Dim_Hotel!$A$2:$A$11, Dim_Hotel!$J$2:$J$11))</f>
        <v>140</v>
      </c>
    </row>
    <row r="1500" spans="1:13" x14ac:dyDescent="0.25">
      <c r="A1500" s="1">
        <f t="shared" si="184"/>
        <v>46172</v>
      </c>
      <c r="B1500" t="str" cm="1">
        <f t="array" ref="B1500">INDEX(HotelList,MOD(ROW()-2,10)+1)</f>
        <v>H009</v>
      </c>
      <c r="C1500">
        <f>_xlfn.XLOOKUP(B1500,Dim_Hotel!$A$2:$A$11,Dim_Hotel!$F$2:$F$11)</f>
        <v>114</v>
      </c>
      <c r="D1500">
        <f t="shared" si="185"/>
        <v>63</v>
      </c>
      <c r="E1500">
        <f t="shared" si="186"/>
        <v>0.55263157894736847</v>
      </c>
      <c r="F1500">
        <f t="shared" si="187"/>
        <v>185</v>
      </c>
      <c r="G1500">
        <f t="shared" si="188"/>
        <v>102.23684210526316</v>
      </c>
      <c r="H1500" t="str">
        <f>_xlfn.XLOOKUP(A1500,Fact_Events!$D$2:$D$20,Fact_Events!$A$2:$A$20, "")</f>
        <v/>
      </c>
      <c r="I1500">
        <f t="shared" si="189"/>
        <v>0</v>
      </c>
      <c r="J1500" t="str">
        <f>_xlfn.XLOOKUP(H1500, Fact_Events!$A$2:$A$20, Fact_Events!$F$2:$F$20, "")</f>
        <v/>
      </c>
      <c r="K1500" t="str">
        <f t="shared" si="190"/>
        <v>Low</v>
      </c>
      <c r="L1500">
        <f t="shared" si="191"/>
        <v>0.55000000000000004</v>
      </c>
      <c r="M1500">
        <f>_xlfn.XLOOKUP(B1500, Dim_Hotel!$A$2:$A$11, Dim_Hotel!$I$2:$I$11)
 + (IF(J1500="",0,J1500)
    * _xlfn.XLOOKUP(B1500, Dim_Hotel!$A$2:$A$11, Dim_Hotel!$J$2:$J$11))</f>
        <v>185</v>
      </c>
    </row>
    <row r="1501" spans="1:13" x14ac:dyDescent="0.25">
      <c r="A1501" s="1">
        <f t="shared" si="184"/>
        <v>46172</v>
      </c>
      <c r="B1501" t="str" cm="1">
        <f t="array" ref="B1501">INDEX(HotelList,MOD(ROW()-2,10)+1)</f>
        <v>H010</v>
      </c>
      <c r="C1501">
        <f>_xlfn.XLOOKUP(B1501,Dim_Hotel!$A$2:$A$11,Dim_Hotel!$F$2:$F$11)</f>
        <v>89</v>
      </c>
      <c r="D1501">
        <f t="shared" si="185"/>
        <v>49</v>
      </c>
      <c r="E1501">
        <f t="shared" si="186"/>
        <v>0.550561797752809</v>
      </c>
      <c r="F1501">
        <f t="shared" si="187"/>
        <v>150</v>
      </c>
      <c r="G1501">
        <f t="shared" si="188"/>
        <v>82.584269662921344</v>
      </c>
      <c r="H1501" t="str">
        <f>_xlfn.XLOOKUP(A1501,Fact_Events!$D$2:$D$20,Fact_Events!$A$2:$A$20, "")</f>
        <v/>
      </c>
      <c r="I1501">
        <f t="shared" si="189"/>
        <v>0</v>
      </c>
      <c r="J1501" t="str">
        <f>_xlfn.XLOOKUP(H1501, Fact_Events!$A$2:$A$20, Fact_Events!$F$2:$F$20, "")</f>
        <v/>
      </c>
      <c r="K1501" t="str">
        <f t="shared" si="190"/>
        <v>Low</v>
      </c>
      <c r="L1501">
        <f t="shared" si="191"/>
        <v>0.55000000000000004</v>
      </c>
      <c r="M1501">
        <f>_xlfn.XLOOKUP(B1501, Dim_Hotel!$A$2:$A$11, Dim_Hotel!$I$2:$I$11)
 + (IF(J1501="",0,J1501)
    * _xlfn.XLOOKUP(B1501, Dim_Hotel!$A$2:$A$11, Dim_Hotel!$J$2:$J$11))</f>
        <v>150</v>
      </c>
    </row>
    <row r="1502" spans="1:13" x14ac:dyDescent="0.25">
      <c r="A1502" s="1">
        <f t="shared" si="184"/>
        <v>46173</v>
      </c>
      <c r="B1502" t="str" cm="1">
        <f t="array" ref="B1502">INDEX(HotelList,MOD(ROW()-2,10)+1)</f>
        <v>H001</v>
      </c>
      <c r="C1502">
        <f>_xlfn.XLOOKUP(B1502,Dim_Hotel!$A$2:$A$11,Dim_Hotel!$F$2:$F$11)</f>
        <v>888</v>
      </c>
      <c r="D1502">
        <f t="shared" si="185"/>
        <v>488</v>
      </c>
      <c r="E1502">
        <f t="shared" si="186"/>
        <v>0.5495495495495496</v>
      </c>
      <c r="F1502">
        <f t="shared" si="187"/>
        <v>260</v>
      </c>
      <c r="G1502">
        <f t="shared" si="188"/>
        <v>142.88288288288288</v>
      </c>
      <c r="H1502" t="str">
        <f>_xlfn.XLOOKUP(A1502,Fact_Events!$D$2:$D$20,Fact_Events!$A$2:$A$20, "")</f>
        <v/>
      </c>
      <c r="I1502">
        <f t="shared" si="189"/>
        <v>0</v>
      </c>
      <c r="J1502" t="str">
        <f>_xlfn.XLOOKUP(H1502, Fact_Events!$A$2:$A$20, Fact_Events!$F$2:$F$20, "")</f>
        <v/>
      </c>
      <c r="K1502" t="str">
        <f t="shared" si="190"/>
        <v>Low</v>
      </c>
      <c r="L1502">
        <f t="shared" si="191"/>
        <v>0.55000000000000004</v>
      </c>
      <c r="M1502">
        <f>_xlfn.XLOOKUP(B1502, Dim_Hotel!$A$2:$A$11, Dim_Hotel!$I$2:$I$11)
 + (IF(J1502="",0,J1502)
    * _xlfn.XLOOKUP(B1502, Dim_Hotel!$A$2:$A$11, Dim_Hotel!$J$2:$J$11))</f>
        <v>260</v>
      </c>
    </row>
    <row r="1503" spans="1:13" x14ac:dyDescent="0.25">
      <c r="A1503" s="1">
        <f t="shared" si="184"/>
        <v>46173</v>
      </c>
      <c r="B1503" t="str" cm="1">
        <f t="array" ref="B1503">INDEX(HotelList,MOD(ROW()-2,10)+1)</f>
        <v>H002</v>
      </c>
      <c r="C1503">
        <f>_xlfn.XLOOKUP(B1503,Dim_Hotel!$A$2:$A$11,Dim_Hotel!$F$2:$F$11)</f>
        <v>147</v>
      </c>
      <c r="D1503">
        <f t="shared" si="185"/>
        <v>81</v>
      </c>
      <c r="E1503">
        <f t="shared" si="186"/>
        <v>0.55102040816326525</v>
      </c>
      <c r="F1503">
        <f t="shared" si="187"/>
        <v>175</v>
      </c>
      <c r="G1503">
        <f t="shared" si="188"/>
        <v>96.428571428571416</v>
      </c>
      <c r="H1503" t="str">
        <f>_xlfn.XLOOKUP(A1503,Fact_Events!$D$2:$D$20,Fact_Events!$A$2:$A$20, "")</f>
        <v/>
      </c>
      <c r="I1503">
        <f t="shared" si="189"/>
        <v>0</v>
      </c>
      <c r="J1503" t="str">
        <f>_xlfn.XLOOKUP(H1503, Fact_Events!$A$2:$A$20, Fact_Events!$F$2:$F$20, "")</f>
        <v/>
      </c>
      <c r="K1503" t="str">
        <f t="shared" si="190"/>
        <v>Low</v>
      </c>
      <c r="L1503">
        <f t="shared" si="191"/>
        <v>0.55000000000000004</v>
      </c>
      <c r="M1503">
        <f>_xlfn.XLOOKUP(B1503, Dim_Hotel!$A$2:$A$11, Dim_Hotel!$I$2:$I$11)
 + (IF(J1503="",0,J1503)
    * _xlfn.XLOOKUP(B1503, Dim_Hotel!$A$2:$A$11, Dim_Hotel!$J$2:$J$11))</f>
        <v>175</v>
      </c>
    </row>
    <row r="1504" spans="1:13" x14ac:dyDescent="0.25">
      <c r="A1504" s="1">
        <f t="shared" si="184"/>
        <v>46173</v>
      </c>
      <c r="B1504" t="str" cm="1">
        <f t="array" ref="B1504">INDEX(HotelList,MOD(ROW()-2,10)+1)</f>
        <v>H003</v>
      </c>
      <c r="C1504">
        <f>_xlfn.XLOOKUP(B1504,Dim_Hotel!$A$2:$A$11,Dim_Hotel!$F$2:$F$11)</f>
        <v>121</v>
      </c>
      <c r="D1504">
        <f t="shared" si="185"/>
        <v>67</v>
      </c>
      <c r="E1504">
        <f t="shared" si="186"/>
        <v>0.55371900826446285</v>
      </c>
      <c r="F1504">
        <f t="shared" si="187"/>
        <v>145</v>
      </c>
      <c r="G1504">
        <f t="shared" si="188"/>
        <v>80.289256198347118</v>
      </c>
      <c r="H1504" t="str">
        <f>_xlfn.XLOOKUP(A1504,Fact_Events!$D$2:$D$20,Fact_Events!$A$2:$A$20, "")</f>
        <v/>
      </c>
      <c r="I1504">
        <f t="shared" si="189"/>
        <v>0</v>
      </c>
      <c r="J1504" t="str">
        <f>_xlfn.XLOOKUP(H1504, Fact_Events!$A$2:$A$20, Fact_Events!$F$2:$F$20, "")</f>
        <v/>
      </c>
      <c r="K1504" t="str">
        <f t="shared" si="190"/>
        <v>Low</v>
      </c>
      <c r="L1504">
        <f t="shared" si="191"/>
        <v>0.55000000000000004</v>
      </c>
      <c r="M1504">
        <f>_xlfn.XLOOKUP(B1504, Dim_Hotel!$A$2:$A$11, Dim_Hotel!$I$2:$I$11)
 + (IF(J1504="",0,J1504)
    * _xlfn.XLOOKUP(B1504, Dim_Hotel!$A$2:$A$11, Dim_Hotel!$J$2:$J$11))</f>
        <v>145</v>
      </c>
    </row>
    <row r="1505" spans="1:13" x14ac:dyDescent="0.25">
      <c r="A1505" s="1">
        <f t="shared" si="184"/>
        <v>46173</v>
      </c>
      <c r="B1505" t="str" cm="1">
        <f t="array" ref="B1505">INDEX(HotelList,MOD(ROW()-2,10)+1)</f>
        <v>H004</v>
      </c>
      <c r="C1505">
        <f>_xlfn.XLOOKUP(B1505,Dim_Hotel!$A$2:$A$11,Dim_Hotel!$F$2:$F$11)</f>
        <v>108</v>
      </c>
      <c r="D1505">
        <f t="shared" si="185"/>
        <v>59</v>
      </c>
      <c r="E1505">
        <f t="shared" si="186"/>
        <v>0.54629629629629628</v>
      </c>
      <c r="F1505">
        <f t="shared" si="187"/>
        <v>135</v>
      </c>
      <c r="G1505">
        <f t="shared" si="188"/>
        <v>73.75</v>
      </c>
      <c r="H1505" t="str">
        <f>_xlfn.XLOOKUP(A1505,Fact_Events!$D$2:$D$20,Fact_Events!$A$2:$A$20, "")</f>
        <v/>
      </c>
      <c r="I1505">
        <f t="shared" si="189"/>
        <v>0</v>
      </c>
      <c r="J1505" t="str">
        <f>_xlfn.XLOOKUP(H1505, Fact_Events!$A$2:$A$20, Fact_Events!$F$2:$F$20, "")</f>
        <v/>
      </c>
      <c r="K1505" t="str">
        <f t="shared" si="190"/>
        <v>Low</v>
      </c>
      <c r="L1505">
        <f t="shared" si="191"/>
        <v>0.55000000000000004</v>
      </c>
      <c r="M1505">
        <f>_xlfn.XLOOKUP(B1505, Dim_Hotel!$A$2:$A$11, Dim_Hotel!$I$2:$I$11)
 + (IF(J1505="",0,J1505)
    * _xlfn.XLOOKUP(B1505, Dim_Hotel!$A$2:$A$11, Dim_Hotel!$J$2:$J$11))</f>
        <v>135</v>
      </c>
    </row>
    <row r="1506" spans="1:13" x14ac:dyDescent="0.25">
      <c r="A1506" s="1">
        <f t="shared" si="184"/>
        <v>46173</v>
      </c>
      <c r="B1506" t="str" cm="1">
        <f t="array" ref="B1506">INDEX(HotelList,MOD(ROW()-2,10)+1)</f>
        <v>H005</v>
      </c>
      <c r="C1506">
        <f>_xlfn.XLOOKUP(B1506,Dim_Hotel!$A$2:$A$11,Dim_Hotel!$F$2:$F$11)</f>
        <v>66</v>
      </c>
      <c r="D1506">
        <f t="shared" si="185"/>
        <v>36</v>
      </c>
      <c r="E1506">
        <f t="shared" si="186"/>
        <v>0.54545454545454541</v>
      </c>
      <c r="F1506">
        <f t="shared" si="187"/>
        <v>82</v>
      </c>
      <c r="G1506">
        <f t="shared" si="188"/>
        <v>44.727272727272727</v>
      </c>
      <c r="H1506" t="str">
        <f>_xlfn.XLOOKUP(A1506,Fact_Events!$D$2:$D$20,Fact_Events!$A$2:$A$20, "")</f>
        <v/>
      </c>
      <c r="I1506">
        <f t="shared" si="189"/>
        <v>0</v>
      </c>
      <c r="J1506" t="str">
        <f>_xlfn.XLOOKUP(H1506, Fact_Events!$A$2:$A$20, Fact_Events!$F$2:$F$20, "")</f>
        <v/>
      </c>
      <c r="K1506" t="str">
        <f t="shared" si="190"/>
        <v>Low</v>
      </c>
      <c r="L1506">
        <f t="shared" si="191"/>
        <v>0.55000000000000004</v>
      </c>
      <c r="M1506">
        <f>_xlfn.XLOOKUP(B1506, Dim_Hotel!$A$2:$A$11, Dim_Hotel!$I$2:$I$11)
 + (IF(J1506="",0,J1506)
    * _xlfn.XLOOKUP(B1506, Dim_Hotel!$A$2:$A$11, Dim_Hotel!$J$2:$J$11))</f>
        <v>82</v>
      </c>
    </row>
    <row r="1507" spans="1:13" x14ac:dyDescent="0.25">
      <c r="A1507" s="1">
        <f t="shared" si="184"/>
        <v>46173</v>
      </c>
      <c r="B1507" t="str" cm="1">
        <f t="array" ref="B1507">INDEX(HotelList,MOD(ROW()-2,10)+1)</f>
        <v>H006</v>
      </c>
      <c r="C1507">
        <f>_xlfn.XLOOKUP(B1507,Dim_Hotel!$A$2:$A$11,Dim_Hotel!$F$2:$F$11)</f>
        <v>311</v>
      </c>
      <c r="D1507">
        <f t="shared" si="185"/>
        <v>171</v>
      </c>
      <c r="E1507">
        <f t="shared" si="186"/>
        <v>0.54983922829581988</v>
      </c>
      <c r="F1507">
        <f t="shared" si="187"/>
        <v>190</v>
      </c>
      <c r="G1507">
        <f t="shared" si="188"/>
        <v>104.46945337620578</v>
      </c>
      <c r="H1507" t="str">
        <f>_xlfn.XLOOKUP(A1507,Fact_Events!$D$2:$D$20,Fact_Events!$A$2:$A$20, "")</f>
        <v/>
      </c>
      <c r="I1507">
        <f t="shared" si="189"/>
        <v>0</v>
      </c>
      <c r="J1507" t="str">
        <f>_xlfn.XLOOKUP(H1507, Fact_Events!$A$2:$A$20, Fact_Events!$F$2:$F$20, "")</f>
        <v/>
      </c>
      <c r="K1507" t="str">
        <f t="shared" si="190"/>
        <v>Low</v>
      </c>
      <c r="L1507">
        <f t="shared" si="191"/>
        <v>0.55000000000000004</v>
      </c>
      <c r="M1507">
        <f>_xlfn.XLOOKUP(B1507, Dim_Hotel!$A$2:$A$11, Dim_Hotel!$I$2:$I$11)
 + (IF(J1507="",0,J1507)
    * _xlfn.XLOOKUP(B1507, Dim_Hotel!$A$2:$A$11, Dim_Hotel!$J$2:$J$11))</f>
        <v>190</v>
      </c>
    </row>
    <row r="1508" spans="1:13" x14ac:dyDescent="0.25">
      <c r="A1508" s="1">
        <f t="shared" si="184"/>
        <v>46173</v>
      </c>
      <c r="B1508" t="str" cm="1">
        <f t="array" ref="B1508">INDEX(HotelList,MOD(ROW()-2,10)+1)</f>
        <v>H007</v>
      </c>
      <c r="C1508">
        <f>_xlfn.XLOOKUP(B1508,Dim_Hotel!$A$2:$A$11,Dim_Hotel!$F$2:$F$11)</f>
        <v>132</v>
      </c>
      <c r="D1508">
        <f t="shared" si="185"/>
        <v>73</v>
      </c>
      <c r="E1508">
        <f t="shared" si="186"/>
        <v>0.55303030303030298</v>
      </c>
      <c r="F1508">
        <f t="shared" si="187"/>
        <v>165</v>
      </c>
      <c r="G1508">
        <f t="shared" si="188"/>
        <v>91.249999999999986</v>
      </c>
      <c r="H1508" t="str">
        <f>_xlfn.XLOOKUP(A1508,Fact_Events!$D$2:$D$20,Fact_Events!$A$2:$A$20, "")</f>
        <v/>
      </c>
      <c r="I1508">
        <f t="shared" si="189"/>
        <v>0</v>
      </c>
      <c r="J1508" t="str">
        <f>_xlfn.XLOOKUP(H1508, Fact_Events!$A$2:$A$20, Fact_Events!$F$2:$F$20, "")</f>
        <v/>
      </c>
      <c r="K1508" t="str">
        <f t="shared" si="190"/>
        <v>Low</v>
      </c>
      <c r="L1508">
        <f t="shared" si="191"/>
        <v>0.55000000000000004</v>
      </c>
      <c r="M1508">
        <f>_xlfn.XLOOKUP(B1508, Dim_Hotel!$A$2:$A$11, Dim_Hotel!$I$2:$I$11)
 + (IF(J1508="",0,J1508)
    * _xlfn.XLOOKUP(B1508, Dim_Hotel!$A$2:$A$11, Dim_Hotel!$J$2:$J$11))</f>
        <v>165</v>
      </c>
    </row>
    <row r="1509" spans="1:13" x14ac:dyDescent="0.25">
      <c r="A1509" s="1">
        <f t="shared" si="184"/>
        <v>46173</v>
      </c>
      <c r="B1509" t="str" cm="1">
        <f t="array" ref="B1509">INDEX(HotelList,MOD(ROW()-2,10)+1)</f>
        <v>H008</v>
      </c>
      <c r="C1509">
        <f>_xlfn.XLOOKUP(B1509,Dim_Hotel!$A$2:$A$11,Dim_Hotel!$F$2:$F$11)</f>
        <v>103</v>
      </c>
      <c r="D1509">
        <f t="shared" si="185"/>
        <v>57</v>
      </c>
      <c r="E1509">
        <f t="shared" si="186"/>
        <v>0.55339805825242716</v>
      </c>
      <c r="F1509">
        <f t="shared" si="187"/>
        <v>140</v>
      </c>
      <c r="G1509">
        <f t="shared" si="188"/>
        <v>77.475728155339809</v>
      </c>
      <c r="H1509" t="str">
        <f>_xlfn.XLOOKUP(A1509,Fact_Events!$D$2:$D$20,Fact_Events!$A$2:$A$20, "")</f>
        <v/>
      </c>
      <c r="I1509">
        <f t="shared" si="189"/>
        <v>0</v>
      </c>
      <c r="J1509" t="str">
        <f>_xlfn.XLOOKUP(H1509, Fact_Events!$A$2:$A$20, Fact_Events!$F$2:$F$20, "")</f>
        <v/>
      </c>
      <c r="K1509" t="str">
        <f t="shared" si="190"/>
        <v>Low</v>
      </c>
      <c r="L1509">
        <f t="shared" si="191"/>
        <v>0.55000000000000004</v>
      </c>
      <c r="M1509">
        <f>_xlfn.XLOOKUP(B1509, Dim_Hotel!$A$2:$A$11, Dim_Hotel!$I$2:$I$11)
 + (IF(J1509="",0,J1509)
    * _xlfn.XLOOKUP(B1509, Dim_Hotel!$A$2:$A$11, Dim_Hotel!$J$2:$J$11))</f>
        <v>140</v>
      </c>
    </row>
    <row r="1510" spans="1:13" x14ac:dyDescent="0.25">
      <c r="A1510" s="1">
        <f t="shared" si="184"/>
        <v>46173</v>
      </c>
      <c r="B1510" t="str" cm="1">
        <f t="array" ref="B1510">INDEX(HotelList,MOD(ROW()-2,10)+1)</f>
        <v>H009</v>
      </c>
      <c r="C1510">
        <f>_xlfn.XLOOKUP(B1510,Dim_Hotel!$A$2:$A$11,Dim_Hotel!$F$2:$F$11)</f>
        <v>114</v>
      </c>
      <c r="D1510">
        <f t="shared" si="185"/>
        <v>63</v>
      </c>
      <c r="E1510">
        <f t="shared" si="186"/>
        <v>0.55263157894736847</v>
      </c>
      <c r="F1510">
        <f t="shared" si="187"/>
        <v>185</v>
      </c>
      <c r="G1510">
        <f t="shared" si="188"/>
        <v>102.23684210526316</v>
      </c>
      <c r="H1510" t="str">
        <f>_xlfn.XLOOKUP(A1510,Fact_Events!$D$2:$D$20,Fact_Events!$A$2:$A$20, "")</f>
        <v/>
      </c>
      <c r="I1510">
        <f t="shared" si="189"/>
        <v>0</v>
      </c>
      <c r="J1510" t="str">
        <f>_xlfn.XLOOKUP(H1510, Fact_Events!$A$2:$A$20, Fact_Events!$F$2:$F$20, "")</f>
        <v/>
      </c>
      <c r="K1510" t="str">
        <f t="shared" si="190"/>
        <v>Low</v>
      </c>
      <c r="L1510">
        <f t="shared" si="191"/>
        <v>0.55000000000000004</v>
      </c>
      <c r="M1510">
        <f>_xlfn.XLOOKUP(B1510, Dim_Hotel!$A$2:$A$11, Dim_Hotel!$I$2:$I$11)
 + (IF(J1510="",0,J1510)
    * _xlfn.XLOOKUP(B1510, Dim_Hotel!$A$2:$A$11, Dim_Hotel!$J$2:$J$11))</f>
        <v>185</v>
      </c>
    </row>
    <row r="1511" spans="1:13" x14ac:dyDescent="0.25">
      <c r="A1511" s="1">
        <f t="shared" si="184"/>
        <v>46173</v>
      </c>
      <c r="B1511" t="str" cm="1">
        <f t="array" ref="B1511">INDEX(HotelList,MOD(ROW()-2,10)+1)</f>
        <v>H010</v>
      </c>
      <c r="C1511">
        <f>_xlfn.XLOOKUP(B1511,Dim_Hotel!$A$2:$A$11,Dim_Hotel!$F$2:$F$11)</f>
        <v>89</v>
      </c>
      <c r="D1511">
        <f t="shared" si="185"/>
        <v>49</v>
      </c>
      <c r="E1511">
        <f t="shared" si="186"/>
        <v>0.550561797752809</v>
      </c>
      <c r="F1511">
        <f t="shared" si="187"/>
        <v>150</v>
      </c>
      <c r="G1511">
        <f t="shared" si="188"/>
        <v>82.584269662921344</v>
      </c>
      <c r="H1511" t="str">
        <f>_xlfn.XLOOKUP(A1511,Fact_Events!$D$2:$D$20,Fact_Events!$A$2:$A$20, "")</f>
        <v/>
      </c>
      <c r="I1511">
        <f t="shared" si="189"/>
        <v>0</v>
      </c>
      <c r="J1511" t="str">
        <f>_xlfn.XLOOKUP(H1511, Fact_Events!$A$2:$A$20, Fact_Events!$F$2:$F$20, "")</f>
        <v/>
      </c>
      <c r="K1511" t="str">
        <f t="shared" si="190"/>
        <v>Low</v>
      </c>
      <c r="L1511">
        <f t="shared" si="191"/>
        <v>0.55000000000000004</v>
      </c>
      <c r="M1511">
        <f>_xlfn.XLOOKUP(B1511, Dim_Hotel!$A$2:$A$11, Dim_Hotel!$I$2:$I$11)
 + (IF(J1511="",0,J1511)
    * _xlfn.XLOOKUP(B1511, Dim_Hotel!$A$2:$A$11, Dim_Hotel!$J$2:$J$11))</f>
        <v>150</v>
      </c>
    </row>
    <row r="1512" spans="1:13" x14ac:dyDescent="0.25">
      <c r="A1512" s="1">
        <f t="shared" si="184"/>
        <v>46174</v>
      </c>
      <c r="B1512" t="str" cm="1">
        <f t="array" ref="B1512">INDEX(HotelList,MOD(ROW()-2,10)+1)</f>
        <v>H001</v>
      </c>
      <c r="C1512">
        <f>_xlfn.XLOOKUP(B1512,Dim_Hotel!$A$2:$A$11,Dim_Hotel!$F$2:$F$11)</f>
        <v>888</v>
      </c>
      <c r="D1512">
        <f t="shared" si="185"/>
        <v>488</v>
      </c>
      <c r="E1512">
        <f t="shared" si="186"/>
        <v>0.5495495495495496</v>
      </c>
      <c r="F1512">
        <f t="shared" si="187"/>
        <v>260</v>
      </c>
      <c r="G1512">
        <f t="shared" si="188"/>
        <v>142.88288288288288</v>
      </c>
      <c r="H1512" t="str">
        <f>_xlfn.XLOOKUP(A1512,Fact_Events!$D$2:$D$20,Fact_Events!$A$2:$A$20, "")</f>
        <v/>
      </c>
      <c r="I1512">
        <f t="shared" si="189"/>
        <v>0</v>
      </c>
      <c r="J1512" t="str">
        <f>_xlfn.XLOOKUP(H1512, Fact_Events!$A$2:$A$20, Fact_Events!$F$2:$F$20, "")</f>
        <v/>
      </c>
      <c r="K1512" t="str">
        <f t="shared" si="190"/>
        <v>Low</v>
      </c>
      <c r="L1512">
        <f t="shared" si="191"/>
        <v>0.55000000000000004</v>
      </c>
      <c r="M1512">
        <f>_xlfn.XLOOKUP(B1512, Dim_Hotel!$A$2:$A$11, Dim_Hotel!$I$2:$I$11)
 + (IF(J1512="",0,J1512)
    * _xlfn.XLOOKUP(B1512, Dim_Hotel!$A$2:$A$11, Dim_Hotel!$J$2:$J$11))</f>
        <v>260</v>
      </c>
    </row>
    <row r="1513" spans="1:13" x14ac:dyDescent="0.25">
      <c r="A1513" s="1">
        <f t="shared" si="184"/>
        <v>46174</v>
      </c>
      <c r="B1513" t="str" cm="1">
        <f t="array" ref="B1513">INDEX(HotelList,MOD(ROW()-2,10)+1)</f>
        <v>H002</v>
      </c>
      <c r="C1513">
        <f>_xlfn.XLOOKUP(B1513,Dim_Hotel!$A$2:$A$11,Dim_Hotel!$F$2:$F$11)</f>
        <v>147</v>
      </c>
      <c r="D1513">
        <f t="shared" si="185"/>
        <v>81</v>
      </c>
      <c r="E1513">
        <f t="shared" si="186"/>
        <v>0.55102040816326525</v>
      </c>
      <c r="F1513">
        <f t="shared" si="187"/>
        <v>175</v>
      </c>
      <c r="G1513">
        <f t="shared" si="188"/>
        <v>96.428571428571416</v>
      </c>
      <c r="H1513" t="str">
        <f>_xlfn.XLOOKUP(A1513,Fact_Events!$D$2:$D$20,Fact_Events!$A$2:$A$20, "")</f>
        <v/>
      </c>
      <c r="I1513">
        <f t="shared" si="189"/>
        <v>0</v>
      </c>
      <c r="J1513" t="str">
        <f>_xlfn.XLOOKUP(H1513, Fact_Events!$A$2:$A$20, Fact_Events!$F$2:$F$20, "")</f>
        <v/>
      </c>
      <c r="K1513" t="str">
        <f t="shared" si="190"/>
        <v>Low</v>
      </c>
      <c r="L1513">
        <f t="shared" si="191"/>
        <v>0.55000000000000004</v>
      </c>
      <c r="M1513">
        <f>_xlfn.XLOOKUP(B1513, Dim_Hotel!$A$2:$A$11, Dim_Hotel!$I$2:$I$11)
 + (IF(J1513="",0,J1513)
    * _xlfn.XLOOKUP(B1513, Dim_Hotel!$A$2:$A$11, Dim_Hotel!$J$2:$J$11))</f>
        <v>175</v>
      </c>
    </row>
    <row r="1514" spans="1:13" x14ac:dyDescent="0.25">
      <c r="A1514" s="1">
        <f t="shared" si="184"/>
        <v>46174</v>
      </c>
      <c r="B1514" t="str" cm="1">
        <f t="array" ref="B1514">INDEX(HotelList,MOD(ROW()-2,10)+1)</f>
        <v>H003</v>
      </c>
      <c r="C1514">
        <f>_xlfn.XLOOKUP(B1514,Dim_Hotel!$A$2:$A$11,Dim_Hotel!$F$2:$F$11)</f>
        <v>121</v>
      </c>
      <c r="D1514">
        <f t="shared" si="185"/>
        <v>67</v>
      </c>
      <c r="E1514">
        <f t="shared" si="186"/>
        <v>0.55371900826446285</v>
      </c>
      <c r="F1514">
        <f t="shared" si="187"/>
        <v>145</v>
      </c>
      <c r="G1514">
        <f t="shared" si="188"/>
        <v>80.289256198347118</v>
      </c>
      <c r="H1514" t="str">
        <f>_xlfn.XLOOKUP(A1514,Fact_Events!$D$2:$D$20,Fact_Events!$A$2:$A$20, "")</f>
        <v/>
      </c>
      <c r="I1514">
        <f t="shared" si="189"/>
        <v>0</v>
      </c>
      <c r="J1514" t="str">
        <f>_xlfn.XLOOKUP(H1514, Fact_Events!$A$2:$A$20, Fact_Events!$F$2:$F$20, "")</f>
        <v/>
      </c>
      <c r="K1514" t="str">
        <f t="shared" si="190"/>
        <v>Low</v>
      </c>
      <c r="L1514">
        <f t="shared" si="191"/>
        <v>0.55000000000000004</v>
      </c>
      <c r="M1514">
        <f>_xlfn.XLOOKUP(B1514, Dim_Hotel!$A$2:$A$11, Dim_Hotel!$I$2:$I$11)
 + (IF(J1514="",0,J1514)
    * _xlfn.XLOOKUP(B1514, Dim_Hotel!$A$2:$A$11, Dim_Hotel!$J$2:$J$11))</f>
        <v>145</v>
      </c>
    </row>
    <row r="1515" spans="1:13" x14ac:dyDescent="0.25">
      <c r="A1515" s="1">
        <f t="shared" si="184"/>
        <v>46174</v>
      </c>
      <c r="B1515" t="str" cm="1">
        <f t="array" ref="B1515">INDEX(HotelList,MOD(ROW()-2,10)+1)</f>
        <v>H004</v>
      </c>
      <c r="C1515">
        <f>_xlfn.XLOOKUP(B1515,Dim_Hotel!$A$2:$A$11,Dim_Hotel!$F$2:$F$11)</f>
        <v>108</v>
      </c>
      <c r="D1515">
        <f t="shared" si="185"/>
        <v>59</v>
      </c>
      <c r="E1515">
        <f t="shared" si="186"/>
        <v>0.54629629629629628</v>
      </c>
      <c r="F1515">
        <f t="shared" si="187"/>
        <v>135</v>
      </c>
      <c r="G1515">
        <f t="shared" si="188"/>
        <v>73.75</v>
      </c>
      <c r="H1515" t="str">
        <f>_xlfn.XLOOKUP(A1515,Fact_Events!$D$2:$D$20,Fact_Events!$A$2:$A$20, "")</f>
        <v/>
      </c>
      <c r="I1515">
        <f t="shared" si="189"/>
        <v>0</v>
      </c>
      <c r="J1515" t="str">
        <f>_xlfn.XLOOKUP(H1515, Fact_Events!$A$2:$A$20, Fact_Events!$F$2:$F$20, "")</f>
        <v/>
      </c>
      <c r="K1515" t="str">
        <f t="shared" si="190"/>
        <v>Low</v>
      </c>
      <c r="L1515">
        <f t="shared" si="191"/>
        <v>0.55000000000000004</v>
      </c>
      <c r="M1515">
        <f>_xlfn.XLOOKUP(B1515, Dim_Hotel!$A$2:$A$11, Dim_Hotel!$I$2:$I$11)
 + (IF(J1515="",0,J1515)
    * _xlfn.XLOOKUP(B1515, Dim_Hotel!$A$2:$A$11, Dim_Hotel!$J$2:$J$11))</f>
        <v>135</v>
      </c>
    </row>
    <row r="1516" spans="1:13" x14ac:dyDescent="0.25">
      <c r="A1516" s="1">
        <f t="shared" si="184"/>
        <v>46174</v>
      </c>
      <c r="B1516" t="str" cm="1">
        <f t="array" ref="B1516">INDEX(HotelList,MOD(ROW()-2,10)+1)</f>
        <v>H005</v>
      </c>
      <c r="C1516">
        <f>_xlfn.XLOOKUP(B1516,Dim_Hotel!$A$2:$A$11,Dim_Hotel!$F$2:$F$11)</f>
        <v>66</v>
      </c>
      <c r="D1516">
        <f t="shared" si="185"/>
        <v>36</v>
      </c>
      <c r="E1516">
        <f t="shared" si="186"/>
        <v>0.54545454545454541</v>
      </c>
      <c r="F1516">
        <f t="shared" si="187"/>
        <v>82</v>
      </c>
      <c r="G1516">
        <f t="shared" si="188"/>
        <v>44.727272727272727</v>
      </c>
      <c r="H1516" t="str">
        <f>_xlfn.XLOOKUP(A1516,Fact_Events!$D$2:$D$20,Fact_Events!$A$2:$A$20, "")</f>
        <v/>
      </c>
      <c r="I1516">
        <f t="shared" si="189"/>
        <v>0</v>
      </c>
      <c r="J1516" t="str">
        <f>_xlfn.XLOOKUP(H1516, Fact_Events!$A$2:$A$20, Fact_Events!$F$2:$F$20, "")</f>
        <v/>
      </c>
      <c r="K1516" t="str">
        <f t="shared" si="190"/>
        <v>Low</v>
      </c>
      <c r="L1516">
        <f t="shared" si="191"/>
        <v>0.55000000000000004</v>
      </c>
      <c r="M1516">
        <f>_xlfn.XLOOKUP(B1516, Dim_Hotel!$A$2:$A$11, Dim_Hotel!$I$2:$I$11)
 + (IF(J1516="",0,J1516)
    * _xlfn.XLOOKUP(B1516, Dim_Hotel!$A$2:$A$11, Dim_Hotel!$J$2:$J$11))</f>
        <v>82</v>
      </c>
    </row>
    <row r="1517" spans="1:13" x14ac:dyDescent="0.25">
      <c r="A1517" s="1">
        <f t="shared" si="184"/>
        <v>46174</v>
      </c>
      <c r="B1517" t="str" cm="1">
        <f t="array" ref="B1517">INDEX(HotelList,MOD(ROW()-2,10)+1)</f>
        <v>H006</v>
      </c>
      <c r="C1517">
        <f>_xlfn.XLOOKUP(B1517,Dim_Hotel!$A$2:$A$11,Dim_Hotel!$F$2:$F$11)</f>
        <v>311</v>
      </c>
      <c r="D1517">
        <f t="shared" si="185"/>
        <v>171</v>
      </c>
      <c r="E1517">
        <f t="shared" si="186"/>
        <v>0.54983922829581988</v>
      </c>
      <c r="F1517">
        <f t="shared" si="187"/>
        <v>190</v>
      </c>
      <c r="G1517">
        <f t="shared" si="188"/>
        <v>104.46945337620578</v>
      </c>
      <c r="H1517" t="str">
        <f>_xlfn.XLOOKUP(A1517,Fact_Events!$D$2:$D$20,Fact_Events!$A$2:$A$20, "")</f>
        <v/>
      </c>
      <c r="I1517">
        <f t="shared" si="189"/>
        <v>0</v>
      </c>
      <c r="J1517" t="str">
        <f>_xlfn.XLOOKUP(H1517, Fact_Events!$A$2:$A$20, Fact_Events!$F$2:$F$20, "")</f>
        <v/>
      </c>
      <c r="K1517" t="str">
        <f t="shared" si="190"/>
        <v>Low</v>
      </c>
      <c r="L1517">
        <f t="shared" si="191"/>
        <v>0.55000000000000004</v>
      </c>
      <c r="M1517">
        <f>_xlfn.XLOOKUP(B1517, Dim_Hotel!$A$2:$A$11, Dim_Hotel!$I$2:$I$11)
 + (IF(J1517="",0,J1517)
    * _xlfn.XLOOKUP(B1517, Dim_Hotel!$A$2:$A$11, Dim_Hotel!$J$2:$J$11))</f>
        <v>190</v>
      </c>
    </row>
    <row r="1518" spans="1:13" x14ac:dyDescent="0.25">
      <c r="A1518" s="1">
        <f t="shared" si="184"/>
        <v>46174</v>
      </c>
      <c r="B1518" t="str" cm="1">
        <f t="array" ref="B1518">INDEX(HotelList,MOD(ROW()-2,10)+1)</f>
        <v>H007</v>
      </c>
      <c r="C1518">
        <f>_xlfn.XLOOKUP(B1518,Dim_Hotel!$A$2:$A$11,Dim_Hotel!$F$2:$F$11)</f>
        <v>132</v>
      </c>
      <c r="D1518">
        <f t="shared" si="185"/>
        <v>73</v>
      </c>
      <c r="E1518">
        <f t="shared" si="186"/>
        <v>0.55303030303030298</v>
      </c>
      <c r="F1518">
        <f t="shared" si="187"/>
        <v>165</v>
      </c>
      <c r="G1518">
        <f t="shared" si="188"/>
        <v>91.249999999999986</v>
      </c>
      <c r="H1518" t="str">
        <f>_xlfn.XLOOKUP(A1518,Fact_Events!$D$2:$D$20,Fact_Events!$A$2:$A$20, "")</f>
        <v/>
      </c>
      <c r="I1518">
        <f t="shared" si="189"/>
        <v>0</v>
      </c>
      <c r="J1518" t="str">
        <f>_xlfn.XLOOKUP(H1518, Fact_Events!$A$2:$A$20, Fact_Events!$F$2:$F$20, "")</f>
        <v/>
      </c>
      <c r="K1518" t="str">
        <f t="shared" si="190"/>
        <v>Low</v>
      </c>
      <c r="L1518">
        <f t="shared" si="191"/>
        <v>0.55000000000000004</v>
      </c>
      <c r="M1518">
        <f>_xlfn.XLOOKUP(B1518, Dim_Hotel!$A$2:$A$11, Dim_Hotel!$I$2:$I$11)
 + (IF(J1518="",0,J1518)
    * _xlfn.XLOOKUP(B1518, Dim_Hotel!$A$2:$A$11, Dim_Hotel!$J$2:$J$11))</f>
        <v>165</v>
      </c>
    </row>
    <row r="1519" spans="1:13" x14ac:dyDescent="0.25">
      <c r="A1519" s="1">
        <f t="shared" si="184"/>
        <v>46174</v>
      </c>
      <c r="B1519" t="str" cm="1">
        <f t="array" ref="B1519">INDEX(HotelList,MOD(ROW()-2,10)+1)</f>
        <v>H008</v>
      </c>
      <c r="C1519">
        <f>_xlfn.XLOOKUP(B1519,Dim_Hotel!$A$2:$A$11,Dim_Hotel!$F$2:$F$11)</f>
        <v>103</v>
      </c>
      <c r="D1519">
        <f t="shared" si="185"/>
        <v>57</v>
      </c>
      <c r="E1519">
        <f t="shared" si="186"/>
        <v>0.55339805825242716</v>
      </c>
      <c r="F1519">
        <f t="shared" si="187"/>
        <v>140</v>
      </c>
      <c r="G1519">
        <f t="shared" si="188"/>
        <v>77.475728155339809</v>
      </c>
      <c r="H1519" t="str">
        <f>_xlfn.XLOOKUP(A1519,Fact_Events!$D$2:$D$20,Fact_Events!$A$2:$A$20, "")</f>
        <v/>
      </c>
      <c r="I1519">
        <f t="shared" si="189"/>
        <v>0</v>
      </c>
      <c r="J1519" t="str">
        <f>_xlfn.XLOOKUP(H1519, Fact_Events!$A$2:$A$20, Fact_Events!$F$2:$F$20, "")</f>
        <v/>
      </c>
      <c r="K1519" t="str">
        <f t="shared" si="190"/>
        <v>Low</v>
      </c>
      <c r="L1519">
        <f t="shared" si="191"/>
        <v>0.55000000000000004</v>
      </c>
      <c r="M1519">
        <f>_xlfn.XLOOKUP(B1519, Dim_Hotel!$A$2:$A$11, Dim_Hotel!$I$2:$I$11)
 + (IF(J1519="",0,J1519)
    * _xlfn.XLOOKUP(B1519, Dim_Hotel!$A$2:$A$11, Dim_Hotel!$J$2:$J$11))</f>
        <v>140</v>
      </c>
    </row>
    <row r="1520" spans="1:13" x14ac:dyDescent="0.25">
      <c r="A1520" s="1">
        <f t="shared" si="184"/>
        <v>46174</v>
      </c>
      <c r="B1520" t="str" cm="1">
        <f t="array" ref="B1520">INDEX(HotelList,MOD(ROW()-2,10)+1)</f>
        <v>H009</v>
      </c>
      <c r="C1520">
        <f>_xlfn.XLOOKUP(B1520,Dim_Hotel!$A$2:$A$11,Dim_Hotel!$F$2:$F$11)</f>
        <v>114</v>
      </c>
      <c r="D1520">
        <f t="shared" si="185"/>
        <v>63</v>
      </c>
      <c r="E1520">
        <f t="shared" si="186"/>
        <v>0.55263157894736847</v>
      </c>
      <c r="F1520">
        <f t="shared" si="187"/>
        <v>185</v>
      </c>
      <c r="G1520">
        <f t="shared" si="188"/>
        <v>102.23684210526316</v>
      </c>
      <c r="H1520" t="str">
        <f>_xlfn.XLOOKUP(A1520,Fact_Events!$D$2:$D$20,Fact_Events!$A$2:$A$20, "")</f>
        <v/>
      </c>
      <c r="I1520">
        <f t="shared" si="189"/>
        <v>0</v>
      </c>
      <c r="J1520" t="str">
        <f>_xlfn.XLOOKUP(H1520, Fact_Events!$A$2:$A$20, Fact_Events!$F$2:$F$20, "")</f>
        <v/>
      </c>
      <c r="K1520" t="str">
        <f t="shared" si="190"/>
        <v>Low</v>
      </c>
      <c r="L1520">
        <f t="shared" si="191"/>
        <v>0.55000000000000004</v>
      </c>
      <c r="M1520">
        <f>_xlfn.XLOOKUP(B1520, Dim_Hotel!$A$2:$A$11, Dim_Hotel!$I$2:$I$11)
 + (IF(J1520="",0,J1520)
    * _xlfn.XLOOKUP(B1520, Dim_Hotel!$A$2:$A$11, Dim_Hotel!$J$2:$J$11))</f>
        <v>185</v>
      </c>
    </row>
    <row r="1521" spans="1:13" x14ac:dyDescent="0.25">
      <c r="A1521" s="1">
        <f t="shared" si="184"/>
        <v>46174</v>
      </c>
      <c r="B1521" t="str" cm="1">
        <f t="array" ref="B1521">INDEX(HotelList,MOD(ROW()-2,10)+1)</f>
        <v>H010</v>
      </c>
      <c r="C1521">
        <f>_xlfn.XLOOKUP(B1521,Dim_Hotel!$A$2:$A$11,Dim_Hotel!$F$2:$F$11)</f>
        <v>89</v>
      </c>
      <c r="D1521">
        <f t="shared" si="185"/>
        <v>49</v>
      </c>
      <c r="E1521">
        <f t="shared" si="186"/>
        <v>0.550561797752809</v>
      </c>
      <c r="F1521">
        <f t="shared" si="187"/>
        <v>150</v>
      </c>
      <c r="G1521">
        <f t="shared" si="188"/>
        <v>82.584269662921344</v>
      </c>
      <c r="H1521" t="str">
        <f>_xlfn.XLOOKUP(A1521,Fact_Events!$D$2:$D$20,Fact_Events!$A$2:$A$20, "")</f>
        <v/>
      </c>
      <c r="I1521">
        <f t="shared" si="189"/>
        <v>0</v>
      </c>
      <c r="J1521" t="str">
        <f>_xlfn.XLOOKUP(H1521, Fact_Events!$A$2:$A$20, Fact_Events!$F$2:$F$20, "")</f>
        <v/>
      </c>
      <c r="K1521" t="str">
        <f t="shared" si="190"/>
        <v>Low</v>
      </c>
      <c r="L1521">
        <f t="shared" si="191"/>
        <v>0.55000000000000004</v>
      </c>
      <c r="M1521">
        <f>_xlfn.XLOOKUP(B1521, Dim_Hotel!$A$2:$A$11, Dim_Hotel!$I$2:$I$11)
 + (IF(J1521="",0,J1521)
    * _xlfn.XLOOKUP(B1521, Dim_Hotel!$A$2:$A$11, Dim_Hotel!$J$2:$J$11))</f>
        <v>150</v>
      </c>
    </row>
    <row r="1522" spans="1:13" x14ac:dyDescent="0.25">
      <c r="A1522" s="1">
        <f t="shared" si="184"/>
        <v>46175</v>
      </c>
      <c r="B1522" t="str" cm="1">
        <f t="array" ref="B1522">INDEX(HotelList,MOD(ROW()-2,10)+1)</f>
        <v>H001</v>
      </c>
      <c r="C1522">
        <f>_xlfn.XLOOKUP(B1522,Dim_Hotel!$A$2:$A$11,Dim_Hotel!$F$2:$F$11)</f>
        <v>888</v>
      </c>
      <c r="D1522">
        <f t="shared" si="185"/>
        <v>488</v>
      </c>
      <c r="E1522">
        <f t="shared" si="186"/>
        <v>0.5495495495495496</v>
      </c>
      <c r="F1522">
        <f t="shared" si="187"/>
        <v>260</v>
      </c>
      <c r="G1522">
        <f t="shared" si="188"/>
        <v>142.88288288288288</v>
      </c>
      <c r="H1522" t="str">
        <f>_xlfn.XLOOKUP(A1522,Fact_Events!$D$2:$D$20,Fact_Events!$A$2:$A$20, "")</f>
        <v/>
      </c>
      <c r="I1522">
        <f t="shared" si="189"/>
        <v>0</v>
      </c>
      <c r="J1522" t="str">
        <f>_xlfn.XLOOKUP(H1522, Fact_Events!$A$2:$A$20, Fact_Events!$F$2:$F$20, "")</f>
        <v/>
      </c>
      <c r="K1522" t="str">
        <f t="shared" si="190"/>
        <v>Low</v>
      </c>
      <c r="L1522">
        <f t="shared" si="191"/>
        <v>0.55000000000000004</v>
      </c>
      <c r="M1522">
        <f>_xlfn.XLOOKUP(B1522, Dim_Hotel!$A$2:$A$11, Dim_Hotel!$I$2:$I$11)
 + (IF(J1522="",0,J1522)
    * _xlfn.XLOOKUP(B1522, Dim_Hotel!$A$2:$A$11, Dim_Hotel!$J$2:$J$11))</f>
        <v>260</v>
      </c>
    </row>
    <row r="1523" spans="1:13" x14ac:dyDescent="0.25">
      <c r="A1523" s="1">
        <f t="shared" si="184"/>
        <v>46175</v>
      </c>
      <c r="B1523" t="str" cm="1">
        <f t="array" ref="B1523">INDEX(HotelList,MOD(ROW()-2,10)+1)</f>
        <v>H002</v>
      </c>
      <c r="C1523">
        <f>_xlfn.XLOOKUP(B1523,Dim_Hotel!$A$2:$A$11,Dim_Hotel!$F$2:$F$11)</f>
        <v>147</v>
      </c>
      <c r="D1523">
        <f t="shared" si="185"/>
        <v>81</v>
      </c>
      <c r="E1523">
        <f t="shared" si="186"/>
        <v>0.55102040816326525</v>
      </c>
      <c r="F1523">
        <f t="shared" si="187"/>
        <v>175</v>
      </c>
      <c r="G1523">
        <f t="shared" si="188"/>
        <v>96.428571428571416</v>
      </c>
      <c r="H1523" t="str">
        <f>_xlfn.XLOOKUP(A1523,Fact_Events!$D$2:$D$20,Fact_Events!$A$2:$A$20, "")</f>
        <v/>
      </c>
      <c r="I1523">
        <f t="shared" si="189"/>
        <v>0</v>
      </c>
      <c r="J1523" t="str">
        <f>_xlfn.XLOOKUP(H1523, Fact_Events!$A$2:$A$20, Fact_Events!$F$2:$F$20, "")</f>
        <v/>
      </c>
      <c r="K1523" t="str">
        <f t="shared" si="190"/>
        <v>Low</v>
      </c>
      <c r="L1523">
        <f t="shared" si="191"/>
        <v>0.55000000000000004</v>
      </c>
      <c r="M1523">
        <f>_xlfn.XLOOKUP(B1523, Dim_Hotel!$A$2:$A$11, Dim_Hotel!$I$2:$I$11)
 + (IF(J1523="",0,J1523)
    * _xlfn.XLOOKUP(B1523, Dim_Hotel!$A$2:$A$11, Dim_Hotel!$J$2:$J$11))</f>
        <v>175</v>
      </c>
    </row>
    <row r="1524" spans="1:13" x14ac:dyDescent="0.25">
      <c r="A1524" s="1">
        <f t="shared" si="184"/>
        <v>46175</v>
      </c>
      <c r="B1524" t="str" cm="1">
        <f t="array" ref="B1524">INDEX(HotelList,MOD(ROW()-2,10)+1)</f>
        <v>H003</v>
      </c>
      <c r="C1524">
        <f>_xlfn.XLOOKUP(B1524,Dim_Hotel!$A$2:$A$11,Dim_Hotel!$F$2:$F$11)</f>
        <v>121</v>
      </c>
      <c r="D1524">
        <f t="shared" si="185"/>
        <v>67</v>
      </c>
      <c r="E1524">
        <f t="shared" si="186"/>
        <v>0.55371900826446285</v>
      </c>
      <c r="F1524">
        <f t="shared" si="187"/>
        <v>145</v>
      </c>
      <c r="G1524">
        <f t="shared" si="188"/>
        <v>80.289256198347118</v>
      </c>
      <c r="H1524" t="str">
        <f>_xlfn.XLOOKUP(A1524,Fact_Events!$D$2:$D$20,Fact_Events!$A$2:$A$20, "")</f>
        <v/>
      </c>
      <c r="I1524">
        <f t="shared" si="189"/>
        <v>0</v>
      </c>
      <c r="J1524" t="str">
        <f>_xlfn.XLOOKUP(H1524, Fact_Events!$A$2:$A$20, Fact_Events!$F$2:$F$20, "")</f>
        <v/>
      </c>
      <c r="K1524" t="str">
        <f t="shared" si="190"/>
        <v>Low</v>
      </c>
      <c r="L1524">
        <f t="shared" si="191"/>
        <v>0.55000000000000004</v>
      </c>
      <c r="M1524">
        <f>_xlfn.XLOOKUP(B1524, Dim_Hotel!$A$2:$A$11, Dim_Hotel!$I$2:$I$11)
 + (IF(J1524="",0,J1524)
    * _xlfn.XLOOKUP(B1524, Dim_Hotel!$A$2:$A$11, Dim_Hotel!$J$2:$J$11))</f>
        <v>145</v>
      </c>
    </row>
    <row r="1525" spans="1:13" x14ac:dyDescent="0.25">
      <c r="A1525" s="1">
        <f t="shared" si="184"/>
        <v>46175</v>
      </c>
      <c r="B1525" t="str" cm="1">
        <f t="array" ref="B1525">INDEX(HotelList,MOD(ROW()-2,10)+1)</f>
        <v>H004</v>
      </c>
      <c r="C1525">
        <f>_xlfn.XLOOKUP(B1525,Dim_Hotel!$A$2:$A$11,Dim_Hotel!$F$2:$F$11)</f>
        <v>108</v>
      </c>
      <c r="D1525">
        <f t="shared" si="185"/>
        <v>59</v>
      </c>
      <c r="E1525">
        <f t="shared" si="186"/>
        <v>0.54629629629629628</v>
      </c>
      <c r="F1525">
        <f t="shared" si="187"/>
        <v>135</v>
      </c>
      <c r="G1525">
        <f t="shared" si="188"/>
        <v>73.75</v>
      </c>
      <c r="H1525" t="str">
        <f>_xlfn.XLOOKUP(A1525,Fact_Events!$D$2:$D$20,Fact_Events!$A$2:$A$20, "")</f>
        <v/>
      </c>
      <c r="I1525">
        <f t="shared" si="189"/>
        <v>0</v>
      </c>
      <c r="J1525" t="str">
        <f>_xlfn.XLOOKUP(H1525, Fact_Events!$A$2:$A$20, Fact_Events!$F$2:$F$20, "")</f>
        <v/>
      </c>
      <c r="K1525" t="str">
        <f t="shared" si="190"/>
        <v>Low</v>
      </c>
      <c r="L1525">
        <f t="shared" si="191"/>
        <v>0.55000000000000004</v>
      </c>
      <c r="M1525">
        <f>_xlfn.XLOOKUP(B1525, Dim_Hotel!$A$2:$A$11, Dim_Hotel!$I$2:$I$11)
 + (IF(J1525="",0,J1525)
    * _xlfn.XLOOKUP(B1525, Dim_Hotel!$A$2:$A$11, Dim_Hotel!$J$2:$J$11))</f>
        <v>135</v>
      </c>
    </row>
    <row r="1526" spans="1:13" x14ac:dyDescent="0.25">
      <c r="A1526" s="1">
        <f t="shared" si="184"/>
        <v>46175</v>
      </c>
      <c r="B1526" t="str" cm="1">
        <f t="array" ref="B1526">INDEX(HotelList,MOD(ROW()-2,10)+1)</f>
        <v>H005</v>
      </c>
      <c r="C1526">
        <f>_xlfn.XLOOKUP(B1526,Dim_Hotel!$A$2:$A$11,Dim_Hotel!$F$2:$F$11)</f>
        <v>66</v>
      </c>
      <c r="D1526">
        <f t="shared" si="185"/>
        <v>36</v>
      </c>
      <c r="E1526">
        <f t="shared" si="186"/>
        <v>0.54545454545454541</v>
      </c>
      <c r="F1526">
        <f t="shared" si="187"/>
        <v>82</v>
      </c>
      <c r="G1526">
        <f t="shared" si="188"/>
        <v>44.727272727272727</v>
      </c>
      <c r="H1526" t="str">
        <f>_xlfn.XLOOKUP(A1526,Fact_Events!$D$2:$D$20,Fact_Events!$A$2:$A$20, "")</f>
        <v/>
      </c>
      <c r="I1526">
        <f t="shared" si="189"/>
        <v>0</v>
      </c>
      <c r="J1526" t="str">
        <f>_xlfn.XLOOKUP(H1526, Fact_Events!$A$2:$A$20, Fact_Events!$F$2:$F$20, "")</f>
        <v/>
      </c>
      <c r="K1526" t="str">
        <f t="shared" si="190"/>
        <v>Low</v>
      </c>
      <c r="L1526">
        <f t="shared" si="191"/>
        <v>0.55000000000000004</v>
      </c>
      <c r="M1526">
        <f>_xlfn.XLOOKUP(B1526, Dim_Hotel!$A$2:$A$11, Dim_Hotel!$I$2:$I$11)
 + (IF(J1526="",0,J1526)
    * _xlfn.XLOOKUP(B1526, Dim_Hotel!$A$2:$A$11, Dim_Hotel!$J$2:$J$11))</f>
        <v>82</v>
      </c>
    </row>
    <row r="1527" spans="1:13" x14ac:dyDescent="0.25">
      <c r="A1527" s="1">
        <f t="shared" si="184"/>
        <v>46175</v>
      </c>
      <c r="B1527" t="str" cm="1">
        <f t="array" ref="B1527">INDEX(HotelList,MOD(ROW()-2,10)+1)</f>
        <v>H006</v>
      </c>
      <c r="C1527">
        <f>_xlfn.XLOOKUP(B1527,Dim_Hotel!$A$2:$A$11,Dim_Hotel!$F$2:$F$11)</f>
        <v>311</v>
      </c>
      <c r="D1527">
        <f t="shared" si="185"/>
        <v>171</v>
      </c>
      <c r="E1527">
        <f t="shared" si="186"/>
        <v>0.54983922829581988</v>
      </c>
      <c r="F1527">
        <f t="shared" si="187"/>
        <v>190</v>
      </c>
      <c r="G1527">
        <f t="shared" si="188"/>
        <v>104.46945337620578</v>
      </c>
      <c r="H1527" t="str">
        <f>_xlfn.XLOOKUP(A1527,Fact_Events!$D$2:$D$20,Fact_Events!$A$2:$A$20, "")</f>
        <v/>
      </c>
      <c r="I1527">
        <f t="shared" si="189"/>
        <v>0</v>
      </c>
      <c r="J1527" t="str">
        <f>_xlfn.XLOOKUP(H1527, Fact_Events!$A$2:$A$20, Fact_Events!$F$2:$F$20, "")</f>
        <v/>
      </c>
      <c r="K1527" t="str">
        <f t="shared" si="190"/>
        <v>Low</v>
      </c>
      <c r="L1527">
        <f t="shared" si="191"/>
        <v>0.55000000000000004</v>
      </c>
      <c r="M1527">
        <f>_xlfn.XLOOKUP(B1527, Dim_Hotel!$A$2:$A$11, Dim_Hotel!$I$2:$I$11)
 + (IF(J1527="",0,J1527)
    * _xlfn.XLOOKUP(B1527, Dim_Hotel!$A$2:$A$11, Dim_Hotel!$J$2:$J$11))</f>
        <v>190</v>
      </c>
    </row>
    <row r="1528" spans="1:13" x14ac:dyDescent="0.25">
      <c r="A1528" s="1">
        <f t="shared" si="184"/>
        <v>46175</v>
      </c>
      <c r="B1528" t="str" cm="1">
        <f t="array" ref="B1528">INDEX(HotelList,MOD(ROW()-2,10)+1)</f>
        <v>H007</v>
      </c>
      <c r="C1528">
        <f>_xlfn.XLOOKUP(B1528,Dim_Hotel!$A$2:$A$11,Dim_Hotel!$F$2:$F$11)</f>
        <v>132</v>
      </c>
      <c r="D1528">
        <f t="shared" si="185"/>
        <v>73</v>
      </c>
      <c r="E1528">
        <f t="shared" si="186"/>
        <v>0.55303030303030298</v>
      </c>
      <c r="F1528">
        <f t="shared" si="187"/>
        <v>165</v>
      </c>
      <c r="G1528">
        <f t="shared" si="188"/>
        <v>91.249999999999986</v>
      </c>
      <c r="H1528" t="str">
        <f>_xlfn.XLOOKUP(A1528,Fact_Events!$D$2:$D$20,Fact_Events!$A$2:$A$20, "")</f>
        <v/>
      </c>
      <c r="I1528">
        <f t="shared" si="189"/>
        <v>0</v>
      </c>
      <c r="J1528" t="str">
        <f>_xlfn.XLOOKUP(H1528, Fact_Events!$A$2:$A$20, Fact_Events!$F$2:$F$20, "")</f>
        <v/>
      </c>
      <c r="K1528" t="str">
        <f t="shared" si="190"/>
        <v>Low</v>
      </c>
      <c r="L1528">
        <f t="shared" si="191"/>
        <v>0.55000000000000004</v>
      </c>
      <c r="M1528">
        <f>_xlfn.XLOOKUP(B1528, Dim_Hotel!$A$2:$A$11, Dim_Hotel!$I$2:$I$11)
 + (IF(J1528="",0,J1528)
    * _xlfn.XLOOKUP(B1528, Dim_Hotel!$A$2:$A$11, Dim_Hotel!$J$2:$J$11))</f>
        <v>165</v>
      </c>
    </row>
    <row r="1529" spans="1:13" x14ac:dyDescent="0.25">
      <c r="A1529" s="1">
        <f t="shared" si="184"/>
        <v>46175</v>
      </c>
      <c r="B1529" t="str" cm="1">
        <f t="array" ref="B1529">INDEX(HotelList,MOD(ROW()-2,10)+1)</f>
        <v>H008</v>
      </c>
      <c r="C1529">
        <f>_xlfn.XLOOKUP(B1529,Dim_Hotel!$A$2:$A$11,Dim_Hotel!$F$2:$F$11)</f>
        <v>103</v>
      </c>
      <c r="D1529">
        <f t="shared" si="185"/>
        <v>57</v>
      </c>
      <c r="E1529">
        <f t="shared" si="186"/>
        <v>0.55339805825242716</v>
      </c>
      <c r="F1529">
        <f t="shared" si="187"/>
        <v>140</v>
      </c>
      <c r="G1529">
        <f t="shared" si="188"/>
        <v>77.475728155339809</v>
      </c>
      <c r="H1529" t="str">
        <f>_xlfn.XLOOKUP(A1529,Fact_Events!$D$2:$D$20,Fact_Events!$A$2:$A$20, "")</f>
        <v/>
      </c>
      <c r="I1529">
        <f t="shared" si="189"/>
        <v>0</v>
      </c>
      <c r="J1529" t="str">
        <f>_xlfn.XLOOKUP(H1529, Fact_Events!$A$2:$A$20, Fact_Events!$F$2:$F$20, "")</f>
        <v/>
      </c>
      <c r="K1529" t="str">
        <f t="shared" si="190"/>
        <v>Low</v>
      </c>
      <c r="L1529">
        <f t="shared" si="191"/>
        <v>0.55000000000000004</v>
      </c>
      <c r="M1529">
        <f>_xlfn.XLOOKUP(B1529, Dim_Hotel!$A$2:$A$11, Dim_Hotel!$I$2:$I$11)
 + (IF(J1529="",0,J1529)
    * _xlfn.XLOOKUP(B1529, Dim_Hotel!$A$2:$A$11, Dim_Hotel!$J$2:$J$11))</f>
        <v>140</v>
      </c>
    </row>
    <row r="1530" spans="1:13" x14ac:dyDescent="0.25">
      <c r="A1530" s="1">
        <f t="shared" si="184"/>
        <v>46175</v>
      </c>
      <c r="B1530" t="str" cm="1">
        <f t="array" ref="B1530">INDEX(HotelList,MOD(ROW()-2,10)+1)</f>
        <v>H009</v>
      </c>
      <c r="C1530">
        <f>_xlfn.XLOOKUP(B1530,Dim_Hotel!$A$2:$A$11,Dim_Hotel!$F$2:$F$11)</f>
        <v>114</v>
      </c>
      <c r="D1530">
        <f t="shared" si="185"/>
        <v>63</v>
      </c>
      <c r="E1530">
        <f t="shared" si="186"/>
        <v>0.55263157894736847</v>
      </c>
      <c r="F1530">
        <f t="shared" si="187"/>
        <v>185</v>
      </c>
      <c r="G1530">
        <f t="shared" si="188"/>
        <v>102.23684210526316</v>
      </c>
      <c r="H1530" t="str">
        <f>_xlfn.XLOOKUP(A1530,Fact_Events!$D$2:$D$20,Fact_Events!$A$2:$A$20, "")</f>
        <v/>
      </c>
      <c r="I1530">
        <f t="shared" si="189"/>
        <v>0</v>
      </c>
      <c r="J1530" t="str">
        <f>_xlfn.XLOOKUP(H1530, Fact_Events!$A$2:$A$20, Fact_Events!$F$2:$F$20, "")</f>
        <v/>
      </c>
      <c r="K1530" t="str">
        <f t="shared" si="190"/>
        <v>Low</v>
      </c>
      <c r="L1530">
        <f t="shared" si="191"/>
        <v>0.55000000000000004</v>
      </c>
      <c r="M1530">
        <f>_xlfn.XLOOKUP(B1530, Dim_Hotel!$A$2:$A$11, Dim_Hotel!$I$2:$I$11)
 + (IF(J1530="",0,J1530)
    * _xlfn.XLOOKUP(B1530, Dim_Hotel!$A$2:$A$11, Dim_Hotel!$J$2:$J$11))</f>
        <v>185</v>
      </c>
    </row>
    <row r="1531" spans="1:13" x14ac:dyDescent="0.25">
      <c r="A1531" s="1">
        <f t="shared" si="184"/>
        <v>46175</v>
      </c>
      <c r="B1531" t="str" cm="1">
        <f t="array" ref="B1531">INDEX(HotelList,MOD(ROW()-2,10)+1)</f>
        <v>H010</v>
      </c>
      <c r="C1531">
        <f>_xlfn.XLOOKUP(B1531,Dim_Hotel!$A$2:$A$11,Dim_Hotel!$F$2:$F$11)</f>
        <v>89</v>
      </c>
      <c r="D1531">
        <f t="shared" si="185"/>
        <v>49</v>
      </c>
      <c r="E1531">
        <f t="shared" si="186"/>
        <v>0.550561797752809</v>
      </c>
      <c r="F1531">
        <f t="shared" si="187"/>
        <v>150</v>
      </c>
      <c r="G1531">
        <f t="shared" si="188"/>
        <v>82.584269662921344</v>
      </c>
      <c r="H1531" t="str">
        <f>_xlfn.XLOOKUP(A1531,Fact_Events!$D$2:$D$20,Fact_Events!$A$2:$A$20, "")</f>
        <v/>
      </c>
      <c r="I1531">
        <f t="shared" si="189"/>
        <v>0</v>
      </c>
      <c r="J1531" t="str">
        <f>_xlfn.XLOOKUP(H1531, Fact_Events!$A$2:$A$20, Fact_Events!$F$2:$F$20, "")</f>
        <v/>
      </c>
      <c r="K1531" t="str">
        <f t="shared" si="190"/>
        <v>Low</v>
      </c>
      <c r="L1531">
        <f t="shared" si="191"/>
        <v>0.55000000000000004</v>
      </c>
      <c r="M1531">
        <f>_xlfn.XLOOKUP(B1531, Dim_Hotel!$A$2:$A$11, Dim_Hotel!$I$2:$I$11)
 + (IF(J1531="",0,J1531)
    * _xlfn.XLOOKUP(B1531, Dim_Hotel!$A$2:$A$11, Dim_Hotel!$J$2:$J$11))</f>
        <v>150</v>
      </c>
    </row>
    <row r="1532" spans="1:13" x14ac:dyDescent="0.25">
      <c r="A1532" s="1">
        <f t="shared" si="184"/>
        <v>46176</v>
      </c>
      <c r="B1532" t="str" cm="1">
        <f t="array" ref="B1532">INDEX(HotelList,MOD(ROW()-2,10)+1)</f>
        <v>H001</v>
      </c>
      <c r="C1532">
        <f>_xlfn.XLOOKUP(B1532,Dim_Hotel!$A$2:$A$11,Dim_Hotel!$F$2:$F$11)</f>
        <v>888</v>
      </c>
      <c r="D1532">
        <f t="shared" si="185"/>
        <v>488</v>
      </c>
      <c r="E1532">
        <f t="shared" si="186"/>
        <v>0.5495495495495496</v>
      </c>
      <c r="F1532">
        <f t="shared" si="187"/>
        <v>260</v>
      </c>
      <c r="G1532">
        <f t="shared" si="188"/>
        <v>142.88288288288288</v>
      </c>
      <c r="H1532" t="str">
        <f>_xlfn.XLOOKUP(A1532,Fact_Events!$D$2:$D$20,Fact_Events!$A$2:$A$20, "")</f>
        <v/>
      </c>
      <c r="I1532">
        <f t="shared" si="189"/>
        <v>0</v>
      </c>
      <c r="J1532" t="str">
        <f>_xlfn.XLOOKUP(H1532, Fact_Events!$A$2:$A$20, Fact_Events!$F$2:$F$20, "")</f>
        <v/>
      </c>
      <c r="K1532" t="str">
        <f t="shared" si="190"/>
        <v>Low</v>
      </c>
      <c r="L1532">
        <f t="shared" si="191"/>
        <v>0.55000000000000004</v>
      </c>
      <c r="M1532">
        <f>_xlfn.XLOOKUP(B1532, Dim_Hotel!$A$2:$A$11, Dim_Hotel!$I$2:$I$11)
 + (IF(J1532="",0,J1532)
    * _xlfn.XLOOKUP(B1532, Dim_Hotel!$A$2:$A$11, Dim_Hotel!$J$2:$J$11))</f>
        <v>260</v>
      </c>
    </row>
    <row r="1533" spans="1:13" x14ac:dyDescent="0.25">
      <c r="A1533" s="1">
        <f t="shared" si="184"/>
        <v>46176</v>
      </c>
      <c r="B1533" t="str" cm="1">
        <f t="array" ref="B1533">INDEX(HotelList,MOD(ROW()-2,10)+1)</f>
        <v>H002</v>
      </c>
      <c r="C1533">
        <f>_xlfn.XLOOKUP(B1533,Dim_Hotel!$A$2:$A$11,Dim_Hotel!$F$2:$F$11)</f>
        <v>147</v>
      </c>
      <c r="D1533">
        <f t="shared" si="185"/>
        <v>81</v>
      </c>
      <c r="E1533">
        <f t="shared" si="186"/>
        <v>0.55102040816326525</v>
      </c>
      <c r="F1533">
        <f t="shared" si="187"/>
        <v>175</v>
      </c>
      <c r="G1533">
        <f t="shared" si="188"/>
        <v>96.428571428571416</v>
      </c>
      <c r="H1533" t="str">
        <f>_xlfn.XLOOKUP(A1533,Fact_Events!$D$2:$D$20,Fact_Events!$A$2:$A$20, "")</f>
        <v/>
      </c>
      <c r="I1533">
        <f t="shared" si="189"/>
        <v>0</v>
      </c>
      <c r="J1533" t="str">
        <f>_xlfn.XLOOKUP(H1533, Fact_Events!$A$2:$A$20, Fact_Events!$F$2:$F$20, "")</f>
        <v/>
      </c>
      <c r="K1533" t="str">
        <f t="shared" si="190"/>
        <v>Low</v>
      </c>
      <c r="L1533">
        <f t="shared" si="191"/>
        <v>0.55000000000000004</v>
      </c>
      <c r="M1533">
        <f>_xlfn.XLOOKUP(B1533, Dim_Hotel!$A$2:$A$11, Dim_Hotel!$I$2:$I$11)
 + (IF(J1533="",0,J1533)
    * _xlfn.XLOOKUP(B1533, Dim_Hotel!$A$2:$A$11, Dim_Hotel!$J$2:$J$11))</f>
        <v>175</v>
      </c>
    </row>
    <row r="1534" spans="1:13" x14ac:dyDescent="0.25">
      <c r="A1534" s="1">
        <f t="shared" si="184"/>
        <v>46176</v>
      </c>
      <c r="B1534" t="str" cm="1">
        <f t="array" ref="B1534">INDEX(HotelList,MOD(ROW()-2,10)+1)</f>
        <v>H003</v>
      </c>
      <c r="C1534">
        <f>_xlfn.XLOOKUP(B1534,Dim_Hotel!$A$2:$A$11,Dim_Hotel!$F$2:$F$11)</f>
        <v>121</v>
      </c>
      <c r="D1534">
        <f t="shared" si="185"/>
        <v>67</v>
      </c>
      <c r="E1534">
        <f t="shared" si="186"/>
        <v>0.55371900826446285</v>
      </c>
      <c r="F1534">
        <f t="shared" si="187"/>
        <v>145</v>
      </c>
      <c r="G1534">
        <f t="shared" si="188"/>
        <v>80.289256198347118</v>
      </c>
      <c r="H1534" t="str">
        <f>_xlfn.XLOOKUP(A1534,Fact_Events!$D$2:$D$20,Fact_Events!$A$2:$A$20, "")</f>
        <v/>
      </c>
      <c r="I1534">
        <f t="shared" si="189"/>
        <v>0</v>
      </c>
      <c r="J1534" t="str">
        <f>_xlfn.XLOOKUP(H1534, Fact_Events!$A$2:$A$20, Fact_Events!$F$2:$F$20, "")</f>
        <v/>
      </c>
      <c r="K1534" t="str">
        <f t="shared" si="190"/>
        <v>Low</v>
      </c>
      <c r="L1534">
        <f t="shared" si="191"/>
        <v>0.55000000000000004</v>
      </c>
      <c r="M1534">
        <f>_xlfn.XLOOKUP(B1534, Dim_Hotel!$A$2:$A$11, Dim_Hotel!$I$2:$I$11)
 + (IF(J1534="",0,J1534)
    * _xlfn.XLOOKUP(B1534, Dim_Hotel!$A$2:$A$11, Dim_Hotel!$J$2:$J$11))</f>
        <v>145</v>
      </c>
    </row>
    <row r="1535" spans="1:13" x14ac:dyDescent="0.25">
      <c r="A1535" s="1">
        <f t="shared" si="184"/>
        <v>46176</v>
      </c>
      <c r="B1535" t="str" cm="1">
        <f t="array" ref="B1535">INDEX(HotelList,MOD(ROW()-2,10)+1)</f>
        <v>H004</v>
      </c>
      <c r="C1535">
        <f>_xlfn.XLOOKUP(B1535,Dim_Hotel!$A$2:$A$11,Dim_Hotel!$F$2:$F$11)</f>
        <v>108</v>
      </c>
      <c r="D1535">
        <f t="shared" si="185"/>
        <v>59</v>
      </c>
      <c r="E1535">
        <f t="shared" si="186"/>
        <v>0.54629629629629628</v>
      </c>
      <c r="F1535">
        <f t="shared" si="187"/>
        <v>135</v>
      </c>
      <c r="G1535">
        <f t="shared" si="188"/>
        <v>73.75</v>
      </c>
      <c r="H1535" t="str">
        <f>_xlfn.XLOOKUP(A1535,Fact_Events!$D$2:$D$20,Fact_Events!$A$2:$A$20, "")</f>
        <v/>
      </c>
      <c r="I1535">
        <f t="shared" si="189"/>
        <v>0</v>
      </c>
      <c r="J1535" t="str">
        <f>_xlfn.XLOOKUP(H1535, Fact_Events!$A$2:$A$20, Fact_Events!$F$2:$F$20, "")</f>
        <v/>
      </c>
      <c r="K1535" t="str">
        <f t="shared" si="190"/>
        <v>Low</v>
      </c>
      <c r="L1535">
        <f t="shared" si="191"/>
        <v>0.55000000000000004</v>
      </c>
      <c r="M1535">
        <f>_xlfn.XLOOKUP(B1535, Dim_Hotel!$A$2:$A$11, Dim_Hotel!$I$2:$I$11)
 + (IF(J1535="",0,J1535)
    * _xlfn.XLOOKUP(B1535, Dim_Hotel!$A$2:$A$11, Dim_Hotel!$J$2:$J$11))</f>
        <v>135</v>
      </c>
    </row>
    <row r="1536" spans="1:13" x14ac:dyDescent="0.25">
      <c r="A1536" s="1">
        <f t="shared" si="184"/>
        <v>46176</v>
      </c>
      <c r="B1536" t="str" cm="1">
        <f t="array" ref="B1536">INDEX(HotelList,MOD(ROW()-2,10)+1)</f>
        <v>H005</v>
      </c>
      <c r="C1536">
        <f>_xlfn.XLOOKUP(B1536,Dim_Hotel!$A$2:$A$11,Dim_Hotel!$F$2:$F$11)</f>
        <v>66</v>
      </c>
      <c r="D1536">
        <f t="shared" si="185"/>
        <v>36</v>
      </c>
      <c r="E1536">
        <f t="shared" si="186"/>
        <v>0.54545454545454541</v>
      </c>
      <c r="F1536">
        <f t="shared" si="187"/>
        <v>82</v>
      </c>
      <c r="G1536">
        <f t="shared" si="188"/>
        <v>44.727272727272727</v>
      </c>
      <c r="H1536" t="str">
        <f>_xlfn.XLOOKUP(A1536,Fact_Events!$D$2:$D$20,Fact_Events!$A$2:$A$20, "")</f>
        <v/>
      </c>
      <c r="I1536">
        <f t="shared" si="189"/>
        <v>0</v>
      </c>
      <c r="J1536" t="str">
        <f>_xlfn.XLOOKUP(H1536, Fact_Events!$A$2:$A$20, Fact_Events!$F$2:$F$20, "")</f>
        <v/>
      </c>
      <c r="K1536" t="str">
        <f t="shared" si="190"/>
        <v>Low</v>
      </c>
      <c r="L1536">
        <f t="shared" si="191"/>
        <v>0.55000000000000004</v>
      </c>
      <c r="M1536">
        <f>_xlfn.XLOOKUP(B1536, Dim_Hotel!$A$2:$A$11, Dim_Hotel!$I$2:$I$11)
 + (IF(J1536="",0,J1536)
    * _xlfn.XLOOKUP(B1536, Dim_Hotel!$A$2:$A$11, Dim_Hotel!$J$2:$J$11))</f>
        <v>82</v>
      </c>
    </row>
    <row r="1537" spans="1:13" x14ac:dyDescent="0.25">
      <c r="A1537" s="1">
        <f t="shared" si="184"/>
        <v>46176</v>
      </c>
      <c r="B1537" t="str" cm="1">
        <f t="array" ref="B1537">INDEX(HotelList,MOD(ROW()-2,10)+1)</f>
        <v>H006</v>
      </c>
      <c r="C1537">
        <f>_xlfn.XLOOKUP(B1537,Dim_Hotel!$A$2:$A$11,Dim_Hotel!$F$2:$F$11)</f>
        <v>311</v>
      </c>
      <c r="D1537">
        <f t="shared" si="185"/>
        <v>171</v>
      </c>
      <c r="E1537">
        <f t="shared" si="186"/>
        <v>0.54983922829581988</v>
      </c>
      <c r="F1537">
        <f t="shared" si="187"/>
        <v>190</v>
      </c>
      <c r="G1537">
        <f t="shared" si="188"/>
        <v>104.46945337620578</v>
      </c>
      <c r="H1537" t="str">
        <f>_xlfn.XLOOKUP(A1537,Fact_Events!$D$2:$D$20,Fact_Events!$A$2:$A$20, "")</f>
        <v/>
      </c>
      <c r="I1537">
        <f t="shared" si="189"/>
        <v>0</v>
      </c>
      <c r="J1537" t="str">
        <f>_xlfn.XLOOKUP(H1537, Fact_Events!$A$2:$A$20, Fact_Events!$F$2:$F$20, "")</f>
        <v/>
      </c>
      <c r="K1537" t="str">
        <f t="shared" si="190"/>
        <v>Low</v>
      </c>
      <c r="L1537">
        <f t="shared" si="191"/>
        <v>0.55000000000000004</v>
      </c>
      <c r="M1537">
        <f>_xlfn.XLOOKUP(B1537, Dim_Hotel!$A$2:$A$11, Dim_Hotel!$I$2:$I$11)
 + (IF(J1537="",0,J1537)
    * _xlfn.XLOOKUP(B1537, Dim_Hotel!$A$2:$A$11, Dim_Hotel!$J$2:$J$11))</f>
        <v>190</v>
      </c>
    </row>
    <row r="1538" spans="1:13" x14ac:dyDescent="0.25">
      <c r="A1538" s="1">
        <f t="shared" si="184"/>
        <v>46176</v>
      </c>
      <c r="B1538" t="str" cm="1">
        <f t="array" ref="B1538">INDEX(HotelList,MOD(ROW()-2,10)+1)</f>
        <v>H007</v>
      </c>
      <c r="C1538">
        <f>_xlfn.XLOOKUP(B1538,Dim_Hotel!$A$2:$A$11,Dim_Hotel!$F$2:$F$11)</f>
        <v>132</v>
      </c>
      <c r="D1538">
        <f t="shared" si="185"/>
        <v>73</v>
      </c>
      <c r="E1538">
        <f t="shared" si="186"/>
        <v>0.55303030303030298</v>
      </c>
      <c r="F1538">
        <f t="shared" si="187"/>
        <v>165</v>
      </c>
      <c r="G1538">
        <f t="shared" si="188"/>
        <v>91.249999999999986</v>
      </c>
      <c r="H1538" t="str">
        <f>_xlfn.XLOOKUP(A1538,Fact_Events!$D$2:$D$20,Fact_Events!$A$2:$A$20, "")</f>
        <v/>
      </c>
      <c r="I1538">
        <f t="shared" si="189"/>
        <v>0</v>
      </c>
      <c r="J1538" t="str">
        <f>_xlfn.XLOOKUP(H1538, Fact_Events!$A$2:$A$20, Fact_Events!$F$2:$F$20, "")</f>
        <v/>
      </c>
      <c r="K1538" t="str">
        <f t="shared" si="190"/>
        <v>Low</v>
      </c>
      <c r="L1538">
        <f t="shared" si="191"/>
        <v>0.55000000000000004</v>
      </c>
      <c r="M1538">
        <f>_xlfn.XLOOKUP(B1538, Dim_Hotel!$A$2:$A$11, Dim_Hotel!$I$2:$I$11)
 + (IF(J1538="",0,J1538)
    * _xlfn.XLOOKUP(B1538, Dim_Hotel!$A$2:$A$11, Dim_Hotel!$J$2:$J$11))</f>
        <v>165</v>
      </c>
    </row>
    <row r="1539" spans="1:13" x14ac:dyDescent="0.25">
      <c r="A1539" s="1">
        <f t="shared" ref="A1539:A1602" si="192">DATE(2026,1,1) + INT((ROW()-2)/10)</f>
        <v>46176</v>
      </c>
      <c r="B1539" t="str" cm="1">
        <f t="array" ref="B1539">INDEX(HotelList,MOD(ROW()-2,10)+1)</f>
        <v>H008</v>
      </c>
      <c r="C1539">
        <f>_xlfn.XLOOKUP(B1539,Dim_Hotel!$A$2:$A$11,Dim_Hotel!$F$2:$F$11)</f>
        <v>103</v>
      </c>
      <c r="D1539">
        <f t="shared" ref="D1539:D1602" si="193">ROUND(L1539 * C1539, 0)</f>
        <v>57</v>
      </c>
      <c r="E1539">
        <f t="shared" ref="E1539:E1602" si="194">D1539/C1539</f>
        <v>0.55339805825242716</v>
      </c>
      <c r="F1539">
        <f t="shared" ref="F1539:F1602" si="195">M1539</f>
        <v>140</v>
      </c>
      <c r="G1539">
        <f t="shared" ref="G1539:G1602" si="196">E1539*F1539</f>
        <v>77.475728155339809</v>
      </c>
      <c r="H1539" t="str">
        <f>_xlfn.XLOOKUP(A1539,Fact_Events!$D$2:$D$20,Fact_Events!$A$2:$A$20, "")</f>
        <v/>
      </c>
      <c r="I1539">
        <f t="shared" ref="I1539:I1602" si="197">IF(H1539="",0,1)</f>
        <v>0</v>
      </c>
      <c r="J1539" t="str">
        <f>_xlfn.XLOOKUP(H1539, Fact_Events!$A$2:$A$20, Fact_Events!$F$2:$F$20, "")</f>
        <v/>
      </c>
      <c r="K1539" t="str">
        <f t="shared" ref="K1539:K1602" si="198">IF(I1539=0,"Low",
   IF(J1539&gt;=9,"High","Medium"))</f>
        <v>Low</v>
      </c>
      <c r="L1539">
        <f t="shared" ref="L1539:L1602" si="199">MIN(1,
  0.55
  + (I1539 * 0.25)
  + (IF(J1539="",0,J1539) / 100)
)</f>
        <v>0.55000000000000004</v>
      </c>
      <c r="M1539">
        <f>_xlfn.XLOOKUP(B1539, Dim_Hotel!$A$2:$A$11, Dim_Hotel!$I$2:$I$11)
 + (IF(J1539="",0,J1539)
    * _xlfn.XLOOKUP(B1539, Dim_Hotel!$A$2:$A$11, Dim_Hotel!$J$2:$J$11))</f>
        <v>140</v>
      </c>
    </row>
    <row r="1540" spans="1:13" x14ac:dyDescent="0.25">
      <c r="A1540" s="1">
        <f t="shared" si="192"/>
        <v>46176</v>
      </c>
      <c r="B1540" t="str" cm="1">
        <f t="array" ref="B1540">INDEX(HotelList,MOD(ROW()-2,10)+1)</f>
        <v>H009</v>
      </c>
      <c r="C1540">
        <f>_xlfn.XLOOKUP(B1540,Dim_Hotel!$A$2:$A$11,Dim_Hotel!$F$2:$F$11)</f>
        <v>114</v>
      </c>
      <c r="D1540">
        <f t="shared" si="193"/>
        <v>63</v>
      </c>
      <c r="E1540">
        <f t="shared" si="194"/>
        <v>0.55263157894736847</v>
      </c>
      <c r="F1540">
        <f t="shared" si="195"/>
        <v>185</v>
      </c>
      <c r="G1540">
        <f t="shared" si="196"/>
        <v>102.23684210526316</v>
      </c>
      <c r="H1540" t="str">
        <f>_xlfn.XLOOKUP(A1540,Fact_Events!$D$2:$D$20,Fact_Events!$A$2:$A$20, "")</f>
        <v/>
      </c>
      <c r="I1540">
        <f t="shared" si="197"/>
        <v>0</v>
      </c>
      <c r="J1540" t="str">
        <f>_xlfn.XLOOKUP(H1540, Fact_Events!$A$2:$A$20, Fact_Events!$F$2:$F$20, "")</f>
        <v/>
      </c>
      <c r="K1540" t="str">
        <f t="shared" si="198"/>
        <v>Low</v>
      </c>
      <c r="L1540">
        <f t="shared" si="199"/>
        <v>0.55000000000000004</v>
      </c>
      <c r="M1540">
        <f>_xlfn.XLOOKUP(B1540, Dim_Hotel!$A$2:$A$11, Dim_Hotel!$I$2:$I$11)
 + (IF(J1540="",0,J1540)
    * _xlfn.XLOOKUP(B1540, Dim_Hotel!$A$2:$A$11, Dim_Hotel!$J$2:$J$11))</f>
        <v>185</v>
      </c>
    </row>
    <row r="1541" spans="1:13" x14ac:dyDescent="0.25">
      <c r="A1541" s="1">
        <f t="shared" si="192"/>
        <v>46176</v>
      </c>
      <c r="B1541" t="str" cm="1">
        <f t="array" ref="B1541">INDEX(HotelList,MOD(ROW()-2,10)+1)</f>
        <v>H010</v>
      </c>
      <c r="C1541">
        <f>_xlfn.XLOOKUP(B1541,Dim_Hotel!$A$2:$A$11,Dim_Hotel!$F$2:$F$11)</f>
        <v>89</v>
      </c>
      <c r="D1541">
        <f t="shared" si="193"/>
        <v>49</v>
      </c>
      <c r="E1541">
        <f t="shared" si="194"/>
        <v>0.550561797752809</v>
      </c>
      <c r="F1541">
        <f t="shared" si="195"/>
        <v>150</v>
      </c>
      <c r="G1541">
        <f t="shared" si="196"/>
        <v>82.584269662921344</v>
      </c>
      <c r="H1541" t="str">
        <f>_xlfn.XLOOKUP(A1541,Fact_Events!$D$2:$D$20,Fact_Events!$A$2:$A$20, "")</f>
        <v/>
      </c>
      <c r="I1541">
        <f t="shared" si="197"/>
        <v>0</v>
      </c>
      <c r="J1541" t="str">
        <f>_xlfn.XLOOKUP(H1541, Fact_Events!$A$2:$A$20, Fact_Events!$F$2:$F$20, "")</f>
        <v/>
      </c>
      <c r="K1541" t="str">
        <f t="shared" si="198"/>
        <v>Low</v>
      </c>
      <c r="L1541">
        <f t="shared" si="199"/>
        <v>0.55000000000000004</v>
      </c>
      <c r="M1541">
        <f>_xlfn.XLOOKUP(B1541, Dim_Hotel!$A$2:$A$11, Dim_Hotel!$I$2:$I$11)
 + (IF(J1541="",0,J1541)
    * _xlfn.XLOOKUP(B1541, Dim_Hotel!$A$2:$A$11, Dim_Hotel!$J$2:$J$11))</f>
        <v>150</v>
      </c>
    </row>
    <row r="1542" spans="1:13" x14ac:dyDescent="0.25">
      <c r="A1542" s="1">
        <f t="shared" si="192"/>
        <v>46177</v>
      </c>
      <c r="B1542" t="str" cm="1">
        <f t="array" ref="B1542">INDEX(HotelList,MOD(ROW()-2,10)+1)</f>
        <v>H001</v>
      </c>
      <c r="C1542">
        <f>_xlfn.XLOOKUP(B1542,Dim_Hotel!$A$2:$A$11,Dim_Hotel!$F$2:$F$11)</f>
        <v>888</v>
      </c>
      <c r="D1542">
        <f t="shared" si="193"/>
        <v>488</v>
      </c>
      <c r="E1542">
        <f t="shared" si="194"/>
        <v>0.5495495495495496</v>
      </c>
      <c r="F1542">
        <f t="shared" si="195"/>
        <v>260</v>
      </c>
      <c r="G1542">
        <f t="shared" si="196"/>
        <v>142.88288288288288</v>
      </c>
      <c r="H1542" t="str">
        <f>_xlfn.XLOOKUP(A1542,Fact_Events!$D$2:$D$20,Fact_Events!$A$2:$A$20, "")</f>
        <v/>
      </c>
      <c r="I1542">
        <f t="shared" si="197"/>
        <v>0</v>
      </c>
      <c r="J1542" t="str">
        <f>_xlfn.XLOOKUP(H1542, Fact_Events!$A$2:$A$20, Fact_Events!$F$2:$F$20, "")</f>
        <v/>
      </c>
      <c r="K1542" t="str">
        <f t="shared" si="198"/>
        <v>Low</v>
      </c>
      <c r="L1542">
        <f t="shared" si="199"/>
        <v>0.55000000000000004</v>
      </c>
      <c r="M1542">
        <f>_xlfn.XLOOKUP(B1542, Dim_Hotel!$A$2:$A$11, Dim_Hotel!$I$2:$I$11)
 + (IF(J1542="",0,J1542)
    * _xlfn.XLOOKUP(B1542, Dim_Hotel!$A$2:$A$11, Dim_Hotel!$J$2:$J$11))</f>
        <v>260</v>
      </c>
    </row>
    <row r="1543" spans="1:13" x14ac:dyDescent="0.25">
      <c r="A1543" s="1">
        <f t="shared" si="192"/>
        <v>46177</v>
      </c>
      <c r="B1543" t="str" cm="1">
        <f t="array" ref="B1543">INDEX(HotelList,MOD(ROW()-2,10)+1)</f>
        <v>H002</v>
      </c>
      <c r="C1543">
        <f>_xlfn.XLOOKUP(B1543,Dim_Hotel!$A$2:$A$11,Dim_Hotel!$F$2:$F$11)</f>
        <v>147</v>
      </c>
      <c r="D1543">
        <f t="shared" si="193"/>
        <v>81</v>
      </c>
      <c r="E1543">
        <f t="shared" si="194"/>
        <v>0.55102040816326525</v>
      </c>
      <c r="F1543">
        <f t="shared" si="195"/>
        <v>175</v>
      </c>
      <c r="G1543">
        <f t="shared" si="196"/>
        <v>96.428571428571416</v>
      </c>
      <c r="H1543" t="str">
        <f>_xlfn.XLOOKUP(A1543,Fact_Events!$D$2:$D$20,Fact_Events!$A$2:$A$20, "")</f>
        <v/>
      </c>
      <c r="I1543">
        <f t="shared" si="197"/>
        <v>0</v>
      </c>
      <c r="J1543" t="str">
        <f>_xlfn.XLOOKUP(H1543, Fact_Events!$A$2:$A$20, Fact_Events!$F$2:$F$20, "")</f>
        <v/>
      </c>
      <c r="K1543" t="str">
        <f t="shared" si="198"/>
        <v>Low</v>
      </c>
      <c r="L1543">
        <f t="shared" si="199"/>
        <v>0.55000000000000004</v>
      </c>
      <c r="M1543">
        <f>_xlfn.XLOOKUP(B1543, Dim_Hotel!$A$2:$A$11, Dim_Hotel!$I$2:$I$11)
 + (IF(J1543="",0,J1543)
    * _xlfn.XLOOKUP(B1543, Dim_Hotel!$A$2:$A$11, Dim_Hotel!$J$2:$J$11))</f>
        <v>175</v>
      </c>
    </row>
    <row r="1544" spans="1:13" x14ac:dyDescent="0.25">
      <c r="A1544" s="1">
        <f t="shared" si="192"/>
        <v>46177</v>
      </c>
      <c r="B1544" t="str" cm="1">
        <f t="array" ref="B1544">INDEX(HotelList,MOD(ROW()-2,10)+1)</f>
        <v>H003</v>
      </c>
      <c r="C1544">
        <f>_xlfn.XLOOKUP(B1544,Dim_Hotel!$A$2:$A$11,Dim_Hotel!$F$2:$F$11)</f>
        <v>121</v>
      </c>
      <c r="D1544">
        <f t="shared" si="193"/>
        <v>67</v>
      </c>
      <c r="E1544">
        <f t="shared" si="194"/>
        <v>0.55371900826446285</v>
      </c>
      <c r="F1544">
        <f t="shared" si="195"/>
        <v>145</v>
      </c>
      <c r="G1544">
        <f t="shared" si="196"/>
        <v>80.289256198347118</v>
      </c>
      <c r="H1544" t="str">
        <f>_xlfn.XLOOKUP(A1544,Fact_Events!$D$2:$D$20,Fact_Events!$A$2:$A$20, "")</f>
        <v/>
      </c>
      <c r="I1544">
        <f t="shared" si="197"/>
        <v>0</v>
      </c>
      <c r="J1544" t="str">
        <f>_xlfn.XLOOKUP(H1544, Fact_Events!$A$2:$A$20, Fact_Events!$F$2:$F$20, "")</f>
        <v/>
      </c>
      <c r="K1544" t="str">
        <f t="shared" si="198"/>
        <v>Low</v>
      </c>
      <c r="L1544">
        <f t="shared" si="199"/>
        <v>0.55000000000000004</v>
      </c>
      <c r="M1544">
        <f>_xlfn.XLOOKUP(B1544, Dim_Hotel!$A$2:$A$11, Dim_Hotel!$I$2:$I$11)
 + (IF(J1544="",0,J1544)
    * _xlfn.XLOOKUP(B1544, Dim_Hotel!$A$2:$A$11, Dim_Hotel!$J$2:$J$11))</f>
        <v>145</v>
      </c>
    </row>
    <row r="1545" spans="1:13" x14ac:dyDescent="0.25">
      <c r="A1545" s="1">
        <f t="shared" si="192"/>
        <v>46177</v>
      </c>
      <c r="B1545" t="str" cm="1">
        <f t="array" ref="B1545">INDEX(HotelList,MOD(ROW()-2,10)+1)</f>
        <v>H004</v>
      </c>
      <c r="C1545">
        <f>_xlfn.XLOOKUP(B1545,Dim_Hotel!$A$2:$A$11,Dim_Hotel!$F$2:$F$11)</f>
        <v>108</v>
      </c>
      <c r="D1545">
        <f t="shared" si="193"/>
        <v>59</v>
      </c>
      <c r="E1545">
        <f t="shared" si="194"/>
        <v>0.54629629629629628</v>
      </c>
      <c r="F1545">
        <f t="shared" si="195"/>
        <v>135</v>
      </c>
      <c r="G1545">
        <f t="shared" si="196"/>
        <v>73.75</v>
      </c>
      <c r="H1545" t="str">
        <f>_xlfn.XLOOKUP(A1545,Fact_Events!$D$2:$D$20,Fact_Events!$A$2:$A$20, "")</f>
        <v/>
      </c>
      <c r="I1545">
        <f t="shared" si="197"/>
        <v>0</v>
      </c>
      <c r="J1545" t="str">
        <f>_xlfn.XLOOKUP(H1545, Fact_Events!$A$2:$A$20, Fact_Events!$F$2:$F$20, "")</f>
        <v/>
      </c>
      <c r="K1545" t="str">
        <f t="shared" si="198"/>
        <v>Low</v>
      </c>
      <c r="L1545">
        <f t="shared" si="199"/>
        <v>0.55000000000000004</v>
      </c>
      <c r="M1545">
        <f>_xlfn.XLOOKUP(B1545, Dim_Hotel!$A$2:$A$11, Dim_Hotel!$I$2:$I$11)
 + (IF(J1545="",0,J1545)
    * _xlfn.XLOOKUP(B1545, Dim_Hotel!$A$2:$A$11, Dim_Hotel!$J$2:$J$11))</f>
        <v>135</v>
      </c>
    </row>
    <row r="1546" spans="1:13" x14ac:dyDescent="0.25">
      <c r="A1546" s="1">
        <f t="shared" si="192"/>
        <v>46177</v>
      </c>
      <c r="B1546" t="str" cm="1">
        <f t="array" ref="B1546">INDEX(HotelList,MOD(ROW()-2,10)+1)</f>
        <v>H005</v>
      </c>
      <c r="C1546">
        <f>_xlfn.XLOOKUP(B1546,Dim_Hotel!$A$2:$A$11,Dim_Hotel!$F$2:$F$11)</f>
        <v>66</v>
      </c>
      <c r="D1546">
        <f t="shared" si="193"/>
        <v>36</v>
      </c>
      <c r="E1546">
        <f t="shared" si="194"/>
        <v>0.54545454545454541</v>
      </c>
      <c r="F1546">
        <f t="shared" si="195"/>
        <v>82</v>
      </c>
      <c r="G1546">
        <f t="shared" si="196"/>
        <v>44.727272727272727</v>
      </c>
      <c r="H1546" t="str">
        <f>_xlfn.XLOOKUP(A1546,Fact_Events!$D$2:$D$20,Fact_Events!$A$2:$A$20, "")</f>
        <v/>
      </c>
      <c r="I1546">
        <f t="shared" si="197"/>
        <v>0</v>
      </c>
      <c r="J1546" t="str">
        <f>_xlfn.XLOOKUP(H1546, Fact_Events!$A$2:$A$20, Fact_Events!$F$2:$F$20, "")</f>
        <v/>
      </c>
      <c r="K1546" t="str">
        <f t="shared" si="198"/>
        <v>Low</v>
      </c>
      <c r="L1546">
        <f t="shared" si="199"/>
        <v>0.55000000000000004</v>
      </c>
      <c r="M1546">
        <f>_xlfn.XLOOKUP(B1546, Dim_Hotel!$A$2:$A$11, Dim_Hotel!$I$2:$I$11)
 + (IF(J1546="",0,J1546)
    * _xlfn.XLOOKUP(B1546, Dim_Hotel!$A$2:$A$11, Dim_Hotel!$J$2:$J$11))</f>
        <v>82</v>
      </c>
    </row>
    <row r="1547" spans="1:13" x14ac:dyDescent="0.25">
      <c r="A1547" s="1">
        <f t="shared" si="192"/>
        <v>46177</v>
      </c>
      <c r="B1547" t="str" cm="1">
        <f t="array" ref="B1547">INDEX(HotelList,MOD(ROW()-2,10)+1)</f>
        <v>H006</v>
      </c>
      <c r="C1547">
        <f>_xlfn.XLOOKUP(B1547,Dim_Hotel!$A$2:$A$11,Dim_Hotel!$F$2:$F$11)</f>
        <v>311</v>
      </c>
      <c r="D1547">
        <f t="shared" si="193"/>
        <v>171</v>
      </c>
      <c r="E1547">
        <f t="shared" si="194"/>
        <v>0.54983922829581988</v>
      </c>
      <c r="F1547">
        <f t="shared" si="195"/>
        <v>190</v>
      </c>
      <c r="G1547">
        <f t="shared" si="196"/>
        <v>104.46945337620578</v>
      </c>
      <c r="H1547" t="str">
        <f>_xlfn.XLOOKUP(A1547,Fact_Events!$D$2:$D$20,Fact_Events!$A$2:$A$20, "")</f>
        <v/>
      </c>
      <c r="I1547">
        <f t="shared" si="197"/>
        <v>0</v>
      </c>
      <c r="J1547" t="str">
        <f>_xlfn.XLOOKUP(H1547, Fact_Events!$A$2:$A$20, Fact_Events!$F$2:$F$20, "")</f>
        <v/>
      </c>
      <c r="K1547" t="str">
        <f t="shared" si="198"/>
        <v>Low</v>
      </c>
      <c r="L1547">
        <f t="shared" si="199"/>
        <v>0.55000000000000004</v>
      </c>
      <c r="M1547">
        <f>_xlfn.XLOOKUP(B1547, Dim_Hotel!$A$2:$A$11, Dim_Hotel!$I$2:$I$11)
 + (IF(J1547="",0,J1547)
    * _xlfn.XLOOKUP(B1547, Dim_Hotel!$A$2:$A$11, Dim_Hotel!$J$2:$J$11))</f>
        <v>190</v>
      </c>
    </row>
    <row r="1548" spans="1:13" x14ac:dyDescent="0.25">
      <c r="A1548" s="1">
        <f t="shared" si="192"/>
        <v>46177</v>
      </c>
      <c r="B1548" t="str" cm="1">
        <f t="array" ref="B1548">INDEX(HotelList,MOD(ROW()-2,10)+1)</f>
        <v>H007</v>
      </c>
      <c r="C1548">
        <f>_xlfn.XLOOKUP(B1548,Dim_Hotel!$A$2:$A$11,Dim_Hotel!$F$2:$F$11)</f>
        <v>132</v>
      </c>
      <c r="D1548">
        <f t="shared" si="193"/>
        <v>73</v>
      </c>
      <c r="E1548">
        <f t="shared" si="194"/>
        <v>0.55303030303030298</v>
      </c>
      <c r="F1548">
        <f t="shared" si="195"/>
        <v>165</v>
      </c>
      <c r="G1548">
        <f t="shared" si="196"/>
        <v>91.249999999999986</v>
      </c>
      <c r="H1548" t="str">
        <f>_xlfn.XLOOKUP(A1548,Fact_Events!$D$2:$D$20,Fact_Events!$A$2:$A$20, "")</f>
        <v/>
      </c>
      <c r="I1548">
        <f t="shared" si="197"/>
        <v>0</v>
      </c>
      <c r="J1548" t="str">
        <f>_xlfn.XLOOKUP(H1548, Fact_Events!$A$2:$A$20, Fact_Events!$F$2:$F$20, "")</f>
        <v/>
      </c>
      <c r="K1548" t="str">
        <f t="shared" si="198"/>
        <v>Low</v>
      </c>
      <c r="L1548">
        <f t="shared" si="199"/>
        <v>0.55000000000000004</v>
      </c>
      <c r="M1548">
        <f>_xlfn.XLOOKUP(B1548, Dim_Hotel!$A$2:$A$11, Dim_Hotel!$I$2:$I$11)
 + (IF(J1548="",0,J1548)
    * _xlfn.XLOOKUP(B1548, Dim_Hotel!$A$2:$A$11, Dim_Hotel!$J$2:$J$11))</f>
        <v>165</v>
      </c>
    </row>
    <row r="1549" spans="1:13" x14ac:dyDescent="0.25">
      <c r="A1549" s="1">
        <f t="shared" si="192"/>
        <v>46177</v>
      </c>
      <c r="B1549" t="str" cm="1">
        <f t="array" ref="B1549">INDEX(HotelList,MOD(ROW()-2,10)+1)</f>
        <v>H008</v>
      </c>
      <c r="C1549">
        <f>_xlfn.XLOOKUP(B1549,Dim_Hotel!$A$2:$A$11,Dim_Hotel!$F$2:$F$11)</f>
        <v>103</v>
      </c>
      <c r="D1549">
        <f t="shared" si="193"/>
        <v>57</v>
      </c>
      <c r="E1549">
        <f t="shared" si="194"/>
        <v>0.55339805825242716</v>
      </c>
      <c r="F1549">
        <f t="shared" si="195"/>
        <v>140</v>
      </c>
      <c r="G1549">
        <f t="shared" si="196"/>
        <v>77.475728155339809</v>
      </c>
      <c r="H1549" t="str">
        <f>_xlfn.XLOOKUP(A1549,Fact_Events!$D$2:$D$20,Fact_Events!$A$2:$A$20, "")</f>
        <v/>
      </c>
      <c r="I1549">
        <f t="shared" si="197"/>
        <v>0</v>
      </c>
      <c r="J1549" t="str">
        <f>_xlfn.XLOOKUP(H1549, Fact_Events!$A$2:$A$20, Fact_Events!$F$2:$F$20, "")</f>
        <v/>
      </c>
      <c r="K1549" t="str">
        <f t="shared" si="198"/>
        <v>Low</v>
      </c>
      <c r="L1549">
        <f t="shared" si="199"/>
        <v>0.55000000000000004</v>
      </c>
      <c r="M1549">
        <f>_xlfn.XLOOKUP(B1549, Dim_Hotel!$A$2:$A$11, Dim_Hotel!$I$2:$I$11)
 + (IF(J1549="",0,J1549)
    * _xlfn.XLOOKUP(B1549, Dim_Hotel!$A$2:$A$11, Dim_Hotel!$J$2:$J$11))</f>
        <v>140</v>
      </c>
    </row>
    <row r="1550" spans="1:13" x14ac:dyDescent="0.25">
      <c r="A1550" s="1">
        <f t="shared" si="192"/>
        <v>46177</v>
      </c>
      <c r="B1550" t="str" cm="1">
        <f t="array" ref="B1550">INDEX(HotelList,MOD(ROW()-2,10)+1)</f>
        <v>H009</v>
      </c>
      <c r="C1550">
        <f>_xlfn.XLOOKUP(B1550,Dim_Hotel!$A$2:$A$11,Dim_Hotel!$F$2:$F$11)</f>
        <v>114</v>
      </c>
      <c r="D1550">
        <f t="shared" si="193"/>
        <v>63</v>
      </c>
      <c r="E1550">
        <f t="shared" si="194"/>
        <v>0.55263157894736847</v>
      </c>
      <c r="F1550">
        <f t="shared" si="195"/>
        <v>185</v>
      </c>
      <c r="G1550">
        <f t="shared" si="196"/>
        <v>102.23684210526316</v>
      </c>
      <c r="H1550" t="str">
        <f>_xlfn.XLOOKUP(A1550,Fact_Events!$D$2:$D$20,Fact_Events!$A$2:$A$20, "")</f>
        <v/>
      </c>
      <c r="I1550">
        <f t="shared" si="197"/>
        <v>0</v>
      </c>
      <c r="J1550" t="str">
        <f>_xlfn.XLOOKUP(H1550, Fact_Events!$A$2:$A$20, Fact_Events!$F$2:$F$20, "")</f>
        <v/>
      </c>
      <c r="K1550" t="str">
        <f t="shared" si="198"/>
        <v>Low</v>
      </c>
      <c r="L1550">
        <f t="shared" si="199"/>
        <v>0.55000000000000004</v>
      </c>
      <c r="M1550">
        <f>_xlfn.XLOOKUP(B1550, Dim_Hotel!$A$2:$A$11, Dim_Hotel!$I$2:$I$11)
 + (IF(J1550="",0,J1550)
    * _xlfn.XLOOKUP(B1550, Dim_Hotel!$A$2:$A$11, Dim_Hotel!$J$2:$J$11))</f>
        <v>185</v>
      </c>
    </row>
    <row r="1551" spans="1:13" x14ac:dyDescent="0.25">
      <c r="A1551" s="1">
        <f t="shared" si="192"/>
        <v>46177</v>
      </c>
      <c r="B1551" t="str" cm="1">
        <f t="array" ref="B1551">INDEX(HotelList,MOD(ROW()-2,10)+1)</f>
        <v>H010</v>
      </c>
      <c r="C1551">
        <f>_xlfn.XLOOKUP(B1551,Dim_Hotel!$A$2:$A$11,Dim_Hotel!$F$2:$F$11)</f>
        <v>89</v>
      </c>
      <c r="D1551">
        <f t="shared" si="193"/>
        <v>49</v>
      </c>
      <c r="E1551">
        <f t="shared" si="194"/>
        <v>0.550561797752809</v>
      </c>
      <c r="F1551">
        <f t="shared" si="195"/>
        <v>150</v>
      </c>
      <c r="G1551">
        <f t="shared" si="196"/>
        <v>82.584269662921344</v>
      </c>
      <c r="H1551" t="str">
        <f>_xlfn.XLOOKUP(A1551,Fact_Events!$D$2:$D$20,Fact_Events!$A$2:$A$20, "")</f>
        <v/>
      </c>
      <c r="I1551">
        <f t="shared" si="197"/>
        <v>0</v>
      </c>
      <c r="J1551" t="str">
        <f>_xlfn.XLOOKUP(H1551, Fact_Events!$A$2:$A$20, Fact_Events!$F$2:$F$20, "")</f>
        <v/>
      </c>
      <c r="K1551" t="str">
        <f t="shared" si="198"/>
        <v>Low</v>
      </c>
      <c r="L1551">
        <f t="shared" si="199"/>
        <v>0.55000000000000004</v>
      </c>
      <c r="M1551">
        <f>_xlfn.XLOOKUP(B1551, Dim_Hotel!$A$2:$A$11, Dim_Hotel!$I$2:$I$11)
 + (IF(J1551="",0,J1551)
    * _xlfn.XLOOKUP(B1551, Dim_Hotel!$A$2:$A$11, Dim_Hotel!$J$2:$J$11))</f>
        <v>150</v>
      </c>
    </row>
    <row r="1552" spans="1:13" x14ac:dyDescent="0.25">
      <c r="A1552" s="1">
        <f t="shared" si="192"/>
        <v>46178</v>
      </c>
      <c r="B1552" t="str" cm="1">
        <f t="array" ref="B1552">INDEX(HotelList,MOD(ROW()-2,10)+1)</f>
        <v>H001</v>
      </c>
      <c r="C1552">
        <f>_xlfn.XLOOKUP(B1552,Dim_Hotel!$A$2:$A$11,Dim_Hotel!$F$2:$F$11)</f>
        <v>888</v>
      </c>
      <c r="D1552">
        <f t="shared" si="193"/>
        <v>488</v>
      </c>
      <c r="E1552">
        <f t="shared" si="194"/>
        <v>0.5495495495495496</v>
      </c>
      <c r="F1552">
        <f t="shared" si="195"/>
        <v>260</v>
      </c>
      <c r="G1552">
        <f t="shared" si="196"/>
        <v>142.88288288288288</v>
      </c>
      <c r="H1552" t="str">
        <f>_xlfn.XLOOKUP(A1552,Fact_Events!$D$2:$D$20,Fact_Events!$A$2:$A$20, "")</f>
        <v/>
      </c>
      <c r="I1552">
        <f t="shared" si="197"/>
        <v>0</v>
      </c>
      <c r="J1552" t="str">
        <f>_xlfn.XLOOKUP(H1552, Fact_Events!$A$2:$A$20, Fact_Events!$F$2:$F$20, "")</f>
        <v/>
      </c>
      <c r="K1552" t="str">
        <f t="shared" si="198"/>
        <v>Low</v>
      </c>
      <c r="L1552">
        <f t="shared" si="199"/>
        <v>0.55000000000000004</v>
      </c>
      <c r="M1552">
        <f>_xlfn.XLOOKUP(B1552, Dim_Hotel!$A$2:$A$11, Dim_Hotel!$I$2:$I$11)
 + (IF(J1552="",0,J1552)
    * _xlfn.XLOOKUP(B1552, Dim_Hotel!$A$2:$A$11, Dim_Hotel!$J$2:$J$11))</f>
        <v>260</v>
      </c>
    </row>
    <row r="1553" spans="1:13" x14ac:dyDescent="0.25">
      <c r="A1553" s="1">
        <f t="shared" si="192"/>
        <v>46178</v>
      </c>
      <c r="B1553" t="str" cm="1">
        <f t="array" ref="B1553">INDEX(HotelList,MOD(ROW()-2,10)+1)</f>
        <v>H002</v>
      </c>
      <c r="C1553">
        <f>_xlfn.XLOOKUP(B1553,Dim_Hotel!$A$2:$A$11,Dim_Hotel!$F$2:$F$11)</f>
        <v>147</v>
      </c>
      <c r="D1553">
        <f t="shared" si="193"/>
        <v>81</v>
      </c>
      <c r="E1553">
        <f t="shared" si="194"/>
        <v>0.55102040816326525</v>
      </c>
      <c r="F1553">
        <f t="shared" si="195"/>
        <v>175</v>
      </c>
      <c r="G1553">
        <f t="shared" si="196"/>
        <v>96.428571428571416</v>
      </c>
      <c r="H1553" t="str">
        <f>_xlfn.XLOOKUP(A1553,Fact_Events!$D$2:$D$20,Fact_Events!$A$2:$A$20, "")</f>
        <v/>
      </c>
      <c r="I1553">
        <f t="shared" si="197"/>
        <v>0</v>
      </c>
      <c r="J1553" t="str">
        <f>_xlfn.XLOOKUP(H1553, Fact_Events!$A$2:$A$20, Fact_Events!$F$2:$F$20, "")</f>
        <v/>
      </c>
      <c r="K1553" t="str">
        <f t="shared" si="198"/>
        <v>Low</v>
      </c>
      <c r="L1553">
        <f t="shared" si="199"/>
        <v>0.55000000000000004</v>
      </c>
      <c r="M1553">
        <f>_xlfn.XLOOKUP(B1553, Dim_Hotel!$A$2:$A$11, Dim_Hotel!$I$2:$I$11)
 + (IF(J1553="",0,J1553)
    * _xlfn.XLOOKUP(B1553, Dim_Hotel!$A$2:$A$11, Dim_Hotel!$J$2:$J$11))</f>
        <v>175</v>
      </c>
    </row>
    <row r="1554" spans="1:13" x14ac:dyDescent="0.25">
      <c r="A1554" s="1">
        <f t="shared" si="192"/>
        <v>46178</v>
      </c>
      <c r="B1554" t="str" cm="1">
        <f t="array" ref="B1554">INDEX(HotelList,MOD(ROW()-2,10)+1)</f>
        <v>H003</v>
      </c>
      <c r="C1554">
        <f>_xlfn.XLOOKUP(B1554,Dim_Hotel!$A$2:$A$11,Dim_Hotel!$F$2:$F$11)</f>
        <v>121</v>
      </c>
      <c r="D1554">
        <f t="shared" si="193"/>
        <v>67</v>
      </c>
      <c r="E1554">
        <f t="shared" si="194"/>
        <v>0.55371900826446285</v>
      </c>
      <c r="F1554">
        <f t="shared" si="195"/>
        <v>145</v>
      </c>
      <c r="G1554">
        <f t="shared" si="196"/>
        <v>80.289256198347118</v>
      </c>
      <c r="H1554" t="str">
        <f>_xlfn.XLOOKUP(A1554,Fact_Events!$D$2:$D$20,Fact_Events!$A$2:$A$20, "")</f>
        <v/>
      </c>
      <c r="I1554">
        <f t="shared" si="197"/>
        <v>0</v>
      </c>
      <c r="J1554" t="str">
        <f>_xlfn.XLOOKUP(H1554, Fact_Events!$A$2:$A$20, Fact_Events!$F$2:$F$20, "")</f>
        <v/>
      </c>
      <c r="K1554" t="str">
        <f t="shared" si="198"/>
        <v>Low</v>
      </c>
      <c r="L1554">
        <f t="shared" si="199"/>
        <v>0.55000000000000004</v>
      </c>
      <c r="M1554">
        <f>_xlfn.XLOOKUP(B1554, Dim_Hotel!$A$2:$A$11, Dim_Hotel!$I$2:$I$11)
 + (IF(J1554="",0,J1554)
    * _xlfn.XLOOKUP(B1554, Dim_Hotel!$A$2:$A$11, Dim_Hotel!$J$2:$J$11))</f>
        <v>145</v>
      </c>
    </row>
    <row r="1555" spans="1:13" x14ac:dyDescent="0.25">
      <c r="A1555" s="1">
        <f t="shared" si="192"/>
        <v>46178</v>
      </c>
      <c r="B1555" t="str" cm="1">
        <f t="array" ref="B1555">INDEX(HotelList,MOD(ROW()-2,10)+1)</f>
        <v>H004</v>
      </c>
      <c r="C1555">
        <f>_xlfn.XLOOKUP(B1555,Dim_Hotel!$A$2:$A$11,Dim_Hotel!$F$2:$F$11)</f>
        <v>108</v>
      </c>
      <c r="D1555">
        <f t="shared" si="193"/>
        <v>59</v>
      </c>
      <c r="E1555">
        <f t="shared" si="194"/>
        <v>0.54629629629629628</v>
      </c>
      <c r="F1555">
        <f t="shared" si="195"/>
        <v>135</v>
      </c>
      <c r="G1555">
        <f t="shared" si="196"/>
        <v>73.75</v>
      </c>
      <c r="H1555" t="str">
        <f>_xlfn.XLOOKUP(A1555,Fact_Events!$D$2:$D$20,Fact_Events!$A$2:$A$20, "")</f>
        <v/>
      </c>
      <c r="I1555">
        <f t="shared" si="197"/>
        <v>0</v>
      </c>
      <c r="J1555" t="str">
        <f>_xlfn.XLOOKUP(H1555, Fact_Events!$A$2:$A$20, Fact_Events!$F$2:$F$20, "")</f>
        <v/>
      </c>
      <c r="K1555" t="str">
        <f t="shared" si="198"/>
        <v>Low</v>
      </c>
      <c r="L1555">
        <f t="shared" si="199"/>
        <v>0.55000000000000004</v>
      </c>
      <c r="M1555">
        <f>_xlfn.XLOOKUP(B1555, Dim_Hotel!$A$2:$A$11, Dim_Hotel!$I$2:$I$11)
 + (IF(J1555="",0,J1555)
    * _xlfn.XLOOKUP(B1555, Dim_Hotel!$A$2:$A$11, Dim_Hotel!$J$2:$J$11))</f>
        <v>135</v>
      </c>
    </row>
    <row r="1556" spans="1:13" x14ac:dyDescent="0.25">
      <c r="A1556" s="1">
        <f t="shared" si="192"/>
        <v>46178</v>
      </c>
      <c r="B1556" t="str" cm="1">
        <f t="array" ref="B1556">INDEX(HotelList,MOD(ROW()-2,10)+1)</f>
        <v>H005</v>
      </c>
      <c r="C1556">
        <f>_xlfn.XLOOKUP(B1556,Dim_Hotel!$A$2:$A$11,Dim_Hotel!$F$2:$F$11)</f>
        <v>66</v>
      </c>
      <c r="D1556">
        <f t="shared" si="193"/>
        <v>36</v>
      </c>
      <c r="E1556">
        <f t="shared" si="194"/>
        <v>0.54545454545454541</v>
      </c>
      <c r="F1556">
        <f t="shared" si="195"/>
        <v>82</v>
      </c>
      <c r="G1556">
        <f t="shared" si="196"/>
        <v>44.727272727272727</v>
      </c>
      <c r="H1556" t="str">
        <f>_xlfn.XLOOKUP(A1556,Fact_Events!$D$2:$D$20,Fact_Events!$A$2:$A$20, "")</f>
        <v/>
      </c>
      <c r="I1556">
        <f t="shared" si="197"/>
        <v>0</v>
      </c>
      <c r="J1556" t="str">
        <f>_xlfn.XLOOKUP(H1556, Fact_Events!$A$2:$A$20, Fact_Events!$F$2:$F$20, "")</f>
        <v/>
      </c>
      <c r="K1556" t="str">
        <f t="shared" si="198"/>
        <v>Low</v>
      </c>
      <c r="L1556">
        <f t="shared" si="199"/>
        <v>0.55000000000000004</v>
      </c>
      <c r="M1556">
        <f>_xlfn.XLOOKUP(B1556, Dim_Hotel!$A$2:$A$11, Dim_Hotel!$I$2:$I$11)
 + (IF(J1556="",0,J1556)
    * _xlfn.XLOOKUP(B1556, Dim_Hotel!$A$2:$A$11, Dim_Hotel!$J$2:$J$11))</f>
        <v>82</v>
      </c>
    </row>
    <row r="1557" spans="1:13" x14ac:dyDescent="0.25">
      <c r="A1557" s="1">
        <f t="shared" si="192"/>
        <v>46178</v>
      </c>
      <c r="B1557" t="str" cm="1">
        <f t="array" ref="B1557">INDEX(HotelList,MOD(ROW()-2,10)+1)</f>
        <v>H006</v>
      </c>
      <c r="C1557">
        <f>_xlfn.XLOOKUP(B1557,Dim_Hotel!$A$2:$A$11,Dim_Hotel!$F$2:$F$11)</f>
        <v>311</v>
      </c>
      <c r="D1557">
        <f t="shared" si="193"/>
        <v>171</v>
      </c>
      <c r="E1557">
        <f t="shared" si="194"/>
        <v>0.54983922829581988</v>
      </c>
      <c r="F1557">
        <f t="shared" si="195"/>
        <v>190</v>
      </c>
      <c r="G1557">
        <f t="shared" si="196"/>
        <v>104.46945337620578</v>
      </c>
      <c r="H1557" t="str">
        <f>_xlfn.XLOOKUP(A1557,Fact_Events!$D$2:$D$20,Fact_Events!$A$2:$A$20, "")</f>
        <v/>
      </c>
      <c r="I1557">
        <f t="shared" si="197"/>
        <v>0</v>
      </c>
      <c r="J1557" t="str">
        <f>_xlfn.XLOOKUP(H1557, Fact_Events!$A$2:$A$20, Fact_Events!$F$2:$F$20, "")</f>
        <v/>
      </c>
      <c r="K1557" t="str">
        <f t="shared" si="198"/>
        <v>Low</v>
      </c>
      <c r="L1557">
        <f t="shared" si="199"/>
        <v>0.55000000000000004</v>
      </c>
      <c r="M1557">
        <f>_xlfn.XLOOKUP(B1557, Dim_Hotel!$A$2:$A$11, Dim_Hotel!$I$2:$I$11)
 + (IF(J1557="",0,J1557)
    * _xlfn.XLOOKUP(B1557, Dim_Hotel!$A$2:$A$11, Dim_Hotel!$J$2:$J$11))</f>
        <v>190</v>
      </c>
    </row>
    <row r="1558" spans="1:13" x14ac:dyDescent="0.25">
      <c r="A1558" s="1">
        <f t="shared" si="192"/>
        <v>46178</v>
      </c>
      <c r="B1558" t="str" cm="1">
        <f t="array" ref="B1558">INDEX(HotelList,MOD(ROW()-2,10)+1)</f>
        <v>H007</v>
      </c>
      <c r="C1558">
        <f>_xlfn.XLOOKUP(B1558,Dim_Hotel!$A$2:$A$11,Dim_Hotel!$F$2:$F$11)</f>
        <v>132</v>
      </c>
      <c r="D1558">
        <f t="shared" si="193"/>
        <v>73</v>
      </c>
      <c r="E1558">
        <f t="shared" si="194"/>
        <v>0.55303030303030298</v>
      </c>
      <c r="F1558">
        <f t="shared" si="195"/>
        <v>165</v>
      </c>
      <c r="G1558">
        <f t="shared" si="196"/>
        <v>91.249999999999986</v>
      </c>
      <c r="H1558" t="str">
        <f>_xlfn.XLOOKUP(A1558,Fact_Events!$D$2:$D$20,Fact_Events!$A$2:$A$20, "")</f>
        <v/>
      </c>
      <c r="I1558">
        <f t="shared" si="197"/>
        <v>0</v>
      </c>
      <c r="J1558" t="str">
        <f>_xlfn.XLOOKUP(H1558, Fact_Events!$A$2:$A$20, Fact_Events!$F$2:$F$20, "")</f>
        <v/>
      </c>
      <c r="K1558" t="str">
        <f t="shared" si="198"/>
        <v>Low</v>
      </c>
      <c r="L1558">
        <f t="shared" si="199"/>
        <v>0.55000000000000004</v>
      </c>
      <c r="M1558">
        <f>_xlfn.XLOOKUP(B1558, Dim_Hotel!$A$2:$A$11, Dim_Hotel!$I$2:$I$11)
 + (IF(J1558="",0,J1558)
    * _xlfn.XLOOKUP(B1558, Dim_Hotel!$A$2:$A$11, Dim_Hotel!$J$2:$J$11))</f>
        <v>165</v>
      </c>
    </row>
    <row r="1559" spans="1:13" x14ac:dyDescent="0.25">
      <c r="A1559" s="1">
        <f t="shared" si="192"/>
        <v>46178</v>
      </c>
      <c r="B1559" t="str" cm="1">
        <f t="array" ref="B1559">INDEX(HotelList,MOD(ROW()-2,10)+1)</f>
        <v>H008</v>
      </c>
      <c r="C1559">
        <f>_xlfn.XLOOKUP(B1559,Dim_Hotel!$A$2:$A$11,Dim_Hotel!$F$2:$F$11)</f>
        <v>103</v>
      </c>
      <c r="D1559">
        <f t="shared" si="193"/>
        <v>57</v>
      </c>
      <c r="E1559">
        <f t="shared" si="194"/>
        <v>0.55339805825242716</v>
      </c>
      <c r="F1559">
        <f t="shared" si="195"/>
        <v>140</v>
      </c>
      <c r="G1559">
        <f t="shared" si="196"/>
        <v>77.475728155339809</v>
      </c>
      <c r="H1559" t="str">
        <f>_xlfn.XLOOKUP(A1559,Fact_Events!$D$2:$D$20,Fact_Events!$A$2:$A$20, "")</f>
        <v/>
      </c>
      <c r="I1559">
        <f t="shared" si="197"/>
        <v>0</v>
      </c>
      <c r="J1559" t="str">
        <f>_xlfn.XLOOKUP(H1559, Fact_Events!$A$2:$A$20, Fact_Events!$F$2:$F$20, "")</f>
        <v/>
      </c>
      <c r="K1559" t="str">
        <f t="shared" si="198"/>
        <v>Low</v>
      </c>
      <c r="L1559">
        <f t="shared" si="199"/>
        <v>0.55000000000000004</v>
      </c>
      <c r="M1559">
        <f>_xlfn.XLOOKUP(B1559, Dim_Hotel!$A$2:$A$11, Dim_Hotel!$I$2:$I$11)
 + (IF(J1559="",0,J1559)
    * _xlfn.XLOOKUP(B1559, Dim_Hotel!$A$2:$A$11, Dim_Hotel!$J$2:$J$11))</f>
        <v>140</v>
      </c>
    </row>
    <row r="1560" spans="1:13" x14ac:dyDescent="0.25">
      <c r="A1560" s="1">
        <f t="shared" si="192"/>
        <v>46178</v>
      </c>
      <c r="B1560" t="str" cm="1">
        <f t="array" ref="B1560">INDEX(HotelList,MOD(ROW()-2,10)+1)</f>
        <v>H009</v>
      </c>
      <c r="C1560">
        <f>_xlfn.XLOOKUP(B1560,Dim_Hotel!$A$2:$A$11,Dim_Hotel!$F$2:$F$11)</f>
        <v>114</v>
      </c>
      <c r="D1560">
        <f t="shared" si="193"/>
        <v>63</v>
      </c>
      <c r="E1560">
        <f t="shared" si="194"/>
        <v>0.55263157894736847</v>
      </c>
      <c r="F1560">
        <f t="shared" si="195"/>
        <v>185</v>
      </c>
      <c r="G1560">
        <f t="shared" si="196"/>
        <v>102.23684210526316</v>
      </c>
      <c r="H1560" t="str">
        <f>_xlfn.XLOOKUP(A1560,Fact_Events!$D$2:$D$20,Fact_Events!$A$2:$A$20, "")</f>
        <v/>
      </c>
      <c r="I1560">
        <f t="shared" si="197"/>
        <v>0</v>
      </c>
      <c r="J1560" t="str">
        <f>_xlfn.XLOOKUP(H1560, Fact_Events!$A$2:$A$20, Fact_Events!$F$2:$F$20, "")</f>
        <v/>
      </c>
      <c r="K1560" t="str">
        <f t="shared" si="198"/>
        <v>Low</v>
      </c>
      <c r="L1560">
        <f t="shared" si="199"/>
        <v>0.55000000000000004</v>
      </c>
      <c r="M1560">
        <f>_xlfn.XLOOKUP(B1560, Dim_Hotel!$A$2:$A$11, Dim_Hotel!$I$2:$I$11)
 + (IF(J1560="",0,J1560)
    * _xlfn.XLOOKUP(B1560, Dim_Hotel!$A$2:$A$11, Dim_Hotel!$J$2:$J$11))</f>
        <v>185</v>
      </c>
    </row>
    <row r="1561" spans="1:13" x14ac:dyDescent="0.25">
      <c r="A1561" s="1">
        <f t="shared" si="192"/>
        <v>46178</v>
      </c>
      <c r="B1561" t="str" cm="1">
        <f t="array" ref="B1561">INDEX(HotelList,MOD(ROW()-2,10)+1)</f>
        <v>H010</v>
      </c>
      <c r="C1561">
        <f>_xlfn.XLOOKUP(B1561,Dim_Hotel!$A$2:$A$11,Dim_Hotel!$F$2:$F$11)</f>
        <v>89</v>
      </c>
      <c r="D1561">
        <f t="shared" si="193"/>
        <v>49</v>
      </c>
      <c r="E1561">
        <f t="shared" si="194"/>
        <v>0.550561797752809</v>
      </c>
      <c r="F1561">
        <f t="shared" si="195"/>
        <v>150</v>
      </c>
      <c r="G1561">
        <f t="shared" si="196"/>
        <v>82.584269662921344</v>
      </c>
      <c r="H1561" t="str">
        <f>_xlfn.XLOOKUP(A1561,Fact_Events!$D$2:$D$20,Fact_Events!$A$2:$A$20, "")</f>
        <v/>
      </c>
      <c r="I1561">
        <f t="shared" si="197"/>
        <v>0</v>
      </c>
      <c r="J1561" t="str">
        <f>_xlfn.XLOOKUP(H1561, Fact_Events!$A$2:$A$20, Fact_Events!$F$2:$F$20, "")</f>
        <v/>
      </c>
      <c r="K1561" t="str">
        <f t="shared" si="198"/>
        <v>Low</v>
      </c>
      <c r="L1561">
        <f t="shared" si="199"/>
        <v>0.55000000000000004</v>
      </c>
      <c r="M1561">
        <f>_xlfn.XLOOKUP(B1561, Dim_Hotel!$A$2:$A$11, Dim_Hotel!$I$2:$I$11)
 + (IF(J1561="",0,J1561)
    * _xlfn.XLOOKUP(B1561, Dim_Hotel!$A$2:$A$11, Dim_Hotel!$J$2:$J$11))</f>
        <v>150</v>
      </c>
    </row>
    <row r="1562" spans="1:13" x14ac:dyDescent="0.25">
      <c r="A1562" s="1">
        <f t="shared" si="192"/>
        <v>46179</v>
      </c>
      <c r="B1562" t="str" cm="1">
        <f t="array" ref="B1562">INDEX(HotelList,MOD(ROW()-2,10)+1)</f>
        <v>H001</v>
      </c>
      <c r="C1562">
        <f>_xlfn.XLOOKUP(B1562,Dim_Hotel!$A$2:$A$11,Dim_Hotel!$F$2:$F$11)</f>
        <v>888</v>
      </c>
      <c r="D1562">
        <f t="shared" si="193"/>
        <v>488</v>
      </c>
      <c r="E1562">
        <f t="shared" si="194"/>
        <v>0.5495495495495496</v>
      </c>
      <c r="F1562">
        <f t="shared" si="195"/>
        <v>260</v>
      </c>
      <c r="G1562">
        <f t="shared" si="196"/>
        <v>142.88288288288288</v>
      </c>
      <c r="H1562" t="str">
        <f>_xlfn.XLOOKUP(A1562,Fact_Events!$D$2:$D$20,Fact_Events!$A$2:$A$20, "")</f>
        <v/>
      </c>
      <c r="I1562">
        <f t="shared" si="197"/>
        <v>0</v>
      </c>
      <c r="J1562" t="str">
        <f>_xlfn.XLOOKUP(H1562, Fact_Events!$A$2:$A$20, Fact_Events!$F$2:$F$20, "")</f>
        <v/>
      </c>
      <c r="K1562" t="str">
        <f t="shared" si="198"/>
        <v>Low</v>
      </c>
      <c r="L1562">
        <f t="shared" si="199"/>
        <v>0.55000000000000004</v>
      </c>
      <c r="M1562">
        <f>_xlfn.XLOOKUP(B1562, Dim_Hotel!$A$2:$A$11, Dim_Hotel!$I$2:$I$11)
 + (IF(J1562="",0,J1562)
    * _xlfn.XLOOKUP(B1562, Dim_Hotel!$A$2:$A$11, Dim_Hotel!$J$2:$J$11))</f>
        <v>260</v>
      </c>
    </row>
    <row r="1563" spans="1:13" x14ac:dyDescent="0.25">
      <c r="A1563" s="1">
        <f t="shared" si="192"/>
        <v>46179</v>
      </c>
      <c r="B1563" t="str" cm="1">
        <f t="array" ref="B1563">INDEX(HotelList,MOD(ROW()-2,10)+1)</f>
        <v>H002</v>
      </c>
      <c r="C1563">
        <f>_xlfn.XLOOKUP(B1563,Dim_Hotel!$A$2:$A$11,Dim_Hotel!$F$2:$F$11)</f>
        <v>147</v>
      </c>
      <c r="D1563">
        <f t="shared" si="193"/>
        <v>81</v>
      </c>
      <c r="E1563">
        <f t="shared" si="194"/>
        <v>0.55102040816326525</v>
      </c>
      <c r="F1563">
        <f t="shared" si="195"/>
        <v>175</v>
      </c>
      <c r="G1563">
        <f t="shared" si="196"/>
        <v>96.428571428571416</v>
      </c>
      <c r="H1563" t="str">
        <f>_xlfn.XLOOKUP(A1563,Fact_Events!$D$2:$D$20,Fact_Events!$A$2:$A$20, "")</f>
        <v/>
      </c>
      <c r="I1563">
        <f t="shared" si="197"/>
        <v>0</v>
      </c>
      <c r="J1563" t="str">
        <f>_xlfn.XLOOKUP(H1563, Fact_Events!$A$2:$A$20, Fact_Events!$F$2:$F$20, "")</f>
        <v/>
      </c>
      <c r="K1563" t="str">
        <f t="shared" si="198"/>
        <v>Low</v>
      </c>
      <c r="L1563">
        <f t="shared" si="199"/>
        <v>0.55000000000000004</v>
      </c>
      <c r="M1563">
        <f>_xlfn.XLOOKUP(B1563, Dim_Hotel!$A$2:$A$11, Dim_Hotel!$I$2:$I$11)
 + (IF(J1563="",0,J1563)
    * _xlfn.XLOOKUP(B1563, Dim_Hotel!$A$2:$A$11, Dim_Hotel!$J$2:$J$11))</f>
        <v>175</v>
      </c>
    </row>
    <row r="1564" spans="1:13" x14ac:dyDescent="0.25">
      <c r="A1564" s="1">
        <f t="shared" si="192"/>
        <v>46179</v>
      </c>
      <c r="B1564" t="str" cm="1">
        <f t="array" ref="B1564">INDEX(HotelList,MOD(ROW()-2,10)+1)</f>
        <v>H003</v>
      </c>
      <c r="C1564">
        <f>_xlfn.XLOOKUP(B1564,Dim_Hotel!$A$2:$A$11,Dim_Hotel!$F$2:$F$11)</f>
        <v>121</v>
      </c>
      <c r="D1564">
        <f t="shared" si="193"/>
        <v>67</v>
      </c>
      <c r="E1564">
        <f t="shared" si="194"/>
        <v>0.55371900826446285</v>
      </c>
      <c r="F1564">
        <f t="shared" si="195"/>
        <v>145</v>
      </c>
      <c r="G1564">
        <f t="shared" si="196"/>
        <v>80.289256198347118</v>
      </c>
      <c r="H1564" t="str">
        <f>_xlfn.XLOOKUP(A1564,Fact_Events!$D$2:$D$20,Fact_Events!$A$2:$A$20, "")</f>
        <v/>
      </c>
      <c r="I1564">
        <f t="shared" si="197"/>
        <v>0</v>
      </c>
      <c r="J1564" t="str">
        <f>_xlfn.XLOOKUP(H1564, Fact_Events!$A$2:$A$20, Fact_Events!$F$2:$F$20, "")</f>
        <v/>
      </c>
      <c r="K1564" t="str">
        <f t="shared" si="198"/>
        <v>Low</v>
      </c>
      <c r="L1564">
        <f t="shared" si="199"/>
        <v>0.55000000000000004</v>
      </c>
      <c r="M1564">
        <f>_xlfn.XLOOKUP(B1564, Dim_Hotel!$A$2:$A$11, Dim_Hotel!$I$2:$I$11)
 + (IF(J1564="",0,J1564)
    * _xlfn.XLOOKUP(B1564, Dim_Hotel!$A$2:$A$11, Dim_Hotel!$J$2:$J$11))</f>
        <v>145</v>
      </c>
    </row>
    <row r="1565" spans="1:13" x14ac:dyDescent="0.25">
      <c r="A1565" s="1">
        <f t="shared" si="192"/>
        <v>46179</v>
      </c>
      <c r="B1565" t="str" cm="1">
        <f t="array" ref="B1565">INDEX(HotelList,MOD(ROW()-2,10)+1)</f>
        <v>H004</v>
      </c>
      <c r="C1565">
        <f>_xlfn.XLOOKUP(B1565,Dim_Hotel!$A$2:$A$11,Dim_Hotel!$F$2:$F$11)</f>
        <v>108</v>
      </c>
      <c r="D1565">
        <f t="shared" si="193"/>
        <v>59</v>
      </c>
      <c r="E1565">
        <f t="shared" si="194"/>
        <v>0.54629629629629628</v>
      </c>
      <c r="F1565">
        <f t="shared" si="195"/>
        <v>135</v>
      </c>
      <c r="G1565">
        <f t="shared" si="196"/>
        <v>73.75</v>
      </c>
      <c r="H1565" t="str">
        <f>_xlfn.XLOOKUP(A1565,Fact_Events!$D$2:$D$20,Fact_Events!$A$2:$A$20, "")</f>
        <v/>
      </c>
      <c r="I1565">
        <f t="shared" si="197"/>
        <v>0</v>
      </c>
      <c r="J1565" t="str">
        <f>_xlfn.XLOOKUP(H1565, Fact_Events!$A$2:$A$20, Fact_Events!$F$2:$F$20, "")</f>
        <v/>
      </c>
      <c r="K1565" t="str">
        <f t="shared" si="198"/>
        <v>Low</v>
      </c>
      <c r="L1565">
        <f t="shared" si="199"/>
        <v>0.55000000000000004</v>
      </c>
      <c r="M1565">
        <f>_xlfn.XLOOKUP(B1565, Dim_Hotel!$A$2:$A$11, Dim_Hotel!$I$2:$I$11)
 + (IF(J1565="",0,J1565)
    * _xlfn.XLOOKUP(B1565, Dim_Hotel!$A$2:$A$11, Dim_Hotel!$J$2:$J$11))</f>
        <v>135</v>
      </c>
    </row>
    <row r="1566" spans="1:13" x14ac:dyDescent="0.25">
      <c r="A1566" s="1">
        <f t="shared" si="192"/>
        <v>46179</v>
      </c>
      <c r="B1566" t="str" cm="1">
        <f t="array" ref="B1566">INDEX(HotelList,MOD(ROW()-2,10)+1)</f>
        <v>H005</v>
      </c>
      <c r="C1566">
        <f>_xlfn.XLOOKUP(B1566,Dim_Hotel!$A$2:$A$11,Dim_Hotel!$F$2:$F$11)</f>
        <v>66</v>
      </c>
      <c r="D1566">
        <f t="shared" si="193"/>
        <v>36</v>
      </c>
      <c r="E1566">
        <f t="shared" si="194"/>
        <v>0.54545454545454541</v>
      </c>
      <c r="F1566">
        <f t="shared" si="195"/>
        <v>82</v>
      </c>
      <c r="G1566">
        <f t="shared" si="196"/>
        <v>44.727272727272727</v>
      </c>
      <c r="H1566" t="str">
        <f>_xlfn.XLOOKUP(A1566,Fact_Events!$D$2:$D$20,Fact_Events!$A$2:$A$20, "")</f>
        <v/>
      </c>
      <c r="I1566">
        <f t="shared" si="197"/>
        <v>0</v>
      </c>
      <c r="J1566" t="str">
        <f>_xlfn.XLOOKUP(H1566, Fact_Events!$A$2:$A$20, Fact_Events!$F$2:$F$20, "")</f>
        <v/>
      </c>
      <c r="K1566" t="str">
        <f t="shared" si="198"/>
        <v>Low</v>
      </c>
      <c r="L1566">
        <f t="shared" si="199"/>
        <v>0.55000000000000004</v>
      </c>
      <c r="M1566">
        <f>_xlfn.XLOOKUP(B1566, Dim_Hotel!$A$2:$A$11, Dim_Hotel!$I$2:$I$11)
 + (IF(J1566="",0,J1566)
    * _xlfn.XLOOKUP(B1566, Dim_Hotel!$A$2:$A$11, Dim_Hotel!$J$2:$J$11))</f>
        <v>82</v>
      </c>
    </row>
    <row r="1567" spans="1:13" x14ac:dyDescent="0.25">
      <c r="A1567" s="1">
        <f t="shared" si="192"/>
        <v>46179</v>
      </c>
      <c r="B1567" t="str" cm="1">
        <f t="array" ref="B1567">INDEX(HotelList,MOD(ROW()-2,10)+1)</f>
        <v>H006</v>
      </c>
      <c r="C1567">
        <f>_xlfn.XLOOKUP(B1567,Dim_Hotel!$A$2:$A$11,Dim_Hotel!$F$2:$F$11)</f>
        <v>311</v>
      </c>
      <c r="D1567">
        <f t="shared" si="193"/>
        <v>171</v>
      </c>
      <c r="E1567">
        <f t="shared" si="194"/>
        <v>0.54983922829581988</v>
      </c>
      <c r="F1567">
        <f t="shared" si="195"/>
        <v>190</v>
      </c>
      <c r="G1567">
        <f t="shared" si="196"/>
        <v>104.46945337620578</v>
      </c>
      <c r="H1567" t="str">
        <f>_xlfn.XLOOKUP(A1567,Fact_Events!$D$2:$D$20,Fact_Events!$A$2:$A$20, "")</f>
        <v/>
      </c>
      <c r="I1567">
        <f t="shared" si="197"/>
        <v>0</v>
      </c>
      <c r="J1567" t="str">
        <f>_xlfn.XLOOKUP(H1567, Fact_Events!$A$2:$A$20, Fact_Events!$F$2:$F$20, "")</f>
        <v/>
      </c>
      <c r="K1567" t="str">
        <f t="shared" si="198"/>
        <v>Low</v>
      </c>
      <c r="L1567">
        <f t="shared" si="199"/>
        <v>0.55000000000000004</v>
      </c>
      <c r="M1567">
        <f>_xlfn.XLOOKUP(B1567, Dim_Hotel!$A$2:$A$11, Dim_Hotel!$I$2:$I$11)
 + (IF(J1567="",0,J1567)
    * _xlfn.XLOOKUP(B1567, Dim_Hotel!$A$2:$A$11, Dim_Hotel!$J$2:$J$11))</f>
        <v>190</v>
      </c>
    </row>
    <row r="1568" spans="1:13" x14ac:dyDescent="0.25">
      <c r="A1568" s="1">
        <f t="shared" si="192"/>
        <v>46179</v>
      </c>
      <c r="B1568" t="str" cm="1">
        <f t="array" ref="B1568">INDEX(HotelList,MOD(ROW()-2,10)+1)</f>
        <v>H007</v>
      </c>
      <c r="C1568">
        <f>_xlfn.XLOOKUP(B1568,Dim_Hotel!$A$2:$A$11,Dim_Hotel!$F$2:$F$11)</f>
        <v>132</v>
      </c>
      <c r="D1568">
        <f t="shared" si="193"/>
        <v>73</v>
      </c>
      <c r="E1568">
        <f t="shared" si="194"/>
        <v>0.55303030303030298</v>
      </c>
      <c r="F1568">
        <f t="shared" si="195"/>
        <v>165</v>
      </c>
      <c r="G1568">
        <f t="shared" si="196"/>
        <v>91.249999999999986</v>
      </c>
      <c r="H1568" t="str">
        <f>_xlfn.XLOOKUP(A1568,Fact_Events!$D$2:$D$20,Fact_Events!$A$2:$A$20, "")</f>
        <v/>
      </c>
      <c r="I1568">
        <f t="shared" si="197"/>
        <v>0</v>
      </c>
      <c r="J1568" t="str">
        <f>_xlfn.XLOOKUP(H1568, Fact_Events!$A$2:$A$20, Fact_Events!$F$2:$F$20, "")</f>
        <v/>
      </c>
      <c r="K1568" t="str">
        <f t="shared" si="198"/>
        <v>Low</v>
      </c>
      <c r="L1568">
        <f t="shared" si="199"/>
        <v>0.55000000000000004</v>
      </c>
      <c r="M1568">
        <f>_xlfn.XLOOKUP(B1568, Dim_Hotel!$A$2:$A$11, Dim_Hotel!$I$2:$I$11)
 + (IF(J1568="",0,J1568)
    * _xlfn.XLOOKUP(B1568, Dim_Hotel!$A$2:$A$11, Dim_Hotel!$J$2:$J$11))</f>
        <v>165</v>
      </c>
    </row>
    <row r="1569" spans="1:13" x14ac:dyDescent="0.25">
      <c r="A1569" s="1">
        <f t="shared" si="192"/>
        <v>46179</v>
      </c>
      <c r="B1569" t="str" cm="1">
        <f t="array" ref="B1569">INDEX(HotelList,MOD(ROW()-2,10)+1)</f>
        <v>H008</v>
      </c>
      <c r="C1569">
        <f>_xlfn.XLOOKUP(B1569,Dim_Hotel!$A$2:$A$11,Dim_Hotel!$F$2:$F$11)</f>
        <v>103</v>
      </c>
      <c r="D1569">
        <f t="shared" si="193"/>
        <v>57</v>
      </c>
      <c r="E1569">
        <f t="shared" si="194"/>
        <v>0.55339805825242716</v>
      </c>
      <c r="F1569">
        <f t="shared" si="195"/>
        <v>140</v>
      </c>
      <c r="G1569">
        <f t="shared" si="196"/>
        <v>77.475728155339809</v>
      </c>
      <c r="H1569" t="str">
        <f>_xlfn.XLOOKUP(A1569,Fact_Events!$D$2:$D$20,Fact_Events!$A$2:$A$20, "")</f>
        <v/>
      </c>
      <c r="I1569">
        <f t="shared" si="197"/>
        <v>0</v>
      </c>
      <c r="J1569" t="str">
        <f>_xlfn.XLOOKUP(H1569, Fact_Events!$A$2:$A$20, Fact_Events!$F$2:$F$20, "")</f>
        <v/>
      </c>
      <c r="K1569" t="str">
        <f t="shared" si="198"/>
        <v>Low</v>
      </c>
      <c r="L1569">
        <f t="shared" si="199"/>
        <v>0.55000000000000004</v>
      </c>
      <c r="M1569">
        <f>_xlfn.XLOOKUP(B1569, Dim_Hotel!$A$2:$A$11, Dim_Hotel!$I$2:$I$11)
 + (IF(J1569="",0,J1569)
    * _xlfn.XLOOKUP(B1569, Dim_Hotel!$A$2:$A$11, Dim_Hotel!$J$2:$J$11))</f>
        <v>140</v>
      </c>
    </row>
    <row r="1570" spans="1:13" x14ac:dyDescent="0.25">
      <c r="A1570" s="1">
        <f t="shared" si="192"/>
        <v>46179</v>
      </c>
      <c r="B1570" t="str" cm="1">
        <f t="array" ref="B1570">INDEX(HotelList,MOD(ROW()-2,10)+1)</f>
        <v>H009</v>
      </c>
      <c r="C1570">
        <f>_xlfn.XLOOKUP(B1570,Dim_Hotel!$A$2:$A$11,Dim_Hotel!$F$2:$F$11)</f>
        <v>114</v>
      </c>
      <c r="D1570">
        <f t="shared" si="193"/>
        <v>63</v>
      </c>
      <c r="E1570">
        <f t="shared" si="194"/>
        <v>0.55263157894736847</v>
      </c>
      <c r="F1570">
        <f t="shared" si="195"/>
        <v>185</v>
      </c>
      <c r="G1570">
        <f t="shared" si="196"/>
        <v>102.23684210526316</v>
      </c>
      <c r="H1570" t="str">
        <f>_xlfn.XLOOKUP(A1570,Fact_Events!$D$2:$D$20,Fact_Events!$A$2:$A$20, "")</f>
        <v/>
      </c>
      <c r="I1570">
        <f t="shared" si="197"/>
        <v>0</v>
      </c>
      <c r="J1570" t="str">
        <f>_xlfn.XLOOKUP(H1570, Fact_Events!$A$2:$A$20, Fact_Events!$F$2:$F$20, "")</f>
        <v/>
      </c>
      <c r="K1570" t="str">
        <f t="shared" si="198"/>
        <v>Low</v>
      </c>
      <c r="L1570">
        <f t="shared" si="199"/>
        <v>0.55000000000000004</v>
      </c>
      <c r="M1570">
        <f>_xlfn.XLOOKUP(B1570, Dim_Hotel!$A$2:$A$11, Dim_Hotel!$I$2:$I$11)
 + (IF(J1570="",0,J1570)
    * _xlfn.XLOOKUP(B1570, Dim_Hotel!$A$2:$A$11, Dim_Hotel!$J$2:$J$11))</f>
        <v>185</v>
      </c>
    </row>
    <row r="1571" spans="1:13" x14ac:dyDescent="0.25">
      <c r="A1571" s="1">
        <f t="shared" si="192"/>
        <v>46179</v>
      </c>
      <c r="B1571" t="str" cm="1">
        <f t="array" ref="B1571">INDEX(HotelList,MOD(ROW()-2,10)+1)</f>
        <v>H010</v>
      </c>
      <c r="C1571">
        <f>_xlfn.XLOOKUP(B1571,Dim_Hotel!$A$2:$A$11,Dim_Hotel!$F$2:$F$11)</f>
        <v>89</v>
      </c>
      <c r="D1571">
        <f t="shared" si="193"/>
        <v>49</v>
      </c>
      <c r="E1571">
        <f t="shared" si="194"/>
        <v>0.550561797752809</v>
      </c>
      <c r="F1571">
        <f t="shared" si="195"/>
        <v>150</v>
      </c>
      <c r="G1571">
        <f t="shared" si="196"/>
        <v>82.584269662921344</v>
      </c>
      <c r="H1571" t="str">
        <f>_xlfn.XLOOKUP(A1571,Fact_Events!$D$2:$D$20,Fact_Events!$A$2:$A$20, "")</f>
        <v/>
      </c>
      <c r="I1571">
        <f t="shared" si="197"/>
        <v>0</v>
      </c>
      <c r="J1571" t="str">
        <f>_xlfn.XLOOKUP(H1571, Fact_Events!$A$2:$A$20, Fact_Events!$F$2:$F$20, "")</f>
        <v/>
      </c>
      <c r="K1571" t="str">
        <f t="shared" si="198"/>
        <v>Low</v>
      </c>
      <c r="L1571">
        <f t="shared" si="199"/>
        <v>0.55000000000000004</v>
      </c>
      <c r="M1571">
        <f>_xlfn.XLOOKUP(B1571, Dim_Hotel!$A$2:$A$11, Dim_Hotel!$I$2:$I$11)
 + (IF(J1571="",0,J1571)
    * _xlfn.XLOOKUP(B1571, Dim_Hotel!$A$2:$A$11, Dim_Hotel!$J$2:$J$11))</f>
        <v>150</v>
      </c>
    </row>
    <row r="1572" spans="1:13" x14ac:dyDescent="0.25">
      <c r="A1572" s="1">
        <f t="shared" si="192"/>
        <v>46180</v>
      </c>
      <c r="B1572" t="str" cm="1">
        <f t="array" ref="B1572">INDEX(HotelList,MOD(ROW()-2,10)+1)</f>
        <v>H001</v>
      </c>
      <c r="C1572">
        <f>_xlfn.XLOOKUP(B1572,Dim_Hotel!$A$2:$A$11,Dim_Hotel!$F$2:$F$11)</f>
        <v>888</v>
      </c>
      <c r="D1572">
        <f t="shared" si="193"/>
        <v>488</v>
      </c>
      <c r="E1572">
        <f t="shared" si="194"/>
        <v>0.5495495495495496</v>
      </c>
      <c r="F1572">
        <f t="shared" si="195"/>
        <v>260</v>
      </c>
      <c r="G1572">
        <f t="shared" si="196"/>
        <v>142.88288288288288</v>
      </c>
      <c r="H1572" t="str">
        <f>_xlfn.XLOOKUP(A1572,Fact_Events!$D$2:$D$20,Fact_Events!$A$2:$A$20, "")</f>
        <v/>
      </c>
      <c r="I1572">
        <f t="shared" si="197"/>
        <v>0</v>
      </c>
      <c r="J1572" t="str">
        <f>_xlfn.XLOOKUP(H1572, Fact_Events!$A$2:$A$20, Fact_Events!$F$2:$F$20, "")</f>
        <v/>
      </c>
      <c r="K1572" t="str">
        <f t="shared" si="198"/>
        <v>Low</v>
      </c>
      <c r="L1572">
        <f t="shared" si="199"/>
        <v>0.55000000000000004</v>
      </c>
      <c r="M1572">
        <f>_xlfn.XLOOKUP(B1572, Dim_Hotel!$A$2:$A$11, Dim_Hotel!$I$2:$I$11)
 + (IF(J1572="",0,J1572)
    * _xlfn.XLOOKUP(B1572, Dim_Hotel!$A$2:$A$11, Dim_Hotel!$J$2:$J$11))</f>
        <v>260</v>
      </c>
    </row>
    <row r="1573" spans="1:13" x14ac:dyDescent="0.25">
      <c r="A1573" s="1">
        <f t="shared" si="192"/>
        <v>46180</v>
      </c>
      <c r="B1573" t="str" cm="1">
        <f t="array" ref="B1573">INDEX(HotelList,MOD(ROW()-2,10)+1)</f>
        <v>H002</v>
      </c>
      <c r="C1573">
        <f>_xlfn.XLOOKUP(B1573,Dim_Hotel!$A$2:$A$11,Dim_Hotel!$F$2:$F$11)</f>
        <v>147</v>
      </c>
      <c r="D1573">
        <f t="shared" si="193"/>
        <v>81</v>
      </c>
      <c r="E1573">
        <f t="shared" si="194"/>
        <v>0.55102040816326525</v>
      </c>
      <c r="F1573">
        <f t="shared" si="195"/>
        <v>175</v>
      </c>
      <c r="G1573">
        <f t="shared" si="196"/>
        <v>96.428571428571416</v>
      </c>
      <c r="H1573" t="str">
        <f>_xlfn.XLOOKUP(A1573,Fact_Events!$D$2:$D$20,Fact_Events!$A$2:$A$20, "")</f>
        <v/>
      </c>
      <c r="I1573">
        <f t="shared" si="197"/>
        <v>0</v>
      </c>
      <c r="J1573" t="str">
        <f>_xlfn.XLOOKUP(H1573, Fact_Events!$A$2:$A$20, Fact_Events!$F$2:$F$20, "")</f>
        <v/>
      </c>
      <c r="K1573" t="str">
        <f t="shared" si="198"/>
        <v>Low</v>
      </c>
      <c r="L1573">
        <f t="shared" si="199"/>
        <v>0.55000000000000004</v>
      </c>
      <c r="M1573">
        <f>_xlfn.XLOOKUP(B1573, Dim_Hotel!$A$2:$A$11, Dim_Hotel!$I$2:$I$11)
 + (IF(J1573="",0,J1573)
    * _xlfn.XLOOKUP(B1573, Dim_Hotel!$A$2:$A$11, Dim_Hotel!$J$2:$J$11))</f>
        <v>175</v>
      </c>
    </row>
    <row r="1574" spans="1:13" x14ac:dyDescent="0.25">
      <c r="A1574" s="1">
        <f t="shared" si="192"/>
        <v>46180</v>
      </c>
      <c r="B1574" t="str" cm="1">
        <f t="array" ref="B1574">INDEX(HotelList,MOD(ROW()-2,10)+1)</f>
        <v>H003</v>
      </c>
      <c r="C1574">
        <f>_xlfn.XLOOKUP(B1574,Dim_Hotel!$A$2:$A$11,Dim_Hotel!$F$2:$F$11)</f>
        <v>121</v>
      </c>
      <c r="D1574">
        <f t="shared" si="193"/>
        <v>67</v>
      </c>
      <c r="E1574">
        <f t="shared" si="194"/>
        <v>0.55371900826446285</v>
      </c>
      <c r="F1574">
        <f t="shared" si="195"/>
        <v>145</v>
      </c>
      <c r="G1574">
        <f t="shared" si="196"/>
        <v>80.289256198347118</v>
      </c>
      <c r="H1574" t="str">
        <f>_xlfn.XLOOKUP(A1574,Fact_Events!$D$2:$D$20,Fact_Events!$A$2:$A$20, "")</f>
        <v/>
      </c>
      <c r="I1574">
        <f t="shared" si="197"/>
        <v>0</v>
      </c>
      <c r="J1574" t="str">
        <f>_xlfn.XLOOKUP(H1574, Fact_Events!$A$2:$A$20, Fact_Events!$F$2:$F$20, "")</f>
        <v/>
      </c>
      <c r="K1574" t="str">
        <f t="shared" si="198"/>
        <v>Low</v>
      </c>
      <c r="L1574">
        <f t="shared" si="199"/>
        <v>0.55000000000000004</v>
      </c>
      <c r="M1574">
        <f>_xlfn.XLOOKUP(B1574, Dim_Hotel!$A$2:$A$11, Dim_Hotel!$I$2:$I$11)
 + (IF(J1574="",0,J1574)
    * _xlfn.XLOOKUP(B1574, Dim_Hotel!$A$2:$A$11, Dim_Hotel!$J$2:$J$11))</f>
        <v>145</v>
      </c>
    </row>
    <row r="1575" spans="1:13" x14ac:dyDescent="0.25">
      <c r="A1575" s="1">
        <f t="shared" si="192"/>
        <v>46180</v>
      </c>
      <c r="B1575" t="str" cm="1">
        <f t="array" ref="B1575">INDEX(HotelList,MOD(ROW()-2,10)+1)</f>
        <v>H004</v>
      </c>
      <c r="C1575">
        <f>_xlfn.XLOOKUP(B1575,Dim_Hotel!$A$2:$A$11,Dim_Hotel!$F$2:$F$11)</f>
        <v>108</v>
      </c>
      <c r="D1575">
        <f t="shared" si="193"/>
        <v>59</v>
      </c>
      <c r="E1575">
        <f t="shared" si="194"/>
        <v>0.54629629629629628</v>
      </c>
      <c r="F1575">
        <f t="shared" si="195"/>
        <v>135</v>
      </c>
      <c r="G1575">
        <f t="shared" si="196"/>
        <v>73.75</v>
      </c>
      <c r="H1575" t="str">
        <f>_xlfn.XLOOKUP(A1575,Fact_Events!$D$2:$D$20,Fact_Events!$A$2:$A$20, "")</f>
        <v/>
      </c>
      <c r="I1575">
        <f t="shared" si="197"/>
        <v>0</v>
      </c>
      <c r="J1575" t="str">
        <f>_xlfn.XLOOKUP(H1575, Fact_Events!$A$2:$A$20, Fact_Events!$F$2:$F$20, "")</f>
        <v/>
      </c>
      <c r="K1575" t="str">
        <f t="shared" si="198"/>
        <v>Low</v>
      </c>
      <c r="L1575">
        <f t="shared" si="199"/>
        <v>0.55000000000000004</v>
      </c>
      <c r="M1575">
        <f>_xlfn.XLOOKUP(B1575, Dim_Hotel!$A$2:$A$11, Dim_Hotel!$I$2:$I$11)
 + (IF(J1575="",0,J1575)
    * _xlfn.XLOOKUP(B1575, Dim_Hotel!$A$2:$A$11, Dim_Hotel!$J$2:$J$11))</f>
        <v>135</v>
      </c>
    </row>
    <row r="1576" spans="1:13" x14ac:dyDescent="0.25">
      <c r="A1576" s="1">
        <f t="shared" si="192"/>
        <v>46180</v>
      </c>
      <c r="B1576" t="str" cm="1">
        <f t="array" ref="B1576">INDEX(HotelList,MOD(ROW()-2,10)+1)</f>
        <v>H005</v>
      </c>
      <c r="C1576">
        <f>_xlfn.XLOOKUP(B1576,Dim_Hotel!$A$2:$A$11,Dim_Hotel!$F$2:$F$11)</f>
        <v>66</v>
      </c>
      <c r="D1576">
        <f t="shared" si="193"/>
        <v>36</v>
      </c>
      <c r="E1576">
        <f t="shared" si="194"/>
        <v>0.54545454545454541</v>
      </c>
      <c r="F1576">
        <f t="shared" si="195"/>
        <v>82</v>
      </c>
      <c r="G1576">
        <f t="shared" si="196"/>
        <v>44.727272727272727</v>
      </c>
      <c r="H1576" t="str">
        <f>_xlfn.XLOOKUP(A1576,Fact_Events!$D$2:$D$20,Fact_Events!$A$2:$A$20, "")</f>
        <v/>
      </c>
      <c r="I1576">
        <f t="shared" si="197"/>
        <v>0</v>
      </c>
      <c r="J1576" t="str">
        <f>_xlfn.XLOOKUP(H1576, Fact_Events!$A$2:$A$20, Fact_Events!$F$2:$F$20, "")</f>
        <v/>
      </c>
      <c r="K1576" t="str">
        <f t="shared" si="198"/>
        <v>Low</v>
      </c>
      <c r="L1576">
        <f t="shared" si="199"/>
        <v>0.55000000000000004</v>
      </c>
      <c r="M1576">
        <f>_xlfn.XLOOKUP(B1576, Dim_Hotel!$A$2:$A$11, Dim_Hotel!$I$2:$I$11)
 + (IF(J1576="",0,J1576)
    * _xlfn.XLOOKUP(B1576, Dim_Hotel!$A$2:$A$11, Dim_Hotel!$J$2:$J$11))</f>
        <v>82</v>
      </c>
    </row>
    <row r="1577" spans="1:13" x14ac:dyDescent="0.25">
      <c r="A1577" s="1">
        <f t="shared" si="192"/>
        <v>46180</v>
      </c>
      <c r="B1577" t="str" cm="1">
        <f t="array" ref="B1577">INDEX(HotelList,MOD(ROW()-2,10)+1)</f>
        <v>H006</v>
      </c>
      <c r="C1577">
        <f>_xlfn.XLOOKUP(B1577,Dim_Hotel!$A$2:$A$11,Dim_Hotel!$F$2:$F$11)</f>
        <v>311</v>
      </c>
      <c r="D1577">
        <f t="shared" si="193"/>
        <v>171</v>
      </c>
      <c r="E1577">
        <f t="shared" si="194"/>
        <v>0.54983922829581988</v>
      </c>
      <c r="F1577">
        <f t="shared" si="195"/>
        <v>190</v>
      </c>
      <c r="G1577">
        <f t="shared" si="196"/>
        <v>104.46945337620578</v>
      </c>
      <c r="H1577" t="str">
        <f>_xlfn.XLOOKUP(A1577,Fact_Events!$D$2:$D$20,Fact_Events!$A$2:$A$20, "")</f>
        <v/>
      </c>
      <c r="I1577">
        <f t="shared" si="197"/>
        <v>0</v>
      </c>
      <c r="J1577" t="str">
        <f>_xlfn.XLOOKUP(H1577, Fact_Events!$A$2:$A$20, Fact_Events!$F$2:$F$20, "")</f>
        <v/>
      </c>
      <c r="K1577" t="str">
        <f t="shared" si="198"/>
        <v>Low</v>
      </c>
      <c r="L1577">
        <f t="shared" si="199"/>
        <v>0.55000000000000004</v>
      </c>
      <c r="M1577">
        <f>_xlfn.XLOOKUP(B1577, Dim_Hotel!$A$2:$A$11, Dim_Hotel!$I$2:$I$11)
 + (IF(J1577="",0,J1577)
    * _xlfn.XLOOKUP(B1577, Dim_Hotel!$A$2:$A$11, Dim_Hotel!$J$2:$J$11))</f>
        <v>190</v>
      </c>
    </row>
    <row r="1578" spans="1:13" x14ac:dyDescent="0.25">
      <c r="A1578" s="1">
        <f t="shared" si="192"/>
        <v>46180</v>
      </c>
      <c r="B1578" t="str" cm="1">
        <f t="array" ref="B1578">INDEX(HotelList,MOD(ROW()-2,10)+1)</f>
        <v>H007</v>
      </c>
      <c r="C1578">
        <f>_xlfn.XLOOKUP(B1578,Dim_Hotel!$A$2:$A$11,Dim_Hotel!$F$2:$F$11)</f>
        <v>132</v>
      </c>
      <c r="D1578">
        <f t="shared" si="193"/>
        <v>73</v>
      </c>
      <c r="E1578">
        <f t="shared" si="194"/>
        <v>0.55303030303030298</v>
      </c>
      <c r="F1578">
        <f t="shared" si="195"/>
        <v>165</v>
      </c>
      <c r="G1578">
        <f t="shared" si="196"/>
        <v>91.249999999999986</v>
      </c>
      <c r="H1578" t="str">
        <f>_xlfn.XLOOKUP(A1578,Fact_Events!$D$2:$D$20,Fact_Events!$A$2:$A$20, "")</f>
        <v/>
      </c>
      <c r="I1578">
        <f t="shared" si="197"/>
        <v>0</v>
      </c>
      <c r="J1578" t="str">
        <f>_xlfn.XLOOKUP(H1578, Fact_Events!$A$2:$A$20, Fact_Events!$F$2:$F$20, "")</f>
        <v/>
      </c>
      <c r="K1578" t="str">
        <f t="shared" si="198"/>
        <v>Low</v>
      </c>
      <c r="L1578">
        <f t="shared" si="199"/>
        <v>0.55000000000000004</v>
      </c>
      <c r="M1578">
        <f>_xlfn.XLOOKUP(B1578, Dim_Hotel!$A$2:$A$11, Dim_Hotel!$I$2:$I$11)
 + (IF(J1578="",0,J1578)
    * _xlfn.XLOOKUP(B1578, Dim_Hotel!$A$2:$A$11, Dim_Hotel!$J$2:$J$11))</f>
        <v>165</v>
      </c>
    </row>
    <row r="1579" spans="1:13" x14ac:dyDescent="0.25">
      <c r="A1579" s="1">
        <f t="shared" si="192"/>
        <v>46180</v>
      </c>
      <c r="B1579" t="str" cm="1">
        <f t="array" ref="B1579">INDEX(HotelList,MOD(ROW()-2,10)+1)</f>
        <v>H008</v>
      </c>
      <c r="C1579">
        <f>_xlfn.XLOOKUP(B1579,Dim_Hotel!$A$2:$A$11,Dim_Hotel!$F$2:$F$11)</f>
        <v>103</v>
      </c>
      <c r="D1579">
        <f t="shared" si="193"/>
        <v>57</v>
      </c>
      <c r="E1579">
        <f t="shared" si="194"/>
        <v>0.55339805825242716</v>
      </c>
      <c r="F1579">
        <f t="shared" si="195"/>
        <v>140</v>
      </c>
      <c r="G1579">
        <f t="shared" si="196"/>
        <v>77.475728155339809</v>
      </c>
      <c r="H1579" t="str">
        <f>_xlfn.XLOOKUP(A1579,Fact_Events!$D$2:$D$20,Fact_Events!$A$2:$A$20, "")</f>
        <v/>
      </c>
      <c r="I1579">
        <f t="shared" si="197"/>
        <v>0</v>
      </c>
      <c r="J1579" t="str">
        <f>_xlfn.XLOOKUP(H1579, Fact_Events!$A$2:$A$20, Fact_Events!$F$2:$F$20, "")</f>
        <v/>
      </c>
      <c r="K1579" t="str">
        <f t="shared" si="198"/>
        <v>Low</v>
      </c>
      <c r="L1579">
        <f t="shared" si="199"/>
        <v>0.55000000000000004</v>
      </c>
      <c r="M1579">
        <f>_xlfn.XLOOKUP(B1579, Dim_Hotel!$A$2:$A$11, Dim_Hotel!$I$2:$I$11)
 + (IF(J1579="",0,J1579)
    * _xlfn.XLOOKUP(B1579, Dim_Hotel!$A$2:$A$11, Dim_Hotel!$J$2:$J$11))</f>
        <v>140</v>
      </c>
    </row>
    <row r="1580" spans="1:13" x14ac:dyDescent="0.25">
      <c r="A1580" s="1">
        <f t="shared" si="192"/>
        <v>46180</v>
      </c>
      <c r="B1580" t="str" cm="1">
        <f t="array" ref="B1580">INDEX(HotelList,MOD(ROW()-2,10)+1)</f>
        <v>H009</v>
      </c>
      <c r="C1580">
        <f>_xlfn.XLOOKUP(B1580,Dim_Hotel!$A$2:$A$11,Dim_Hotel!$F$2:$F$11)</f>
        <v>114</v>
      </c>
      <c r="D1580">
        <f t="shared" si="193"/>
        <v>63</v>
      </c>
      <c r="E1580">
        <f t="shared" si="194"/>
        <v>0.55263157894736847</v>
      </c>
      <c r="F1580">
        <f t="shared" si="195"/>
        <v>185</v>
      </c>
      <c r="G1580">
        <f t="shared" si="196"/>
        <v>102.23684210526316</v>
      </c>
      <c r="H1580" t="str">
        <f>_xlfn.XLOOKUP(A1580,Fact_Events!$D$2:$D$20,Fact_Events!$A$2:$A$20, "")</f>
        <v/>
      </c>
      <c r="I1580">
        <f t="shared" si="197"/>
        <v>0</v>
      </c>
      <c r="J1580" t="str">
        <f>_xlfn.XLOOKUP(H1580, Fact_Events!$A$2:$A$20, Fact_Events!$F$2:$F$20, "")</f>
        <v/>
      </c>
      <c r="K1580" t="str">
        <f t="shared" si="198"/>
        <v>Low</v>
      </c>
      <c r="L1580">
        <f t="shared" si="199"/>
        <v>0.55000000000000004</v>
      </c>
      <c r="M1580">
        <f>_xlfn.XLOOKUP(B1580, Dim_Hotel!$A$2:$A$11, Dim_Hotel!$I$2:$I$11)
 + (IF(J1580="",0,J1580)
    * _xlfn.XLOOKUP(B1580, Dim_Hotel!$A$2:$A$11, Dim_Hotel!$J$2:$J$11))</f>
        <v>185</v>
      </c>
    </row>
    <row r="1581" spans="1:13" x14ac:dyDescent="0.25">
      <c r="A1581" s="1">
        <f t="shared" si="192"/>
        <v>46180</v>
      </c>
      <c r="B1581" t="str" cm="1">
        <f t="array" ref="B1581">INDEX(HotelList,MOD(ROW()-2,10)+1)</f>
        <v>H010</v>
      </c>
      <c r="C1581">
        <f>_xlfn.XLOOKUP(B1581,Dim_Hotel!$A$2:$A$11,Dim_Hotel!$F$2:$F$11)</f>
        <v>89</v>
      </c>
      <c r="D1581">
        <f t="shared" si="193"/>
        <v>49</v>
      </c>
      <c r="E1581">
        <f t="shared" si="194"/>
        <v>0.550561797752809</v>
      </c>
      <c r="F1581">
        <f t="shared" si="195"/>
        <v>150</v>
      </c>
      <c r="G1581">
        <f t="shared" si="196"/>
        <v>82.584269662921344</v>
      </c>
      <c r="H1581" t="str">
        <f>_xlfn.XLOOKUP(A1581,Fact_Events!$D$2:$D$20,Fact_Events!$A$2:$A$20, "")</f>
        <v/>
      </c>
      <c r="I1581">
        <f t="shared" si="197"/>
        <v>0</v>
      </c>
      <c r="J1581" t="str">
        <f>_xlfn.XLOOKUP(H1581, Fact_Events!$A$2:$A$20, Fact_Events!$F$2:$F$20, "")</f>
        <v/>
      </c>
      <c r="K1581" t="str">
        <f t="shared" si="198"/>
        <v>Low</v>
      </c>
      <c r="L1581">
        <f t="shared" si="199"/>
        <v>0.55000000000000004</v>
      </c>
      <c r="M1581">
        <f>_xlfn.XLOOKUP(B1581, Dim_Hotel!$A$2:$A$11, Dim_Hotel!$I$2:$I$11)
 + (IF(J1581="",0,J1581)
    * _xlfn.XLOOKUP(B1581, Dim_Hotel!$A$2:$A$11, Dim_Hotel!$J$2:$J$11))</f>
        <v>150</v>
      </c>
    </row>
    <row r="1582" spans="1:13" x14ac:dyDescent="0.25">
      <c r="A1582" s="1">
        <f t="shared" si="192"/>
        <v>46181</v>
      </c>
      <c r="B1582" t="str" cm="1">
        <f t="array" ref="B1582">INDEX(HotelList,MOD(ROW()-2,10)+1)</f>
        <v>H001</v>
      </c>
      <c r="C1582">
        <f>_xlfn.XLOOKUP(B1582,Dim_Hotel!$A$2:$A$11,Dim_Hotel!$F$2:$F$11)</f>
        <v>888</v>
      </c>
      <c r="D1582">
        <f t="shared" si="193"/>
        <v>488</v>
      </c>
      <c r="E1582">
        <f t="shared" si="194"/>
        <v>0.5495495495495496</v>
      </c>
      <c r="F1582">
        <f t="shared" si="195"/>
        <v>260</v>
      </c>
      <c r="G1582">
        <f t="shared" si="196"/>
        <v>142.88288288288288</v>
      </c>
      <c r="H1582" t="str">
        <f>_xlfn.XLOOKUP(A1582,Fact_Events!$D$2:$D$20,Fact_Events!$A$2:$A$20, "")</f>
        <v/>
      </c>
      <c r="I1582">
        <f t="shared" si="197"/>
        <v>0</v>
      </c>
      <c r="J1582" t="str">
        <f>_xlfn.XLOOKUP(H1582, Fact_Events!$A$2:$A$20, Fact_Events!$F$2:$F$20, "")</f>
        <v/>
      </c>
      <c r="K1582" t="str">
        <f t="shared" si="198"/>
        <v>Low</v>
      </c>
      <c r="L1582">
        <f t="shared" si="199"/>
        <v>0.55000000000000004</v>
      </c>
      <c r="M1582">
        <f>_xlfn.XLOOKUP(B1582, Dim_Hotel!$A$2:$A$11, Dim_Hotel!$I$2:$I$11)
 + (IF(J1582="",0,J1582)
    * _xlfn.XLOOKUP(B1582, Dim_Hotel!$A$2:$A$11, Dim_Hotel!$J$2:$J$11))</f>
        <v>260</v>
      </c>
    </row>
    <row r="1583" spans="1:13" x14ac:dyDescent="0.25">
      <c r="A1583" s="1">
        <f t="shared" si="192"/>
        <v>46181</v>
      </c>
      <c r="B1583" t="str" cm="1">
        <f t="array" ref="B1583">INDEX(HotelList,MOD(ROW()-2,10)+1)</f>
        <v>H002</v>
      </c>
      <c r="C1583">
        <f>_xlfn.XLOOKUP(B1583,Dim_Hotel!$A$2:$A$11,Dim_Hotel!$F$2:$F$11)</f>
        <v>147</v>
      </c>
      <c r="D1583">
        <f t="shared" si="193"/>
        <v>81</v>
      </c>
      <c r="E1583">
        <f t="shared" si="194"/>
        <v>0.55102040816326525</v>
      </c>
      <c r="F1583">
        <f t="shared" si="195"/>
        <v>175</v>
      </c>
      <c r="G1583">
        <f t="shared" si="196"/>
        <v>96.428571428571416</v>
      </c>
      <c r="H1583" t="str">
        <f>_xlfn.XLOOKUP(A1583,Fact_Events!$D$2:$D$20,Fact_Events!$A$2:$A$20, "")</f>
        <v/>
      </c>
      <c r="I1583">
        <f t="shared" si="197"/>
        <v>0</v>
      </c>
      <c r="J1583" t="str">
        <f>_xlfn.XLOOKUP(H1583, Fact_Events!$A$2:$A$20, Fact_Events!$F$2:$F$20, "")</f>
        <v/>
      </c>
      <c r="K1583" t="str">
        <f t="shared" si="198"/>
        <v>Low</v>
      </c>
      <c r="L1583">
        <f t="shared" si="199"/>
        <v>0.55000000000000004</v>
      </c>
      <c r="M1583">
        <f>_xlfn.XLOOKUP(B1583, Dim_Hotel!$A$2:$A$11, Dim_Hotel!$I$2:$I$11)
 + (IF(J1583="",0,J1583)
    * _xlfn.XLOOKUP(B1583, Dim_Hotel!$A$2:$A$11, Dim_Hotel!$J$2:$J$11))</f>
        <v>175</v>
      </c>
    </row>
    <row r="1584" spans="1:13" x14ac:dyDescent="0.25">
      <c r="A1584" s="1">
        <f t="shared" si="192"/>
        <v>46181</v>
      </c>
      <c r="B1584" t="str" cm="1">
        <f t="array" ref="B1584">INDEX(HotelList,MOD(ROW()-2,10)+1)</f>
        <v>H003</v>
      </c>
      <c r="C1584">
        <f>_xlfn.XLOOKUP(B1584,Dim_Hotel!$A$2:$A$11,Dim_Hotel!$F$2:$F$11)</f>
        <v>121</v>
      </c>
      <c r="D1584">
        <f t="shared" si="193"/>
        <v>67</v>
      </c>
      <c r="E1584">
        <f t="shared" si="194"/>
        <v>0.55371900826446285</v>
      </c>
      <c r="F1584">
        <f t="shared" si="195"/>
        <v>145</v>
      </c>
      <c r="G1584">
        <f t="shared" si="196"/>
        <v>80.289256198347118</v>
      </c>
      <c r="H1584" t="str">
        <f>_xlfn.XLOOKUP(A1584,Fact_Events!$D$2:$D$20,Fact_Events!$A$2:$A$20, "")</f>
        <v/>
      </c>
      <c r="I1584">
        <f t="shared" si="197"/>
        <v>0</v>
      </c>
      <c r="J1584" t="str">
        <f>_xlfn.XLOOKUP(H1584, Fact_Events!$A$2:$A$20, Fact_Events!$F$2:$F$20, "")</f>
        <v/>
      </c>
      <c r="K1584" t="str">
        <f t="shared" si="198"/>
        <v>Low</v>
      </c>
      <c r="L1584">
        <f t="shared" si="199"/>
        <v>0.55000000000000004</v>
      </c>
      <c r="M1584">
        <f>_xlfn.XLOOKUP(B1584, Dim_Hotel!$A$2:$A$11, Dim_Hotel!$I$2:$I$11)
 + (IF(J1584="",0,J1584)
    * _xlfn.XLOOKUP(B1584, Dim_Hotel!$A$2:$A$11, Dim_Hotel!$J$2:$J$11))</f>
        <v>145</v>
      </c>
    </row>
    <row r="1585" spans="1:13" x14ac:dyDescent="0.25">
      <c r="A1585" s="1">
        <f t="shared" si="192"/>
        <v>46181</v>
      </c>
      <c r="B1585" t="str" cm="1">
        <f t="array" ref="B1585">INDEX(HotelList,MOD(ROW()-2,10)+1)</f>
        <v>H004</v>
      </c>
      <c r="C1585">
        <f>_xlfn.XLOOKUP(B1585,Dim_Hotel!$A$2:$A$11,Dim_Hotel!$F$2:$F$11)</f>
        <v>108</v>
      </c>
      <c r="D1585">
        <f t="shared" si="193"/>
        <v>59</v>
      </c>
      <c r="E1585">
        <f t="shared" si="194"/>
        <v>0.54629629629629628</v>
      </c>
      <c r="F1585">
        <f t="shared" si="195"/>
        <v>135</v>
      </c>
      <c r="G1585">
        <f t="shared" si="196"/>
        <v>73.75</v>
      </c>
      <c r="H1585" t="str">
        <f>_xlfn.XLOOKUP(A1585,Fact_Events!$D$2:$D$20,Fact_Events!$A$2:$A$20, "")</f>
        <v/>
      </c>
      <c r="I1585">
        <f t="shared" si="197"/>
        <v>0</v>
      </c>
      <c r="J1585" t="str">
        <f>_xlfn.XLOOKUP(H1585, Fact_Events!$A$2:$A$20, Fact_Events!$F$2:$F$20, "")</f>
        <v/>
      </c>
      <c r="K1585" t="str">
        <f t="shared" si="198"/>
        <v>Low</v>
      </c>
      <c r="L1585">
        <f t="shared" si="199"/>
        <v>0.55000000000000004</v>
      </c>
      <c r="M1585">
        <f>_xlfn.XLOOKUP(B1585, Dim_Hotel!$A$2:$A$11, Dim_Hotel!$I$2:$I$11)
 + (IF(J1585="",0,J1585)
    * _xlfn.XLOOKUP(B1585, Dim_Hotel!$A$2:$A$11, Dim_Hotel!$J$2:$J$11))</f>
        <v>135</v>
      </c>
    </row>
    <row r="1586" spans="1:13" x14ac:dyDescent="0.25">
      <c r="A1586" s="1">
        <f t="shared" si="192"/>
        <v>46181</v>
      </c>
      <c r="B1586" t="str" cm="1">
        <f t="array" ref="B1586">INDEX(HotelList,MOD(ROW()-2,10)+1)</f>
        <v>H005</v>
      </c>
      <c r="C1586">
        <f>_xlfn.XLOOKUP(B1586,Dim_Hotel!$A$2:$A$11,Dim_Hotel!$F$2:$F$11)</f>
        <v>66</v>
      </c>
      <c r="D1586">
        <f t="shared" si="193"/>
        <v>36</v>
      </c>
      <c r="E1586">
        <f t="shared" si="194"/>
        <v>0.54545454545454541</v>
      </c>
      <c r="F1586">
        <f t="shared" si="195"/>
        <v>82</v>
      </c>
      <c r="G1586">
        <f t="shared" si="196"/>
        <v>44.727272727272727</v>
      </c>
      <c r="H1586" t="str">
        <f>_xlfn.XLOOKUP(A1586,Fact_Events!$D$2:$D$20,Fact_Events!$A$2:$A$20, "")</f>
        <v/>
      </c>
      <c r="I1586">
        <f t="shared" si="197"/>
        <v>0</v>
      </c>
      <c r="J1586" t="str">
        <f>_xlfn.XLOOKUP(H1586, Fact_Events!$A$2:$A$20, Fact_Events!$F$2:$F$20, "")</f>
        <v/>
      </c>
      <c r="K1586" t="str">
        <f t="shared" si="198"/>
        <v>Low</v>
      </c>
      <c r="L1586">
        <f t="shared" si="199"/>
        <v>0.55000000000000004</v>
      </c>
      <c r="M1586">
        <f>_xlfn.XLOOKUP(B1586, Dim_Hotel!$A$2:$A$11, Dim_Hotel!$I$2:$I$11)
 + (IF(J1586="",0,J1586)
    * _xlfn.XLOOKUP(B1586, Dim_Hotel!$A$2:$A$11, Dim_Hotel!$J$2:$J$11))</f>
        <v>82</v>
      </c>
    </row>
    <row r="1587" spans="1:13" x14ac:dyDescent="0.25">
      <c r="A1587" s="1">
        <f t="shared" si="192"/>
        <v>46181</v>
      </c>
      <c r="B1587" t="str" cm="1">
        <f t="array" ref="B1587">INDEX(HotelList,MOD(ROW()-2,10)+1)</f>
        <v>H006</v>
      </c>
      <c r="C1587">
        <f>_xlfn.XLOOKUP(B1587,Dim_Hotel!$A$2:$A$11,Dim_Hotel!$F$2:$F$11)</f>
        <v>311</v>
      </c>
      <c r="D1587">
        <f t="shared" si="193"/>
        <v>171</v>
      </c>
      <c r="E1587">
        <f t="shared" si="194"/>
        <v>0.54983922829581988</v>
      </c>
      <c r="F1587">
        <f t="shared" si="195"/>
        <v>190</v>
      </c>
      <c r="G1587">
        <f t="shared" si="196"/>
        <v>104.46945337620578</v>
      </c>
      <c r="H1587" t="str">
        <f>_xlfn.XLOOKUP(A1587,Fact_Events!$D$2:$D$20,Fact_Events!$A$2:$A$20, "")</f>
        <v/>
      </c>
      <c r="I1587">
        <f t="shared" si="197"/>
        <v>0</v>
      </c>
      <c r="J1587" t="str">
        <f>_xlfn.XLOOKUP(H1587, Fact_Events!$A$2:$A$20, Fact_Events!$F$2:$F$20, "")</f>
        <v/>
      </c>
      <c r="K1587" t="str">
        <f t="shared" si="198"/>
        <v>Low</v>
      </c>
      <c r="L1587">
        <f t="shared" si="199"/>
        <v>0.55000000000000004</v>
      </c>
      <c r="M1587">
        <f>_xlfn.XLOOKUP(B1587, Dim_Hotel!$A$2:$A$11, Dim_Hotel!$I$2:$I$11)
 + (IF(J1587="",0,J1587)
    * _xlfn.XLOOKUP(B1587, Dim_Hotel!$A$2:$A$11, Dim_Hotel!$J$2:$J$11))</f>
        <v>190</v>
      </c>
    </row>
    <row r="1588" spans="1:13" x14ac:dyDescent="0.25">
      <c r="A1588" s="1">
        <f t="shared" si="192"/>
        <v>46181</v>
      </c>
      <c r="B1588" t="str" cm="1">
        <f t="array" ref="B1588">INDEX(HotelList,MOD(ROW()-2,10)+1)</f>
        <v>H007</v>
      </c>
      <c r="C1588">
        <f>_xlfn.XLOOKUP(B1588,Dim_Hotel!$A$2:$A$11,Dim_Hotel!$F$2:$F$11)</f>
        <v>132</v>
      </c>
      <c r="D1588">
        <f t="shared" si="193"/>
        <v>73</v>
      </c>
      <c r="E1588">
        <f t="shared" si="194"/>
        <v>0.55303030303030298</v>
      </c>
      <c r="F1588">
        <f t="shared" si="195"/>
        <v>165</v>
      </c>
      <c r="G1588">
        <f t="shared" si="196"/>
        <v>91.249999999999986</v>
      </c>
      <c r="H1588" t="str">
        <f>_xlfn.XLOOKUP(A1588,Fact_Events!$D$2:$D$20,Fact_Events!$A$2:$A$20, "")</f>
        <v/>
      </c>
      <c r="I1588">
        <f t="shared" si="197"/>
        <v>0</v>
      </c>
      <c r="J1588" t="str">
        <f>_xlfn.XLOOKUP(H1588, Fact_Events!$A$2:$A$20, Fact_Events!$F$2:$F$20, "")</f>
        <v/>
      </c>
      <c r="K1588" t="str">
        <f t="shared" si="198"/>
        <v>Low</v>
      </c>
      <c r="L1588">
        <f t="shared" si="199"/>
        <v>0.55000000000000004</v>
      </c>
      <c r="M1588">
        <f>_xlfn.XLOOKUP(B1588, Dim_Hotel!$A$2:$A$11, Dim_Hotel!$I$2:$I$11)
 + (IF(J1588="",0,J1588)
    * _xlfn.XLOOKUP(B1588, Dim_Hotel!$A$2:$A$11, Dim_Hotel!$J$2:$J$11))</f>
        <v>165</v>
      </c>
    </row>
    <row r="1589" spans="1:13" x14ac:dyDescent="0.25">
      <c r="A1589" s="1">
        <f t="shared" si="192"/>
        <v>46181</v>
      </c>
      <c r="B1589" t="str" cm="1">
        <f t="array" ref="B1589">INDEX(HotelList,MOD(ROW()-2,10)+1)</f>
        <v>H008</v>
      </c>
      <c r="C1589">
        <f>_xlfn.XLOOKUP(B1589,Dim_Hotel!$A$2:$A$11,Dim_Hotel!$F$2:$F$11)</f>
        <v>103</v>
      </c>
      <c r="D1589">
        <f t="shared" si="193"/>
        <v>57</v>
      </c>
      <c r="E1589">
        <f t="shared" si="194"/>
        <v>0.55339805825242716</v>
      </c>
      <c r="F1589">
        <f t="shared" si="195"/>
        <v>140</v>
      </c>
      <c r="G1589">
        <f t="shared" si="196"/>
        <v>77.475728155339809</v>
      </c>
      <c r="H1589" t="str">
        <f>_xlfn.XLOOKUP(A1589,Fact_Events!$D$2:$D$20,Fact_Events!$A$2:$A$20, "")</f>
        <v/>
      </c>
      <c r="I1589">
        <f t="shared" si="197"/>
        <v>0</v>
      </c>
      <c r="J1589" t="str">
        <f>_xlfn.XLOOKUP(H1589, Fact_Events!$A$2:$A$20, Fact_Events!$F$2:$F$20, "")</f>
        <v/>
      </c>
      <c r="K1589" t="str">
        <f t="shared" si="198"/>
        <v>Low</v>
      </c>
      <c r="L1589">
        <f t="shared" si="199"/>
        <v>0.55000000000000004</v>
      </c>
      <c r="M1589">
        <f>_xlfn.XLOOKUP(B1589, Dim_Hotel!$A$2:$A$11, Dim_Hotel!$I$2:$I$11)
 + (IF(J1589="",0,J1589)
    * _xlfn.XLOOKUP(B1589, Dim_Hotel!$A$2:$A$11, Dim_Hotel!$J$2:$J$11))</f>
        <v>140</v>
      </c>
    </row>
    <row r="1590" spans="1:13" x14ac:dyDescent="0.25">
      <c r="A1590" s="1">
        <f t="shared" si="192"/>
        <v>46181</v>
      </c>
      <c r="B1590" t="str" cm="1">
        <f t="array" ref="B1590">INDEX(HotelList,MOD(ROW()-2,10)+1)</f>
        <v>H009</v>
      </c>
      <c r="C1590">
        <f>_xlfn.XLOOKUP(B1590,Dim_Hotel!$A$2:$A$11,Dim_Hotel!$F$2:$F$11)</f>
        <v>114</v>
      </c>
      <c r="D1590">
        <f t="shared" si="193"/>
        <v>63</v>
      </c>
      <c r="E1590">
        <f t="shared" si="194"/>
        <v>0.55263157894736847</v>
      </c>
      <c r="F1590">
        <f t="shared" si="195"/>
        <v>185</v>
      </c>
      <c r="G1590">
        <f t="shared" si="196"/>
        <v>102.23684210526316</v>
      </c>
      <c r="H1590" t="str">
        <f>_xlfn.XLOOKUP(A1590,Fact_Events!$D$2:$D$20,Fact_Events!$A$2:$A$20, "")</f>
        <v/>
      </c>
      <c r="I1590">
        <f t="shared" si="197"/>
        <v>0</v>
      </c>
      <c r="J1590" t="str">
        <f>_xlfn.XLOOKUP(H1590, Fact_Events!$A$2:$A$20, Fact_Events!$F$2:$F$20, "")</f>
        <v/>
      </c>
      <c r="K1590" t="str">
        <f t="shared" si="198"/>
        <v>Low</v>
      </c>
      <c r="L1590">
        <f t="shared" si="199"/>
        <v>0.55000000000000004</v>
      </c>
      <c r="M1590">
        <f>_xlfn.XLOOKUP(B1590, Dim_Hotel!$A$2:$A$11, Dim_Hotel!$I$2:$I$11)
 + (IF(J1590="",0,J1590)
    * _xlfn.XLOOKUP(B1590, Dim_Hotel!$A$2:$A$11, Dim_Hotel!$J$2:$J$11))</f>
        <v>185</v>
      </c>
    </row>
    <row r="1591" spans="1:13" x14ac:dyDescent="0.25">
      <c r="A1591" s="1">
        <f t="shared" si="192"/>
        <v>46181</v>
      </c>
      <c r="B1591" t="str" cm="1">
        <f t="array" ref="B1591">INDEX(HotelList,MOD(ROW()-2,10)+1)</f>
        <v>H010</v>
      </c>
      <c r="C1591">
        <f>_xlfn.XLOOKUP(B1591,Dim_Hotel!$A$2:$A$11,Dim_Hotel!$F$2:$F$11)</f>
        <v>89</v>
      </c>
      <c r="D1591">
        <f t="shared" si="193"/>
        <v>49</v>
      </c>
      <c r="E1591">
        <f t="shared" si="194"/>
        <v>0.550561797752809</v>
      </c>
      <c r="F1591">
        <f t="shared" si="195"/>
        <v>150</v>
      </c>
      <c r="G1591">
        <f t="shared" si="196"/>
        <v>82.584269662921344</v>
      </c>
      <c r="H1591" t="str">
        <f>_xlfn.XLOOKUP(A1591,Fact_Events!$D$2:$D$20,Fact_Events!$A$2:$A$20, "")</f>
        <v/>
      </c>
      <c r="I1591">
        <f t="shared" si="197"/>
        <v>0</v>
      </c>
      <c r="J1591" t="str">
        <f>_xlfn.XLOOKUP(H1591, Fact_Events!$A$2:$A$20, Fact_Events!$F$2:$F$20, "")</f>
        <v/>
      </c>
      <c r="K1591" t="str">
        <f t="shared" si="198"/>
        <v>Low</v>
      </c>
      <c r="L1591">
        <f t="shared" si="199"/>
        <v>0.55000000000000004</v>
      </c>
      <c r="M1591">
        <f>_xlfn.XLOOKUP(B1591, Dim_Hotel!$A$2:$A$11, Dim_Hotel!$I$2:$I$11)
 + (IF(J1591="",0,J1591)
    * _xlfn.XLOOKUP(B1591, Dim_Hotel!$A$2:$A$11, Dim_Hotel!$J$2:$J$11))</f>
        <v>150</v>
      </c>
    </row>
    <row r="1592" spans="1:13" x14ac:dyDescent="0.25">
      <c r="A1592" s="1">
        <f t="shared" si="192"/>
        <v>46182</v>
      </c>
      <c r="B1592" t="str" cm="1">
        <f t="array" ref="B1592">INDEX(HotelList,MOD(ROW()-2,10)+1)</f>
        <v>H001</v>
      </c>
      <c r="C1592">
        <f>_xlfn.XLOOKUP(B1592,Dim_Hotel!$A$2:$A$11,Dim_Hotel!$F$2:$F$11)</f>
        <v>888</v>
      </c>
      <c r="D1592">
        <f t="shared" si="193"/>
        <v>488</v>
      </c>
      <c r="E1592">
        <f t="shared" si="194"/>
        <v>0.5495495495495496</v>
      </c>
      <c r="F1592">
        <f t="shared" si="195"/>
        <v>260</v>
      </c>
      <c r="G1592">
        <f t="shared" si="196"/>
        <v>142.88288288288288</v>
      </c>
      <c r="H1592" t="str">
        <f>_xlfn.XLOOKUP(A1592,Fact_Events!$D$2:$D$20,Fact_Events!$A$2:$A$20, "")</f>
        <v/>
      </c>
      <c r="I1592">
        <f t="shared" si="197"/>
        <v>0</v>
      </c>
      <c r="J1592" t="str">
        <f>_xlfn.XLOOKUP(H1592, Fact_Events!$A$2:$A$20, Fact_Events!$F$2:$F$20, "")</f>
        <v/>
      </c>
      <c r="K1592" t="str">
        <f t="shared" si="198"/>
        <v>Low</v>
      </c>
      <c r="L1592">
        <f t="shared" si="199"/>
        <v>0.55000000000000004</v>
      </c>
      <c r="M1592">
        <f>_xlfn.XLOOKUP(B1592, Dim_Hotel!$A$2:$A$11, Dim_Hotel!$I$2:$I$11)
 + (IF(J1592="",0,J1592)
    * _xlfn.XLOOKUP(B1592, Dim_Hotel!$A$2:$A$11, Dim_Hotel!$J$2:$J$11))</f>
        <v>260</v>
      </c>
    </row>
    <row r="1593" spans="1:13" x14ac:dyDescent="0.25">
      <c r="A1593" s="1">
        <f t="shared" si="192"/>
        <v>46182</v>
      </c>
      <c r="B1593" t="str" cm="1">
        <f t="array" ref="B1593">INDEX(HotelList,MOD(ROW()-2,10)+1)</f>
        <v>H002</v>
      </c>
      <c r="C1593">
        <f>_xlfn.XLOOKUP(B1593,Dim_Hotel!$A$2:$A$11,Dim_Hotel!$F$2:$F$11)</f>
        <v>147</v>
      </c>
      <c r="D1593">
        <f t="shared" si="193"/>
        <v>81</v>
      </c>
      <c r="E1593">
        <f t="shared" si="194"/>
        <v>0.55102040816326525</v>
      </c>
      <c r="F1593">
        <f t="shared" si="195"/>
        <v>175</v>
      </c>
      <c r="G1593">
        <f t="shared" si="196"/>
        <v>96.428571428571416</v>
      </c>
      <c r="H1593" t="str">
        <f>_xlfn.XLOOKUP(A1593,Fact_Events!$D$2:$D$20,Fact_Events!$A$2:$A$20, "")</f>
        <v/>
      </c>
      <c r="I1593">
        <f t="shared" si="197"/>
        <v>0</v>
      </c>
      <c r="J1593" t="str">
        <f>_xlfn.XLOOKUP(H1593, Fact_Events!$A$2:$A$20, Fact_Events!$F$2:$F$20, "")</f>
        <v/>
      </c>
      <c r="K1593" t="str">
        <f t="shared" si="198"/>
        <v>Low</v>
      </c>
      <c r="L1593">
        <f t="shared" si="199"/>
        <v>0.55000000000000004</v>
      </c>
      <c r="M1593">
        <f>_xlfn.XLOOKUP(B1593, Dim_Hotel!$A$2:$A$11, Dim_Hotel!$I$2:$I$11)
 + (IF(J1593="",0,J1593)
    * _xlfn.XLOOKUP(B1593, Dim_Hotel!$A$2:$A$11, Dim_Hotel!$J$2:$J$11))</f>
        <v>175</v>
      </c>
    </row>
    <row r="1594" spans="1:13" x14ac:dyDescent="0.25">
      <c r="A1594" s="1">
        <f t="shared" si="192"/>
        <v>46182</v>
      </c>
      <c r="B1594" t="str" cm="1">
        <f t="array" ref="B1594">INDEX(HotelList,MOD(ROW()-2,10)+1)</f>
        <v>H003</v>
      </c>
      <c r="C1594">
        <f>_xlfn.XLOOKUP(B1594,Dim_Hotel!$A$2:$A$11,Dim_Hotel!$F$2:$F$11)</f>
        <v>121</v>
      </c>
      <c r="D1594">
        <f t="shared" si="193"/>
        <v>67</v>
      </c>
      <c r="E1594">
        <f t="shared" si="194"/>
        <v>0.55371900826446285</v>
      </c>
      <c r="F1594">
        <f t="shared" si="195"/>
        <v>145</v>
      </c>
      <c r="G1594">
        <f t="shared" si="196"/>
        <v>80.289256198347118</v>
      </c>
      <c r="H1594" t="str">
        <f>_xlfn.XLOOKUP(A1594,Fact_Events!$D$2:$D$20,Fact_Events!$A$2:$A$20, "")</f>
        <v/>
      </c>
      <c r="I1594">
        <f t="shared" si="197"/>
        <v>0</v>
      </c>
      <c r="J1594" t="str">
        <f>_xlfn.XLOOKUP(H1594, Fact_Events!$A$2:$A$20, Fact_Events!$F$2:$F$20, "")</f>
        <v/>
      </c>
      <c r="K1594" t="str">
        <f t="shared" si="198"/>
        <v>Low</v>
      </c>
      <c r="L1594">
        <f t="shared" si="199"/>
        <v>0.55000000000000004</v>
      </c>
      <c r="M1594">
        <f>_xlfn.XLOOKUP(B1594, Dim_Hotel!$A$2:$A$11, Dim_Hotel!$I$2:$I$11)
 + (IF(J1594="",0,J1594)
    * _xlfn.XLOOKUP(B1594, Dim_Hotel!$A$2:$A$11, Dim_Hotel!$J$2:$J$11))</f>
        <v>145</v>
      </c>
    </row>
    <row r="1595" spans="1:13" x14ac:dyDescent="0.25">
      <c r="A1595" s="1">
        <f t="shared" si="192"/>
        <v>46182</v>
      </c>
      <c r="B1595" t="str" cm="1">
        <f t="array" ref="B1595">INDEX(HotelList,MOD(ROW()-2,10)+1)</f>
        <v>H004</v>
      </c>
      <c r="C1595">
        <f>_xlfn.XLOOKUP(B1595,Dim_Hotel!$A$2:$A$11,Dim_Hotel!$F$2:$F$11)</f>
        <v>108</v>
      </c>
      <c r="D1595">
        <f t="shared" si="193"/>
        <v>59</v>
      </c>
      <c r="E1595">
        <f t="shared" si="194"/>
        <v>0.54629629629629628</v>
      </c>
      <c r="F1595">
        <f t="shared" si="195"/>
        <v>135</v>
      </c>
      <c r="G1595">
        <f t="shared" si="196"/>
        <v>73.75</v>
      </c>
      <c r="H1595" t="str">
        <f>_xlfn.XLOOKUP(A1595,Fact_Events!$D$2:$D$20,Fact_Events!$A$2:$A$20, "")</f>
        <v/>
      </c>
      <c r="I1595">
        <f t="shared" si="197"/>
        <v>0</v>
      </c>
      <c r="J1595" t="str">
        <f>_xlfn.XLOOKUP(H1595, Fact_Events!$A$2:$A$20, Fact_Events!$F$2:$F$20, "")</f>
        <v/>
      </c>
      <c r="K1595" t="str">
        <f t="shared" si="198"/>
        <v>Low</v>
      </c>
      <c r="L1595">
        <f t="shared" si="199"/>
        <v>0.55000000000000004</v>
      </c>
      <c r="M1595">
        <f>_xlfn.XLOOKUP(B1595, Dim_Hotel!$A$2:$A$11, Dim_Hotel!$I$2:$I$11)
 + (IF(J1595="",0,J1595)
    * _xlfn.XLOOKUP(B1595, Dim_Hotel!$A$2:$A$11, Dim_Hotel!$J$2:$J$11))</f>
        <v>135</v>
      </c>
    </row>
    <row r="1596" spans="1:13" x14ac:dyDescent="0.25">
      <c r="A1596" s="1">
        <f t="shared" si="192"/>
        <v>46182</v>
      </c>
      <c r="B1596" t="str" cm="1">
        <f t="array" ref="B1596">INDEX(HotelList,MOD(ROW()-2,10)+1)</f>
        <v>H005</v>
      </c>
      <c r="C1596">
        <f>_xlfn.XLOOKUP(B1596,Dim_Hotel!$A$2:$A$11,Dim_Hotel!$F$2:$F$11)</f>
        <v>66</v>
      </c>
      <c r="D1596">
        <f t="shared" si="193"/>
        <v>36</v>
      </c>
      <c r="E1596">
        <f t="shared" si="194"/>
        <v>0.54545454545454541</v>
      </c>
      <c r="F1596">
        <f t="shared" si="195"/>
        <v>82</v>
      </c>
      <c r="G1596">
        <f t="shared" si="196"/>
        <v>44.727272727272727</v>
      </c>
      <c r="H1596" t="str">
        <f>_xlfn.XLOOKUP(A1596,Fact_Events!$D$2:$D$20,Fact_Events!$A$2:$A$20, "")</f>
        <v/>
      </c>
      <c r="I1596">
        <f t="shared" si="197"/>
        <v>0</v>
      </c>
      <c r="J1596" t="str">
        <f>_xlfn.XLOOKUP(H1596, Fact_Events!$A$2:$A$20, Fact_Events!$F$2:$F$20, "")</f>
        <v/>
      </c>
      <c r="K1596" t="str">
        <f t="shared" si="198"/>
        <v>Low</v>
      </c>
      <c r="L1596">
        <f t="shared" si="199"/>
        <v>0.55000000000000004</v>
      </c>
      <c r="M1596">
        <f>_xlfn.XLOOKUP(B1596, Dim_Hotel!$A$2:$A$11, Dim_Hotel!$I$2:$I$11)
 + (IF(J1596="",0,J1596)
    * _xlfn.XLOOKUP(B1596, Dim_Hotel!$A$2:$A$11, Dim_Hotel!$J$2:$J$11))</f>
        <v>82</v>
      </c>
    </row>
    <row r="1597" spans="1:13" x14ac:dyDescent="0.25">
      <c r="A1597" s="1">
        <f t="shared" si="192"/>
        <v>46182</v>
      </c>
      <c r="B1597" t="str" cm="1">
        <f t="array" ref="B1597">INDEX(HotelList,MOD(ROW()-2,10)+1)</f>
        <v>H006</v>
      </c>
      <c r="C1597">
        <f>_xlfn.XLOOKUP(B1597,Dim_Hotel!$A$2:$A$11,Dim_Hotel!$F$2:$F$11)</f>
        <v>311</v>
      </c>
      <c r="D1597">
        <f t="shared" si="193"/>
        <v>171</v>
      </c>
      <c r="E1597">
        <f t="shared" si="194"/>
        <v>0.54983922829581988</v>
      </c>
      <c r="F1597">
        <f t="shared" si="195"/>
        <v>190</v>
      </c>
      <c r="G1597">
        <f t="shared" si="196"/>
        <v>104.46945337620578</v>
      </c>
      <c r="H1597" t="str">
        <f>_xlfn.XLOOKUP(A1597,Fact_Events!$D$2:$D$20,Fact_Events!$A$2:$A$20, "")</f>
        <v/>
      </c>
      <c r="I1597">
        <f t="shared" si="197"/>
        <v>0</v>
      </c>
      <c r="J1597" t="str">
        <f>_xlfn.XLOOKUP(H1597, Fact_Events!$A$2:$A$20, Fact_Events!$F$2:$F$20, "")</f>
        <v/>
      </c>
      <c r="K1597" t="str">
        <f t="shared" si="198"/>
        <v>Low</v>
      </c>
      <c r="L1597">
        <f t="shared" si="199"/>
        <v>0.55000000000000004</v>
      </c>
      <c r="M1597">
        <f>_xlfn.XLOOKUP(B1597, Dim_Hotel!$A$2:$A$11, Dim_Hotel!$I$2:$I$11)
 + (IF(J1597="",0,J1597)
    * _xlfn.XLOOKUP(B1597, Dim_Hotel!$A$2:$A$11, Dim_Hotel!$J$2:$J$11))</f>
        <v>190</v>
      </c>
    </row>
    <row r="1598" spans="1:13" x14ac:dyDescent="0.25">
      <c r="A1598" s="1">
        <f t="shared" si="192"/>
        <v>46182</v>
      </c>
      <c r="B1598" t="str" cm="1">
        <f t="array" ref="B1598">INDEX(HotelList,MOD(ROW()-2,10)+1)</f>
        <v>H007</v>
      </c>
      <c r="C1598">
        <f>_xlfn.XLOOKUP(B1598,Dim_Hotel!$A$2:$A$11,Dim_Hotel!$F$2:$F$11)</f>
        <v>132</v>
      </c>
      <c r="D1598">
        <f t="shared" si="193"/>
        <v>73</v>
      </c>
      <c r="E1598">
        <f t="shared" si="194"/>
        <v>0.55303030303030298</v>
      </c>
      <c r="F1598">
        <f t="shared" si="195"/>
        <v>165</v>
      </c>
      <c r="G1598">
        <f t="shared" si="196"/>
        <v>91.249999999999986</v>
      </c>
      <c r="H1598" t="str">
        <f>_xlfn.XLOOKUP(A1598,Fact_Events!$D$2:$D$20,Fact_Events!$A$2:$A$20, "")</f>
        <v/>
      </c>
      <c r="I1598">
        <f t="shared" si="197"/>
        <v>0</v>
      </c>
      <c r="J1598" t="str">
        <f>_xlfn.XLOOKUP(H1598, Fact_Events!$A$2:$A$20, Fact_Events!$F$2:$F$20, "")</f>
        <v/>
      </c>
      <c r="K1598" t="str">
        <f t="shared" si="198"/>
        <v>Low</v>
      </c>
      <c r="L1598">
        <f t="shared" si="199"/>
        <v>0.55000000000000004</v>
      </c>
      <c r="M1598">
        <f>_xlfn.XLOOKUP(B1598, Dim_Hotel!$A$2:$A$11, Dim_Hotel!$I$2:$I$11)
 + (IF(J1598="",0,J1598)
    * _xlfn.XLOOKUP(B1598, Dim_Hotel!$A$2:$A$11, Dim_Hotel!$J$2:$J$11))</f>
        <v>165</v>
      </c>
    </row>
    <row r="1599" spans="1:13" x14ac:dyDescent="0.25">
      <c r="A1599" s="1">
        <f t="shared" si="192"/>
        <v>46182</v>
      </c>
      <c r="B1599" t="str" cm="1">
        <f t="array" ref="B1599">INDEX(HotelList,MOD(ROW()-2,10)+1)</f>
        <v>H008</v>
      </c>
      <c r="C1599">
        <f>_xlfn.XLOOKUP(B1599,Dim_Hotel!$A$2:$A$11,Dim_Hotel!$F$2:$F$11)</f>
        <v>103</v>
      </c>
      <c r="D1599">
        <f t="shared" si="193"/>
        <v>57</v>
      </c>
      <c r="E1599">
        <f t="shared" si="194"/>
        <v>0.55339805825242716</v>
      </c>
      <c r="F1599">
        <f t="shared" si="195"/>
        <v>140</v>
      </c>
      <c r="G1599">
        <f t="shared" si="196"/>
        <v>77.475728155339809</v>
      </c>
      <c r="H1599" t="str">
        <f>_xlfn.XLOOKUP(A1599,Fact_Events!$D$2:$D$20,Fact_Events!$A$2:$A$20, "")</f>
        <v/>
      </c>
      <c r="I1599">
        <f t="shared" si="197"/>
        <v>0</v>
      </c>
      <c r="J1599" t="str">
        <f>_xlfn.XLOOKUP(H1599, Fact_Events!$A$2:$A$20, Fact_Events!$F$2:$F$20, "")</f>
        <v/>
      </c>
      <c r="K1599" t="str">
        <f t="shared" si="198"/>
        <v>Low</v>
      </c>
      <c r="L1599">
        <f t="shared" si="199"/>
        <v>0.55000000000000004</v>
      </c>
      <c r="M1599">
        <f>_xlfn.XLOOKUP(B1599, Dim_Hotel!$A$2:$A$11, Dim_Hotel!$I$2:$I$11)
 + (IF(J1599="",0,J1599)
    * _xlfn.XLOOKUP(B1599, Dim_Hotel!$A$2:$A$11, Dim_Hotel!$J$2:$J$11))</f>
        <v>140</v>
      </c>
    </row>
    <row r="1600" spans="1:13" x14ac:dyDescent="0.25">
      <c r="A1600" s="1">
        <f t="shared" si="192"/>
        <v>46182</v>
      </c>
      <c r="B1600" t="str" cm="1">
        <f t="array" ref="B1600">INDEX(HotelList,MOD(ROW()-2,10)+1)</f>
        <v>H009</v>
      </c>
      <c r="C1600">
        <f>_xlfn.XLOOKUP(B1600,Dim_Hotel!$A$2:$A$11,Dim_Hotel!$F$2:$F$11)</f>
        <v>114</v>
      </c>
      <c r="D1600">
        <f t="shared" si="193"/>
        <v>63</v>
      </c>
      <c r="E1600">
        <f t="shared" si="194"/>
        <v>0.55263157894736847</v>
      </c>
      <c r="F1600">
        <f t="shared" si="195"/>
        <v>185</v>
      </c>
      <c r="G1600">
        <f t="shared" si="196"/>
        <v>102.23684210526316</v>
      </c>
      <c r="H1600" t="str">
        <f>_xlfn.XLOOKUP(A1600,Fact_Events!$D$2:$D$20,Fact_Events!$A$2:$A$20, "")</f>
        <v/>
      </c>
      <c r="I1600">
        <f t="shared" si="197"/>
        <v>0</v>
      </c>
      <c r="J1600" t="str">
        <f>_xlfn.XLOOKUP(H1600, Fact_Events!$A$2:$A$20, Fact_Events!$F$2:$F$20, "")</f>
        <v/>
      </c>
      <c r="K1600" t="str">
        <f t="shared" si="198"/>
        <v>Low</v>
      </c>
      <c r="L1600">
        <f t="shared" si="199"/>
        <v>0.55000000000000004</v>
      </c>
      <c r="M1600">
        <f>_xlfn.XLOOKUP(B1600, Dim_Hotel!$A$2:$A$11, Dim_Hotel!$I$2:$I$11)
 + (IF(J1600="",0,J1600)
    * _xlfn.XLOOKUP(B1600, Dim_Hotel!$A$2:$A$11, Dim_Hotel!$J$2:$J$11))</f>
        <v>185</v>
      </c>
    </row>
    <row r="1601" spans="1:13" x14ac:dyDescent="0.25">
      <c r="A1601" s="1">
        <f t="shared" si="192"/>
        <v>46182</v>
      </c>
      <c r="B1601" t="str" cm="1">
        <f t="array" ref="B1601">INDEX(HotelList,MOD(ROW()-2,10)+1)</f>
        <v>H010</v>
      </c>
      <c r="C1601">
        <f>_xlfn.XLOOKUP(B1601,Dim_Hotel!$A$2:$A$11,Dim_Hotel!$F$2:$F$11)</f>
        <v>89</v>
      </c>
      <c r="D1601">
        <f t="shared" si="193"/>
        <v>49</v>
      </c>
      <c r="E1601">
        <f t="shared" si="194"/>
        <v>0.550561797752809</v>
      </c>
      <c r="F1601">
        <f t="shared" si="195"/>
        <v>150</v>
      </c>
      <c r="G1601">
        <f t="shared" si="196"/>
        <v>82.584269662921344</v>
      </c>
      <c r="H1601" t="str">
        <f>_xlfn.XLOOKUP(A1601,Fact_Events!$D$2:$D$20,Fact_Events!$A$2:$A$20, "")</f>
        <v/>
      </c>
      <c r="I1601">
        <f t="shared" si="197"/>
        <v>0</v>
      </c>
      <c r="J1601" t="str">
        <f>_xlfn.XLOOKUP(H1601, Fact_Events!$A$2:$A$20, Fact_Events!$F$2:$F$20, "")</f>
        <v/>
      </c>
      <c r="K1601" t="str">
        <f t="shared" si="198"/>
        <v>Low</v>
      </c>
      <c r="L1601">
        <f t="shared" si="199"/>
        <v>0.55000000000000004</v>
      </c>
      <c r="M1601">
        <f>_xlfn.XLOOKUP(B1601, Dim_Hotel!$A$2:$A$11, Dim_Hotel!$I$2:$I$11)
 + (IF(J1601="",0,J1601)
    * _xlfn.XLOOKUP(B1601, Dim_Hotel!$A$2:$A$11, Dim_Hotel!$J$2:$J$11))</f>
        <v>150</v>
      </c>
    </row>
    <row r="1602" spans="1:13" x14ac:dyDescent="0.25">
      <c r="A1602" s="1">
        <f t="shared" si="192"/>
        <v>46183</v>
      </c>
      <c r="B1602" t="str" cm="1">
        <f t="array" ref="B1602">INDEX(HotelList,MOD(ROW()-2,10)+1)</f>
        <v>H001</v>
      </c>
      <c r="C1602">
        <f>_xlfn.XLOOKUP(B1602,Dim_Hotel!$A$2:$A$11,Dim_Hotel!$F$2:$F$11)</f>
        <v>888</v>
      </c>
      <c r="D1602">
        <f t="shared" si="193"/>
        <v>488</v>
      </c>
      <c r="E1602">
        <f t="shared" si="194"/>
        <v>0.5495495495495496</v>
      </c>
      <c r="F1602">
        <f t="shared" si="195"/>
        <v>260</v>
      </c>
      <c r="G1602">
        <f t="shared" si="196"/>
        <v>142.88288288288288</v>
      </c>
      <c r="H1602" t="str">
        <f>_xlfn.XLOOKUP(A1602,Fact_Events!$D$2:$D$20,Fact_Events!$A$2:$A$20, "")</f>
        <v/>
      </c>
      <c r="I1602">
        <f t="shared" si="197"/>
        <v>0</v>
      </c>
      <c r="J1602" t="str">
        <f>_xlfn.XLOOKUP(H1602, Fact_Events!$A$2:$A$20, Fact_Events!$F$2:$F$20, "")</f>
        <v/>
      </c>
      <c r="K1602" t="str">
        <f t="shared" si="198"/>
        <v>Low</v>
      </c>
      <c r="L1602">
        <f t="shared" si="199"/>
        <v>0.55000000000000004</v>
      </c>
      <c r="M1602">
        <f>_xlfn.XLOOKUP(B1602, Dim_Hotel!$A$2:$A$11, Dim_Hotel!$I$2:$I$11)
 + (IF(J1602="",0,J1602)
    * _xlfn.XLOOKUP(B1602, Dim_Hotel!$A$2:$A$11, Dim_Hotel!$J$2:$J$11))</f>
        <v>260</v>
      </c>
    </row>
    <row r="1603" spans="1:13" x14ac:dyDescent="0.25">
      <c r="A1603" s="1">
        <f t="shared" ref="A1603:A1666" si="200">DATE(2026,1,1) + INT((ROW()-2)/10)</f>
        <v>46183</v>
      </c>
      <c r="B1603" t="str" cm="1">
        <f t="array" ref="B1603">INDEX(HotelList,MOD(ROW()-2,10)+1)</f>
        <v>H002</v>
      </c>
      <c r="C1603">
        <f>_xlfn.XLOOKUP(B1603,Dim_Hotel!$A$2:$A$11,Dim_Hotel!$F$2:$F$11)</f>
        <v>147</v>
      </c>
      <c r="D1603">
        <f t="shared" ref="D1603:D1666" si="201">ROUND(L1603 * C1603, 0)</f>
        <v>81</v>
      </c>
      <c r="E1603">
        <f t="shared" ref="E1603:E1666" si="202">D1603/C1603</f>
        <v>0.55102040816326525</v>
      </c>
      <c r="F1603">
        <f t="shared" ref="F1603:F1666" si="203">M1603</f>
        <v>175</v>
      </c>
      <c r="G1603">
        <f t="shared" ref="G1603:G1666" si="204">E1603*F1603</f>
        <v>96.428571428571416</v>
      </c>
      <c r="H1603" t="str">
        <f>_xlfn.XLOOKUP(A1603,Fact_Events!$D$2:$D$20,Fact_Events!$A$2:$A$20, "")</f>
        <v/>
      </c>
      <c r="I1603">
        <f t="shared" ref="I1603:I1666" si="205">IF(H1603="",0,1)</f>
        <v>0</v>
      </c>
      <c r="J1603" t="str">
        <f>_xlfn.XLOOKUP(H1603, Fact_Events!$A$2:$A$20, Fact_Events!$F$2:$F$20, "")</f>
        <v/>
      </c>
      <c r="K1603" t="str">
        <f t="shared" ref="K1603:K1666" si="206">IF(I1603=0,"Low",
   IF(J1603&gt;=9,"High","Medium"))</f>
        <v>Low</v>
      </c>
      <c r="L1603">
        <f t="shared" ref="L1603:L1666" si="207">MIN(1,
  0.55
  + (I1603 * 0.25)
  + (IF(J1603="",0,J1603) / 100)
)</f>
        <v>0.55000000000000004</v>
      </c>
      <c r="M1603">
        <f>_xlfn.XLOOKUP(B1603, Dim_Hotel!$A$2:$A$11, Dim_Hotel!$I$2:$I$11)
 + (IF(J1603="",0,J1603)
    * _xlfn.XLOOKUP(B1603, Dim_Hotel!$A$2:$A$11, Dim_Hotel!$J$2:$J$11))</f>
        <v>175</v>
      </c>
    </row>
    <row r="1604" spans="1:13" x14ac:dyDescent="0.25">
      <c r="A1604" s="1">
        <f t="shared" si="200"/>
        <v>46183</v>
      </c>
      <c r="B1604" t="str" cm="1">
        <f t="array" ref="B1604">INDEX(HotelList,MOD(ROW()-2,10)+1)</f>
        <v>H003</v>
      </c>
      <c r="C1604">
        <f>_xlfn.XLOOKUP(B1604,Dim_Hotel!$A$2:$A$11,Dim_Hotel!$F$2:$F$11)</f>
        <v>121</v>
      </c>
      <c r="D1604">
        <f t="shared" si="201"/>
        <v>67</v>
      </c>
      <c r="E1604">
        <f t="shared" si="202"/>
        <v>0.55371900826446285</v>
      </c>
      <c r="F1604">
        <f t="shared" si="203"/>
        <v>145</v>
      </c>
      <c r="G1604">
        <f t="shared" si="204"/>
        <v>80.289256198347118</v>
      </c>
      <c r="H1604" t="str">
        <f>_xlfn.XLOOKUP(A1604,Fact_Events!$D$2:$D$20,Fact_Events!$A$2:$A$20, "")</f>
        <v/>
      </c>
      <c r="I1604">
        <f t="shared" si="205"/>
        <v>0</v>
      </c>
      <c r="J1604" t="str">
        <f>_xlfn.XLOOKUP(H1604, Fact_Events!$A$2:$A$20, Fact_Events!$F$2:$F$20, "")</f>
        <v/>
      </c>
      <c r="K1604" t="str">
        <f t="shared" si="206"/>
        <v>Low</v>
      </c>
      <c r="L1604">
        <f t="shared" si="207"/>
        <v>0.55000000000000004</v>
      </c>
      <c r="M1604">
        <f>_xlfn.XLOOKUP(B1604, Dim_Hotel!$A$2:$A$11, Dim_Hotel!$I$2:$I$11)
 + (IF(J1604="",0,J1604)
    * _xlfn.XLOOKUP(B1604, Dim_Hotel!$A$2:$A$11, Dim_Hotel!$J$2:$J$11))</f>
        <v>145</v>
      </c>
    </row>
    <row r="1605" spans="1:13" x14ac:dyDescent="0.25">
      <c r="A1605" s="1">
        <f t="shared" si="200"/>
        <v>46183</v>
      </c>
      <c r="B1605" t="str" cm="1">
        <f t="array" ref="B1605">INDEX(HotelList,MOD(ROW()-2,10)+1)</f>
        <v>H004</v>
      </c>
      <c r="C1605">
        <f>_xlfn.XLOOKUP(B1605,Dim_Hotel!$A$2:$A$11,Dim_Hotel!$F$2:$F$11)</f>
        <v>108</v>
      </c>
      <c r="D1605">
        <f t="shared" si="201"/>
        <v>59</v>
      </c>
      <c r="E1605">
        <f t="shared" si="202"/>
        <v>0.54629629629629628</v>
      </c>
      <c r="F1605">
        <f t="shared" si="203"/>
        <v>135</v>
      </c>
      <c r="G1605">
        <f t="shared" si="204"/>
        <v>73.75</v>
      </c>
      <c r="H1605" t="str">
        <f>_xlfn.XLOOKUP(A1605,Fact_Events!$D$2:$D$20,Fact_Events!$A$2:$A$20, "")</f>
        <v/>
      </c>
      <c r="I1605">
        <f t="shared" si="205"/>
        <v>0</v>
      </c>
      <c r="J1605" t="str">
        <f>_xlfn.XLOOKUP(H1605, Fact_Events!$A$2:$A$20, Fact_Events!$F$2:$F$20, "")</f>
        <v/>
      </c>
      <c r="K1605" t="str">
        <f t="shared" si="206"/>
        <v>Low</v>
      </c>
      <c r="L1605">
        <f t="shared" si="207"/>
        <v>0.55000000000000004</v>
      </c>
      <c r="M1605">
        <f>_xlfn.XLOOKUP(B1605, Dim_Hotel!$A$2:$A$11, Dim_Hotel!$I$2:$I$11)
 + (IF(J1605="",0,J1605)
    * _xlfn.XLOOKUP(B1605, Dim_Hotel!$A$2:$A$11, Dim_Hotel!$J$2:$J$11))</f>
        <v>135</v>
      </c>
    </row>
    <row r="1606" spans="1:13" x14ac:dyDescent="0.25">
      <c r="A1606" s="1">
        <f t="shared" si="200"/>
        <v>46183</v>
      </c>
      <c r="B1606" t="str" cm="1">
        <f t="array" ref="B1606">INDEX(HotelList,MOD(ROW()-2,10)+1)</f>
        <v>H005</v>
      </c>
      <c r="C1606">
        <f>_xlfn.XLOOKUP(B1606,Dim_Hotel!$A$2:$A$11,Dim_Hotel!$F$2:$F$11)</f>
        <v>66</v>
      </c>
      <c r="D1606">
        <f t="shared" si="201"/>
        <v>36</v>
      </c>
      <c r="E1606">
        <f t="shared" si="202"/>
        <v>0.54545454545454541</v>
      </c>
      <c r="F1606">
        <f t="shared" si="203"/>
        <v>82</v>
      </c>
      <c r="G1606">
        <f t="shared" si="204"/>
        <v>44.727272727272727</v>
      </c>
      <c r="H1606" t="str">
        <f>_xlfn.XLOOKUP(A1606,Fact_Events!$D$2:$D$20,Fact_Events!$A$2:$A$20, "")</f>
        <v/>
      </c>
      <c r="I1606">
        <f t="shared" si="205"/>
        <v>0</v>
      </c>
      <c r="J1606" t="str">
        <f>_xlfn.XLOOKUP(H1606, Fact_Events!$A$2:$A$20, Fact_Events!$F$2:$F$20, "")</f>
        <v/>
      </c>
      <c r="K1606" t="str">
        <f t="shared" si="206"/>
        <v>Low</v>
      </c>
      <c r="L1606">
        <f t="shared" si="207"/>
        <v>0.55000000000000004</v>
      </c>
      <c r="M1606">
        <f>_xlfn.XLOOKUP(B1606, Dim_Hotel!$A$2:$A$11, Dim_Hotel!$I$2:$I$11)
 + (IF(J1606="",0,J1606)
    * _xlfn.XLOOKUP(B1606, Dim_Hotel!$A$2:$A$11, Dim_Hotel!$J$2:$J$11))</f>
        <v>82</v>
      </c>
    </row>
    <row r="1607" spans="1:13" x14ac:dyDescent="0.25">
      <c r="A1607" s="1">
        <f t="shared" si="200"/>
        <v>46183</v>
      </c>
      <c r="B1607" t="str" cm="1">
        <f t="array" ref="B1607">INDEX(HotelList,MOD(ROW()-2,10)+1)</f>
        <v>H006</v>
      </c>
      <c r="C1607">
        <f>_xlfn.XLOOKUP(B1607,Dim_Hotel!$A$2:$A$11,Dim_Hotel!$F$2:$F$11)</f>
        <v>311</v>
      </c>
      <c r="D1607">
        <f t="shared" si="201"/>
        <v>171</v>
      </c>
      <c r="E1607">
        <f t="shared" si="202"/>
        <v>0.54983922829581988</v>
      </c>
      <c r="F1607">
        <f t="shared" si="203"/>
        <v>190</v>
      </c>
      <c r="G1607">
        <f t="shared" si="204"/>
        <v>104.46945337620578</v>
      </c>
      <c r="H1607" t="str">
        <f>_xlfn.XLOOKUP(A1607,Fact_Events!$D$2:$D$20,Fact_Events!$A$2:$A$20, "")</f>
        <v/>
      </c>
      <c r="I1607">
        <f t="shared" si="205"/>
        <v>0</v>
      </c>
      <c r="J1607" t="str">
        <f>_xlfn.XLOOKUP(H1607, Fact_Events!$A$2:$A$20, Fact_Events!$F$2:$F$20, "")</f>
        <v/>
      </c>
      <c r="K1607" t="str">
        <f t="shared" si="206"/>
        <v>Low</v>
      </c>
      <c r="L1607">
        <f t="shared" si="207"/>
        <v>0.55000000000000004</v>
      </c>
      <c r="M1607">
        <f>_xlfn.XLOOKUP(B1607, Dim_Hotel!$A$2:$A$11, Dim_Hotel!$I$2:$I$11)
 + (IF(J1607="",0,J1607)
    * _xlfn.XLOOKUP(B1607, Dim_Hotel!$A$2:$A$11, Dim_Hotel!$J$2:$J$11))</f>
        <v>190</v>
      </c>
    </row>
    <row r="1608" spans="1:13" x14ac:dyDescent="0.25">
      <c r="A1608" s="1">
        <f t="shared" si="200"/>
        <v>46183</v>
      </c>
      <c r="B1608" t="str" cm="1">
        <f t="array" ref="B1608">INDEX(HotelList,MOD(ROW()-2,10)+1)</f>
        <v>H007</v>
      </c>
      <c r="C1608">
        <f>_xlfn.XLOOKUP(B1608,Dim_Hotel!$A$2:$A$11,Dim_Hotel!$F$2:$F$11)</f>
        <v>132</v>
      </c>
      <c r="D1608">
        <f t="shared" si="201"/>
        <v>73</v>
      </c>
      <c r="E1608">
        <f t="shared" si="202"/>
        <v>0.55303030303030298</v>
      </c>
      <c r="F1608">
        <f t="shared" si="203"/>
        <v>165</v>
      </c>
      <c r="G1608">
        <f t="shared" si="204"/>
        <v>91.249999999999986</v>
      </c>
      <c r="H1608" t="str">
        <f>_xlfn.XLOOKUP(A1608,Fact_Events!$D$2:$D$20,Fact_Events!$A$2:$A$20, "")</f>
        <v/>
      </c>
      <c r="I1608">
        <f t="shared" si="205"/>
        <v>0</v>
      </c>
      <c r="J1608" t="str">
        <f>_xlfn.XLOOKUP(H1608, Fact_Events!$A$2:$A$20, Fact_Events!$F$2:$F$20, "")</f>
        <v/>
      </c>
      <c r="K1608" t="str">
        <f t="shared" si="206"/>
        <v>Low</v>
      </c>
      <c r="L1608">
        <f t="shared" si="207"/>
        <v>0.55000000000000004</v>
      </c>
      <c r="M1608">
        <f>_xlfn.XLOOKUP(B1608, Dim_Hotel!$A$2:$A$11, Dim_Hotel!$I$2:$I$11)
 + (IF(J1608="",0,J1608)
    * _xlfn.XLOOKUP(B1608, Dim_Hotel!$A$2:$A$11, Dim_Hotel!$J$2:$J$11))</f>
        <v>165</v>
      </c>
    </row>
    <row r="1609" spans="1:13" x14ac:dyDescent="0.25">
      <c r="A1609" s="1">
        <f t="shared" si="200"/>
        <v>46183</v>
      </c>
      <c r="B1609" t="str" cm="1">
        <f t="array" ref="B1609">INDEX(HotelList,MOD(ROW()-2,10)+1)</f>
        <v>H008</v>
      </c>
      <c r="C1609">
        <f>_xlfn.XLOOKUP(B1609,Dim_Hotel!$A$2:$A$11,Dim_Hotel!$F$2:$F$11)</f>
        <v>103</v>
      </c>
      <c r="D1609">
        <f t="shared" si="201"/>
        <v>57</v>
      </c>
      <c r="E1609">
        <f t="shared" si="202"/>
        <v>0.55339805825242716</v>
      </c>
      <c r="F1609">
        <f t="shared" si="203"/>
        <v>140</v>
      </c>
      <c r="G1609">
        <f t="shared" si="204"/>
        <v>77.475728155339809</v>
      </c>
      <c r="H1609" t="str">
        <f>_xlfn.XLOOKUP(A1609,Fact_Events!$D$2:$D$20,Fact_Events!$A$2:$A$20, "")</f>
        <v/>
      </c>
      <c r="I1609">
        <f t="shared" si="205"/>
        <v>0</v>
      </c>
      <c r="J1609" t="str">
        <f>_xlfn.XLOOKUP(H1609, Fact_Events!$A$2:$A$20, Fact_Events!$F$2:$F$20, "")</f>
        <v/>
      </c>
      <c r="K1609" t="str">
        <f t="shared" si="206"/>
        <v>Low</v>
      </c>
      <c r="L1609">
        <f t="shared" si="207"/>
        <v>0.55000000000000004</v>
      </c>
      <c r="M1609">
        <f>_xlfn.XLOOKUP(B1609, Dim_Hotel!$A$2:$A$11, Dim_Hotel!$I$2:$I$11)
 + (IF(J1609="",0,J1609)
    * _xlfn.XLOOKUP(B1609, Dim_Hotel!$A$2:$A$11, Dim_Hotel!$J$2:$J$11))</f>
        <v>140</v>
      </c>
    </row>
    <row r="1610" spans="1:13" x14ac:dyDescent="0.25">
      <c r="A1610" s="1">
        <f t="shared" si="200"/>
        <v>46183</v>
      </c>
      <c r="B1610" t="str" cm="1">
        <f t="array" ref="B1610">INDEX(HotelList,MOD(ROW()-2,10)+1)</f>
        <v>H009</v>
      </c>
      <c r="C1610">
        <f>_xlfn.XLOOKUP(B1610,Dim_Hotel!$A$2:$A$11,Dim_Hotel!$F$2:$F$11)</f>
        <v>114</v>
      </c>
      <c r="D1610">
        <f t="shared" si="201"/>
        <v>63</v>
      </c>
      <c r="E1610">
        <f t="shared" si="202"/>
        <v>0.55263157894736847</v>
      </c>
      <c r="F1610">
        <f t="shared" si="203"/>
        <v>185</v>
      </c>
      <c r="G1610">
        <f t="shared" si="204"/>
        <v>102.23684210526316</v>
      </c>
      <c r="H1610" t="str">
        <f>_xlfn.XLOOKUP(A1610,Fact_Events!$D$2:$D$20,Fact_Events!$A$2:$A$20, "")</f>
        <v/>
      </c>
      <c r="I1610">
        <f t="shared" si="205"/>
        <v>0</v>
      </c>
      <c r="J1610" t="str">
        <f>_xlfn.XLOOKUP(H1610, Fact_Events!$A$2:$A$20, Fact_Events!$F$2:$F$20, "")</f>
        <v/>
      </c>
      <c r="K1610" t="str">
        <f t="shared" si="206"/>
        <v>Low</v>
      </c>
      <c r="L1610">
        <f t="shared" si="207"/>
        <v>0.55000000000000004</v>
      </c>
      <c r="M1610">
        <f>_xlfn.XLOOKUP(B1610, Dim_Hotel!$A$2:$A$11, Dim_Hotel!$I$2:$I$11)
 + (IF(J1610="",0,J1610)
    * _xlfn.XLOOKUP(B1610, Dim_Hotel!$A$2:$A$11, Dim_Hotel!$J$2:$J$11))</f>
        <v>185</v>
      </c>
    </row>
    <row r="1611" spans="1:13" x14ac:dyDescent="0.25">
      <c r="A1611" s="1">
        <f t="shared" si="200"/>
        <v>46183</v>
      </c>
      <c r="B1611" t="str" cm="1">
        <f t="array" ref="B1611">INDEX(HotelList,MOD(ROW()-2,10)+1)</f>
        <v>H010</v>
      </c>
      <c r="C1611">
        <f>_xlfn.XLOOKUP(B1611,Dim_Hotel!$A$2:$A$11,Dim_Hotel!$F$2:$F$11)</f>
        <v>89</v>
      </c>
      <c r="D1611">
        <f t="shared" si="201"/>
        <v>49</v>
      </c>
      <c r="E1611">
        <f t="shared" si="202"/>
        <v>0.550561797752809</v>
      </c>
      <c r="F1611">
        <f t="shared" si="203"/>
        <v>150</v>
      </c>
      <c r="G1611">
        <f t="shared" si="204"/>
        <v>82.584269662921344</v>
      </c>
      <c r="H1611" t="str">
        <f>_xlfn.XLOOKUP(A1611,Fact_Events!$D$2:$D$20,Fact_Events!$A$2:$A$20, "")</f>
        <v/>
      </c>
      <c r="I1611">
        <f t="shared" si="205"/>
        <v>0</v>
      </c>
      <c r="J1611" t="str">
        <f>_xlfn.XLOOKUP(H1611, Fact_Events!$A$2:$A$20, Fact_Events!$F$2:$F$20, "")</f>
        <v/>
      </c>
      <c r="K1611" t="str">
        <f t="shared" si="206"/>
        <v>Low</v>
      </c>
      <c r="L1611">
        <f t="shared" si="207"/>
        <v>0.55000000000000004</v>
      </c>
      <c r="M1611">
        <f>_xlfn.XLOOKUP(B1611, Dim_Hotel!$A$2:$A$11, Dim_Hotel!$I$2:$I$11)
 + (IF(J1611="",0,J1611)
    * _xlfn.XLOOKUP(B1611, Dim_Hotel!$A$2:$A$11, Dim_Hotel!$J$2:$J$11))</f>
        <v>150</v>
      </c>
    </row>
    <row r="1612" spans="1:13" x14ac:dyDescent="0.25">
      <c r="A1612" s="1">
        <f t="shared" si="200"/>
        <v>46184</v>
      </c>
      <c r="B1612" t="str" cm="1">
        <f t="array" ref="B1612">INDEX(HotelList,MOD(ROW()-2,10)+1)</f>
        <v>H001</v>
      </c>
      <c r="C1612">
        <f>_xlfn.XLOOKUP(B1612,Dim_Hotel!$A$2:$A$11,Dim_Hotel!$F$2:$F$11)</f>
        <v>888</v>
      </c>
      <c r="D1612">
        <f t="shared" si="201"/>
        <v>488</v>
      </c>
      <c r="E1612">
        <f t="shared" si="202"/>
        <v>0.5495495495495496</v>
      </c>
      <c r="F1612">
        <f t="shared" si="203"/>
        <v>260</v>
      </c>
      <c r="G1612">
        <f t="shared" si="204"/>
        <v>142.88288288288288</v>
      </c>
      <c r="H1612" t="str">
        <f>_xlfn.XLOOKUP(A1612,Fact_Events!$D$2:$D$20,Fact_Events!$A$2:$A$20, "")</f>
        <v/>
      </c>
      <c r="I1612">
        <f t="shared" si="205"/>
        <v>0</v>
      </c>
      <c r="J1612" t="str">
        <f>_xlfn.XLOOKUP(H1612, Fact_Events!$A$2:$A$20, Fact_Events!$F$2:$F$20, "")</f>
        <v/>
      </c>
      <c r="K1612" t="str">
        <f t="shared" si="206"/>
        <v>Low</v>
      </c>
      <c r="L1612">
        <f t="shared" si="207"/>
        <v>0.55000000000000004</v>
      </c>
      <c r="M1612">
        <f>_xlfn.XLOOKUP(B1612, Dim_Hotel!$A$2:$A$11, Dim_Hotel!$I$2:$I$11)
 + (IF(J1612="",0,J1612)
    * _xlfn.XLOOKUP(B1612, Dim_Hotel!$A$2:$A$11, Dim_Hotel!$J$2:$J$11))</f>
        <v>260</v>
      </c>
    </row>
    <row r="1613" spans="1:13" x14ac:dyDescent="0.25">
      <c r="A1613" s="1">
        <f t="shared" si="200"/>
        <v>46184</v>
      </c>
      <c r="B1613" t="str" cm="1">
        <f t="array" ref="B1613">INDEX(HotelList,MOD(ROW()-2,10)+1)</f>
        <v>H002</v>
      </c>
      <c r="C1613">
        <f>_xlfn.XLOOKUP(B1613,Dim_Hotel!$A$2:$A$11,Dim_Hotel!$F$2:$F$11)</f>
        <v>147</v>
      </c>
      <c r="D1613">
        <f t="shared" si="201"/>
        <v>81</v>
      </c>
      <c r="E1613">
        <f t="shared" si="202"/>
        <v>0.55102040816326525</v>
      </c>
      <c r="F1613">
        <f t="shared" si="203"/>
        <v>175</v>
      </c>
      <c r="G1613">
        <f t="shared" si="204"/>
        <v>96.428571428571416</v>
      </c>
      <c r="H1613" t="str">
        <f>_xlfn.XLOOKUP(A1613,Fact_Events!$D$2:$D$20,Fact_Events!$A$2:$A$20, "")</f>
        <v/>
      </c>
      <c r="I1613">
        <f t="shared" si="205"/>
        <v>0</v>
      </c>
      <c r="J1613" t="str">
        <f>_xlfn.XLOOKUP(H1613, Fact_Events!$A$2:$A$20, Fact_Events!$F$2:$F$20, "")</f>
        <v/>
      </c>
      <c r="K1613" t="str">
        <f t="shared" si="206"/>
        <v>Low</v>
      </c>
      <c r="L1613">
        <f t="shared" si="207"/>
        <v>0.55000000000000004</v>
      </c>
      <c r="M1613">
        <f>_xlfn.XLOOKUP(B1613, Dim_Hotel!$A$2:$A$11, Dim_Hotel!$I$2:$I$11)
 + (IF(J1613="",0,J1613)
    * _xlfn.XLOOKUP(B1613, Dim_Hotel!$A$2:$A$11, Dim_Hotel!$J$2:$J$11))</f>
        <v>175</v>
      </c>
    </row>
    <row r="1614" spans="1:13" x14ac:dyDescent="0.25">
      <c r="A1614" s="1">
        <f t="shared" si="200"/>
        <v>46184</v>
      </c>
      <c r="B1614" t="str" cm="1">
        <f t="array" ref="B1614">INDEX(HotelList,MOD(ROW()-2,10)+1)</f>
        <v>H003</v>
      </c>
      <c r="C1614">
        <f>_xlfn.XLOOKUP(B1614,Dim_Hotel!$A$2:$A$11,Dim_Hotel!$F$2:$F$11)</f>
        <v>121</v>
      </c>
      <c r="D1614">
        <f t="shared" si="201"/>
        <v>67</v>
      </c>
      <c r="E1614">
        <f t="shared" si="202"/>
        <v>0.55371900826446285</v>
      </c>
      <c r="F1614">
        <f t="shared" si="203"/>
        <v>145</v>
      </c>
      <c r="G1614">
        <f t="shared" si="204"/>
        <v>80.289256198347118</v>
      </c>
      <c r="H1614" t="str">
        <f>_xlfn.XLOOKUP(A1614,Fact_Events!$D$2:$D$20,Fact_Events!$A$2:$A$20, "")</f>
        <v/>
      </c>
      <c r="I1614">
        <f t="shared" si="205"/>
        <v>0</v>
      </c>
      <c r="J1614" t="str">
        <f>_xlfn.XLOOKUP(H1614, Fact_Events!$A$2:$A$20, Fact_Events!$F$2:$F$20, "")</f>
        <v/>
      </c>
      <c r="K1614" t="str">
        <f t="shared" si="206"/>
        <v>Low</v>
      </c>
      <c r="L1614">
        <f t="shared" si="207"/>
        <v>0.55000000000000004</v>
      </c>
      <c r="M1614">
        <f>_xlfn.XLOOKUP(B1614, Dim_Hotel!$A$2:$A$11, Dim_Hotel!$I$2:$I$11)
 + (IF(J1614="",0,J1614)
    * _xlfn.XLOOKUP(B1614, Dim_Hotel!$A$2:$A$11, Dim_Hotel!$J$2:$J$11))</f>
        <v>145</v>
      </c>
    </row>
    <row r="1615" spans="1:13" x14ac:dyDescent="0.25">
      <c r="A1615" s="1">
        <f t="shared" si="200"/>
        <v>46184</v>
      </c>
      <c r="B1615" t="str" cm="1">
        <f t="array" ref="B1615">INDEX(HotelList,MOD(ROW()-2,10)+1)</f>
        <v>H004</v>
      </c>
      <c r="C1615">
        <f>_xlfn.XLOOKUP(B1615,Dim_Hotel!$A$2:$A$11,Dim_Hotel!$F$2:$F$11)</f>
        <v>108</v>
      </c>
      <c r="D1615">
        <f t="shared" si="201"/>
        <v>59</v>
      </c>
      <c r="E1615">
        <f t="shared" si="202"/>
        <v>0.54629629629629628</v>
      </c>
      <c r="F1615">
        <f t="shared" si="203"/>
        <v>135</v>
      </c>
      <c r="G1615">
        <f t="shared" si="204"/>
        <v>73.75</v>
      </c>
      <c r="H1615" t="str">
        <f>_xlfn.XLOOKUP(A1615,Fact_Events!$D$2:$D$20,Fact_Events!$A$2:$A$20, "")</f>
        <v/>
      </c>
      <c r="I1615">
        <f t="shared" si="205"/>
        <v>0</v>
      </c>
      <c r="J1615" t="str">
        <f>_xlfn.XLOOKUP(H1615, Fact_Events!$A$2:$A$20, Fact_Events!$F$2:$F$20, "")</f>
        <v/>
      </c>
      <c r="K1615" t="str">
        <f t="shared" si="206"/>
        <v>Low</v>
      </c>
      <c r="L1615">
        <f t="shared" si="207"/>
        <v>0.55000000000000004</v>
      </c>
      <c r="M1615">
        <f>_xlfn.XLOOKUP(B1615, Dim_Hotel!$A$2:$A$11, Dim_Hotel!$I$2:$I$11)
 + (IF(J1615="",0,J1615)
    * _xlfn.XLOOKUP(B1615, Dim_Hotel!$A$2:$A$11, Dim_Hotel!$J$2:$J$11))</f>
        <v>135</v>
      </c>
    </row>
    <row r="1616" spans="1:13" x14ac:dyDescent="0.25">
      <c r="A1616" s="1">
        <f t="shared" si="200"/>
        <v>46184</v>
      </c>
      <c r="B1616" t="str" cm="1">
        <f t="array" ref="B1616">INDEX(HotelList,MOD(ROW()-2,10)+1)</f>
        <v>H005</v>
      </c>
      <c r="C1616">
        <f>_xlfn.XLOOKUP(B1616,Dim_Hotel!$A$2:$A$11,Dim_Hotel!$F$2:$F$11)</f>
        <v>66</v>
      </c>
      <c r="D1616">
        <f t="shared" si="201"/>
        <v>36</v>
      </c>
      <c r="E1616">
        <f t="shared" si="202"/>
        <v>0.54545454545454541</v>
      </c>
      <c r="F1616">
        <f t="shared" si="203"/>
        <v>82</v>
      </c>
      <c r="G1616">
        <f t="shared" si="204"/>
        <v>44.727272727272727</v>
      </c>
      <c r="H1616" t="str">
        <f>_xlfn.XLOOKUP(A1616,Fact_Events!$D$2:$D$20,Fact_Events!$A$2:$A$20, "")</f>
        <v/>
      </c>
      <c r="I1616">
        <f t="shared" si="205"/>
        <v>0</v>
      </c>
      <c r="J1616" t="str">
        <f>_xlfn.XLOOKUP(H1616, Fact_Events!$A$2:$A$20, Fact_Events!$F$2:$F$20, "")</f>
        <v/>
      </c>
      <c r="K1616" t="str">
        <f t="shared" si="206"/>
        <v>Low</v>
      </c>
      <c r="L1616">
        <f t="shared" si="207"/>
        <v>0.55000000000000004</v>
      </c>
      <c r="M1616">
        <f>_xlfn.XLOOKUP(B1616, Dim_Hotel!$A$2:$A$11, Dim_Hotel!$I$2:$I$11)
 + (IF(J1616="",0,J1616)
    * _xlfn.XLOOKUP(B1616, Dim_Hotel!$A$2:$A$11, Dim_Hotel!$J$2:$J$11))</f>
        <v>82</v>
      </c>
    </row>
    <row r="1617" spans="1:13" x14ac:dyDescent="0.25">
      <c r="A1617" s="1">
        <f t="shared" si="200"/>
        <v>46184</v>
      </c>
      <c r="B1617" t="str" cm="1">
        <f t="array" ref="B1617">INDEX(HotelList,MOD(ROW()-2,10)+1)</f>
        <v>H006</v>
      </c>
      <c r="C1617">
        <f>_xlfn.XLOOKUP(B1617,Dim_Hotel!$A$2:$A$11,Dim_Hotel!$F$2:$F$11)</f>
        <v>311</v>
      </c>
      <c r="D1617">
        <f t="shared" si="201"/>
        <v>171</v>
      </c>
      <c r="E1617">
        <f t="shared" si="202"/>
        <v>0.54983922829581988</v>
      </c>
      <c r="F1617">
        <f t="shared" si="203"/>
        <v>190</v>
      </c>
      <c r="G1617">
        <f t="shared" si="204"/>
        <v>104.46945337620578</v>
      </c>
      <c r="H1617" t="str">
        <f>_xlfn.XLOOKUP(A1617,Fact_Events!$D$2:$D$20,Fact_Events!$A$2:$A$20, "")</f>
        <v/>
      </c>
      <c r="I1617">
        <f t="shared" si="205"/>
        <v>0</v>
      </c>
      <c r="J1617" t="str">
        <f>_xlfn.XLOOKUP(H1617, Fact_Events!$A$2:$A$20, Fact_Events!$F$2:$F$20, "")</f>
        <v/>
      </c>
      <c r="K1617" t="str">
        <f t="shared" si="206"/>
        <v>Low</v>
      </c>
      <c r="L1617">
        <f t="shared" si="207"/>
        <v>0.55000000000000004</v>
      </c>
      <c r="M1617">
        <f>_xlfn.XLOOKUP(B1617, Dim_Hotel!$A$2:$A$11, Dim_Hotel!$I$2:$I$11)
 + (IF(J1617="",0,J1617)
    * _xlfn.XLOOKUP(B1617, Dim_Hotel!$A$2:$A$11, Dim_Hotel!$J$2:$J$11))</f>
        <v>190</v>
      </c>
    </row>
    <row r="1618" spans="1:13" x14ac:dyDescent="0.25">
      <c r="A1618" s="1">
        <f t="shared" si="200"/>
        <v>46184</v>
      </c>
      <c r="B1618" t="str" cm="1">
        <f t="array" ref="B1618">INDEX(HotelList,MOD(ROW()-2,10)+1)</f>
        <v>H007</v>
      </c>
      <c r="C1618">
        <f>_xlfn.XLOOKUP(B1618,Dim_Hotel!$A$2:$A$11,Dim_Hotel!$F$2:$F$11)</f>
        <v>132</v>
      </c>
      <c r="D1618">
        <f t="shared" si="201"/>
        <v>73</v>
      </c>
      <c r="E1618">
        <f t="shared" si="202"/>
        <v>0.55303030303030298</v>
      </c>
      <c r="F1618">
        <f t="shared" si="203"/>
        <v>165</v>
      </c>
      <c r="G1618">
        <f t="shared" si="204"/>
        <v>91.249999999999986</v>
      </c>
      <c r="H1618" t="str">
        <f>_xlfn.XLOOKUP(A1618,Fact_Events!$D$2:$D$20,Fact_Events!$A$2:$A$20, "")</f>
        <v/>
      </c>
      <c r="I1618">
        <f t="shared" si="205"/>
        <v>0</v>
      </c>
      <c r="J1618" t="str">
        <f>_xlfn.XLOOKUP(H1618, Fact_Events!$A$2:$A$20, Fact_Events!$F$2:$F$20, "")</f>
        <v/>
      </c>
      <c r="K1618" t="str">
        <f t="shared" si="206"/>
        <v>Low</v>
      </c>
      <c r="L1618">
        <f t="shared" si="207"/>
        <v>0.55000000000000004</v>
      </c>
      <c r="M1618">
        <f>_xlfn.XLOOKUP(B1618, Dim_Hotel!$A$2:$A$11, Dim_Hotel!$I$2:$I$11)
 + (IF(J1618="",0,J1618)
    * _xlfn.XLOOKUP(B1618, Dim_Hotel!$A$2:$A$11, Dim_Hotel!$J$2:$J$11))</f>
        <v>165</v>
      </c>
    </row>
    <row r="1619" spans="1:13" x14ac:dyDescent="0.25">
      <c r="A1619" s="1">
        <f t="shared" si="200"/>
        <v>46184</v>
      </c>
      <c r="B1619" t="str" cm="1">
        <f t="array" ref="B1619">INDEX(HotelList,MOD(ROW()-2,10)+1)</f>
        <v>H008</v>
      </c>
      <c r="C1619">
        <f>_xlfn.XLOOKUP(B1619,Dim_Hotel!$A$2:$A$11,Dim_Hotel!$F$2:$F$11)</f>
        <v>103</v>
      </c>
      <c r="D1619">
        <f t="shared" si="201"/>
        <v>57</v>
      </c>
      <c r="E1619">
        <f t="shared" si="202"/>
        <v>0.55339805825242716</v>
      </c>
      <c r="F1619">
        <f t="shared" si="203"/>
        <v>140</v>
      </c>
      <c r="G1619">
        <f t="shared" si="204"/>
        <v>77.475728155339809</v>
      </c>
      <c r="H1619" t="str">
        <f>_xlfn.XLOOKUP(A1619,Fact_Events!$D$2:$D$20,Fact_Events!$A$2:$A$20, "")</f>
        <v/>
      </c>
      <c r="I1619">
        <f t="shared" si="205"/>
        <v>0</v>
      </c>
      <c r="J1619" t="str">
        <f>_xlfn.XLOOKUP(H1619, Fact_Events!$A$2:$A$20, Fact_Events!$F$2:$F$20, "")</f>
        <v/>
      </c>
      <c r="K1619" t="str">
        <f t="shared" si="206"/>
        <v>Low</v>
      </c>
      <c r="L1619">
        <f t="shared" si="207"/>
        <v>0.55000000000000004</v>
      </c>
      <c r="M1619">
        <f>_xlfn.XLOOKUP(B1619, Dim_Hotel!$A$2:$A$11, Dim_Hotel!$I$2:$I$11)
 + (IF(J1619="",0,J1619)
    * _xlfn.XLOOKUP(B1619, Dim_Hotel!$A$2:$A$11, Dim_Hotel!$J$2:$J$11))</f>
        <v>140</v>
      </c>
    </row>
    <row r="1620" spans="1:13" x14ac:dyDescent="0.25">
      <c r="A1620" s="1">
        <f t="shared" si="200"/>
        <v>46184</v>
      </c>
      <c r="B1620" t="str" cm="1">
        <f t="array" ref="B1620">INDEX(HotelList,MOD(ROW()-2,10)+1)</f>
        <v>H009</v>
      </c>
      <c r="C1620">
        <f>_xlfn.XLOOKUP(B1620,Dim_Hotel!$A$2:$A$11,Dim_Hotel!$F$2:$F$11)</f>
        <v>114</v>
      </c>
      <c r="D1620">
        <f t="shared" si="201"/>
        <v>63</v>
      </c>
      <c r="E1620">
        <f t="shared" si="202"/>
        <v>0.55263157894736847</v>
      </c>
      <c r="F1620">
        <f t="shared" si="203"/>
        <v>185</v>
      </c>
      <c r="G1620">
        <f t="shared" si="204"/>
        <v>102.23684210526316</v>
      </c>
      <c r="H1620" t="str">
        <f>_xlfn.XLOOKUP(A1620,Fact_Events!$D$2:$D$20,Fact_Events!$A$2:$A$20, "")</f>
        <v/>
      </c>
      <c r="I1620">
        <f t="shared" si="205"/>
        <v>0</v>
      </c>
      <c r="J1620" t="str">
        <f>_xlfn.XLOOKUP(H1620, Fact_Events!$A$2:$A$20, Fact_Events!$F$2:$F$20, "")</f>
        <v/>
      </c>
      <c r="K1620" t="str">
        <f t="shared" si="206"/>
        <v>Low</v>
      </c>
      <c r="L1620">
        <f t="shared" si="207"/>
        <v>0.55000000000000004</v>
      </c>
      <c r="M1620">
        <f>_xlfn.XLOOKUP(B1620, Dim_Hotel!$A$2:$A$11, Dim_Hotel!$I$2:$I$11)
 + (IF(J1620="",0,J1620)
    * _xlfn.XLOOKUP(B1620, Dim_Hotel!$A$2:$A$11, Dim_Hotel!$J$2:$J$11))</f>
        <v>185</v>
      </c>
    </row>
    <row r="1621" spans="1:13" x14ac:dyDescent="0.25">
      <c r="A1621" s="1">
        <f t="shared" si="200"/>
        <v>46184</v>
      </c>
      <c r="B1621" t="str" cm="1">
        <f t="array" ref="B1621">INDEX(HotelList,MOD(ROW()-2,10)+1)</f>
        <v>H010</v>
      </c>
      <c r="C1621">
        <f>_xlfn.XLOOKUP(B1621,Dim_Hotel!$A$2:$A$11,Dim_Hotel!$F$2:$F$11)</f>
        <v>89</v>
      </c>
      <c r="D1621">
        <f t="shared" si="201"/>
        <v>49</v>
      </c>
      <c r="E1621">
        <f t="shared" si="202"/>
        <v>0.550561797752809</v>
      </c>
      <c r="F1621">
        <f t="shared" si="203"/>
        <v>150</v>
      </c>
      <c r="G1621">
        <f t="shared" si="204"/>
        <v>82.584269662921344</v>
      </c>
      <c r="H1621" t="str">
        <f>_xlfn.XLOOKUP(A1621,Fact_Events!$D$2:$D$20,Fact_Events!$A$2:$A$20, "")</f>
        <v/>
      </c>
      <c r="I1621">
        <f t="shared" si="205"/>
        <v>0</v>
      </c>
      <c r="J1621" t="str">
        <f>_xlfn.XLOOKUP(H1621, Fact_Events!$A$2:$A$20, Fact_Events!$F$2:$F$20, "")</f>
        <v/>
      </c>
      <c r="K1621" t="str">
        <f t="shared" si="206"/>
        <v>Low</v>
      </c>
      <c r="L1621">
        <f t="shared" si="207"/>
        <v>0.55000000000000004</v>
      </c>
      <c r="M1621">
        <f>_xlfn.XLOOKUP(B1621, Dim_Hotel!$A$2:$A$11, Dim_Hotel!$I$2:$I$11)
 + (IF(J1621="",0,J1621)
    * _xlfn.XLOOKUP(B1621, Dim_Hotel!$A$2:$A$11, Dim_Hotel!$J$2:$J$11))</f>
        <v>150</v>
      </c>
    </row>
    <row r="1622" spans="1:13" x14ac:dyDescent="0.25">
      <c r="A1622" s="1">
        <f t="shared" si="200"/>
        <v>46185</v>
      </c>
      <c r="B1622" t="str" cm="1">
        <f t="array" ref="B1622">INDEX(HotelList,MOD(ROW()-2,10)+1)</f>
        <v>H001</v>
      </c>
      <c r="C1622">
        <f>_xlfn.XLOOKUP(B1622,Dim_Hotel!$A$2:$A$11,Dim_Hotel!$F$2:$F$11)</f>
        <v>888</v>
      </c>
      <c r="D1622">
        <f t="shared" si="201"/>
        <v>488</v>
      </c>
      <c r="E1622">
        <f t="shared" si="202"/>
        <v>0.5495495495495496</v>
      </c>
      <c r="F1622">
        <f t="shared" si="203"/>
        <v>260</v>
      </c>
      <c r="G1622">
        <f t="shared" si="204"/>
        <v>142.88288288288288</v>
      </c>
      <c r="H1622" t="str">
        <f>_xlfn.XLOOKUP(A1622,Fact_Events!$D$2:$D$20,Fact_Events!$A$2:$A$20, "")</f>
        <v/>
      </c>
      <c r="I1622">
        <f t="shared" si="205"/>
        <v>0</v>
      </c>
      <c r="J1622" t="str">
        <f>_xlfn.XLOOKUP(H1622, Fact_Events!$A$2:$A$20, Fact_Events!$F$2:$F$20, "")</f>
        <v/>
      </c>
      <c r="K1622" t="str">
        <f t="shared" si="206"/>
        <v>Low</v>
      </c>
      <c r="L1622">
        <f t="shared" si="207"/>
        <v>0.55000000000000004</v>
      </c>
      <c r="M1622">
        <f>_xlfn.XLOOKUP(B1622, Dim_Hotel!$A$2:$A$11, Dim_Hotel!$I$2:$I$11)
 + (IF(J1622="",0,J1622)
    * _xlfn.XLOOKUP(B1622, Dim_Hotel!$A$2:$A$11, Dim_Hotel!$J$2:$J$11))</f>
        <v>260</v>
      </c>
    </row>
    <row r="1623" spans="1:13" x14ac:dyDescent="0.25">
      <c r="A1623" s="1">
        <f t="shared" si="200"/>
        <v>46185</v>
      </c>
      <c r="B1623" t="str" cm="1">
        <f t="array" ref="B1623">INDEX(HotelList,MOD(ROW()-2,10)+1)</f>
        <v>H002</v>
      </c>
      <c r="C1623">
        <f>_xlfn.XLOOKUP(B1623,Dim_Hotel!$A$2:$A$11,Dim_Hotel!$F$2:$F$11)</f>
        <v>147</v>
      </c>
      <c r="D1623">
        <f t="shared" si="201"/>
        <v>81</v>
      </c>
      <c r="E1623">
        <f t="shared" si="202"/>
        <v>0.55102040816326525</v>
      </c>
      <c r="F1623">
        <f t="shared" si="203"/>
        <v>175</v>
      </c>
      <c r="G1623">
        <f t="shared" si="204"/>
        <v>96.428571428571416</v>
      </c>
      <c r="H1623" t="str">
        <f>_xlfn.XLOOKUP(A1623,Fact_Events!$D$2:$D$20,Fact_Events!$A$2:$A$20, "")</f>
        <v/>
      </c>
      <c r="I1623">
        <f t="shared" si="205"/>
        <v>0</v>
      </c>
      <c r="J1623" t="str">
        <f>_xlfn.XLOOKUP(H1623, Fact_Events!$A$2:$A$20, Fact_Events!$F$2:$F$20, "")</f>
        <v/>
      </c>
      <c r="K1623" t="str">
        <f t="shared" si="206"/>
        <v>Low</v>
      </c>
      <c r="L1623">
        <f t="shared" si="207"/>
        <v>0.55000000000000004</v>
      </c>
      <c r="M1623">
        <f>_xlfn.XLOOKUP(B1623, Dim_Hotel!$A$2:$A$11, Dim_Hotel!$I$2:$I$11)
 + (IF(J1623="",0,J1623)
    * _xlfn.XLOOKUP(B1623, Dim_Hotel!$A$2:$A$11, Dim_Hotel!$J$2:$J$11))</f>
        <v>175</v>
      </c>
    </row>
    <row r="1624" spans="1:13" x14ac:dyDescent="0.25">
      <c r="A1624" s="1">
        <f t="shared" si="200"/>
        <v>46185</v>
      </c>
      <c r="B1624" t="str" cm="1">
        <f t="array" ref="B1624">INDEX(HotelList,MOD(ROW()-2,10)+1)</f>
        <v>H003</v>
      </c>
      <c r="C1624">
        <f>_xlfn.XLOOKUP(B1624,Dim_Hotel!$A$2:$A$11,Dim_Hotel!$F$2:$F$11)</f>
        <v>121</v>
      </c>
      <c r="D1624">
        <f t="shared" si="201"/>
        <v>67</v>
      </c>
      <c r="E1624">
        <f t="shared" si="202"/>
        <v>0.55371900826446285</v>
      </c>
      <c r="F1624">
        <f t="shared" si="203"/>
        <v>145</v>
      </c>
      <c r="G1624">
        <f t="shared" si="204"/>
        <v>80.289256198347118</v>
      </c>
      <c r="H1624" t="str">
        <f>_xlfn.XLOOKUP(A1624,Fact_Events!$D$2:$D$20,Fact_Events!$A$2:$A$20, "")</f>
        <v/>
      </c>
      <c r="I1624">
        <f t="shared" si="205"/>
        <v>0</v>
      </c>
      <c r="J1624" t="str">
        <f>_xlfn.XLOOKUP(H1624, Fact_Events!$A$2:$A$20, Fact_Events!$F$2:$F$20, "")</f>
        <v/>
      </c>
      <c r="K1624" t="str">
        <f t="shared" si="206"/>
        <v>Low</v>
      </c>
      <c r="L1624">
        <f t="shared" si="207"/>
        <v>0.55000000000000004</v>
      </c>
      <c r="M1624">
        <f>_xlfn.XLOOKUP(B1624, Dim_Hotel!$A$2:$A$11, Dim_Hotel!$I$2:$I$11)
 + (IF(J1624="",0,J1624)
    * _xlfn.XLOOKUP(B1624, Dim_Hotel!$A$2:$A$11, Dim_Hotel!$J$2:$J$11))</f>
        <v>145</v>
      </c>
    </row>
    <row r="1625" spans="1:13" x14ac:dyDescent="0.25">
      <c r="A1625" s="1">
        <f t="shared" si="200"/>
        <v>46185</v>
      </c>
      <c r="B1625" t="str" cm="1">
        <f t="array" ref="B1625">INDEX(HotelList,MOD(ROW()-2,10)+1)</f>
        <v>H004</v>
      </c>
      <c r="C1625">
        <f>_xlfn.XLOOKUP(B1625,Dim_Hotel!$A$2:$A$11,Dim_Hotel!$F$2:$F$11)</f>
        <v>108</v>
      </c>
      <c r="D1625">
        <f t="shared" si="201"/>
        <v>59</v>
      </c>
      <c r="E1625">
        <f t="shared" si="202"/>
        <v>0.54629629629629628</v>
      </c>
      <c r="F1625">
        <f t="shared" si="203"/>
        <v>135</v>
      </c>
      <c r="G1625">
        <f t="shared" si="204"/>
        <v>73.75</v>
      </c>
      <c r="H1625" t="str">
        <f>_xlfn.XLOOKUP(A1625,Fact_Events!$D$2:$D$20,Fact_Events!$A$2:$A$20, "")</f>
        <v/>
      </c>
      <c r="I1625">
        <f t="shared" si="205"/>
        <v>0</v>
      </c>
      <c r="J1625" t="str">
        <f>_xlfn.XLOOKUP(H1625, Fact_Events!$A$2:$A$20, Fact_Events!$F$2:$F$20, "")</f>
        <v/>
      </c>
      <c r="K1625" t="str">
        <f t="shared" si="206"/>
        <v>Low</v>
      </c>
      <c r="L1625">
        <f t="shared" si="207"/>
        <v>0.55000000000000004</v>
      </c>
      <c r="M1625">
        <f>_xlfn.XLOOKUP(B1625, Dim_Hotel!$A$2:$A$11, Dim_Hotel!$I$2:$I$11)
 + (IF(J1625="",0,J1625)
    * _xlfn.XLOOKUP(B1625, Dim_Hotel!$A$2:$A$11, Dim_Hotel!$J$2:$J$11))</f>
        <v>135</v>
      </c>
    </row>
    <row r="1626" spans="1:13" x14ac:dyDescent="0.25">
      <c r="A1626" s="1">
        <f t="shared" si="200"/>
        <v>46185</v>
      </c>
      <c r="B1626" t="str" cm="1">
        <f t="array" ref="B1626">INDEX(HotelList,MOD(ROW()-2,10)+1)</f>
        <v>H005</v>
      </c>
      <c r="C1626">
        <f>_xlfn.XLOOKUP(B1626,Dim_Hotel!$A$2:$A$11,Dim_Hotel!$F$2:$F$11)</f>
        <v>66</v>
      </c>
      <c r="D1626">
        <f t="shared" si="201"/>
        <v>36</v>
      </c>
      <c r="E1626">
        <f t="shared" si="202"/>
        <v>0.54545454545454541</v>
      </c>
      <c r="F1626">
        <f t="shared" si="203"/>
        <v>82</v>
      </c>
      <c r="G1626">
        <f t="shared" si="204"/>
        <v>44.727272727272727</v>
      </c>
      <c r="H1626" t="str">
        <f>_xlfn.XLOOKUP(A1626,Fact_Events!$D$2:$D$20,Fact_Events!$A$2:$A$20, "")</f>
        <v/>
      </c>
      <c r="I1626">
        <f t="shared" si="205"/>
        <v>0</v>
      </c>
      <c r="J1626" t="str">
        <f>_xlfn.XLOOKUP(H1626, Fact_Events!$A$2:$A$20, Fact_Events!$F$2:$F$20, "")</f>
        <v/>
      </c>
      <c r="K1626" t="str">
        <f t="shared" si="206"/>
        <v>Low</v>
      </c>
      <c r="L1626">
        <f t="shared" si="207"/>
        <v>0.55000000000000004</v>
      </c>
      <c r="M1626">
        <f>_xlfn.XLOOKUP(B1626, Dim_Hotel!$A$2:$A$11, Dim_Hotel!$I$2:$I$11)
 + (IF(J1626="",0,J1626)
    * _xlfn.XLOOKUP(B1626, Dim_Hotel!$A$2:$A$11, Dim_Hotel!$J$2:$J$11))</f>
        <v>82</v>
      </c>
    </row>
    <row r="1627" spans="1:13" x14ac:dyDescent="0.25">
      <c r="A1627" s="1">
        <f t="shared" si="200"/>
        <v>46185</v>
      </c>
      <c r="B1627" t="str" cm="1">
        <f t="array" ref="B1627">INDEX(HotelList,MOD(ROW()-2,10)+1)</f>
        <v>H006</v>
      </c>
      <c r="C1627">
        <f>_xlfn.XLOOKUP(B1627,Dim_Hotel!$A$2:$A$11,Dim_Hotel!$F$2:$F$11)</f>
        <v>311</v>
      </c>
      <c r="D1627">
        <f t="shared" si="201"/>
        <v>171</v>
      </c>
      <c r="E1627">
        <f t="shared" si="202"/>
        <v>0.54983922829581988</v>
      </c>
      <c r="F1627">
        <f t="shared" si="203"/>
        <v>190</v>
      </c>
      <c r="G1627">
        <f t="shared" si="204"/>
        <v>104.46945337620578</v>
      </c>
      <c r="H1627" t="str">
        <f>_xlfn.XLOOKUP(A1627,Fact_Events!$D$2:$D$20,Fact_Events!$A$2:$A$20, "")</f>
        <v/>
      </c>
      <c r="I1627">
        <f t="shared" si="205"/>
        <v>0</v>
      </c>
      <c r="J1627" t="str">
        <f>_xlfn.XLOOKUP(H1627, Fact_Events!$A$2:$A$20, Fact_Events!$F$2:$F$20, "")</f>
        <v/>
      </c>
      <c r="K1627" t="str">
        <f t="shared" si="206"/>
        <v>Low</v>
      </c>
      <c r="L1627">
        <f t="shared" si="207"/>
        <v>0.55000000000000004</v>
      </c>
      <c r="M1627">
        <f>_xlfn.XLOOKUP(B1627, Dim_Hotel!$A$2:$A$11, Dim_Hotel!$I$2:$I$11)
 + (IF(J1627="",0,J1627)
    * _xlfn.XLOOKUP(B1627, Dim_Hotel!$A$2:$A$11, Dim_Hotel!$J$2:$J$11))</f>
        <v>190</v>
      </c>
    </row>
    <row r="1628" spans="1:13" x14ac:dyDescent="0.25">
      <c r="A1628" s="1">
        <f t="shared" si="200"/>
        <v>46185</v>
      </c>
      <c r="B1628" t="str" cm="1">
        <f t="array" ref="B1628">INDEX(HotelList,MOD(ROW()-2,10)+1)</f>
        <v>H007</v>
      </c>
      <c r="C1628">
        <f>_xlfn.XLOOKUP(B1628,Dim_Hotel!$A$2:$A$11,Dim_Hotel!$F$2:$F$11)</f>
        <v>132</v>
      </c>
      <c r="D1628">
        <f t="shared" si="201"/>
        <v>73</v>
      </c>
      <c r="E1628">
        <f t="shared" si="202"/>
        <v>0.55303030303030298</v>
      </c>
      <c r="F1628">
        <f t="shared" si="203"/>
        <v>165</v>
      </c>
      <c r="G1628">
        <f t="shared" si="204"/>
        <v>91.249999999999986</v>
      </c>
      <c r="H1628" t="str">
        <f>_xlfn.XLOOKUP(A1628,Fact_Events!$D$2:$D$20,Fact_Events!$A$2:$A$20, "")</f>
        <v/>
      </c>
      <c r="I1628">
        <f t="shared" si="205"/>
        <v>0</v>
      </c>
      <c r="J1628" t="str">
        <f>_xlfn.XLOOKUP(H1628, Fact_Events!$A$2:$A$20, Fact_Events!$F$2:$F$20, "")</f>
        <v/>
      </c>
      <c r="K1628" t="str">
        <f t="shared" si="206"/>
        <v>Low</v>
      </c>
      <c r="L1628">
        <f t="shared" si="207"/>
        <v>0.55000000000000004</v>
      </c>
      <c r="M1628">
        <f>_xlfn.XLOOKUP(B1628, Dim_Hotel!$A$2:$A$11, Dim_Hotel!$I$2:$I$11)
 + (IF(J1628="",0,J1628)
    * _xlfn.XLOOKUP(B1628, Dim_Hotel!$A$2:$A$11, Dim_Hotel!$J$2:$J$11))</f>
        <v>165</v>
      </c>
    </row>
    <row r="1629" spans="1:13" x14ac:dyDescent="0.25">
      <c r="A1629" s="1">
        <f t="shared" si="200"/>
        <v>46185</v>
      </c>
      <c r="B1629" t="str" cm="1">
        <f t="array" ref="B1629">INDEX(HotelList,MOD(ROW()-2,10)+1)</f>
        <v>H008</v>
      </c>
      <c r="C1629">
        <f>_xlfn.XLOOKUP(B1629,Dim_Hotel!$A$2:$A$11,Dim_Hotel!$F$2:$F$11)</f>
        <v>103</v>
      </c>
      <c r="D1629">
        <f t="shared" si="201"/>
        <v>57</v>
      </c>
      <c r="E1629">
        <f t="shared" si="202"/>
        <v>0.55339805825242716</v>
      </c>
      <c r="F1629">
        <f t="shared" si="203"/>
        <v>140</v>
      </c>
      <c r="G1629">
        <f t="shared" si="204"/>
        <v>77.475728155339809</v>
      </c>
      <c r="H1629" t="str">
        <f>_xlfn.XLOOKUP(A1629,Fact_Events!$D$2:$D$20,Fact_Events!$A$2:$A$20, "")</f>
        <v/>
      </c>
      <c r="I1629">
        <f t="shared" si="205"/>
        <v>0</v>
      </c>
      <c r="J1629" t="str">
        <f>_xlfn.XLOOKUP(H1629, Fact_Events!$A$2:$A$20, Fact_Events!$F$2:$F$20, "")</f>
        <v/>
      </c>
      <c r="K1629" t="str">
        <f t="shared" si="206"/>
        <v>Low</v>
      </c>
      <c r="L1629">
        <f t="shared" si="207"/>
        <v>0.55000000000000004</v>
      </c>
      <c r="M1629">
        <f>_xlfn.XLOOKUP(B1629, Dim_Hotel!$A$2:$A$11, Dim_Hotel!$I$2:$I$11)
 + (IF(J1629="",0,J1629)
    * _xlfn.XLOOKUP(B1629, Dim_Hotel!$A$2:$A$11, Dim_Hotel!$J$2:$J$11))</f>
        <v>140</v>
      </c>
    </row>
    <row r="1630" spans="1:13" x14ac:dyDescent="0.25">
      <c r="A1630" s="1">
        <f t="shared" si="200"/>
        <v>46185</v>
      </c>
      <c r="B1630" t="str" cm="1">
        <f t="array" ref="B1630">INDEX(HotelList,MOD(ROW()-2,10)+1)</f>
        <v>H009</v>
      </c>
      <c r="C1630">
        <f>_xlfn.XLOOKUP(B1630,Dim_Hotel!$A$2:$A$11,Dim_Hotel!$F$2:$F$11)</f>
        <v>114</v>
      </c>
      <c r="D1630">
        <f t="shared" si="201"/>
        <v>63</v>
      </c>
      <c r="E1630">
        <f t="shared" si="202"/>
        <v>0.55263157894736847</v>
      </c>
      <c r="F1630">
        <f t="shared" si="203"/>
        <v>185</v>
      </c>
      <c r="G1630">
        <f t="shared" si="204"/>
        <v>102.23684210526316</v>
      </c>
      <c r="H1630" t="str">
        <f>_xlfn.XLOOKUP(A1630,Fact_Events!$D$2:$D$20,Fact_Events!$A$2:$A$20, "")</f>
        <v/>
      </c>
      <c r="I1630">
        <f t="shared" si="205"/>
        <v>0</v>
      </c>
      <c r="J1630" t="str">
        <f>_xlfn.XLOOKUP(H1630, Fact_Events!$A$2:$A$20, Fact_Events!$F$2:$F$20, "")</f>
        <v/>
      </c>
      <c r="K1630" t="str">
        <f t="shared" si="206"/>
        <v>Low</v>
      </c>
      <c r="L1630">
        <f t="shared" si="207"/>
        <v>0.55000000000000004</v>
      </c>
      <c r="M1630">
        <f>_xlfn.XLOOKUP(B1630, Dim_Hotel!$A$2:$A$11, Dim_Hotel!$I$2:$I$11)
 + (IF(J1630="",0,J1630)
    * _xlfn.XLOOKUP(B1630, Dim_Hotel!$A$2:$A$11, Dim_Hotel!$J$2:$J$11))</f>
        <v>185</v>
      </c>
    </row>
    <row r="1631" spans="1:13" x14ac:dyDescent="0.25">
      <c r="A1631" s="1">
        <f t="shared" si="200"/>
        <v>46185</v>
      </c>
      <c r="B1631" t="str" cm="1">
        <f t="array" ref="B1631">INDEX(HotelList,MOD(ROW()-2,10)+1)</f>
        <v>H010</v>
      </c>
      <c r="C1631">
        <f>_xlfn.XLOOKUP(B1631,Dim_Hotel!$A$2:$A$11,Dim_Hotel!$F$2:$F$11)</f>
        <v>89</v>
      </c>
      <c r="D1631">
        <f t="shared" si="201"/>
        <v>49</v>
      </c>
      <c r="E1631">
        <f t="shared" si="202"/>
        <v>0.550561797752809</v>
      </c>
      <c r="F1631">
        <f t="shared" si="203"/>
        <v>150</v>
      </c>
      <c r="G1631">
        <f t="shared" si="204"/>
        <v>82.584269662921344</v>
      </c>
      <c r="H1631" t="str">
        <f>_xlfn.XLOOKUP(A1631,Fact_Events!$D$2:$D$20,Fact_Events!$A$2:$A$20, "")</f>
        <v/>
      </c>
      <c r="I1631">
        <f t="shared" si="205"/>
        <v>0</v>
      </c>
      <c r="J1631" t="str">
        <f>_xlfn.XLOOKUP(H1631, Fact_Events!$A$2:$A$20, Fact_Events!$F$2:$F$20, "")</f>
        <v/>
      </c>
      <c r="K1631" t="str">
        <f t="shared" si="206"/>
        <v>Low</v>
      </c>
      <c r="L1631">
        <f t="shared" si="207"/>
        <v>0.55000000000000004</v>
      </c>
      <c r="M1631">
        <f>_xlfn.XLOOKUP(B1631, Dim_Hotel!$A$2:$A$11, Dim_Hotel!$I$2:$I$11)
 + (IF(J1631="",0,J1631)
    * _xlfn.XLOOKUP(B1631, Dim_Hotel!$A$2:$A$11, Dim_Hotel!$J$2:$J$11))</f>
        <v>150</v>
      </c>
    </row>
    <row r="1632" spans="1:13" x14ac:dyDescent="0.25">
      <c r="A1632" s="1">
        <f t="shared" si="200"/>
        <v>46186</v>
      </c>
      <c r="B1632" t="str" cm="1">
        <f t="array" ref="B1632">INDEX(HotelList,MOD(ROW()-2,10)+1)</f>
        <v>H001</v>
      </c>
      <c r="C1632">
        <f>_xlfn.XLOOKUP(B1632,Dim_Hotel!$A$2:$A$11,Dim_Hotel!$F$2:$F$11)</f>
        <v>888</v>
      </c>
      <c r="D1632">
        <f t="shared" si="201"/>
        <v>488</v>
      </c>
      <c r="E1632">
        <f t="shared" si="202"/>
        <v>0.5495495495495496</v>
      </c>
      <c r="F1632">
        <f t="shared" si="203"/>
        <v>260</v>
      </c>
      <c r="G1632">
        <f t="shared" si="204"/>
        <v>142.88288288288288</v>
      </c>
      <c r="H1632" t="str">
        <f>_xlfn.XLOOKUP(A1632,Fact_Events!$D$2:$D$20,Fact_Events!$A$2:$A$20, "")</f>
        <v/>
      </c>
      <c r="I1632">
        <f t="shared" si="205"/>
        <v>0</v>
      </c>
      <c r="J1632" t="str">
        <f>_xlfn.XLOOKUP(H1632, Fact_Events!$A$2:$A$20, Fact_Events!$F$2:$F$20, "")</f>
        <v/>
      </c>
      <c r="K1632" t="str">
        <f t="shared" si="206"/>
        <v>Low</v>
      </c>
      <c r="L1632">
        <f t="shared" si="207"/>
        <v>0.55000000000000004</v>
      </c>
      <c r="M1632">
        <f>_xlfn.XLOOKUP(B1632, Dim_Hotel!$A$2:$A$11, Dim_Hotel!$I$2:$I$11)
 + (IF(J1632="",0,J1632)
    * _xlfn.XLOOKUP(B1632, Dim_Hotel!$A$2:$A$11, Dim_Hotel!$J$2:$J$11))</f>
        <v>260</v>
      </c>
    </row>
    <row r="1633" spans="1:13" x14ac:dyDescent="0.25">
      <c r="A1633" s="1">
        <f t="shared" si="200"/>
        <v>46186</v>
      </c>
      <c r="B1633" t="str" cm="1">
        <f t="array" ref="B1633">INDEX(HotelList,MOD(ROW()-2,10)+1)</f>
        <v>H002</v>
      </c>
      <c r="C1633">
        <f>_xlfn.XLOOKUP(B1633,Dim_Hotel!$A$2:$A$11,Dim_Hotel!$F$2:$F$11)</f>
        <v>147</v>
      </c>
      <c r="D1633">
        <f t="shared" si="201"/>
        <v>81</v>
      </c>
      <c r="E1633">
        <f t="shared" si="202"/>
        <v>0.55102040816326525</v>
      </c>
      <c r="F1633">
        <f t="shared" si="203"/>
        <v>175</v>
      </c>
      <c r="G1633">
        <f t="shared" si="204"/>
        <v>96.428571428571416</v>
      </c>
      <c r="H1633" t="str">
        <f>_xlfn.XLOOKUP(A1633,Fact_Events!$D$2:$D$20,Fact_Events!$A$2:$A$20, "")</f>
        <v/>
      </c>
      <c r="I1633">
        <f t="shared" si="205"/>
        <v>0</v>
      </c>
      <c r="J1633" t="str">
        <f>_xlfn.XLOOKUP(H1633, Fact_Events!$A$2:$A$20, Fact_Events!$F$2:$F$20, "")</f>
        <v/>
      </c>
      <c r="K1633" t="str">
        <f t="shared" si="206"/>
        <v>Low</v>
      </c>
      <c r="L1633">
        <f t="shared" si="207"/>
        <v>0.55000000000000004</v>
      </c>
      <c r="M1633">
        <f>_xlfn.XLOOKUP(B1633, Dim_Hotel!$A$2:$A$11, Dim_Hotel!$I$2:$I$11)
 + (IF(J1633="",0,J1633)
    * _xlfn.XLOOKUP(B1633, Dim_Hotel!$A$2:$A$11, Dim_Hotel!$J$2:$J$11))</f>
        <v>175</v>
      </c>
    </row>
    <row r="1634" spans="1:13" x14ac:dyDescent="0.25">
      <c r="A1634" s="1">
        <f t="shared" si="200"/>
        <v>46186</v>
      </c>
      <c r="B1634" t="str" cm="1">
        <f t="array" ref="B1634">INDEX(HotelList,MOD(ROW()-2,10)+1)</f>
        <v>H003</v>
      </c>
      <c r="C1634">
        <f>_xlfn.XLOOKUP(B1634,Dim_Hotel!$A$2:$A$11,Dim_Hotel!$F$2:$F$11)</f>
        <v>121</v>
      </c>
      <c r="D1634">
        <f t="shared" si="201"/>
        <v>67</v>
      </c>
      <c r="E1634">
        <f t="shared" si="202"/>
        <v>0.55371900826446285</v>
      </c>
      <c r="F1634">
        <f t="shared" si="203"/>
        <v>145</v>
      </c>
      <c r="G1634">
        <f t="shared" si="204"/>
        <v>80.289256198347118</v>
      </c>
      <c r="H1634" t="str">
        <f>_xlfn.XLOOKUP(A1634,Fact_Events!$D$2:$D$20,Fact_Events!$A$2:$A$20, "")</f>
        <v/>
      </c>
      <c r="I1634">
        <f t="shared" si="205"/>
        <v>0</v>
      </c>
      <c r="J1634" t="str">
        <f>_xlfn.XLOOKUP(H1634, Fact_Events!$A$2:$A$20, Fact_Events!$F$2:$F$20, "")</f>
        <v/>
      </c>
      <c r="K1634" t="str">
        <f t="shared" si="206"/>
        <v>Low</v>
      </c>
      <c r="L1634">
        <f t="shared" si="207"/>
        <v>0.55000000000000004</v>
      </c>
      <c r="M1634">
        <f>_xlfn.XLOOKUP(B1634, Dim_Hotel!$A$2:$A$11, Dim_Hotel!$I$2:$I$11)
 + (IF(J1634="",0,J1634)
    * _xlfn.XLOOKUP(B1634, Dim_Hotel!$A$2:$A$11, Dim_Hotel!$J$2:$J$11))</f>
        <v>145</v>
      </c>
    </row>
    <row r="1635" spans="1:13" x14ac:dyDescent="0.25">
      <c r="A1635" s="1">
        <f t="shared" si="200"/>
        <v>46186</v>
      </c>
      <c r="B1635" t="str" cm="1">
        <f t="array" ref="B1635">INDEX(HotelList,MOD(ROW()-2,10)+1)</f>
        <v>H004</v>
      </c>
      <c r="C1635">
        <f>_xlfn.XLOOKUP(B1635,Dim_Hotel!$A$2:$A$11,Dim_Hotel!$F$2:$F$11)</f>
        <v>108</v>
      </c>
      <c r="D1635">
        <f t="shared" si="201"/>
        <v>59</v>
      </c>
      <c r="E1635">
        <f t="shared" si="202"/>
        <v>0.54629629629629628</v>
      </c>
      <c r="F1635">
        <f t="shared" si="203"/>
        <v>135</v>
      </c>
      <c r="G1635">
        <f t="shared" si="204"/>
        <v>73.75</v>
      </c>
      <c r="H1635" t="str">
        <f>_xlfn.XLOOKUP(A1635,Fact_Events!$D$2:$D$20,Fact_Events!$A$2:$A$20, "")</f>
        <v/>
      </c>
      <c r="I1635">
        <f t="shared" si="205"/>
        <v>0</v>
      </c>
      <c r="J1635" t="str">
        <f>_xlfn.XLOOKUP(H1635, Fact_Events!$A$2:$A$20, Fact_Events!$F$2:$F$20, "")</f>
        <v/>
      </c>
      <c r="K1635" t="str">
        <f t="shared" si="206"/>
        <v>Low</v>
      </c>
      <c r="L1635">
        <f t="shared" si="207"/>
        <v>0.55000000000000004</v>
      </c>
      <c r="M1635">
        <f>_xlfn.XLOOKUP(B1635, Dim_Hotel!$A$2:$A$11, Dim_Hotel!$I$2:$I$11)
 + (IF(J1635="",0,J1635)
    * _xlfn.XLOOKUP(B1635, Dim_Hotel!$A$2:$A$11, Dim_Hotel!$J$2:$J$11))</f>
        <v>135</v>
      </c>
    </row>
    <row r="1636" spans="1:13" x14ac:dyDescent="0.25">
      <c r="A1636" s="1">
        <f t="shared" si="200"/>
        <v>46186</v>
      </c>
      <c r="B1636" t="str" cm="1">
        <f t="array" ref="B1636">INDEX(HotelList,MOD(ROW()-2,10)+1)</f>
        <v>H005</v>
      </c>
      <c r="C1636">
        <f>_xlfn.XLOOKUP(B1636,Dim_Hotel!$A$2:$A$11,Dim_Hotel!$F$2:$F$11)</f>
        <v>66</v>
      </c>
      <c r="D1636">
        <f t="shared" si="201"/>
        <v>36</v>
      </c>
      <c r="E1636">
        <f t="shared" si="202"/>
        <v>0.54545454545454541</v>
      </c>
      <c r="F1636">
        <f t="shared" si="203"/>
        <v>82</v>
      </c>
      <c r="G1636">
        <f t="shared" si="204"/>
        <v>44.727272727272727</v>
      </c>
      <c r="H1636" t="str">
        <f>_xlfn.XLOOKUP(A1636,Fact_Events!$D$2:$D$20,Fact_Events!$A$2:$A$20, "")</f>
        <v/>
      </c>
      <c r="I1636">
        <f t="shared" si="205"/>
        <v>0</v>
      </c>
      <c r="J1636" t="str">
        <f>_xlfn.XLOOKUP(H1636, Fact_Events!$A$2:$A$20, Fact_Events!$F$2:$F$20, "")</f>
        <v/>
      </c>
      <c r="K1636" t="str">
        <f t="shared" si="206"/>
        <v>Low</v>
      </c>
      <c r="L1636">
        <f t="shared" si="207"/>
        <v>0.55000000000000004</v>
      </c>
      <c r="M1636">
        <f>_xlfn.XLOOKUP(B1636, Dim_Hotel!$A$2:$A$11, Dim_Hotel!$I$2:$I$11)
 + (IF(J1636="",0,J1636)
    * _xlfn.XLOOKUP(B1636, Dim_Hotel!$A$2:$A$11, Dim_Hotel!$J$2:$J$11))</f>
        <v>82</v>
      </c>
    </row>
    <row r="1637" spans="1:13" x14ac:dyDescent="0.25">
      <c r="A1637" s="1">
        <f t="shared" si="200"/>
        <v>46186</v>
      </c>
      <c r="B1637" t="str" cm="1">
        <f t="array" ref="B1637">INDEX(HotelList,MOD(ROW()-2,10)+1)</f>
        <v>H006</v>
      </c>
      <c r="C1637">
        <f>_xlfn.XLOOKUP(B1637,Dim_Hotel!$A$2:$A$11,Dim_Hotel!$F$2:$F$11)</f>
        <v>311</v>
      </c>
      <c r="D1637">
        <f t="shared" si="201"/>
        <v>171</v>
      </c>
      <c r="E1637">
        <f t="shared" si="202"/>
        <v>0.54983922829581988</v>
      </c>
      <c r="F1637">
        <f t="shared" si="203"/>
        <v>190</v>
      </c>
      <c r="G1637">
        <f t="shared" si="204"/>
        <v>104.46945337620578</v>
      </c>
      <c r="H1637" t="str">
        <f>_xlfn.XLOOKUP(A1637,Fact_Events!$D$2:$D$20,Fact_Events!$A$2:$A$20, "")</f>
        <v/>
      </c>
      <c r="I1637">
        <f t="shared" si="205"/>
        <v>0</v>
      </c>
      <c r="J1637" t="str">
        <f>_xlfn.XLOOKUP(H1637, Fact_Events!$A$2:$A$20, Fact_Events!$F$2:$F$20, "")</f>
        <v/>
      </c>
      <c r="K1637" t="str">
        <f t="shared" si="206"/>
        <v>Low</v>
      </c>
      <c r="L1637">
        <f t="shared" si="207"/>
        <v>0.55000000000000004</v>
      </c>
      <c r="M1637">
        <f>_xlfn.XLOOKUP(B1637, Dim_Hotel!$A$2:$A$11, Dim_Hotel!$I$2:$I$11)
 + (IF(J1637="",0,J1637)
    * _xlfn.XLOOKUP(B1637, Dim_Hotel!$A$2:$A$11, Dim_Hotel!$J$2:$J$11))</f>
        <v>190</v>
      </c>
    </row>
    <row r="1638" spans="1:13" x14ac:dyDescent="0.25">
      <c r="A1638" s="1">
        <f t="shared" si="200"/>
        <v>46186</v>
      </c>
      <c r="B1638" t="str" cm="1">
        <f t="array" ref="B1638">INDEX(HotelList,MOD(ROW()-2,10)+1)</f>
        <v>H007</v>
      </c>
      <c r="C1638">
        <f>_xlfn.XLOOKUP(B1638,Dim_Hotel!$A$2:$A$11,Dim_Hotel!$F$2:$F$11)</f>
        <v>132</v>
      </c>
      <c r="D1638">
        <f t="shared" si="201"/>
        <v>73</v>
      </c>
      <c r="E1638">
        <f t="shared" si="202"/>
        <v>0.55303030303030298</v>
      </c>
      <c r="F1638">
        <f t="shared" si="203"/>
        <v>165</v>
      </c>
      <c r="G1638">
        <f t="shared" si="204"/>
        <v>91.249999999999986</v>
      </c>
      <c r="H1638" t="str">
        <f>_xlfn.XLOOKUP(A1638,Fact_Events!$D$2:$D$20,Fact_Events!$A$2:$A$20, "")</f>
        <v/>
      </c>
      <c r="I1638">
        <f t="shared" si="205"/>
        <v>0</v>
      </c>
      <c r="J1638" t="str">
        <f>_xlfn.XLOOKUP(H1638, Fact_Events!$A$2:$A$20, Fact_Events!$F$2:$F$20, "")</f>
        <v/>
      </c>
      <c r="K1638" t="str">
        <f t="shared" si="206"/>
        <v>Low</v>
      </c>
      <c r="L1638">
        <f t="shared" si="207"/>
        <v>0.55000000000000004</v>
      </c>
      <c r="M1638">
        <f>_xlfn.XLOOKUP(B1638, Dim_Hotel!$A$2:$A$11, Dim_Hotel!$I$2:$I$11)
 + (IF(J1638="",0,J1638)
    * _xlfn.XLOOKUP(B1638, Dim_Hotel!$A$2:$A$11, Dim_Hotel!$J$2:$J$11))</f>
        <v>165</v>
      </c>
    </row>
    <row r="1639" spans="1:13" x14ac:dyDescent="0.25">
      <c r="A1639" s="1">
        <f t="shared" si="200"/>
        <v>46186</v>
      </c>
      <c r="B1639" t="str" cm="1">
        <f t="array" ref="B1639">INDEX(HotelList,MOD(ROW()-2,10)+1)</f>
        <v>H008</v>
      </c>
      <c r="C1639">
        <f>_xlfn.XLOOKUP(B1639,Dim_Hotel!$A$2:$A$11,Dim_Hotel!$F$2:$F$11)</f>
        <v>103</v>
      </c>
      <c r="D1639">
        <f t="shared" si="201"/>
        <v>57</v>
      </c>
      <c r="E1639">
        <f t="shared" si="202"/>
        <v>0.55339805825242716</v>
      </c>
      <c r="F1639">
        <f t="shared" si="203"/>
        <v>140</v>
      </c>
      <c r="G1639">
        <f t="shared" si="204"/>
        <v>77.475728155339809</v>
      </c>
      <c r="H1639" t="str">
        <f>_xlfn.XLOOKUP(A1639,Fact_Events!$D$2:$D$20,Fact_Events!$A$2:$A$20, "")</f>
        <v/>
      </c>
      <c r="I1639">
        <f t="shared" si="205"/>
        <v>0</v>
      </c>
      <c r="J1639" t="str">
        <f>_xlfn.XLOOKUP(H1639, Fact_Events!$A$2:$A$20, Fact_Events!$F$2:$F$20, "")</f>
        <v/>
      </c>
      <c r="K1639" t="str">
        <f t="shared" si="206"/>
        <v>Low</v>
      </c>
      <c r="L1639">
        <f t="shared" si="207"/>
        <v>0.55000000000000004</v>
      </c>
      <c r="M1639">
        <f>_xlfn.XLOOKUP(B1639, Dim_Hotel!$A$2:$A$11, Dim_Hotel!$I$2:$I$11)
 + (IF(J1639="",0,J1639)
    * _xlfn.XLOOKUP(B1639, Dim_Hotel!$A$2:$A$11, Dim_Hotel!$J$2:$J$11))</f>
        <v>140</v>
      </c>
    </row>
    <row r="1640" spans="1:13" x14ac:dyDescent="0.25">
      <c r="A1640" s="1">
        <f t="shared" si="200"/>
        <v>46186</v>
      </c>
      <c r="B1640" t="str" cm="1">
        <f t="array" ref="B1640">INDEX(HotelList,MOD(ROW()-2,10)+1)</f>
        <v>H009</v>
      </c>
      <c r="C1640">
        <f>_xlfn.XLOOKUP(B1640,Dim_Hotel!$A$2:$A$11,Dim_Hotel!$F$2:$F$11)</f>
        <v>114</v>
      </c>
      <c r="D1640">
        <f t="shared" si="201"/>
        <v>63</v>
      </c>
      <c r="E1640">
        <f t="shared" si="202"/>
        <v>0.55263157894736847</v>
      </c>
      <c r="F1640">
        <f t="shared" si="203"/>
        <v>185</v>
      </c>
      <c r="G1640">
        <f t="shared" si="204"/>
        <v>102.23684210526316</v>
      </c>
      <c r="H1640" t="str">
        <f>_xlfn.XLOOKUP(A1640,Fact_Events!$D$2:$D$20,Fact_Events!$A$2:$A$20, "")</f>
        <v/>
      </c>
      <c r="I1640">
        <f t="shared" si="205"/>
        <v>0</v>
      </c>
      <c r="J1640" t="str">
        <f>_xlfn.XLOOKUP(H1640, Fact_Events!$A$2:$A$20, Fact_Events!$F$2:$F$20, "")</f>
        <v/>
      </c>
      <c r="K1640" t="str">
        <f t="shared" si="206"/>
        <v>Low</v>
      </c>
      <c r="L1640">
        <f t="shared" si="207"/>
        <v>0.55000000000000004</v>
      </c>
      <c r="M1640">
        <f>_xlfn.XLOOKUP(B1640, Dim_Hotel!$A$2:$A$11, Dim_Hotel!$I$2:$I$11)
 + (IF(J1640="",0,J1640)
    * _xlfn.XLOOKUP(B1640, Dim_Hotel!$A$2:$A$11, Dim_Hotel!$J$2:$J$11))</f>
        <v>185</v>
      </c>
    </row>
    <row r="1641" spans="1:13" x14ac:dyDescent="0.25">
      <c r="A1641" s="1">
        <f t="shared" si="200"/>
        <v>46186</v>
      </c>
      <c r="B1641" t="str" cm="1">
        <f t="array" ref="B1641">INDEX(HotelList,MOD(ROW()-2,10)+1)</f>
        <v>H010</v>
      </c>
      <c r="C1641">
        <f>_xlfn.XLOOKUP(B1641,Dim_Hotel!$A$2:$A$11,Dim_Hotel!$F$2:$F$11)</f>
        <v>89</v>
      </c>
      <c r="D1641">
        <f t="shared" si="201"/>
        <v>49</v>
      </c>
      <c r="E1641">
        <f t="shared" si="202"/>
        <v>0.550561797752809</v>
      </c>
      <c r="F1641">
        <f t="shared" si="203"/>
        <v>150</v>
      </c>
      <c r="G1641">
        <f t="shared" si="204"/>
        <v>82.584269662921344</v>
      </c>
      <c r="H1641" t="str">
        <f>_xlfn.XLOOKUP(A1641,Fact_Events!$D$2:$D$20,Fact_Events!$A$2:$A$20, "")</f>
        <v/>
      </c>
      <c r="I1641">
        <f t="shared" si="205"/>
        <v>0</v>
      </c>
      <c r="J1641" t="str">
        <f>_xlfn.XLOOKUP(H1641, Fact_Events!$A$2:$A$20, Fact_Events!$F$2:$F$20, "")</f>
        <v/>
      </c>
      <c r="K1641" t="str">
        <f t="shared" si="206"/>
        <v>Low</v>
      </c>
      <c r="L1641">
        <f t="shared" si="207"/>
        <v>0.55000000000000004</v>
      </c>
      <c r="M1641">
        <f>_xlfn.XLOOKUP(B1641, Dim_Hotel!$A$2:$A$11, Dim_Hotel!$I$2:$I$11)
 + (IF(J1641="",0,J1641)
    * _xlfn.XLOOKUP(B1641, Dim_Hotel!$A$2:$A$11, Dim_Hotel!$J$2:$J$11))</f>
        <v>150</v>
      </c>
    </row>
    <row r="1642" spans="1:13" x14ac:dyDescent="0.25">
      <c r="A1642" s="1">
        <f t="shared" si="200"/>
        <v>46187</v>
      </c>
      <c r="B1642" t="str" cm="1">
        <f t="array" ref="B1642">INDEX(HotelList,MOD(ROW()-2,10)+1)</f>
        <v>H001</v>
      </c>
      <c r="C1642">
        <f>_xlfn.XLOOKUP(B1642,Dim_Hotel!$A$2:$A$11,Dim_Hotel!$F$2:$F$11)</f>
        <v>888</v>
      </c>
      <c r="D1642">
        <f t="shared" si="201"/>
        <v>799</v>
      </c>
      <c r="E1642">
        <f t="shared" si="202"/>
        <v>0.89977477477477474</v>
      </c>
      <c r="F1642">
        <f t="shared" si="203"/>
        <v>440</v>
      </c>
      <c r="G1642">
        <f t="shared" si="204"/>
        <v>395.90090090090087</v>
      </c>
      <c r="H1642" t="str">
        <f>_xlfn.XLOOKUP(A1642,Fact_Events!$D$2:$D$20,Fact_Events!$A$2:$A$20, "")</f>
        <v>E009</v>
      </c>
      <c r="I1642">
        <f t="shared" si="205"/>
        <v>1</v>
      </c>
      <c r="J1642">
        <f>_xlfn.XLOOKUP(H1642, Fact_Events!$A$2:$A$20, Fact_Events!$F$2:$F$20, "")</f>
        <v>10</v>
      </c>
      <c r="K1642" t="str">
        <f t="shared" si="206"/>
        <v>High</v>
      </c>
      <c r="L1642">
        <f t="shared" si="207"/>
        <v>0.9</v>
      </c>
      <c r="M1642">
        <f>_xlfn.XLOOKUP(B1642, Dim_Hotel!$A$2:$A$11, Dim_Hotel!$I$2:$I$11)
 + (IF(J1642="",0,J1642)
    * _xlfn.XLOOKUP(B1642, Dim_Hotel!$A$2:$A$11, Dim_Hotel!$J$2:$J$11))</f>
        <v>440</v>
      </c>
    </row>
    <row r="1643" spans="1:13" x14ac:dyDescent="0.25">
      <c r="A1643" s="1">
        <f t="shared" si="200"/>
        <v>46187</v>
      </c>
      <c r="B1643" t="str" cm="1">
        <f t="array" ref="B1643">INDEX(HotelList,MOD(ROW()-2,10)+1)</f>
        <v>H002</v>
      </c>
      <c r="C1643">
        <f>_xlfn.XLOOKUP(B1643,Dim_Hotel!$A$2:$A$11,Dim_Hotel!$F$2:$F$11)</f>
        <v>147</v>
      </c>
      <c r="D1643">
        <f t="shared" si="201"/>
        <v>132</v>
      </c>
      <c r="E1643">
        <f t="shared" si="202"/>
        <v>0.89795918367346939</v>
      </c>
      <c r="F1643">
        <f t="shared" si="203"/>
        <v>315</v>
      </c>
      <c r="G1643">
        <f t="shared" si="204"/>
        <v>282.85714285714283</v>
      </c>
      <c r="H1643" t="str">
        <f>_xlfn.XLOOKUP(A1643,Fact_Events!$D$2:$D$20,Fact_Events!$A$2:$A$20, "")</f>
        <v>E009</v>
      </c>
      <c r="I1643">
        <f t="shared" si="205"/>
        <v>1</v>
      </c>
      <c r="J1643">
        <f>_xlfn.XLOOKUP(H1643, Fact_Events!$A$2:$A$20, Fact_Events!$F$2:$F$20, "")</f>
        <v>10</v>
      </c>
      <c r="K1643" t="str">
        <f t="shared" si="206"/>
        <v>High</v>
      </c>
      <c r="L1643">
        <f t="shared" si="207"/>
        <v>0.9</v>
      </c>
      <c r="M1643">
        <f>_xlfn.XLOOKUP(B1643, Dim_Hotel!$A$2:$A$11, Dim_Hotel!$I$2:$I$11)
 + (IF(J1643="",0,J1643)
    * _xlfn.XLOOKUP(B1643, Dim_Hotel!$A$2:$A$11, Dim_Hotel!$J$2:$J$11))</f>
        <v>315</v>
      </c>
    </row>
    <row r="1644" spans="1:13" x14ac:dyDescent="0.25">
      <c r="A1644" s="1">
        <f t="shared" si="200"/>
        <v>46187</v>
      </c>
      <c r="B1644" t="str" cm="1">
        <f t="array" ref="B1644">INDEX(HotelList,MOD(ROW()-2,10)+1)</f>
        <v>H003</v>
      </c>
      <c r="C1644">
        <f>_xlfn.XLOOKUP(B1644,Dim_Hotel!$A$2:$A$11,Dim_Hotel!$F$2:$F$11)</f>
        <v>121</v>
      </c>
      <c r="D1644">
        <f t="shared" si="201"/>
        <v>109</v>
      </c>
      <c r="E1644">
        <f t="shared" si="202"/>
        <v>0.90082644628099173</v>
      </c>
      <c r="F1644">
        <f t="shared" si="203"/>
        <v>265</v>
      </c>
      <c r="G1644">
        <f t="shared" si="204"/>
        <v>238.71900826446281</v>
      </c>
      <c r="H1644" t="str">
        <f>_xlfn.XLOOKUP(A1644,Fact_Events!$D$2:$D$20,Fact_Events!$A$2:$A$20, "")</f>
        <v>E009</v>
      </c>
      <c r="I1644">
        <f t="shared" si="205"/>
        <v>1</v>
      </c>
      <c r="J1644">
        <f>_xlfn.XLOOKUP(H1644, Fact_Events!$A$2:$A$20, Fact_Events!$F$2:$F$20, "")</f>
        <v>10</v>
      </c>
      <c r="K1644" t="str">
        <f t="shared" si="206"/>
        <v>High</v>
      </c>
      <c r="L1644">
        <f t="shared" si="207"/>
        <v>0.9</v>
      </c>
      <c r="M1644">
        <f>_xlfn.XLOOKUP(B1644, Dim_Hotel!$A$2:$A$11, Dim_Hotel!$I$2:$I$11)
 + (IF(J1644="",0,J1644)
    * _xlfn.XLOOKUP(B1644, Dim_Hotel!$A$2:$A$11, Dim_Hotel!$J$2:$J$11))</f>
        <v>265</v>
      </c>
    </row>
    <row r="1645" spans="1:13" x14ac:dyDescent="0.25">
      <c r="A1645" s="1">
        <f t="shared" si="200"/>
        <v>46187</v>
      </c>
      <c r="B1645" t="str" cm="1">
        <f t="array" ref="B1645">INDEX(HotelList,MOD(ROW()-2,10)+1)</f>
        <v>H004</v>
      </c>
      <c r="C1645">
        <f>_xlfn.XLOOKUP(B1645,Dim_Hotel!$A$2:$A$11,Dim_Hotel!$F$2:$F$11)</f>
        <v>108</v>
      </c>
      <c r="D1645">
        <f t="shared" si="201"/>
        <v>97</v>
      </c>
      <c r="E1645">
        <f t="shared" si="202"/>
        <v>0.89814814814814814</v>
      </c>
      <c r="F1645">
        <f t="shared" si="203"/>
        <v>255</v>
      </c>
      <c r="G1645">
        <f t="shared" si="204"/>
        <v>229.02777777777777</v>
      </c>
      <c r="H1645" t="str">
        <f>_xlfn.XLOOKUP(A1645,Fact_Events!$D$2:$D$20,Fact_Events!$A$2:$A$20, "")</f>
        <v>E009</v>
      </c>
      <c r="I1645">
        <f t="shared" si="205"/>
        <v>1</v>
      </c>
      <c r="J1645">
        <f>_xlfn.XLOOKUP(H1645, Fact_Events!$A$2:$A$20, Fact_Events!$F$2:$F$20, "")</f>
        <v>10</v>
      </c>
      <c r="K1645" t="str">
        <f t="shared" si="206"/>
        <v>High</v>
      </c>
      <c r="L1645">
        <f t="shared" si="207"/>
        <v>0.9</v>
      </c>
      <c r="M1645">
        <f>_xlfn.XLOOKUP(B1645, Dim_Hotel!$A$2:$A$11, Dim_Hotel!$I$2:$I$11)
 + (IF(J1645="",0,J1645)
    * _xlfn.XLOOKUP(B1645, Dim_Hotel!$A$2:$A$11, Dim_Hotel!$J$2:$J$11))</f>
        <v>255</v>
      </c>
    </row>
    <row r="1646" spans="1:13" x14ac:dyDescent="0.25">
      <c r="A1646" s="1">
        <f t="shared" si="200"/>
        <v>46187</v>
      </c>
      <c r="B1646" t="str" cm="1">
        <f t="array" ref="B1646">INDEX(HotelList,MOD(ROW()-2,10)+1)</f>
        <v>H005</v>
      </c>
      <c r="C1646">
        <f>_xlfn.XLOOKUP(B1646,Dim_Hotel!$A$2:$A$11,Dim_Hotel!$F$2:$F$11)</f>
        <v>66</v>
      </c>
      <c r="D1646">
        <f t="shared" si="201"/>
        <v>59</v>
      </c>
      <c r="E1646">
        <f t="shared" si="202"/>
        <v>0.89393939393939392</v>
      </c>
      <c r="F1646">
        <f t="shared" si="203"/>
        <v>162</v>
      </c>
      <c r="G1646">
        <f t="shared" si="204"/>
        <v>144.81818181818181</v>
      </c>
      <c r="H1646" t="str">
        <f>_xlfn.XLOOKUP(A1646,Fact_Events!$D$2:$D$20,Fact_Events!$A$2:$A$20, "")</f>
        <v>E009</v>
      </c>
      <c r="I1646">
        <f t="shared" si="205"/>
        <v>1</v>
      </c>
      <c r="J1646">
        <f>_xlfn.XLOOKUP(H1646, Fact_Events!$A$2:$A$20, Fact_Events!$F$2:$F$20, "")</f>
        <v>10</v>
      </c>
      <c r="K1646" t="str">
        <f t="shared" si="206"/>
        <v>High</v>
      </c>
      <c r="L1646">
        <f t="shared" si="207"/>
        <v>0.9</v>
      </c>
      <c r="M1646">
        <f>_xlfn.XLOOKUP(B1646, Dim_Hotel!$A$2:$A$11, Dim_Hotel!$I$2:$I$11)
 + (IF(J1646="",0,J1646)
    * _xlfn.XLOOKUP(B1646, Dim_Hotel!$A$2:$A$11, Dim_Hotel!$J$2:$J$11))</f>
        <v>162</v>
      </c>
    </row>
    <row r="1647" spans="1:13" x14ac:dyDescent="0.25">
      <c r="A1647" s="1">
        <f t="shared" si="200"/>
        <v>46187</v>
      </c>
      <c r="B1647" t="str" cm="1">
        <f t="array" ref="B1647">INDEX(HotelList,MOD(ROW()-2,10)+1)</f>
        <v>H006</v>
      </c>
      <c r="C1647">
        <f>_xlfn.XLOOKUP(B1647,Dim_Hotel!$A$2:$A$11,Dim_Hotel!$F$2:$F$11)</f>
        <v>311</v>
      </c>
      <c r="D1647">
        <f t="shared" si="201"/>
        <v>280</v>
      </c>
      <c r="E1647">
        <f t="shared" si="202"/>
        <v>0.90032154340836013</v>
      </c>
      <c r="F1647">
        <f t="shared" si="203"/>
        <v>340</v>
      </c>
      <c r="G1647">
        <f t="shared" si="204"/>
        <v>306.10932475884243</v>
      </c>
      <c r="H1647" t="str">
        <f>_xlfn.XLOOKUP(A1647,Fact_Events!$D$2:$D$20,Fact_Events!$A$2:$A$20, "")</f>
        <v>E009</v>
      </c>
      <c r="I1647">
        <f t="shared" si="205"/>
        <v>1</v>
      </c>
      <c r="J1647">
        <f>_xlfn.XLOOKUP(H1647, Fact_Events!$A$2:$A$20, Fact_Events!$F$2:$F$20, "")</f>
        <v>10</v>
      </c>
      <c r="K1647" t="str">
        <f t="shared" si="206"/>
        <v>High</v>
      </c>
      <c r="L1647">
        <f t="shared" si="207"/>
        <v>0.9</v>
      </c>
      <c r="M1647">
        <f>_xlfn.XLOOKUP(B1647, Dim_Hotel!$A$2:$A$11, Dim_Hotel!$I$2:$I$11)
 + (IF(J1647="",0,J1647)
    * _xlfn.XLOOKUP(B1647, Dim_Hotel!$A$2:$A$11, Dim_Hotel!$J$2:$J$11))</f>
        <v>340</v>
      </c>
    </row>
    <row r="1648" spans="1:13" x14ac:dyDescent="0.25">
      <c r="A1648" s="1">
        <f t="shared" si="200"/>
        <v>46187</v>
      </c>
      <c r="B1648" t="str" cm="1">
        <f t="array" ref="B1648">INDEX(HotelList,MOD(ROW()-2,10)+1)</f>
        <v>H007</v>
      </c>
      <c r="C1648">
        <f>_xlfn.XLOOKUP(B1648,Dim_Hotel!$A$2:$A$11,Dim_Hotel!$F$2:$F$11)</f>
        <v>132</v>
      </c>
      <c r="D1648">
        <f t="shared" si="201"/>
        <v>119</v>
      </c>
      <c r="E1648">
        <f t="shared" si="202"/>
        <v>0.90151515151515149</v>
      </c>
      <c r="F1648">
        <f t="shared" si="203"/>
        <v>295</v>
      </c>
      <c r="G1648">
        <f t="shared" si="204"/>
        <v>265.94696969696969</v>
      </c>
      <c r="H1648" t="str">
        <f>_xlfn.XLOOKUP(A1648,Fact_Events!$D$2:$D$20,Fact_Events!$A$2:$A$20, "")</f>
        <v>E009</v>
      </c>
      <c r="I1648">
        <f t="shared" si="205"/>
        <v>1</v>
      </c>
      <c r="J1648">
        <f>_xlfn.XLOOKUP(H1648, Fact_Events!$A$2:$A$20, Fact_Events!$F$2:$F$20, "")</f>
        <v>10</v>
      </c>
      <c r="K1648" t="str">
        <f t="shared" si="206"/>
        <v>High</v>
      </c>
      <c r="L1648">
        <f t="shared" si="207"/>
        <v>0.9</v>
      </c>
      <c r="M1648">
        <f>_xlfn.XLOOKUP(B1648, Dim_Hotel!$A$2:$A$11, Dim_Hotel!$I$2:$I$11)
 + (IF(J1648="",0,J1648)
    * _xlfn.XLOOKUP(B1648, Dim_Hotel!$A$2:$A$11, Dim_Hotel!$J$2:$J$11))</f>
        <v>295</v>
      </c>
    </row>
    <row r="1649" spans="1:13" x14ac:dyDescent="0.25">
      <c r="A1649" s="1">
        <f t="shared" si="200"/>
        <v>46187</v>
      </c>
      <c r="B1649" t="str" cm="1">
        <f t="array" ref="B1649">INDEX(HotelList,MOD(ROW()-2,10)+1)</f>
        <v>H008</v>
      </c>
      <c r="C1649">
        <f>_xlfn.XLOOKUP(B1649,Dim_Hotel!$A$2:$A$11,Dim_Hotel!$F$2:$F$11)</f>
        <v>103</v>
      </c>
      <c r="D1649">
        <f t="shared" si="201"/>
        <v>93</v>
      </c>
      <c r="E1649">
        <f t="shared" si="202"/>
        <v>0.90291262135922334</v>
      </c>
      <c r="F1649">
        <f t="shared" si="203"/>
        <v>260</v>
      </c>
      <c r="G1649">
        <f t="shared" si="204"/>
        <v>234.75728155339806</v>
      </c>
      <c r="H1649" t="str">
        <f>_xlfn.XLOOKUP(A1649,Fact_Events!$D$2:$D$20,Fact_Events!$A$2:$A$20, "")</f>
        <v>E009</v>
      </c>
      <c r="I1649">
        <f t="shared" si="205"/>
        <v>1</v>
      </c>
      <c r="J1649">
        <f>_xlfn.XLOOKUP(H1649, Fact_Events!$A$2:$A$20, Fact_Events!$F$2:$F$20, "")</f>
        <v>10</v>
      </c>
      <c r="K1649" t="str">
        <f t="shared" si="206"/>
        <v>High</v>
      </c>
      <c r="L1649">
        <f t="shared" si="207"/>
        <v>0.9</v>
      </c>
      <c r="M1649">
        <f>_xlfn.XLOOKUP(B1649, Dim_Hotel!$A$2:$A$11, Dim_Hotel!$I$2:$I$11)
 + (IF(J1649="",0,J1649)
    * _xlfn.XLOOKUP(B1649, Dim_Hotel!$A$2:$A$11, Dim_Hotel!$J$2:$J$11))</f>
        <v>260</v>
      </c>
    </row>
    <row r="1650" spans="1:13" x14ac:dyDescent="0.25">
      <c r="A1650" s="1">
        <f t="shared" si="200"/>
        <v>46187</v>
      </c>
      <c r="B1650" t="str" cm="1">
        <f t="array" ref="B1650">INDEX(HotelList,MOD(ROW()-2,10)+1)</f>
        <v>H009</v>
      </c>
      <c r="C1650">
        <f>_xlfn.XLOOKUP(B1650,Dim_Hotel!$A$2:$A$11,Dim_Hotel!$F$2:$F$11)</f>
        <v>114</v>
      </c>
      <c r="D1650">
        <f t="shared" si="201"/>
        <v>103</v>
      </c>
      <c r="E1650">
        <f t="shared" si="202"/>
        <v>0.90350877192982459</v>
      </c>
      <c r="F1650">
        <f t="shared" si="203"/>
        <v>285</v>
      </c>
      <c r="G1650">
        <f t="shared" si="204"/>
        <v>257.5</v>
      </c>
      <c r="H1650" t="str">
        <f>_xlfn.XLOOKUP(A1650,Fact_Events!$D$2:$D$20,Fact_Events!$A$2:$A$20, "")</f>
        <v>E009</v>
      </c>
      <c r="I1650">
        <f t="shared" si="205"/>
        <v>1</v>
      </c>
      <c r="J1650">
        <f>_xlfn.XLOOKUP(H1650, Fact_Events!$A$2:$A$20, Fact_Events!$F$2:$F$20, "")</f>
        <v>10</v>
      </c>
      <c r="K1650" t="str">
        <f t="shared" si="206"/>
        <v>High</v>
      </c>
      <c r="L1650">
        <f t="shared" si="207"/>
        <v>0.9</v>
      </c>
      <c r="M1650">
        <f>_xlfn.XLOOKUP(B1650, Dim_Hotel!$A$2:$A$11, Dim_Hotel!$I$2:$I$11)
 + (IF(J1650="",0,J1650)
    * _xlfn.XLOOKUP(B1650, Dim_Hotel!$A$2:$A$11, Dim_Hotel!$J$2:$J$11))</f>
        <v>285</v>
      </c>
    </row>
    <row r="1651" spans="1:13" x14ac:dyDescent="0.25">
      <c r="A1651" s="1">
        <f t="shared" si="200"/>
        <v>46187</v>
      </c>
      <c r="B1651" t="str" cm="1">
        <f t="array" ref="B1651">INDEX(HotelList,MOD(ROW()-2,10)+1)</f>
        <v>H010</v>
      </c>
      <c r="C1651">
        <f>_xlfn.XLOOKUP(B1651,Dim_Hotel!$A$2:$A$11,Dim_Hotel!$F$2:$F$11)</f>
        <v>89</v>
      </c>
      <c r="D1651">
        <f t="shared" si="201"/>
        <v>80</v>
      </c>
      <c r="E1651">
        <f t="shared" si="202"/>
        <v>0.898876404494382</v>
      </c>
      <c r="F1651">
        <f t="shared" si="203"/>
        <v>250</v>
      </c>
      <c r="G1651">
        <f t="shared" si="204"/>
        <v>224.71910112359549</v>
      </c>
      <c r="H1651" t="str">
        <f>_xlfn.XLOOKUP(A1651,Fact_Events!$D$2:$D$20,Fact_Events!$A$2:$A$20, "")</f>
        <v>E009</v>
      </c>
      <c r="I1651">
        <f t="shared" si="205"/>
        <v>1</v>
      </c>
      <c r="J1651">
        <f>_xlfn.XLOOKUP(H1651, Fact_Events!$A$2:$A$20, Fact_Events!$F$2:$F$20, "")</f>
        <v>10</v>
      </c>
      <c r="K1651" t="str">
        <f t="shared" si="206"/>
        <v>High</v>
      </c>
      <c r="L1651">
        <f t="shared" si="207"/>
        <v>0.9</v>
      </c>
      <c r="M1651">
        <f>_xlfn.XLOOKUP(B1651, Dim_Hotel!$A$2:$A$11, Dim_Hotel!$I$2:$I$11)
 + (IF(J1651="",0,J1651)
    * _xlfn.XLOOKUP(B1651, Dim_Hotel!$A$2:$A$11, Dim_Hotel!$J$2:$J$11))</f>
        <v>250</v>
      </c>
    </row>
    <row r="1652" spans="1:13" x14ac:dyDescent="0.25">
      <c r="A1652" s="1">
        <f t="shared" si="200"/>
        <v>46188</v>
      </c>
      <c r="B1652" t="str" cm="1">
        <f t="array" ref="B1652">INDEX(HotelList,MOD(ROW()-2,10)+1)</f>
        <v>H001</v>
      </c>
      <c r="C1652">
        <f>_xlfn.XLOOKUP(B1652,Dim_Hotel!$A$2:$A$11,Dim_Hotel!$F$2:$F$11)</f>
        <v>888</v>
      </c>
      <c r="D1652">
        <f t="shared" si="201"/>
        <v>488</v>
      </c>
      <c r="E1652">
        <f t="shared" si="202"/>
        <v>0.5495495495495496</v>
      </c>
      <c r="F1652">
        <f t="shared" si="203"/>
        <v>260</v>
      </c>
      <c r="G1652">
        <f t="shared" si="204"/>
        <v>142.88288288288288</v>
      </c>
      <c r="H1652" t="str">
        <f>_xlfn.XLOOKUP(A1652,Fact_Events!$D$2:$D$20,Fact_Events!$A$2:$A$20, "")</f>
        <v/>
      </c>
      <c r="I1652">
        <f t="shared" si="205"/>
        <v>0</v>
      </c>
      <c r="J1652" t="str">
        <f>_xlfn.XLOOKUP(H1652, Fact_Events!$A$2:$A$20, Fact_Events!$F$2:$F$20, "")</f>
        <v/>
      </c>
      <c r="K1652" t="str">
        <f t="shared" si="206"/>
        <v>Low</v>
      </c>
      <c r="L1652">
        <f t="shared" si="207"/>
        <v>0.55000000000000004</v>
      </c>
      <c r="M1652">
        <f>_xlfn.XLOOKUP(B1652, Dim_Hotel!$A$2:$A$11, Dim_Hotel!$I$2:$I$11)
 + (IF(J1652="",0,J1652)
    * _xlfn.XLOOKUP(B1652, Dim_Hotel!$A$2:$A$11, Dim_Hotel!$J$2:$J$11))</f>
        <v>260</v>
      </c>
    </row>
    <row r="1653" spans="1:13" x14ac:dyDescent="0.25">
      <c r="A1653" s="1">
        <f t="shared" si="200"/>
        <v>46188</v>
      </c>
      <c r="B1653" t="str" cm="1">
        <f t="array" ref="B1653">INDEX(HotelList,MOD(ROW()-2,10)+1)</f>
        <v>H002</v>
      </c>
      <c r="C1653">
        <f>_xlfn.XLOOKUP(B1653,Dim_Hotel!$A$2:$A$11,Dim_Hotel!$F$2:$F$11)</f>
        <v>147</v>
      </c>
      <c r="D1653">
        <f t="shared" si="201"/>
        <v>81</v>
      </c>
      <c r="E1653">
        <f t="shared" si="202"/>
        <v>0.55102040816326525</v>
      </c>
      <c r="F1653">
        <f t="shared" si="203"/>
        <v>175</v>
      </c>
      <c r="G1653">
        <f t="shared" si="204"/>
        <v>96.428571428571416</v>
      </c>
      <c r="H1653" t="str">
        <f>_xlfn.XLOOKUP(A1653,Fact_Events!$D$2:$D$20,Fact_Events!$A$2:$A$20, "")</f>
        <v/>
      </c>
      <c r="I1653">
        <f t="shared" si="205"/>
        <v>0</v>
      </c>
      <c r="J1653" t="str">
        <f>_xlfn.XLOOKUP(H1653, Fact_Events!$A$2:$A$20, Fact_Events!$F$2:$F$20, "")</f>
        <v/>
      </c>
      <c r="K1653" t="str">
        <f t="shared" si="206"/>
        <v>Low</v>
      </c>
      <c r="L1653">
        <f t="shared" si="207"/>
        <v>0.55000000000000004</v>
      </c>
      <c r="M1653">
        <f>_xlfn.XLOOKUP(B1653, Dim_Hotel!$A$2:$A$11, Dim_Hotel!$I$2:$I$11)
 + (IF(J1653="",0,J1653)
    * _xlfn.XLOOKUP(B1653, Dim_Hotel!$A$2:$A$11, Dim_Hotel!$J$2:$J$11))</f>
        <v>175</v>
      </c>
    </row>
    <row r="1654" spans="1:13" x14ac:dyDescent="0.25">
      <c r="A1654" s="1">
        <f t="shared" si="200"/>
        <v>46188</v>
      </c>
      <c r="B1654" t="str" cm="1">
        <f t="array" ref="B1654">INDEX(HotelList,MOD(ROW()-2,10)+1)</f>
        <v>H003</v>
      </c>
      <c r="C1654">
        <f>_xlfn.XLOOKUP(B1654,Dim_Hotel!$A$2:$A$11,Dim_Hotel!$F$2:$F$11)</f>
        <v>121</v>
      </c>
      <c r="D1654">
        <f t="shared" si="201"/>
        <v>67</v>
      </c>
      <c r="E1654">
        <f t="shared" si="202"/>
        <v>0.55371900826446285</v>
      </c>
      <c r="F1654">
        <f t="shared" si="203"/>
        <v>145</v>
      </c>
      <c r="G1654">
        <f t="shared" si="204"/>
        <v>80.289256198347118</v>
      </c>
      <c r="H1654" t="str">
        <f>_xlfn.XLOOKUP(A1654,Fact_Events!$D$2:$D$20,Fact_Events!$A$2:$A$20, "")</f>
        <v/>
      </c>
      <c r="I1654">
        <f t="shared" si="205"/>
        <v>0</v>
      </c>
      <c r="J1654" t="str">
        <f>_xlfn.XLOOKUP(H1654, Fact_Events!$A$2:$A$20, Fact_Events!$F$2:$F$20, "")</f>
        <v/>
      </c>
      <c r="K1654" t="str">
        <f t="shared" si="206"/>
        <v>Low</v>
      </c>
      <c r="L1654">
        <f t="shared" si="207"/>
        <v>0.55000000000000004</v>
      </c>
      <c r="M1654">
        <f>_xlfn.XLOOKUP(B1654, Dim_Hotel!$A$2:$A$11, Dim_Hotel!$I$2:$I$11)
 + (IF(J1654="",0,J1654)
    * _xlfn.XLOOKUP(B1654, Dim_Hotel!$A$2:$A$11, Dim_Hotel!$J$2:$J$11))</f>
        <v>145</v>
      </c>
    </row>
    <row r="1655" spans="1:13" x14ac:dyDescent="0.25">
      <c r="A1655" s="1">
        <f t="shared" si="200"/>
        <v>46188</v>
      </c>
      <c r="B1655" t="str" cm="1">
        <f t="array" ref="B1655">INDEX(HotelList,MOD(ROW()-2,10)+1)</f>
        <v>H004</v>
      </c>
      <c r="C1655">
        <f>_xlfn.XLOOKUP(B1655,Dim_Hotel!$A$2:$A$11,Dim_Hotel!$F$2:$F$11)</f>
        <v>108</v>
      </c>
      <c r="D1655">
        <f t="shared" si="201"/>
        <v>59</v>
      </c>
      <c r="E1655">
        <f t="shared" si="202"/>
        <v>0.54629629629629628</v>
      </c>
      <c r="F1655">
        <f t="shared" si="203"/>
        <v>135</v>
      </c>
      <c r="G1655">
        <f t="shared" si="204"/>
        <v>73.75</v>
      </c>
      <c r="H1655" t="str">
        <f>_xlfn.XLOOKUP(A1655,Fact_Events!$D$2:$D$20,Fact_Events!$A$2:$A$20, "")</f>
        <v/>
      </c>
      <c r="I1655">
        <f t="shared" si="205"/>
        <v>0</v>
      </c>
      <c r="J1655" t="str">
        <f>_xlfn.XLOOKUP(H1655, Fact_Events!$A$2:$A$20, Fact_Events!$F$2:$F$20, "")</f>
        <v/>
      </c>
      <c r="K1655" t="str">
        <f t="shared" si="206"/>
        <v>Low</v>
      </c>
      <c r="L1655">
        <f t="shared" si="207"/>
        <v>0.55000000000000004</v>
      </c>
      <c r="M1655">
        <f>_xlfn.XLOOKUP(B1655, Dim_Hotel!$A$2:$A$11, Dim_Hotel!$I$2:$I$11)
 + (IF(J1655="",0,J1655)
    * _xlfn.XLOOKUP(B1655, Dim_Hotel!$A$2:$A$11, Dim_Hotel!$J$2:$J$11))</f>
        <v>135</v>
      </c>
    </row>
    <row r="1656" spans="1:13" x14ac:dyDescent="0.25">
      <c r="A1656" s="1">
        <f t="shared" si="200"/>
        <v>46188</v>
      </c>
      <c r="B1656" t="str" cm="1">
        <f t="array" ref="B1656">INDEX(HotelList,MOD(ROW()-2,10)+1)</f>
        <v>H005</v>
      </c>
      <c r="C1656">
        <f>_xlfn.XLOOKUP(B1656,Dim_Hotel!$A$2:$A$11,Dim_Hotel!$F$2:$F$11)</f>
        <v>66</v>
      </c>
      <c r="D1656">
        <f t="shared" si="201"/>
        <v>36</v>
      </c>
      <c r="E1656">
        <f t="shared" si="202"/>
        <v>0.54545454545454541</v>
      </c>
      <c r="F1656">
        <f t="shared" si="203"/>
        <v>82</v>
      </c>
      <c r="G1656">
        <f t="shared" si="204"/>
        <v>44.727272727272727</v>
      </c>
      <c r="H1656" t="str">
        <f>_xlfn.XLOOKUP(A1656,Fact_Events!$D$2:$D$20,Fact_Events!$A$2:$A$20, "")</f>
        <v/>
      </c>
      <c r="I1656">
        <f t="shared" si="205"/>
        <v>0</v>
      </c>
      <c r="J1656" t="str">
        <f>_xlfn.XLOOKUP(H1656, Fact_Events!$A$2:$A$20, Fact_Events!$F$2:$F$20, "")</f>
        <v/>
      </c>
      <c r="K1656" t="str">
        <f t="shared" si="206"/>
        <v>Low</v>
      </c>
      <c r="L1656">
        <f t="shared" si="207"/>
        <v>0.55000000000000004</v>
      </c>
      <c r="M1656">
        <f>_xlfn.XLOOKUP(B1656, Dim_Hotel!$A$2:$A$11, Dim_Hotel!$I$2:$I$11)
 + (IF(J1656="",0,J1656)
    * _xlfn.XLOOKUP(B1656, Dim_Hotel!$A$2:$A$11, Dim_Hotel!$J$2:$J$11))</f>
        <v>82</v>
      </c>
    </row>
    <row r="1657" spans="1:13" x14ac:dyDescent="0.25">
      <c r="A1657" s="1">
        <f t="shared" si="200"/>
        <v>46188</v>
      </c>
      <c r="B1657" t="str" cm="1">
        <f t="array" ref="B1657">INDEX(HotelList,MOD(ROW()-2,10)+1)</f>
        <v>H006</v>
      </c>
      <c r="C1657">
        <f>_xlfn.XLOOKUP(B1657,Dim_Hotel!$A$2:$A$11,Dim_Hotel!$F$2:$F$11)</f>
        <v>311</v>
      </c>
      <c r="D1657">
        <f t="shared" si="201"/>
        <v>171</v>
      </c>
      <c r="E1657">
        <f t="shared" si="202"/>
        <v>0.54983922829581988</v>
      </c>
      <c r="F1657">
        <f t="shared" si="203"/>
        <v>190</v>
      </c>
      <c r="G1657">
        <f t="shared" si="204"/>
        <v>104.46945337620578</v>
      </c>
      <c r="H1657" t="str">
        <f>_xlfn.XLOOKUP(A1657,Fact_Events!$D$2:$D$20,Fact_Events!$A$2:$A$20, "")</f>
        <v/>
      </c>
      <c r="I1657">
        <f t="shared" si="205"/>
        <v>0</v>
      </c>
      <c r="J1657" t="str">
        <f>_xlfn.XLOOKUP(H1657, Fact_Events!$A$2:$A$20, Fact_Events!$F$2:$F$20, "")</f>
        <v/>
      </c>
      <c r="K1657" t="str">
        <f t="shared" si="206"/>
        <v>Low</v>
      </c>
      <c r="L1657">
        <f t="shared" si="207"/>
        <v>0.55000000000000004</v>
      </c>
      <c r="M1657">
        <f>_xlfn.XLOOKUP(B1657, Dim_Hotel!$A$2:$A$11, Dim_Hotel!$I$2:$I$11)
 + (IF(J1657="",0,J1657)
    * _xlfn.XLOOKUP(B1657, Dim_Hotel!$A$2:$A$11, Dim_Hotel!$J$2:$J$11))</f>
        <v>190</v>
      </c>
    </row>
    <row r="1658" spans="1:13" x14ac:dyDescent="0.25">
      <c r="A1658" s="1">
        <f t="shared" si="200"/>
        <v>46188</v>
      </c>
      <c r="B1658" t="str" cm="1">
        <f t="array" ref="B1658">INDEX(HotelList,MOD(ROW()-2,10)+1)</f>
        <v>H007</v>
      </c>
      <c r="C1658">
        <f>_xlfn.XLOOKUP(B1658,Dim_Hotel!$A$2:$A$11,Dim_Hotel!$F$2:$F$11)</f>
        <v>132</v>
      </c>
      <c r="D1658">
        <f t="shared" si="201"/>
        <v>73</v>
      </c>
      <c r="E1658">
        <f t="shared" si="202"/>
        <v>0.55303030303030298</v>
      </c>
      <c r="F1658">
        <f t="shared" si="203"/>
        <v>165</v>
      </c>
      <c r="G1658">
        <f t="shared" si="204"/>
        <v>91.249999999999986</v>
      </c>
      <c r="H1658" t="str">
        <f>_xlfn.XLOOKUP(A1658,Fact_Events!$D$2:$D$20,Fact_Events!$A$2:$A$20, "")</f>
        <v/>
      </c>
      <c r="I1658">
        <f t="shared" si="205"/>
        <v>0</v>
      </c>
      <c r="J1658" t="str">
        <f>_xlfn.XLOOKUP(H1658, Fact_Events!$A$2:$A$20, Fact_Events!$F$2:$F$20, "")</f>
        <v/>
      </c>
      <c r="K1658" t="str">
        <f t="shared" si="206"/>
        <v>Low</v>
      </c>
      <c r="L1658">
        <f t="shared" si="207"/>
        <v>0.55000000000000004</v>
      </c>
      <c r="M1658">
        <f>_xlfn.XLOOKUP(B1658, Dim_Hotel!$A$2:$A$11, Dim_Hotel!$I$2:$I$11)
 + (IF(J1658="",0,J1658)
    * _xlfn.XLOOKUP(B1658, Dim_Hotel!$A$2:$A$11, Dim_Hotel!$J$2:$J$11))</f>
        <v>165</v>
      </c>
    </row>
    <row r="1659" spans="1:13" x14ac:dyDescent="0.25">
      <c r="A1659" s="1">
        <f t="shared" si="200"/>
        <v>46188</v>
      </c>
      <c r="B1659" t="str" cm="1">
        <f t="array" ref="B1659">INDEX(HotelList,MOD(ROW()-2,10)+1)</f>
        <v>H008</v>
      </c>
      <c r="C1659">
        <f>_xlfn.XLOOKUP(B1659,Dim_Hotel!$A$2:$A$11,Dim_Hotel!$F$2:$F$11)</f>
        <v>103</v>
      </c>
      <c r="D1659">
        <f t="shared" si="201"/>
        <v>57</v>
      </c>
      <c r="E1659">
        <f t="shared" si="202"/>
        <v>0.55339805825242716</v>
      </c>
      <c r="F1659">
        <f t="shared" si="203"/>
        <v>140</v>
      </c>
      <c r="G1659">
        <f t="shared" si="204"/>
        <v>77.475728155339809</v>
      </c>
      <c r="H1659" t="str">
        <f>_xlfn.XLOOKUP(A1659,Fact_Events!$D$2:$D$20,Fact_Events!$A$2:$A$20, "")</f>
        <v/>
      </c>
      <c r="I1659">
        <f t="shared" si="205"/>
        <v>0</v>
      </c>
      <c r="J1659" t="str">
        <f>_xlfn.XLOOKUP(H1659, Fact_Events!$A$2:$A$20, Fact_Events!$F$2:$F$20, "")</f>
        <v/>
      </c>
      <c r="K1659" t="str">
        <f t="shared" si="206"/>
        <v>Low</v>
      </c>
      <c r="L1659">
        <f t="shared" si="207"/>
        <v>0.55000000000000004</v>
      </c>
      <c r="M1659">
        <f>_xlfn.XLOOKUP(B1659, Dim_Hotel!$A$2:$A$11, Dim_Hotel!$I$2:$I$11)
 + (IF(J1659="",0,J1659)
    * _xlfn.XLOOKUP(B1659, Dim_Hotel!$A$2:$A$11, Dim_Hotel!$J$2:$J$11))</f>
        <v>140</v>
      </c>
    </row>
    <row r="1660" spans="1:13" x14ac:dyDescent="0.25">
      <c r="A1660" s="1">
        <f t="shared" si="200"/>
        <v>46188</v>
      </c>
      <c r="B1660" t="str" cm="1">
        <f t="array" ref="B1660">INDEX(HotelList,MOD(ROW()-2,10)+1)</f>
        <v>H009</v>
      </c>
      <c r="C1660">
        <f>_xlfn.XLOOKUP(B1660,Dim_Hotel!$A$2:$A$11,Dim_Hotel!$F$2:$F$11)</f>
        <v>114</v>
      </c>
      <c r="D1660">
        <f t="shared" si="201"/>
        <v>63</v>
      </c>
      <c r="E1660">
        <f t="shared" si="202"/>
        <v>0.55263157894736847</v>
      </c>
      <c r="F1660">
        <f t="shared" si="203"/>
        <v>185</v>
      </c>
      <c r="G1660">
        <f t="shared" si="204"/>
        <v>102.23684210526316</v>
      </c>
      <c r="H1660" t="str">
        <f>_xlfn.XLOOKUP(A1660,Fact_Events!$D$2:$D$20,Fact_Events!$A$2:$A$20, "")</f>
        <v/>
      </c>
      <c r="I1660">
        <f t="shared" si="205"/>
        <v>0</v>
      </c>
      <c r="J1660" t="str">
        <f>_xlfn.XLOOKUP(H1660, Fact_Events!$A$2:$A$20, Fact_Events!$F$2:$F$20, "")</f>
        <v/>
      </c>
      <c r="K1660" t="str">
        <f t="shared" si="206"/>
        <v>Low</v>
      </c>
      <c r="L1660">
        <f t="shared" si="207"/>
        <v>0.55000000000000004</v>
      </c>
      <c r="M1660">
        <f>_xlfn.XLOOKUP(B1660, Dim_Hotel!$A$2:$A$11, Dim_Hotel!$I$2:$I$11)
 + (IF(J1660="",0,J1660)
    * _xlfn.XLOOKUP(B1660, Dim_Hotel!$A$2:$A$11, Dim_Hotel!$J$2:$J$11))</f>
        <v>185</v>
      </c>
    </row>
    <row r="1661" spans="1:13" x14ac:dyDescent="0.25">
      <c r="A1661" s="1">
        <f t="shared" si="200"/>
        <v>46188</v>
      </c>
      <c r="B1661" t="str" cm="1">
        <f t="array" ref="B1661">INDEX(HotelList,MOD(ROW()-2,10)+1)</f>
        <v>H010</v>
      </c>
      <c r="C1661">
        <f>_xlfn.XLOOKUP(B1661,Dim_Hotel!$A$2:$A$11,Dim_Hotel!$F$2:$F$11)</f>
        <v>89</v>
      </c>
      <c r="D1661">
        <f t="shared" si="201"/>
        <v>49</v>
      </c>
      <c r="E1661">
        <f t="shared" si="202"/>
        <v>0.550561797752809</v>
      </c>
      <c r="F1661">
        <f t="shared" si="203"/>
        <v>150</v>
      </c>
      <c r="G1661">
        <f t="shared" si="204"/>
        <v>82.584269662921344</v>
      </c>
      <c r="H1661" t="str">
        <f>_xlfn.XLOOKUP(A1661,Fact_Events!$D$2:$D$20,Fact_Events!$A$2:$A$20, "")</f>
        <v/>
      </c>
      <c r="I1661">
        <f t="shared" si="205"/>
        <v>0</v>
      </c>
      <c r="J1661" t="str">
        <f>_xlfn.XLOOKUP(H1661, Fact_Events!$A$2:$A$20, Fact_Events!$F$2:$F$20, "")</f>
        <v/>
      </c>
      <c r="K1661" t="str">
        <f t="shared" si="206"/>
        <v>Low</v>
      </c>
      <c r="L1661">
        <f t="shared" si="207"/>
        <v>0.55000000000000004</v>
      </c>
      <c r="M1661">
        <f>_xlfn.XLOOKUP(B1661, Dim_Hotel!$A$2:$A$11, Dim_Hotel!$I$2:$I$11)
 + (IF(J1661="",0,J1661)
    * _xlfn.XLOOKUP(B1661, Dim_Hotel!$A$2:$A$11, Dim_Hotel!$J$2:$J$11))</f>
        <v>150</v>
      </c>
    </row>
    <row r="1662" spans="1:13" x14ac:dyDescent="0.25">
      <c r="A1662" s="1">
        <f t="shared" si="200"/>
        <v>46189</v>
      </c>
      <c r="B1662" t="str" cm="1">
        <f t="array" ref="B1662">INDEX(HotelList,MOD(ROW()-2,10)+1)</f>
        <v>H001</v>
      </c>
      <c r="C1662">
        <f>_xlfn.XLOOKUP(B1662,Dim_Hotel!$A$2:$A$11,Dim_Hotel!$F$2:$F$11)</f>
        <v>888</v>
      </c>
      <c r="D1662">
        <f t="shared" si="201"/>
        <v>488</v>
      </c>
      <c r="E1662">
        <f t="shared" si="202"/>
        <v>0.5495495495495496</v>
      </c>
      <c r="F1662">
        <f t="shared" si="203"/>
        <v>260</v>
      </c>
      <c r="G1662">
        <f t="shared" si="204"/>
        <v>142.88288288288288</v>
      </c>
      <c r="H1662" t="str">
        <f>_xlfn.XLOOKUP(A1662,Fact_Events!$D$2:$D$20,Fact_Events!$A$2:$A$20, "")</f>
        <v/>
      </c>
      <c r="I1662">
        <f t="shared" si="205"/>
        <v>0</v>
      </c>
      <c r="J1662" t="str">
        <f>_xlfn.XLOOKUP(H1662, Fact_Events!$A$2:$A$20, Fact_Events!$F$2:$F$20, "")</f>
        <v/>
      </c>
      <c r="K1662" t="str">
        <f t="shared" si="206"/>
        <v>Low</v>
      </c>
      <c r="L1662">
        <f t="shared" si="207"/>
        <v>0.55000000000000004</v>
      </c>
      <c r="M1662">
        <f>_xlfn.XLOOKUP(B1662, Dim_Hotel!$A$2:$A$11, Dim_Hotel!$I$2:$I$11)
 + (IF(J1662="",0,J1662)
    * _xlfn.XLOOKUP(B1662, Dim_Hotel!$A$2:$A$11, Dim_Hotel!$J$2:$J$11))</f>
        <v>260</v>
      </c>
    </row>
    <row r="1663" spans="1:13" x14ac:dyDescent="0.25">
      <c r="A1663" s="1">
        <f t="shared" si="200"/>
        <v>46189</v>
      </c>
      <c r="B1663" t="str" cm="1">
        <f t="array" ref="B1663">INDEX(HotelList,MOD(ROW()-2,10)+1)</f>
        <v>H002</v>
      </c>
      <c r="C1663">
        <f>_xlfn.XLOOKUP(B1663,Dim_Hotel!$A$2:$A$11,Dim_Hotel!$F$2:$F$11)</f>
        <v>147</v>
      </c>
      <c r="D1663">
        <f t="shared" si="201"/>
        <v>81</v>
      </c>
      <c r="E1663">
        <f t="shared" si="202"/>
        <v>0.55102040816326525</v>
      </c>
      <c r="F1663">
        <f t="shared" si="203"/>
        <v>175</v>
      </c>
      <c r="G1663">
        <f t="shared" si="204"/>
        <v>96.428571428571416</v>
      </c>
      <c r="H1663" t="str">
        <f>_xlfn.XLOOKUP(A1663,Fact_Events!$D$2:$D$20,Fact_Events!$A$2:$A$20, "")</f>
        <v/>
      </c>
      <c r="I1663">
        <f t="shared" si="205"/>
        <v>0</v>
      </c>
      <c r="J1663" t="str">
        <f>_xlfn.XLOOKUP(H1663, Fact_Events!$A$2:$A$20, Fact_Events!$F$2:$F$20, "")</f>
        <v/>
      </c>
      <c r="K1663" t="str">
        <f t="shared" si="206"/>
        <v>Low</v>
      </c>
      <c r="L1663">
        <f t="shared" si="207"/>
        <v>0.55000000000000004</v>
      </c>
      <c r="M1663">
        <f>_xlfn.XLOOKUP(B1663, Dim_Hotel!$A$2:$A$11, Dim_Hotel!$I$2:$I$11)
 + (IF(J1663="",0,J1663)
    * _xlfn.XLOOKUP(B1663, Dim_Hotel!$A$2:$A$11, Dim_Hotel!$J$2:$J$11))</f>
        <v>175</v>
      </c>
    </row>
    <row r="1664" spans="1:13" x14ac:dyDescent="0.25">
      <c r="A1664" s="1">
        <f t="shared" si="200"/>
        <v>46189</v>
      </c>
      <c r="B1664" t="str" cm="1">
        <f t="array" ref="B1664">INDEX(HotelList,MOD(ROW()-2,10)+1)</f>
        <v>H003</v>
      </c>
      <c r="C1664">
        <f>_xlfn.XLOOKUP(B1664,Dim_Hotel!$A$2:$A$11,Dim_Hotel!$F$2:$F$11)</f>
        <v>121</v>
      </c>
      <c r="D1664">
        <f t="shared" si="201"/>
        <v>67</v>
      </c>
      <c r="E1664">
        <f t="shared" si="202"/>
        <v>0.55371900826446285</v>
      </c>
      <c r="F1664">
        <f t="shared" si="203"/>
        <v>145</v>
      </c>
      <c r="G1664">
        <f t="shared" si="204"/>
        <v>80.289256198347118</v>
      </c>
      <c r="H1664" t="str">
        <f>_xlfn.XLOOKUP(A1664,Fact_Events!$D$2:$D$20,Fact_Events!$A$2:$A$20, "")</f>
        <v/>
      </c>
      <c r="I1664">
        <f t="shared" si="205"/>
        <v>0</v>
      </c>
      <c r="J1664" t="str">
        <f>_xlfn.XLOOKUP(H1664, Fact_Events!$A$2:$A$20, Fact_Events!$F$2:$F$20, "")</f>
        <v/>
      </c>
      <c r="K1664" t="str">
        <f t="shared" si="206"/>
        <v>Low</v>
      </c>
      <c r="L1664">
        <f t="shared" si="207"/>
        <v>0.55000000000000004</v>
      </c>
      <c r="M1664">
        <f>_xlfn.XLOOKUP(B1664, Dim_Hotel!$A$2:$A$11, Dim_Hotel!$I$2:$I$11)
 + (IF(J1664="",0,J1664)
    * _xlfn.XLOOKUP(B1664, Dim_Hotel!$A$2:$A$11, Dim_Hotel!$J$2:$J$11))</f>
        <v>145</v>
      </c>
    </row>
    <row r="1665" spans="1:13" x14ac:dyDescent="0.25">
      <c r="A1665" s="1">
        <f t="shared" si="200"/>
        <v>46189</v>
      </c>
      <c r="B1665" t="str" cm="1">
        <f t="array" ref="B1665">INDEX(HotelList,MOD(ROW()-2,10)+1)</f>
        <v>H004</v>
      </c>
      <c r="C1665">
        <f>_xlfn.XLOOKUP(B1665,Dim_Hotel!$A$2:$A$11,Dim_Hotel!$F$2:$F$11)</f>
        <v>108</v>
      </c>
      <c r="D1665">
        <f t="shared" si="201"/>
        <v>59</v>
      </c>
      <c r="E1665">
        <f t="shared" si="202"/>
        <v>0.54629629629629628</v>
      </c>
      <c r="F1665">
        <f t="shared" si="203"/>
        <v>135</v>
      </c>
      <c r="G1665">
        <f t="shared" si="204"/>
        <v>73.75</v>
      </c>
      <c r="H1665" t="str">
        <f>_xlfn.XLOOKUP(A1665,Fact_Events!$D$2:$D$20,Fact_Events!$A$2:$A$20, "")</f>
        <v/>
      </c>
      <c r="I1665">
        <f t="shared" si="205"/>
        <v>0</v>
      </c>
      <c r="J1665" t="str">
        <f>_xlfn.XLOOKUP(H1665, Fact_Events!$A$2:$A$20, Fact_Events!$F$2:$F$20, "")</f>
        <v/>
      </c>
      <c r="K1665" t="str">
        <f t="shared" si="206"/>
        <v>Low</v>
      </c>
      <c r="L1665">
        <f t="shared" si="207"/>
        <v>0.55000000000000004</v>
      </c>
      <c r="M1665">
        <f>_xlfn.XLOOKUP(B1665, Dim_Hotel!$A$2:$A$11, Dim_Hotel!$I$2:$I$11)
 + (IF(J1665="",0,J1665)
    * _xlfn.XLOOKUP(B1665, Dim_Hotel!$A$2:$A$11, Dim_Hotel!$J$2:$J$11))</f>
        <v>135</v>
      </c>
    </row>
    <row r="1666" spans="1:13" x14ac:dyDescent="0.25">
      <c r="A1666" s="1">
        <f t="shared" si="200"/>
        <v>46189</v>
      </c>
      <c r="B1666" t="str" cm="1">
        <f t="array" ref="B1666">INDEX(HotelList,MOD(ROW()-2,10)+1)</f>
        <v>H005</v>
      </c>
      <c r="C1666">
        <f>_xlfn.XLOOKUP(B1666,Dim_Hotel!$A$2:$A$11,Dim_Hotel!$F$2:$F$11)</f>
        <v>66</v>
      </c>
      <c r="D1666">
        <f t="shared" si="201"/>
        <v>36</v>
      </c>
      <c r="E1666">
        <f t="shared" si="202"/>
        <v>0.54545454545454541</v>
      </c>
      <c r="F1666">
        <f t="shared" si="203"/>
        <v>82</v>
      </c>
      <c r="G1666">
        <f t="shared" si="204"/>
        <v>44.727272727272727</v>
      </c>
      <c r="H1666" t="str">
        <f>_xlfn.XLOOKUP(A1666,Fact_Events!$D$2:$D$20,Fact_Events!$A$2:$A$20, "")</f>
        <v/>
      </c>
      <c r="I1666">
        <f t="shared" si="205"/>
        <v>0</v>
      </c>
      <c r="J1666" t="str">
        <f>_xlfn.XLOOKUP(H1666, Fact_Events!$A$2:$A$20, Fact_Events!$F$2:$F$20, "")</f>
        <v/>
      </c>
      <c r="K1666" t="str">
        <f t="shared" si="206"/>
        <v>Low</v>
      </c>
      <c r="L1666">
        <f t="shared" si="207"/>
        <v>0.55000000000000004</v>
      </c>
      <c r="M1666">
        <f>_xlfn.XLOOKUP(B1666, Dim_Hotel!$A$2:$A$11, Dim_Hotel!$I$2:$I$11)
 + (IF(J1666="",0,J1666)
    * _xlfn.XLOOKUP(B1666, Dim_Hotel!$A$2:$A$11, Dim_Hotel!$J$2:$J$11))</f>
        <v>82</v>
      </c>
    </row>
    <row r="1667" spans="1:13" x14ac:dyDescent="0.25">
      <c r="A1667" s="1">
        <f t="shared" ref="A1667:A1730" si="208">DATE(2026,1,1) + INT((ROW()-2)/10)</f>
        <v>46189</v>
      </c>
      <c r="B1667" t="str" cm="1">
        <f t="array" ref="B1667">INDEX(HotelList,MOD(ROW()-2,10)+1)</f>
        <v>H006</v>
      </c>
      <c r="C1667">
        <f>_xlfn.XLOOKUP(B1667,Dim_Hotel!$A$2:$A$11,Dim_Hotel!$F$2:$F$11)</f>
        <v>311</v>
      </c>
      <c r="D1667">
        <f t="shared" ref="D1667:D1730" si="209">ROUND(L1667 * C1667, 0)</f>
        <v>171</v>
      </c>
      <c r="E1667">
        <f t="shared" ref="E1667:E1730" si="210">D1667/C1667</f>
        <v>0.54983922829581988</v>
      </c>
      <c r="F1667">
        <f t="shared" ref="F1667:F1730" si="211">M1667</f>
        <v>190</v>
      </c>
      <c r="G1667">
        <f t="shared" ref="G1667:G1730" si="212">E1667*F1667</f>
        <v>104.46945337620578</v>
      </c>
      <c r="H1667" t="str">
        <f>_xlfn.XLOOKUP(A1667,Fact_Events!$D$2:$D$20,Fact_Events!$A$2:$A$20, "")</f>
        <v/>
      </c>
      <c r="I1667">
        <f t="shared" ref="I1667:I1730" si="213">IF(H1667="",0,1)</f>
        <v>0</v>
      </c>
      <c r="J1667" t="str">
        <f>_xlfn.XLOOKUP(H1667, Fact_Events!$A$2:$A$20, Fact_Events!$F$2:$F$20, "")</f>
        <v/>
      </c>
      <c r="K1667" t="str">
        <f t="shared" ref="K1667:K1730" si="214">IF(I1667=0,"Low",
   IF(J1667&gt;=9,"High","Medium"))</f>
        <v>Low</v>
      </c>
      <c r="L1667">
        <f t="shared" ref="L1667:L1730" si="215">MIN(1,
  0.55
  + (I1667 * 0.25)
  + (IF(J1667="",0,J1667) / 100)
)</f>
        <v>0.55000000000000004</v>
      </c>
      <c r="M1667">
        <f>_xlfn.XLOOKUP(B1667, Dim_Hotel!$A$2:$A$11, Dim_Hotel!$I$2:$I$11)
 + (IF(J1667="",0,J1667)
    * _xlfn.XLOOKUP(B1667, Dim_Hotel!$A$2:$A$11, Dim_Hotel!$J$2:$J$11))</f>
        <v>190</v>
      </c>
    </row>
    <row r="1668" spans="1:13" x14ac:dyDescent="0.25">
      <c r="A1668" s="1">
        <f t="shared" si="208"/>
        <v>46189</v>
      </c>
      <c r="B1668" t="str" cm="1">
        <f t="array" ref="B1668">INDEX(HotelList,MOD(ROW()-2,10)+1)</f>
        <v>H007</v>
      </c>
      <c r="C1668">
        <f>_xlfn.XLOOKUP(B1668,Dim_Hotel!$A$2:$A$11,Dim_Hotel!$F$2:$F$11)</f>
        <v>132</v>
      </c>
      <c r="D1668">
        <f t="shared" si="209"/>
        <v>73</v>
      </c>
      <c r="E1668">
        <f t="shared" si="210"/>
        <v>0.55303030303030298</v>
      </c>
      <c r="F1668">
        <f t="shared" si="211"/>
        <v>165</v>
      </c>
      <c r="G1668">
        <f t="shared" si="212"/>
        <v>91.249999999999986</v>
      </c>
      <c r="H1668" t="str">
        <f>_xlfn.XLOOKUP(A1668,Fact_Events!$D$2:$D$20,Fact_Events!$A$2:$A$20, "")</f>
        <v/>
      </c>
      <c r="I1668">
        <f t="shared" si="213"/>
        <v>0</v>
      </c>
      <c r="J1668" t="str">
        <f>_xlfn.XLOOKUP(H1668, Fact_Events!$A$2:$A$20, Fact_Events!$F$2:$F$20, "")</f>
        <v/>
      </c>
      <c r="K1668" t="str">
        <f t="shared" si="214"/>
        <v>Low</v>
      </c>
      <c r="L1668">
        <f t="shared" si="215"/>
        <v>0.55000000000000004</v>
      </c>
      <c r="M1668">
        <f>_xlfn.XLOOKUP(B1668, Dim_Hotel!$A$2:$A$11, Dim_Hotel!$I$2:$I$11)
 + (IF(J1668="",0,J1668)
    * _xlfn.XLOOKUP(B1668, Dim_Hotel!$A$2:$A$11, Dim_Hotel!$J$2:$J$11))</f>
        <v>165</v>
      </c>
    </row>
    <row r="1669" spans="1:13" x14ac:dyDescent="0.25">
      <c r="A1669" s="1">
        <f t="shared" si="208"/>
        <v>46189</v>
      </c>
      <c r="B1669" t="str" cm="1">
        <f t="array" ref="B1669">INDEX(HotelList,MOD(ROW()-2,10)+1)</f>
        <v>H008</v>
      </c>
      <c r="C1669">
        <f>_xlfn.XLOOKUP(B1669,Dim_Hotel!$A$2:$A$11,Dim_Hotel!$F$2:$F$11)</f>
        <v>103</v>
      </c>
      <c r="D1669">
        <f t="shared" si="209"/>
        <v>57</v>
      </c>
      <c r="E1669">
        <f t="shared" si="210"/>
        <v>0.55339805825242716</v>
      </c>
      <c r="F1669">
        <f t="shared" si="211"/>
        <v>140</v>
      </c>
      <c r="G1669">
        <f t="shared" si="212"/>
        <v>77.475728155339809</v>
      </c>
      <c r="H1669" t="str">
        <f>_xlfn.XLOOKUP(A1669,Fact_Events!$D$2:$D$20,Fact_Events!$A$2:$A$20, "")</f>
        <v/>
      </c>
      <c r="I1669">
        <f t="shared" si="213"/>
        <v>0</v>
      </c>
      <c r="J1669" t="str">
        <f>_xlfn.XLOOKUP(H1669, Fact_Events!$A$2:$A$20, Fact_Events!$F$2:$F$20, "")</f>
        <v/>
      </c>
      <c r="K1669" t="str">
        <f t="shared" si="214"/>
        <v>Low</v>
      </c>
      <c r="L1669">
        <f t="shared" si="215"/>
        <v>0.55000000000000004</v>
      </c>
      <c r="M1669">
        <f>_xlfn.XLOOKUP(B1669, Dim_Hotel!$A$2:$A$11, Dim_Hotel!$I$2:$I$11)
 + (IF(J1669="",0,J1669)
    * _xlfn.XLOOKUP(B1669, Dim_Hotel!$A$2:$A$11, Dim_Hotel!$J$2:$J$11))</f>
        <v>140</v>
      </c>
    </row>
    <row r="1670" spans="1:13" x14ac:dyDescent="0.25">
      <c r="A1670" s="1">
        <f t="shared" si="208"/>
        <v>46189</v>
      </c>
      <c r="B1670" t="str" cm="1">
        <f t="array" ref="B1670">INDEX(HotelList,MOD(ROW()-2,10)+1)</f>
        <v>H009</v>
      </c>
      <c r="C1670">
        <f>_xlfn.XLOOKUP(B1670,Dim_Hotel!$A$2:$A$11,Dim_Hotel!$F$2:$F$11)</f>
        <v>114</v>
      </c>
      <c r="D1670">
        <f t="shared" si="209"/>
        <v>63</v>
      </c>
      <c r="E1670">
        <f t="shared" si="210"/>
        <v>0.55263157894736847</v>
      </c>
      <c r="F1670">
        <f t="shared" si="211"/>
        <v>185</v>
      </c>
      <c r="G1670">
        <f t="shared" si="212"/>
        <v>102.23684210526316</v>
      </c>
      <c r="H1670" t="str">
        <f>_xlfn.XLOOKUP(A1670,Fact_Events!$D$2:$D$20,Fact_Events!$A$2:$A$20, "")</f>
        <v/>
      </c>
      <c r="I1670">
        <f t="shared" si="213"/>
        <v>0</v>
      </c>
      <c r="J1670" t="str">
        <f>_xlfn.XLOOKUP(H1670, Fact_Events!$A$2:$A$20, Fact_Events!$F$2:$F$20, "")</f>
        <v/>
      </c>
      <c r="K1670" t="str">
        <f t="shared" si="214"/>
        <v>Low</v>
      </c>
      <c r="L1670">
        <f t="shared" si="215"/>
        <v>0.55000000000000004</v>
      </c>
      <c r="M1670">
        <f>_xlfn.XLOOKUP(B1670, Dim_Hotel!$A$2:$A$11, Dim_Hotel!$I$2:$I$11)
 + (IF(J1670="",0,J1670)
    * _xlfn.XLOOKUP(B1670, Dim_Hotel!$A$2:$A$11, Dim_Hotel!$J$2:$J$11))</f>
        <v>185</v>
      </c>
    </row>
    <row r="1671" spans="1:13" x14ac:dyDescent="0.25">
      <c r="A1671" s="1">
        <f t="shared" si="208"/>
        <v>46189</v>
      </c>
      <c r="B1671" t="str" cm="1">
        <f t="array" ref="B1671">INDEX(HotelList,MOD(ROW()-2,10)+1)</f>
        <v>H010</v>
      </c>
      <c r="C1671">
        <f>_xlfn.XLOOKUP(B1671,Dim_Hotel!$A$2:$A$11,Dim_Hotel!$F$2:$F$11)</f>
        <v>89</v>
      </c>
      <c r="D1671">
        <f t="shared" si="209"/>
        <v>49</v>
      </c>
      <c r="E1671">
        <f t="shared" si="210"/>
        <v>0.550561797752809</v>
      </c>
      <c r="F1671">
        <f t="shared" si="211"/>
        <v>150</v>
      </c>
      <c r="G1671">
        <f t="shared" si="212"/>
        <v>82.584269662921344</v>
      </c>
      <c r="H1671" t="str">
        <f>_xlfn.XLOOKUP(A1671,Fact_Events!$D$2:$D$20,Fact_Events!$A$2:$A$20, "")</f>
        <v/>
      </c>
      <c r="I1671">
        <f t="shared" si="213"/>
        <v>0</v>
      </c>
      <c r="J1671" t="str">
        <f>_xlfn.XLOOKUP(H1671, Fact_Events!$A$2:$A$20, Fact_Events!$F$2:$F$20, "")</f>
        <v/>
      </c>
      <c r="K1671" t="str">
        <f t="shared" si="214"/>
        <v>Low</v>
      </c>
      <c r="L1671">
        <f t="shared" si="215"/>
        <v>0.55000000000000004</v>
      </c>
      <c r="M1671">
        <f>_xlfn.XLOOKUP(B1671, Dim_Hotel!$A$2:$A$11, Dim_Hotel!$I$2:$I$11)
 + (IF(J1671="",0,J1671)
    * _xlfn.XLOOKUP(B1671, Dim_Hotel!$A$2:$A$11, Dim_Hotel!$J$2:$J$11))</f>
        <v>150</v>
      </c>
    </row>
    <row r="1672" spans="1:13" x14ac:dyDescent="0.25">
      <c r="A1672" s="1">
        <f t="shared" si="208"/>
        <v>46190</v>
      </c>
      <c r="B1672" t="str" cm="1">
        <f t="array" ref="B1672">INDEX(HotelList,MOD(ROW()-2,10)+1)</f>
        <v>H001</v>
      </c>
      <c r="C1672">
        <f>_xlfn.XLOOKUP(B1672,Dim_Hotel!$A$2:$A$11,Dim_Hotel!$F$2:$F$11)</f>
        <v>888</v>
      </c>
      <c r="D1672">
        <f t="shared" si="209"/>
        <v>799</v>
      </c>
      <c r="E1672">
        <f t="shared" si="210"/>
        <v>0.89977477477477474</v>
      </c>
      <c r="F1672">
        <f t="shared" si="211"/>
        <v>440</v>
      </c>
      <c r="G1672">
        <f t="shared" si="212"/>
        <v>395.90090090090087</v>
      </c>
      <c r="H1672" t="str">
        <f>_xlfn.XLOOKUP(A1672,Fact_Events!$D$2:$D$20,Fact_Events!$A$2:$A$20, "")</f>
        <v>E010</v>
      </c>
      <c r="I1672">
        <f t="shared" si="213"/>
        <v>1</v>
      </c>
      <c r="J1672">
        <f>_xlfn.XLOOKUP(H1672, Fact_Events!$A$2:$A$20, Fact_Events!$F$2:$F$20, "")</f>
        <v>10</v>
      </c>
      <c r="K1672" t="str">
        <f t="shared" si="214"/>
        <v>High</v>
      </c>
      <c r="L1672">
        <f t="shared" si="215"/>
        <v>0.9</v>
      </c>
      <c r="M1672">
        <f>_xlfn.XLOOKUP(B1672, Dim_Hotel!$A$2:$A$11, Dim_Hotel!$I$2:$I$11)
 + (IF(J1672="",0,J1672)
    * _xlfn.XLOOKUP(B1672, Dim_Hotel!$A$2:$A$11, Dim_Hotel!$J$2:$J$11))</f>
        <v>440</v>
      </c>
    </row>
    <row r="1673" spans="1:13" x14ac:dyDescent="0.25">
      <c r="A1673" s="1">
        <f t="shared" si="208"/>
        <v>46190</v>
      </c>
      <c r="B1673" t="str" cm="1">
        <f t="array" ref="B1673">INDEX(HotelList,MOD(ROW()-2,10)+1)</f>
        <v>H002</v>
      </c>
      <c r="C1673">
        <f>_xlfn.XLOOKUP(B1673,Dim_Hotel!$A$2:$A$11,Dim_Hotel!$F$2:$F$11)</f>
        <v>147</v>
      </c>
      <c r="D1673">
        <f t="shared" si="209"/>
        <v>132</v>
      </c>
      <c r="E1673">
        <f t="shared" si="210"/>
        <v>0.89795918367346939</v>
      </c>
      <c r="F1673">
        <f t="shared" si="211"/>
        <v>315</v>
      </c>
      <c r="G1673">
        <f t="shared" si="212"/>
        <v>282.85714285714283</v>
      </c>
      <c r="H1673" t="str">
        <f>_xlfn.XLOOKUP(A1673,Fact_Events!$D$2:$D$20,Fact_Events!$A$2:$A$20, "")</f>
        <v>E010</v>
      </c>
      <c r="I1673">
        <f t="shared" si="213"/>
        <v>1</v>
      </c>
      <c r="J1673">
        <f>_xlfn.XLOOKUP(H1673, Fact_Events!$A$2:$A$20, Fact_Events!$F$2:$F$20, "")</f>
        <v>10</v>
      </c>
      <c r="K1673" t="str">
        <f t="shared" si="214"/>
        <v>High</v>
      </c>
      <c r="L1673">
        <f t="shared" si="215"/>
        <v>0.9</v>
      </c>
      <c r="M1673">
        <f>_xlfn.XLOOKUP(B1673, Dim_Hotel!$A$2:$A$11, Dim_Hotel!$I$2:$I$11)
 + (IF(J1673="",0,J1673)
    * _xlfn.XLOOKUP(B1673, Dim_Hotel!$A$2:$A$11, Dim_Hotel!$J$2:$J$11))</f>
        <v>315</v>
      </c>
    </row>
    <row r="1674" spans="1:13" x14ac:dyDescent="0.25">
      <c r="A1674" s="1">
        <f t="shared" si="208"/>
        <v>46190</v>
      </c>
      <c r="B1674" t="str" cm="1">
        <f t="array" ref="B1674">INDEX(HotelList,MOD(ROW()-2,10)+1)</f>
        <v>H003</v>
      </c>
      <c r="C1674">
        <f>_xlfn.XLOOKUP(B1674,Dim_Hotel!$A$2:$A$11,Dim_Hotel!$F$2:$F$11)</f>
        <v>121</v>
      </c>
      <c r="D1674">
        <f t="shared" si="209"/>
        <v>109</v>
      </c>
      <c r="E1674">
        <f t="shared" si="210"/>
        <v>0.90082644628099173</v>
      </c>
      <c r="F1674">
        <f t="shared" si="211"/>
        <v>265</v>
      </c>
      <c r="G1674">
        <f t="shared" si="212"/>
        <v>238.71900826446281</v>
      </c>
      <c r="H1674" t="str">
        <f>_xlfn.XLOOKUP(A1674,Fact_Events!$D$2:$D$20,Fact_Events!$A$2:$A$20, "")</f>
        <v>E010</v>
      </c>
      <c r="I1674">
        <f t="shared" si="213"/>
        <v>1</v>
      </c>
      <c r="J1674">
        <f>_xlfn.XLOOKUP(H1674, Fact_Events!$A$2:$A$20, Fact_Events!$F$2:$F$20, "")</f>
        <v>10</v>
      </c>
      <c r="K1674" t="str">
        <f t="shared" si="214"/>
        <v>High</v>
      </c>
      <c r="L1674">
        <f t="shared" si="215"/>
        <v>0.9</v>
      </c>
      <c r="M1674">
        <f>_xlfn.XLOOKUP(B1674, Dim_Hotel!$A$2:$A$11, Dim_Hotel!$I$2:$I$11)
 + (IF(J1674="",0,J1674)
    * _xlfn.XLOOKUP(B1674, Dim_Hotel!$A$2:$A$11, Dim_Hotel!$J$2:$J$11))</f>
        <v>265</v>
      </c>
    </row>
    <row r="1675" spans="1:13" x14ac:dyDescent="0.25">
      <c r="A1675" s="1">
        <f t="shared" si="208"/>
        <v>46190</v>
      </c>
      <c r="B1675" t="str" cm="1">
        <f t="array" ref="B1675">INDEX(HotelList,MOD(ROW()-2,10)+1)</f>
        <v>H004</v>
      </c>
      <c r="C1675">
        <f>_xlfn.XLOOKUP(B1675,Dim_Hotel!$A$2:$A$11,Dim_Hotel!$F$2:$F$11)</f>
        <v>108</v>
      </c>
      <c r="D1675">
        <f t="shared" si="209"/>
        <v>97</v>
      </c>
      <c r="E1675">
        <f t="shared" si="210"/>
        <v>0.89814814814814814</v>
      </c>
      <c r="F1675">
        <f t="shared" si="211"/>
        <v>255</v>
      </c>
      <c r="G1675">
        <f t="shared" si="212"/>
        <v>229.02777777777777</v>
      </c>
      <c r="H1675" t="str">
        <f>_xlfn.XLOOKUP(A1675,Fact_Events!$D$2:$D$20,Fact_Events!$A$2:$A$20, "")</f>
        <v>E010</v>
      </c>
      <c r="I1675">
        <f t="shared" si="213"/>
        <v>1</v>
      </c>
      <c r="J1675">
        <f>_xlfn.XLOOKUP(H1675, Fact_Events!$A$2:$A$20, Fact_Events!$F$2:$F$20, "")</f>
        <v>10</v>
      </c>
      <c r="K1675" t="str">
        <f t="shared" si="214"/>
        <v>High</v>
      </c>
      <c r="L1675">
        <f t="shared" si="215"/>
        <v>0.9</v>
      </c>
      <c r="M1675">
        <f>_xlfn.XLOOKUP(B1675, Dim_Hotel!$A$2:$A$11, Dim_Hotel!$I$2:$I$11)
 + (IF(J1675="",0,J1675)
    * _xlfn.XLOOKUP(B1675, Dim_Hotel!$A$2:$A$11, Dim_Hotel!$J$2:$J$11))</f>
        <v>255</v>
      </c>
    </row>
    <row r="1676" spans="1:13" x14ac:dyDescent="0.25">
      <c r="A1676" s="1">
        <f t="shared" si="208"/>
        <v>46190</v>
      </c>
      <c r="B1676" t="str" cm="1">
        <f t="array" ref="B1676">INDEX(HotelList,MOD(ROW()-2,10)+1)</f>
        <v>H005</v>
      </c>
      <c r="C1676">
        <f>_xlfn.XLOOKUP(B1676,Dim_Hotel!$A$2:$A$11,Dim_Hotel!$F$2:$F$11)</f>
        <v>66</v>
      </c>
      <c r="D1676">
        <f t="shared" si="209"/>
        <v>59</v>
      </c>
      <c r="E1676">
        <f t="shared" si="210"/>
        <v>0.89393939393939392</v>
      </c>
      <c r="F1676">
        <f t="shared" si="211"/>
        <v>162</v>
      </c>
      <c r="G1676">
        <f t="shared" si="212"/>
        <v>144.81818181818181</v>
      </c>
      <c r="H1676" t="str">
        <f>_xlfn.XLOOKUP(A1676,Fact_Events!$D$2:$D$20,Fact_Events!$A$2:$A$20, "")</f>
        <v>E010</v>
      </c>
      <c r="I1676">
        <f t="shared" si="213"/>
        <v>1</v>
      </c>
      <c r="J1676">
        <f>_xlfn.XLOOKUP(H1676, Fact_Events!$A$2:$A$20, Fact_Events!$F$2:$F$20, "")</f>
        <v>10</v>
      </c>
      <c r="K1676" t="str">
        <f t="shared" si="214"/>
        <v>High</v>
      </c>
      <c r="L1676">
        <f t="shared" si="215"/>
        <v>0.9</v>
      </c>
      <c r="M1676">
        <f>_xlfn.XLOOKUP(B1676, Dim_Hotel!$A$2:$A$11, Dim_Hotel!$I$2:$I$11)
 + (IF(J1676="",0,J1676)
    * _xlfn.XLOOKUP(B1676, Dim_Hotel!$A$2:$A$11, Dim_Hotel!$J$2:$J$11))</f>
        <v>162</v>
      </c>
    </row>
    <row r="1677" spans="1:13" x14ac:dyDescent="0.25">
      <c r="A1677" s="1">
        <f t="shared" si="208"/>
        <v>46190</v>
      </c>
      <c r="B1677" t="str" cm="1">
        <f t="array" ref="B1677">INDEX(HotelList,MOD(ROW()-2,10)+1)</f>
        <v>H006</v>
      </c>
      <c r="C1677">
        <f>_xlfn.XLOOKUP(B1677,Dim_Hotel!$A$2:$A$11,Dim_Hotel!$F$2:$F$11)</f>
        <v>311</v>
      </c>
      <c r="D1677">
        <f t="shared" si="209"/>
        <v>280</v>
      </c>
      <c r="E1677">
        <f t="shared" si="210"/>
        <v>0.90032154340836013</v>
      </c>
      <c r="F1677">
        <f t="shared" si="211"/>
        <v>340</v>
      </c>
      <c r="G1677">
        <f t="shared" si="212"/>
        <v>306.10932475884243</v>
      </c>
      <c r="H1677" t="str">
        <f>_xlfn.XLOOKUP(A1677,Fact_Events!$D$2:$D$20,Fact_Events!$A$2:$A$20, "")</f>
        <v>E010</v>
      </c>
      <c r="I1677">
        <f t="shared" si="213"/>
        <v>1</v>
      </c>
      <c r="J1677">
        <f>_xlfn.XLOOKUP(H1677, Fact_Events!$A$2:$A$20, Fact_Events!$F$2:$F$20, "")</f>
        <v>10</v>
      </c>
      <c r="K1677" t="str">
        <f t="shared" si="214"/>
        <v>High</v>
      </c>
      <c r="L1677">
        <f t="shared" si="215"/>
        <v>0.9</v>
      </c>
      <c r="M1677">
        <f>_xlfn.XLOOKUP(B1677, Dim_Hotel!$A$2:$A$11, Dim_Hotel!$I$2:$I$11)
 + (IF(J1677="",0,J1677)
    * _xlfn.XLOOKUP(B1677, Dim_Hotel!$A$2:$A$11, Dim_Hotel!$J$2:$J$11))</f>
        <v>340</v>
      </c>
    </row>
    <row r="1678" spans="1:13" x14ac:dyDescent="0.25">
      <c r="A1678" s="1">
        <f t="shared" si="208"/>
        <v>46190</v>
      </c>
      <c r="B1678" t="str" cm="1">
        <f t="array" ref="B1678">INDEX(HotelList,MOD(ROW()-2,10)+1)</f>
        <v>H007</v>
      </c>
      <c r="C1678">
        <f>_xlfn.XLOOKUP(B1678,Dim_Hotel!$A$2:$A$11,Dim_Hotel!$F$2:$F$11)</f>
        <v>132</v>
      </c>
      <c r="D1678">
        <f t="shared" si="209"/>
        <v>119</v>
      </c>
      <c r="E1678">
        <f t="shared" si="210"/>
        <v>0.90151515151515149</v>
      </c>
      <c r="F1678">
        <f t="shared" si="211"/>
        <v>295</v>
      </c>
      <c r="G1678">
        <f t="shared" si="212"/>
        <v>265.94696969696969</v>
      </c>
      <c r="H1678" t="str">
        <f>_xlfn.XLOOKUP(A1678,Fact_Events!$D$2:$D$20,Fact_Events!$A$2:$A$20, "")</f>
        <v>E010</v>
      </c>
      <c r="I1678">
        <f t="shared" si="213"/>
        <v>1</v>
      </c>
      <c r="J1678">
        <f>_xlfn.XLOOKUP(H1678, Fact_Events!$A$2:$A$20, Fact_Events!$F$2:$F$20, "")</f>
        <v>10</v>
      </c>
      <c r="K1678" t="str">
        <f t="shared" si="214"/>
        <v>High</v>
      </c>
      <c r="L1678">
        <f t="shared" si="215"/>
        <v>0.9</v>
      </c>
      <c r="M1678">
        <f>_xlfn.XLOOKUP(B1678, Dim_Hotel!$A$2:$A$11, Dim_Hotel!$I$2:$I$11)
 + (IF(J1678="",0,J1678)
    * _xlfn.XLOOKUP(B1678, Dim_Hotel!$A$2:$A$11, Dim_Hotel!$J$2:$J$11))</f>
        <v>295</v>
      </c>
    </row>
    <row r="1679" spans="1:13" x14ac:dyDescent="0.25">
      <c r="A1679" s="1">
        <f t="shared" si="208"/>
        <v>46190</v>
      </c>
      <c r="B1679" t="str" cm="1">
        <f t="array" ref="B1679">INDEX(HotelList,MOD(ROW()-2,10)+1)</f>
        <v>H008</v>
      </c>
      <c r="C1679">
        <f>_xlfn.XLOOKUP(B1679,Dim_Hotel!$A$2:$A$11,Dim_Hotel!$F$2:$F$11)</f>
        <v>103</v>
      </c>
      <c r="D1679">
        <f t="shared" si="209"/>
        <v>93</v>
      </c>
      <c r="E1679">
        <f t="shared" si="210"/>
        <v>0.90291262135922334</v>
      </c>
      <c r="F1679">
        <f t="shared" si="211"/>
        <v>260</v>
      </c>
      <c r="G1679">
        <f t="shared" si="212"/>
        <v>234.75728155339806</v>
      </c>
      <c r="H1679" t="str">
        <f>_xlfn.XLOOKUP(A1679,Fact_Events!$D$2:$D$20,Fact_Events!$A$2:$A$20, "")</f>
        <v>E010</v>
      </c>
      <c r="I1679">
        <f t="shared" si="213"/>
        <v>1</v>
      </c>
      <c r="J1679">
        <f>_xlfn.XLOOKUP(H1679, Fact_Events!$A$2:$A$20, Fact_Events!$F$2:$F$20, "")</f>
        <v>10</v>
      </c>
      <c r="K1679" t="str">
        <f t="shared" si="214"/>
        <v>High</v>
      </c>
      <c r="L1679">
        <f t="shared" si="215"/>
        <v>0.9</v>
      </c>
      <c r="M1679">
        <f>_xlfn.XLOOKUP(B1679, Dim_Hotel!$A$2:$A$11, Dim_Hotel!$I$2:$I$11)
 + (IF(J1679="",0,J1679)
    * _xlfn.XLOOKUP(B1679, Dim_Hotel!$A$2:$A$11, Dim_Hotel!$J$2:$J$11))</f>
        <v>260</v>
      </c>
    </row>
    <row r="1680" spans="1:13" x14ac:dyDescent="0.25">
      <c r="A1680" s="1">
        <f t="shared" si="208"/>
        <v>46190</v>
      </c>
      <c r="B1680" t="str" cm="1">
        <f t="array" ref="B1680">INDEX(HotelList,MOD(ROW()-2,10)+1)</f>
        <v>H009</v>
      </c>
      <c r="C1680">
        <f>_xlfn.XLOOKUP(B1680,Dim_Hotel!$A$2:$A$11,Dim_Hotel!$F$2:$F$11)</f>
        <v>114</v>
      </c>
      <c r="D1680">
        <f t="shared" si="209"/>
        <v>103</v>
      </c>
      <c r="E1680">
        <f t="shared" si="210"/>
        <v>0.90350877192982459</v>
      </c>
      <c r="F1680">
        <f t="shared" si="211"/>
        <v>285</v>
      </c>
      <c r="G1680">
        <f t="shared" si="212"/>
        <v>257.5</v>
      </c>
      <c r="H1680" t="str">
        <f>_xlfn.XLOOKUP(A1680,Fact_Events!$D$2:$D$20,Fact_Events!$A$2:$A$20, "")</f>
        <v>E010</v>
      </c>
      <c r="I1680">
        <f t="shared" si="213"/>
        <v>1</v>
      </c>
      <c r="J1680">
        <f>_xlfn.XLOOKUP(H1680, Fact_Events!$A$2:$A$20, Fact_Events!$F$2:$F$20, "")</f>
        <v>10</v>
      </c>
      <c r="K1680" t="str">
        <f t="shared" si="214"/>
        <v>High</v>
      </c>
      <c r="L1680">
        <f t="shared" si="215"/>
        <v>0.9</v>
      </c>
      <c r="M1680">
        <f>_xlfn.XLOOKUP(B1680, Dim_Hotel!$A$2:$A$11, Dim_Hotel!$I$2:$I$11)
 + (IF(J1680="",0,J1680)
    * _xlfn.XLOOKUP(B1680, Dim_Hotel!$A$2:$A$11, Dim_Hotel!$J$2:$J$11))</f>
        <v>285</v>
      </c>
    </row>
    <row r="1681" spans="1:13" x14ac:dyDescent="0.25">
      <c r="A1681" s="1">
        <f t="shared" si="208"/>
        <v>46190</v>
      </c>
      <c r="B1681" t="str" cm="1">
        <f t="array" ref="B1681">INDEX(HotelList,MOD(ROW()-2,10)+1)</f>
        <v>H010</v>
      </c>
      <c r="C1681">
        <f>_xlfn.XLOOKUP(B1681,Dim_Hotel!$A$2:$A$11,Dim_Hotel!$F$2:$F$11)</f>
        <v>89</v>
      </c>
      <c r="D1681">
        <f t="shared" si="209"/>
        <v>80</v>
      </c>
      <c r="E1681">
        <f t="shared" si="210"/>
        <v>0.898876404494382</v>
      </c>
      <c r="F1681">
        <f t="shared" si="211"/>
        <v>250</v>
      </c>
      <c r="G1681">
        <f t="shared" si="212"/>
        <v>224.71910112359549</v>
      </c>
      <c r="H1681" t="str">
        <f>_xlfn.XLOOKUP(A1681,Fact_Events!$D$2:$D$20,Fact_Events!$A$2:$A$20, "")</f>
        <v>E010</v>
      </c>
      <c r="I1681">
        <f t="shared" si="213"/>
        <v>1</v>
      </c>
      <c r="J1681">
        <f>_xlfn.XLOOKUP(H1681, Fact_Events!$A$2:$A$20, Fact_Events!$F$2:$F$20, "")</f>
        <v>10</v>
      </c>
      <c r="K1681" t="str">
        <f t="shared" si="214"/>
        <v>High</v>
      </c>
      <c r="L1681">
        <f t="shared" si="215"/>
        <v>0.9</v>
      </c>
      <c r="M1681">
        <f>_xlfn.XLOOKUP(B1681, Dim_Hotel!$A$2:$A$11, Dim_Hotel!$I$2:$I$11)
 + (IF(J1681="",0,J1681)
    * _xlfn.XLOOKUP(B1681, Dim_Hotel!$A$2:$A$11, Dim_Hotel!$J$2:$J$11))</f>
        <v>250</v>
      </c>
    </row>
    <row r="1682" spans="1:13" x14ac:dyDescent="0.25">
      <c r="A1682" s="1">
        <f t="shared" si="208"/>
        <v>46191</v>
      </c>
      <c r="B1682" t="str" cm="1">
        <f t="array" ref="B1682">INDEX(HotelList,MOD(ROW()-2,10)+1)</f>
        <v>H001</v>
      </c>
      <c r="C1682">
        <f>_xlfn.XLOOKUP(B1682,Dim_Hotel!$A$2:$A$11,Dim_Hotel!$F$2:$F$11)</f>
        <v>888</v>
      </c>
      <c r="D1682">
        <f t="shared" si="209"/>
        <v>488</v>
      </c>
      <c r="E1682">
        <f t="shared" si="210"/>
        <v>0.5495495495495496</v>
      </c>
      <c r="F1682">
        <f t="shared" si="211"/>
        <v>260</v>
      </c>
      <c r="G1682">
        <f t="shared" si="212"/>
        <v>142.88288288288288</v>
      </c>
      <c r="H1682" t="str">
        <f>_xlfn.XLOOKUP(A1682,Fact_Events!$D$2:$D$20,Fact_Events!$A$2:$A$20, "")</f>
        <v/>
      </c>
      <c r="I1682">
        <f t="shared" si="213"/>
        <v>0</v>
      </c>
      <c r="J1682" t="str">
        <f>_xlfn.XLOOKUP(H1682, Fact_Events!$A$2:$A$20, Fact_Events!$F$2:$F$20, "")</f>
        <v/>
      </c>
      <c r="K1682" t="str">
        <f t="shared" si="214"/>
        <v>Low</v>
      </c>
      <c r="L1682">
        <f t="shared" si="215"/>
        <v>0.55000000000000004</v>
      </c>
      <c r="M1682">
        <f>_xlfn.XLOOKUP(B1682, Dim_Hotel!$A$2:$A$11, Dim_Hotel!$I$2:$I$11)
 + (IF(J1682="",0,J1682)
    * _xlfn.XLOOKUP(B1682, Dim_Hotel!$A$2:$A$11, Dim_Hotel!$J$2:$J$11))</f>
        <v>260</v>
      </c>
    </row>
    <row r="1683" spans="1:13" x14ac:dyDescent="0.25">
      <c r="A1683" s="1">
        <f t="shared" si="208"/>
        <v>46191</v>
      </c>
      <c r="B1683" t="str" cm="1">
        <f t="array" ref="B1683">INDEX(HotelList,MOD(ROW()-2,10)+1)</f>
        <v>H002</v>
      </c>
      <c r="C1683">
        <f>_xlfn.XLOOKUP(B1683,Dim_Hotel!$A$2:$A$11,Dim_Hotel!$F$2:$F$11)</f>
        <v>147</v>
      </c>
      <c r="D1683">
        <f t="shared" si="209"/>
        <v>81</v>
      </c>
      <c r="E1683">
        <f t="shared" si="210"/>
        <v>0.55102040816326525</v>
      </c>
      <c r="F1683">
        <f t="shared" si="211"/>
        <v>175</v>
      </c>
      <c r="G1683">
        <f t="shared" si="212"/>
        <v>96.428571428571416</v>
      </c>
      <c r="H1683" t="str">
        <f>_xlfn.XLOOKUP(A1683,Fact_Events!$D$2:$D$20,Fact_Events!$A$2:$A$20, "")</f>
        <v/>
      </c>
      <c r="I1683">
        <f t="shared" si="213"/>
        <v>0</v>
      </c>
      <c r="J1683" t="str">
        <f>_xlfn.XLOOKUP(H1683, Fact_Events!$A$2:$A$20, Fact_Events!$F$2:$F$20, "")</f>
        <v/>
      </c>
      <c r="K1683" t="str">
        <f t="shared" si="214"/>
        <v>Low</v>
      </c>
      <c r="L1683">
        <f t="shared" si="215"/>
        <v>0.55000000000000004</v>
      </c>
      <c r="M1683">
        <f>_xlfn.XLOOKUP(B1683, Dim_Hotel!$A$2:$A$11, Dim_Hotel!$I$2:$I$11)
 + (IF(J1683="",0,J1683)
    * _xlfn.XLOOKUP(B1683, Dim_Hotel!$A$2:$A$11, Dim_Hotel!$J$2:$J$11))</f>
        <v>175</v>
      </c>
    </row>
    <row r="1684" spans="1:13" x14ac:dyDescent="0.25">
      <c r="A1684" s="1">
        <f t="shared" si="208"/>
        <v>46191</v>
      </c>
      <c r="B1684" t="str" cm="1">
        <f t="array" ref="B1684">INDEX(HotelList,MOD(ROW()-2,10)+1)</f>
        <v>H003</v>
      </c>
      <c r="C1684">
        <f>_xlfn.XLOOKUP(B1684,Dim_Hotel!$A$2:$A$11,Dim_Hotel!$F$2:$F$11)</f>
        <v>121</v>
      </c>
      <c r="D1684">
        <f t="shared" si="209"/>
        <v>67</v>
      </c>
      <c r="E1684">
        <f t="shared" si="210"/>
        <v>0.55371900826446285</v>
      </c>
      <c r="F1684">
        <f t="shared" si="211"/>
        <v>145</v>
      </c>
      <c r="G1684">
        <f t="shared" si="212"/>
        <v>80.289256198347118</v>
      </c>
      <c r="H1684" t="str">
        <f>_xlfn.XLOOKUP(A1684,Fact_Events!$D$2:$D$20,Fact_Events!$A$2:$A$20, "")</f>
        <v/>
      </c>
      <c r="I1684">
        <f t="shared" si="213"/>
        <v>0</v>
      </c>
      <c r="J1684" t="str">
        <f>_xlfn.XLOOKUP(H1684, Fact_Events!$A$2:$A$20, Fact_Events!$F$2:$F$20, "")</f>
        <v/>
      </c>
      <c r="K1684" t="str">
        <f t="shared" si="214"/>
        <v>Low</v>
      </c>
      <c r="L1684">
        <f t="shared" si="215"/>
        <v>0.55000000000000004</v>
      </c>
      <c r="M1684">
        <f>_xlfn.XLOOKUP(B1684, Dim_Hotel!$A$2:$A$11, Dim_Hotel!$I$2:$I$11)
 + (IF(J1684="",0,J1684)
    * _xlfn.XLOOKUP(B1684, Dim_Hotel!$A$2:$A$11, Dim_Hotel!$J$2:$J$11))</f>
        <v>145</v>
      </c>
    </row>
    <row r="1685" spans="1:13" x14ac:dyDescent="0.25">
      <c r="A1685" s="1">
        <f t="shared" si="208"/>
        <v>46191</v>
      </c>
      <c r="B1685" t="str" cm="1">
        <f t="array" ref="B1685">INDEX(HotelList,MOD(ROW()-2,10)+1)</f>
        <v>H004</v>
      </c>
      <c r="C1685">
        <f>_xlfn.XLOOKUP(B1685,Dim_Hotel!$A$2:$A$11,Dim_Hotel!$F$2:$F$11)</f>
        <v>108</v>
      </c>
      <c r="D1685">
        <f t="shared" si="209"/>
        <v>59</v>
      </c>
      <c r="E1685">
        <f t="shared" si="210"/>
        <v>0.54629629629629628</v>
      </c>
      <c r="F1685">
        <f t="shared" si="211"/>
        <v>135</v>
      </c>
      <c r="G1685">
        <f t="shared" si="212"/>
        <v>73.75</v>
      </c>
      <c r="H1685" t="str">
        <f>_xlfn.XLOOKUP(A1685,Fact_Events!$D$2:$D$20,Fact_Events!$A$2:$A$20, "")</f>
        <v/>
      </c>
      <c r="I1685">
        <f t="shared" si="213"/>
        <v>0</v>
      </c>
      <c r="J1685" t="str">
        <f>_xlfn.XLOOKUP(H1685, Fact_Events!$A$2:$A$20, Fact_Events!$F$2:$F$20, "")</f>
        <v/>
      </c>
      <c r="K1685" t="str">
        <f t="shared" si="214"/>
        <v>Low</v>
      </c>
      <c r="L1685">
        <f t="shared" si="215"/>
        <v>0.55000000000000004</v>
      </c>
      <c r="M1685">
        <f>_xlfn.XLOOKUP(B1685, Dim_Hotel!$A$2:$A$11, Dim_Hotel!$I$2:$I$11)
 + (IF(J1685="",0,J1685)
    * _xlfn.XLOOKUP(B1685, Dim_Hotel!$A$2:$A$11, Dim_Hotel!$J$2:$J$11))</f>
        <v>135</v>
      </c>
    </row>
    <row r="1686" spans="1:13" x14ac:dyDescent="0.25">
      <c r="A1686" s="1">
        <f t="shared" si="208"/>
        <v>46191</v>
      </c>
      <c r="B1686" t="str" cm="1">
        <f t="array" ref="B1686">INDEX(HotelList,MOD(ROW()-2,10)+1)</f>
        <v>H005</v>
      </c>
      <c r="C1686">
        <f>_xlfn.XLOOKUP(B1686,Dim_Hotel!$A$2:$A$11,Dim_Hotel!$F$2:$F$11)</f>
        <v>66</v>
      </c>
      <c r="D1686">
        <f t="shared" si="209"/>
        <v>36</v>
      </c>
      <c r="E1686">
        <f t="shared" si="210"/>
        <v>0.54545454545454541</v>
      </c>
      <c r="F1686">
        <f t="shared" si="211"/>
        <v>82</v>
      </c>
      <c r="G1686">
        <f t="shared" si="212"/>
        <v>44.727272727272727</v>
      </c>
      <c r="H1686" t="str">
        <f>_xlfn.XLOOKUP(A1686,Fact_Events!$D$2:$D$20,Fact_Events!$A$2:$A$20, "")</f>
        <v/>
      </c>
      <c r="I1686">
        <f t="shared" si="213"/>
        <v>0</v>
      </c>
      <c r="J1686" t="str">
        <f>_xlfn.XLOOKUP(H1686, Fact_Events!$A$2:$A$20, Fact_Events!$F$2:$F$20, "")</f>
        <v/>
      </c>
      <c r="K1686" t="str">
        <f t="shared" si="214"/>
        <v>Low</v>
      </c>
      <c r="L1686">
        <f t="shared" si="215"/>
        <v>0.55000000000000004</v>
      </c>
      <c r="M1686">
        <f>_xlfn.XLOOKUP(B1686, Dim_Hotel!$A$2:$A$11, Dim_Hotel!$I$2:$I$11)
 + (IF(J1686="",0,J1686)
    * _xlfn.XLOOKUP(B1686, Dim_Hotel!$A$2:$A$11, Dim_Hotel!$J$2:$J$11))</f>
        <v>82</v>
      </c>
    </row>
    <row r="1687" spans="1:13" x14ac:dyDescent="0.25">
      <c r="A1687" s="1">
        <f t="shared" si="208"/>
        <v>46191</v>
      </c>
      <c r="B1687" t="str" cm="1">
        <f t="array" ref="B1687">INDEX(HotelList,MOD(ROW()-2,10)+1)</f>
        <v>H006</v>
      </c>
      <c r="C1687">
        <f>_xlfn.XLOOKUP(B1687,Dim_Hotel!$A$2:$A$11,Dim_Hotel!$F$2:$F$11)</f>
        <v>311</v>
      </c>
      <c r="D1687">
        <f t="shared" si="209"/>
        <v>171</v>
      </c>
      <c r="E1687">
        <f t="shared" si="210"/>
        <v>0.54983922829581988</v>
      </c>
      <c r="F1687">
        <f t="shared" si="211"/>
        <v>190</v>
      </c>
      <c r="G1687">
        <f t="shared" si="212"/>
        <v>104.46945337620578</v>
      </c>
      <c r="H1687" t="str">
        <f>_xlfn.XLOOKUP(A1687,Fact_Events!$D$2:$D$20,Fact_Events!$A$2:$A$20, "")</f>
        <v/>
      </c>
      <c r="I1687">
        <f t="shared" si="213"/>
        <v>0</v>
      </c>
      <c r="J1687" t="str">
        <f>_xlfn.XLOOKUP(H1687, Fact_Events!$A$2:$A$20, Fact_Events!$F$2:$F$20, "")</f>
        <v/>
      </c>
      <c r="K1687" t="str">
        <f t="shared" si="214"/>
        <v>Low</v>
      </c>
      <c r="L1687">
        <f t="shared" si="215"/>
        <v>0.55000000000000004</v>
      </c>
      <c r="M1687">
        <f>_xlfn.XLOOKUP(B1687, Dim_Hotel!$A$2:$A$11, Dim_Hotel!$I$2:$I$11)
 + (IF(J1687="",0,J1687)
    * _xlfn.XLOOKUP(B1687, Dim_Hotel!$A$2:$A$11, Dim_Hotel!$J$2:$J$11))</f>
        <v>190</v>
      </c>
    </row>
    <row r="1688" spans="1:13" x14ac:dyDescent="0.25">
      <c r="A1688" s="1">
        <f t="shared" si="208"/>
        <v>46191</v>
      </c>
      <c r="B1688" t="str" cm="1">
        <f t="array" ref="B1688">INDEX(HotelList,MOD(ROW()-2,10)+1)</f>
        <v>H007</v>
      </c>
      <c r="C1688">
        <f>_xlfn.XLOOKUP(B1688,Dim_Hotel!$A$2:$A$11,Dim_Hotel!$F$2:$F$11)</f>
        <v>132</v>
      </c>
      <c r="D1688">
        <f t="shared" si="209"/>
        <v>73</v>
      </c>
      <c r="E1688">
        <f t="shared" si="210"/>
        <v>0.55303030303030298</v>
      </c>
      <c r="F1688">
        <f t="shared" si="211"/>
        <v>165</v>
      </c>
      <c r="G1688">
        <f t="shared" si="212"/>
        <v>91.249999999999986</v>
      </c>
      <c r="H1688" t="str">
        <f>_xlfn.XLOOKUP(A1688,Fact_Events!$D$2:$D$20,Fact_Events!$A$2:$A$20, "")</f>
        <v/>
      </c>
      <c r="I1688">
        <f t="shared" si="213"/>
        <v>0</v>
      </c>
      <c r="J1688" t="str">
        <f>_xlfn.XLOOKUP(H1688, Fact_Events!$A$2:$A$20, Fact_Events!$F$2:$F$20, "")</f>
        <v/>
      </c>
      <c r="K1688" t="str">
        <f t="shared" si="214"/>
        <v>Low</v>
      </c>
      <c r="L1688">
        <f t="shared" si="215"/>
        <v>0.55000000000000004</v>
      </c>
      <c r="M1688">
        <f>_xlfn.XLOOKUP(B1688, Dim_Hotel!$A$2:$A$11, Dim_Hotel!$I$2:$I$11)
 + (IF(J1688="",0,J1688)
    * _xlfn.XLOOKUP(B1688, Dim_Hotel!$A$2:$A$11, Dim_Hotel!$J$2:$J$11))</f>
        <v>165</v>
      </c>
    </row>
    <row r="1689" spans="1:13" x14ac:dyDescent="0.25">
      <c r="A1689" s="1">
        <f t="shared" si="208"/>
        <v>46191</v>
      </c>
      <c r="B1689" t="str" cm="1">
        <f t="array" ref="B1689">INDEX(HotelList,MOD(ROW()-2,10)+1)</f>
        <v>H008</v>
      </c>
      <c r="C1689">
        <f>_xlfn.XLOOKUP(B1689,Dim_Hotel!$A$2:$A$11,Dim_Hotel!$F$2:$F$11)</f>
        <v>103</v>
      </c>
      <c r="D1689">
        <f t="shared" si="209"/>
        <v>57</v>
      </c>
      <c r="E1689">
        <f t="shared" si="210"/>
        <v>0.55339805825242716</v>
      </c>
      <c r="F1689">
        <f t="shared" si="211"/>
        <v>140</v>
      </c>
      <c r="G1689">
        <f t="shared" si="212"/>
        <v>77.475728155339809</v>
      </c>
      <c r="H1689" t="str">
        <f>_xlfn.XLOOKUP(A1689,Fact_Events!$D$2:$D$20,Fact_Events!$A$2:$A$20, "")</f>
        <v/>
      </c>
      <c r="I1689">
        <f t="shared" si="213"/>
        <v>0</v>
      </c>
      <c r="J1689" t="str">
        <f>_xlfn.XLOOKUP(H1689, Fact_Events!$A$2:$A$20, Fact_Events!$F$2:$F$20, "")</f>
        <v/>
      </c>
      <c r="K1689" t="str">
        <f t="shared" si="214"/>
        <v>Low</v>
      </c>
      <c r="L1689">
        <f t="shared" si="215"/>
        <v>0.55000000000000004</v>
      </c>
      <c r="M1689">
        <f>_xlfn.XLOOKUP(B1689, Dim_Hotel!$A$2:$A$11, Dim_Hotel!$I$2:$I$11)
 + (IF(J1689="",0,J1689)
    * _xlfn.XLOOKUP(B1689, Dim_Hotel!$A$2:$A$11, Dim_Hotel!$J$2:$J$11))</f>
        <v>140</v>
      </c>
    </row>
    <row r="1690" spans="1:13" x14ac:dyDescent="0.25">
      <c r="A1690" s="1">
        <f t="shared" si="208"/>
        <v>46191</v>
      </c>
      <c r="B1690" t="str" cm="1">
        <f t="array" ref="B1690">INDEX(HotelList,MOD(ROW()-2,10)+1)</f>
        <v>H009</v>
      </c>
      <c r="C1690">
        <f>_xlfn.XLOOKUP(B1690,Dim_Hotel!$A$2:$A$11,Dim_Hotel!$F$2:$F$11)</f>
        <v>114</v>
      </c>
      <c r="D1690">
        <f t="shared" si="209"/>
        <v>63</v>
      </c>
      <c r="E1690">
        <f t="shared" si="210"/>
        <v>0.55263157894736847</v>
      </c>
      <c r="F1690">
        <f t="shared" si="211"/>
        <v>185</v>
      </c>
      <c r="G1690">
        <f t="shared" si="212"/>
        <v>102.23684210526316</v>
      </c>
      <c r="H1690" t="str">
        <f>_xlfn.XLOOKUP(A1690,Fact_Events!$D$2:$D$20,Fact_Events!$A$2:$A$20, "")</f>
        <v/>
      </c>
      <c r="I1690">
        <f t="shared" si="213"/>
        <v>0</v>
      </c>
      <c r="J1690" t="str">
        <f>_xlfn.XLOOKUP(H1690, Fact_Events!$A$2:$A$20, Fact_Events!$F$2:$F$20, "")</f>
        <v/>
      </c>
      <c r="K1690" t="str">
        <f t="shared" si="214"/>
        <v>Low</v>
      </c>
      <c r="L1690">
        <f t="shared" si="215"/>
        <v>0.55000000000000004</v>
      </c>
      <c r="M1690">
        <f>_xlfn.XLOOKUP(B1690, Dim_Hotel!$A$2:$A$11, Dim_Hotel!$I$2:$I$11)
 + (IF(J1690="",0,J1690)
    * _xlfn.XLOOKUP(B1690, Dim_Hotel!$A$2:$A$11, Dim_Hotel!$J$2:$J$11))</f>
        <v>185</v>
      </c>
    </row>
    <row r="1691" spans="1:13" x14ac:dyDescent="0.25">
      <c r="A1691" s="1">
        <f t="shared" si="208"/>
        <v>46191</v>
      </c>
      <c r="B1691" t="str" cm="1">
        <f t="array" ref="B1691">INDEX(HotelList,MOD(ROW()-2,10)+1)</f>
        <v>H010</v>
      </c>
      <c r="C1691">
        <f>_xlfn.XLOOKUP(B1691,Dim_Hotel!$A$2:$A$11,Dim_Hotel!$F$2:$F$11)</f>
        <v>89</v>
      </c>
      <c r="D1691">
        <f t="shared" si="209"/>
        <v>49</v>
      </c>
      <c r="E1691">
        <f t="shared" si="210"/>
        <v>0.550561797752809</v>
      </c>
      <c r="F1691">
        <f t="shared" si="211"/>
        <v>150</v>
      </c>
      <c r="G1691">
        <f t="shared" si="212"/>
        <v>82.584269662921344</v>
      </c>
      <c r="H1691" t="str">
        <f>_xlfn.XLOOKUP(A1691,Fact_Events!$D$2:$D$20,Fact_Events!$A$2:$A$20, "")</f>
        <v/>
      </c>
      <c r="I1691">
        <f t="shared" si="213"/>
        <v>0</v>
      </c>
      <c r="J1691" t="str">
        <f>_xlfn.XLOOKUP(H1691, Fact_Events!$A$2:$A$20, Fact_Events!$F$2:$F$20, "")</f>
        <v/>
      </c>
      <c r="K1691" t="str">
        <f t="shared" si="214"/>
        <v>Low</v>
      </c>
      <c r="L1691">
        <f t="shared" si="215"/>
        <v>0.55000000000000004</v>
      </c>
      <c r="M1691">
        <f>_xlfn.XLOOKUP(B1691, Dim_Hotel!$A$2:$A$11, Dim_Hotel!$I$2:$I$11)
 + (IF(J1691="",0,J1691)
    * _xlfn.XLOOKUP(B1691, Dim_Hotel!$A$2:$A$11, Dim_Hotel!$J$2:$J$11))</f>
        <v>150</v>
      </c>
    </row>
    <row r="1692" spans="1:13" x14ac:dyDescent="0.25">
      <c r="A1692" s="1">
        <f t="shared" si="208"/>
        <v>46192</v>
      </c>
      <c r="B1692" t="str" cm="1">
        <f t="array" ref="B1692">INDEX(HotelList,MOD(ROW()-2,10)+1)</f>
        <v>H001</v>
      </c>
      <c r="C1692">
        <f>_xlfn.XLOOKUP(B1692,Dim_Hotel!$A$2:$A$11,Dim_Hotel!$F$2:$F$11)</f>
        <v>888</v>
      </c>
      <c r="D1692">
        <f t="shared" si="209"/>
        <v>488</v>
      </c>
      <c r="E1692">
        <f t="shared" si="210"/>
        <v>0.5495495495495496</v>
      </c>
      <c r="F1692">
        <f t="shared" si="211"/>
        <v>260</v>
      </c>
      <c r="G1692">
        <f t="shared" si="212"/>
        <v>142.88288288288288</v>
      </c>
      <c r="H1692" t="str">
        <f>_xlfn.XLOOKUP(A1692,Fact_Events!$D$2:$D$20,Fact_Events!$A$2:$A$20, "")</f>
        <v/>
      </c>
      <c r="I1692">
        <f t="shared" si="213"/>
        <v>0</v>
      </c>
      <c r="J1692" t="str">
        <f>_xlfn.XLOOKUP(H1692, Fact_Events!$A$2:$A$20, Fact_Events!$F$2:$F$20, "")</f>
        <v/>
      </c>
      <c r="K1692" t="str">
        <f t="shared" si="214"/>
        <v>Low</v>
      </c>
      <c r="L1692">
        <f t="shared" si="215"/>
        <v>0.55000000000000004</v>
      </c>
      <c r="M1692">
        <f>_xlfn.XLOOKUP(B1692, Dim_Hotel!$A$2:$A$11, Dim_Hotel!$I$2:$I$11)
 + (IF(J1692="",0,J1692)
    * _xlfn.XLOOKUP(B1692, Dim_Hotel!$A$2:$A$11, Dim_Hotel!$J$2:$J$11))</f>
        <v>260</v>
      </c>
    </row>
    <row r="1693" spans="1:13" x14ac:dyDescent="0.25">
      <c r="A1693" s="1">
        <f t="shared" si="208"/>
        <v>46192</v>
      </c>
      <c r="B1693" t="str" cm="1">
        <f t="array" ref="B1693">INDEX(HotelList,MOD(ROW()-2,10)+1)</f>
        <v>H002</v>
      </c>
      <c r="C1693">
        <f>_xlfn.XLOOKUP(B1693,Dim_Hotel!$A$2:$A$11,Dim_Hotel!$F$2:$F$11)</f>
        <v>147</v>
      </c>
      <c r="D1693">
        <f t="shared" si="209"/>
        <v>81</v>
      </c>
      <c r="E1693">
        <f t="shared" si="210"/>
        <v>0.55102040816326525</v>
      </c>
      <c r="F1693">
        <f t="shared" si="211"/>
        <v>175</v>
      </c>
      <c r="G1693">
        <f t="shared" si="212"/>
        <v>96.428571428571416</v>
      </c>
      <c r="H1693" t="str">
        <f>_xlfn.XLOOKUP(A1693,Fact_Events!$D$2:$D$20,Fact_Events!$A$2:$A$20, "")</f>
        <v/>
      </c>
      <c r="I1693">
        <f t="shared" si="213"/>
        <v>0</v>
      </c>
      <c r="J1693" t="str">
        <f>_xlfn.XLOOKUP(H1693, Fact_Events!$A$2:$A$20, Fact_Events!$F$2:$F$20, "")</f>
        <v/>
      </c>
      <c r="K1693" t="str">
        <f t="shared" si="214"/>
        <v>Low</v>
      </c>
      <c r="L1693">
        <f t="shared" si="215"/>
        <v>0.55000000000000004</v>
      </c>
      <c r="M1693">
        <f>_xlfn.XLOOKUP(B1693, Dim_Hotel!$A$2:$A$11, Dim_Hotel!$I$2:$I$11)
 + (IF(J1693="",0,J1693)
    * _xlfn.XLOOKUP(B1693, Dim_Hotel!$A$2:$A$11, Dim_Hotel!$J$2:$J$11))</f>
        <v>175</v>
      </c>
    </row>
    <row r="1694" spans="1:13" x14ac:dyDescent="0.25">
      <c r="A1694" s="1">
        <f t="shared" si="208"/>
        <v>46192</v>
      </c>
      <c r="B1694" t="str" cm="1">
        <f t="array" ref="B1694">INDEX(HotelList,MOD(ROW()-2,10)+1)</f>
        <v>H003</v>
      </c>
      <c r="C1694">
        <f>_xlfn.XLOOKUP(B1694,Dim_Hotel!$A$2:$A$11,Dim_Hotel!$F$2:$F$11)</f>
        <v>121</v>
      </c>
      <c r="D1694">
        <f t="shared" si="209"/>
        <v>67</v>
      </c>
      <c r="E1694">
        <f t="shared" si="210"/>
        <v>0.55371900826446285</v>
      </c>
      <c r="F1694">
        <f t="shared" si="211"/>
        <v>145</v>
      </c>
      <c r="G1694">
        <f t="shared" si="212"/>
        <v>80.289256198347118</v>
      </c>
      <c r="H1694" t="str">
        <f>_xlfn.XLOOKUP(A1694,Fact_Events!$D$2:$D$20,Fact_Events!$A$2:$A$20, "")</f>
        <v/>
      </c>
      <c r="I1694">
        <f t="shared" si="213"/>
        <v>0</v>
      </c>
      <c r="J1694" t="str">
        <f>_xlfn.XLOOKUP(H1694, Fact_Events!$A$2:$A$20, Fact_Events!$F$2:$F$20, "")</f>
        <v/>
      </c>
      <c r="K1694" t="str">
        <f t="shared" si="214"/>
        <v>Low</v>
      </c>
      <c r="L1694">
        <f t="shared" si="215"/>
        <v>0.55000000000000004</v>
      </c>
      <c r="M1694">
        <f>_xlfn.XLOOKUP(B1694, Dim_Hotel!$A$2:$A$11, Dim_Hotel!$I$2:$I$11)
 + (IF(J1694="",0,J1694)
    * _xlfn.XLOOKUP(B1694, Dim_Hotel!$A$2:$A$11, Dim_Hotel!$J$2:$J$11))</f>
        <v>145</v>
      </c>
    </row>
    <row r="1695" spans="1:13" x14ac:dyDescent="0.25">
      <c r="A1695" s="1">
        <f t="shared" si="208"/>
        <v>46192</v>
      </c>
      <c r="B1695" t="str" cm="1">
        <f t="array" ref="B1695">INDEX(HotelList,MOD(ROW()-2,10)+1)</f>
        <v>H004</v>
      </c>
      <c r="C1695">
        <f>_xlfn.XLOOKUP(B1695,Dim_Hotel!$A$2:$A$11,Dim_Hotel!$F$2:$F$11)</f>
        <v>108</v>
      </c>
      <c r="D1695">
        <f t="shared" si="209"/>
        <v>59</v>
      </c>
      <c r="E1695">
        <f t="shared" si="210"/>
        <v>0.54629629629629628</v>
      </c>
      <c r="F1695">
        <f t="shared" si="211"/>
        <v>135</v>
      </c>
      <c r="G1695">
        <f t="shared" si="212"/>
        <v>73.75</v>
      </c>
      <c r="H1695" t="str">
        <f>_xlfn.XLOOKUP(A1695,Fact_Events!$D$2:$D$20,Fact_Events!$A$2:$A$20, "")</f>
        <v/>
      </c>
      <c r="I1695">
        <f t="shared" si="213"/>
        <v>0</v>
      </c>
      <c r="J1695" t="str">
        <f>_xlfn.XLOOKUP(H1695, Fact_Events!$A$2:$A$20, Fact_Events!$F$2:$F$20, "")</f>
        <v/>
      </c>
      <c r="K1695" t="str">
        <f t="shared" si="214"/>
        <v>Low</v>
      </c>
      <c r="L1695">
        <f t="shared" si="215"/>
        <v>0.55000000000000004</v>
      </c>
      <c r="M1695">
        <f>_xlfn.XLOOKUP(B1695, Dim_Hotel!$A$2:$A$11, Dim_Hotel!$I$2:$I$11)
 + (IF(J1695="",0,J1695)
    * _xlfn.XLOOKUP(B1695, Dim_Hotel!$A$2:$A$11, Dim_Hotel!$J$2:$J$11))</f>
        <v>135</v>
      </c>
    </row>
    <row r="1696" spans="1:13" x14ac:dyDescent="0.25">
      <c r="A1696" s="1">
        <f t="shared" si="208"/>
        <v>46192</v>
      </c>
      <c r="B1696" t="str" cm="1">
        <f t="array" ref="B1696">INDEX(HotelList,MOD(ROW()-2,10)+1)</f>
        <v>H005</v>
      </c>
      <c r="C1696">
        <f>_xlfn.XLOOKUP(B1696,Dim_Hotel!$A$2:$A$11,Dim_Hotel!$F$2:$F$11)</f>
        <v>66</v>
      </c>
      <c r="D1696">
        <f t="shared" si="209"/>
        <v>36</v>
      </c>
      <c r="E1696">
        <f t="shared" si="210"/>
        <v>0.54545454545454541</v>
      </c>
      <c r="F1696">
        <f t="shared" si="211"/>
        <v>82</v>
      </c>
      <c r="G1696">
        <f t="shared" si="212"/>
        <v>44.727272727272727</v>
      </c>
      <c r="H1696" t="str">
        <f>_xlfn.XLOOKUP(A1696,Fact_Events!$D$2:$D$20,Fact_Events!$A$2:$A$20, "")</f>
        <v/>
      </c>
      <c r="I1696">
        <f t="shared" si="213"/>
        <v>0</v>
      </c>
      <c r="J1696" t="str">
        <f>_xlfn.XLOOKUP(H1696, Fact_Events!$A$2:$A$20, Fact_Events!$F$2:$F$20, "")</f>
        <v/>
      </c>
      <c r="K1696" t="str">
        <f t="shared" si="214"/>
        <v>Low</v>
      </c>
      <c r="L1696">
        <f t="shared" si="215"/>
        <v>0.55000000000000004</v>
      </c>
      <c r="M1696">
        <f>_xlfn.XLOOKUP(B1696, Dim_Hotel!$A$2:$A$11, Dim_Hotel!$I$2:$I$11)
 + (IF(J1696="",0,J1696)
    * _xlfn.XLOOKUP(B1696, Dim_Hotel!$A$2:$A$11, Dim_Hotel!$J$2:$J$11))</f>
        <v>82</v>
      </c>
    </row>
    <row r="1697" spans="1:13" x14ac:dyDescent="0.25">
      <c r="A1697" s="1">
        <f t="shared" si="208"/>
        <v>46192</v>
      </c>
      <c r="B1697" t="str" cm="1">
        <f t="array" ref="B1697">INDEX(HotelList,MOD(ROW()-2,10)+1)</f>
        <v>H006</v>
      </c>
      <c r="C1697">
        <f>_xlfn.XLOOKUP(B1697,Dim_Hotel!$A$2:$A$11,Dim_Hotel!$F$2:$F$11)</f>
        <v>311</v>
      </c>
      <c r="D1697">
        <f t="shared" si="209"/>
        <v>171</v>
      </c>
      <c r="E1697">
        <f t="shared" si="210"/>
        <v>0.54983922829581988</v>
      </c>
      <c r="F1697">
        <f t="shared" si="211"/>
        <v>190</v>
      </c>
      <c r="G1697">
        <f t="shared" si="212"/>
        <v>104.46945337620578</v>
      </c>
      <c r="H1697" t="str">
        <f>_xlfn.XLOOKUP(A1697,Fact_Events!$D$2:$D$20,Fact_Events!$A$2:$A$20, "")</f>
        <v/>
      </c>
      <c r="I1697">
        <f t="shared" si="213"/>
        <v>0</v>
      </c>
      <c r="J1697" t="str">
        <f>_xlfn.XLOOKUP(H1697, Fact_Events!$A$2:$A$20, Fact_Events!$F$2:$F$20, "")</f>
        <v/>
      </c>
      <c r="K1697" t="str">
        <f t="shared" si="214"/>
        <v>Low</v>
      </c>
      <c r="L1697">
        <f t="shared" si="215"/>
        <v>0.55000000000000004</v>
      </c>
      <c r="M1697">
        <f>_xlfn.XLOOKUP(B1697, Dim_Hotel!$A$2:$A$11, Dim_Hotel!$I$2:$I$11)
 + (IF(J1697="",0,J1697)
    * _xlfn.XLOOKUP(B1697, Dim_Hotel!$A$2:$A$11, Dim_Hotel!$J$2:$J$11))</f>
        <v>190</v>
      </c>
    </row>
    <row r="1698" spans="1:13" x14ac:dyDescent="0.25">
      <c r="A1698" s="1">
        <f t="shared" si="208"/>
        <v>46192</v>
      </c>
      <c r="B1698" t="str" cm="1">
        <f t="array" ref="B1698">INDEX(HotelList,MOD(ROW()-2,10)+1)</f>
        <v>H007</v>
      </c>
      <c r="C1698">
        <f>_xlfn.XLOOKUP(B1698,Dim_Hotel!$A$2:$A$11,Dim_Hotel!$F$2:$F$11)</f>
        <v>132</v>
      </c>
      <c r="D1698">
        <f t="shared" si="209"/>
        <v>73</v>
      </c>
      <c r="E1698">
        <f t="shared" si="210"/>
        <v>0.55303030303030298</v>
      </c>
      <c r="F1698">
        <f t="shared" si="211"/>
        <v>165</v>
      </c>
      <c r="G1698">
        <f t="shared" si="212"/>
        <v>91.249999999999986</v>
      </c>
      <c r="H1698" t="str">
        <f>_xlfn.XLOOKUP(A1698,Fact_Events!$D$2:$D$20,Fact_Events!$A$2:$A$20, "")</f>
        <v/>
      </c>
      <c r="I1698">
        <f t="shared" si="213"/>
        <v>0</v>
      </c>
      <c r="J1698" t="str">
        <f>_xlfn.XLOOKUP(H1698, Fact_Events!$A$2:$A$20, Fact_Events!$F$2:$F$20, "")</f>
        <v/>
      </c>
      <c r="K1698" t="str">
        <f t="shared" si="214"/>
        <v>Low</v>
      </c>
      <c r="L1698">
        <f t="shared" si="215"/>
        <v>0.55000000000000004</v>
      </c>
      <c r="M1698">
        <f>_xlfn.XLOOKUP(B1698, Dim_Hotel!$A$2:$A$11, Dim_Hotel!$I$2:$I$11)
 + (IF(J1698="",0,J1698)
    * _xlfn.XLOOKUP(B1698, Dim_Hotel!$A$2:$A$11, Dim_Hotel!$J$2:$J$11))</f>
        <v>165</v>
      </c>
    </row>
    <row r="1699" spans="1:13" x14ac:dyDescent="0.25">
      <c r="A1699" s="1">
        <f t="shared" si="208"/>
        <v>46192</v>
      </c>
      <c r="B1699" t="str" cm="1">
        <f t="array" ref="B1699">INDEX(HotelList,MOD(ROW()-2,10)+1)</f>
        <v>H008</v>
      </c>
      <c r="C1699">
        <f>_xlfn.XLOOKUP(B1699,Dim_Hotel!$A$2:$A$11,Dim_Hotel!$F$2:$F$11)</f>
        <v>103</v>
      </c>
      <c r="D1699">
        <f t="shared" si="209"/>
        <v>57</v>
      </c>
      <c r="E1699">
        <f t="shared" si="210"/>
        <v>0.55339805825242716</v>
      </c>
      <c r="F1699">
        <f t="shared" si="211"/>
        <v>140</v>
      </c>
      <c r="G1699">
        <f t="shared" si="212"/>
        <v>77.475728155339809</v>
      </c>
      <c r="H1699" t="str">
        <f>_xlfn.XLOOKUP(A1699,Fact_Events!$D$2:$D$20,Fact_Events!$A$2:$A$20, "")</f>
        <v/>
      </c>
      <c r="I1699">
        <f t="shared" si="213"/>
        <v>0</v>
      </c>
      <c r="J1699" t="str">
        <f>_xlfn.XLOOKUP(H1699, Fact_Events!$A$2:$A$20, Fact_Events!$F$2:$F$20, "")</f>
        <v/>
      </c>
      <c r="K1699" t="str">
        <f t="shared" si="214"/>
        <v>Low</v>
      </c>
      <c r="L1699">
        <f t="shared" si="215"/>
        <v>0.55000000000000004</v>
      </c>
      <c r="M1699">
        <f>_xlfn.XLOOKUP(B1699, Dim_Hotel!$A$2:$A$11, Dim_Hotel!$I$2:$I$11)
 + (IF(J1699="",0,J1699)
    * _xlfn.XLOOKUP(B1699, Dim_Hotel!$A$2:$A$11, Dim_Hotel!$J$2:$J$11))</f>
        <v>140</v>
      </c>
    </row>
    <row r="1700" spans="1:13" x14ac:dyDescent="0.25">
      <c r="A1700" s="1">
        <f t="shared" si="208"/>
        <v>46192</v>
      </c>
      <c r="B1700" t="str" cm="1">
        <f t="array" ref="B1700">INDEX(HotelList,MOD(ROW()-2,10)+1)</f>
        <v>H009</v>
      </c>
      <c r="C1700">
        <f>_xlfn.XLOOKUP(B1700,Dim_Hotel!$A$2:$A$11,Dim_Hotel!$F$2:$F$11)</f>
        <v>114</v>
      </c>
      <c r="D1700">
        <f t="shared" si="209"/>
        <v>63</v>
      </c>
      <c r="E1700">
        <f t="shared" si="210"/>
        <v>0.55263157894736847</v>
      </c>
      <c r="F1700">
        <f t="shared" si="211"/>
        <v>185</v>
      </c>
      <c r="G1700">
        <f t="shared" si="212"/>
        <v>102.23684210526316</v>
      </c>
      <c r="H1700" t="str">
        <f>_xlfn.XLOOKUP(A1700,Fact_Events!$D$2:$D$20,Fact_Events!$A$2:$A$20, "")</f>
        <v/>
      </c>
      <c r="I1700">
        <f t="shared" si="213"/>
        <v>0</v>
      </c>
      <c r="J1700" t="str">
        <f>_xlfn.XLOOKUP(H1700, Fact_Events!$A$2:$A$20, Fact_Events!$F$2:$F$20, "")</f>
        <v/>
      </c>
      <c r="K1700" t="str">
        <f t="shared" si="214"/>
        <v>Low</v>
      </c>
      <c r="L1700">
        <f t="shared" si="215"/>
        <v>0.55000000000000004</v>
      </c>
      <c r="M1700">
        <f>_xlfn.XLOOKUP(B1700, Dim_Hotel!$A$2:$A$11, Dim_Hotel!$I$2:$I$11)
 + (IF(J1700="",0,J1700)
    * _xlfn.XLOOKUP(B1700, Dim_Hotel!$A$2:$A$11, Dim_Hotel!$J$2:$J$11))</f>
        <v>185</v>
      </c>
    </row>
    <row r="1701" spans="1:13" x14ac:dyDescent="0.25">
      <c r="A1701" s="1">
        <f t="shared" si="208"/>
        <v>46192</v>
      </c>
      <c r="B1701" t="str" cm="1">
        <f t="array" ref="B1701">INDEX(HotelList,MOD(ROW()-2,10)+1)</f>
        <v>H010</v>
      </c>
      <c r="C1701">
        <f>_xlfn.XLOOKUP(B1701,Dim_Hotel!$A$2:$A$11,Dim_Hotel!$F$2:$F$11)</f>
        <v>89</v>
      </c>
      <c r="D1701">
        <f t="shared" si="209"/>
        <v>49</v>
      </c>
      <c r="E1701">
        <f t="shared" si="210"/>
        <v>0.550561797752809</v>
      </c>
      <c r="F1701">
        <f t="shared" si="211"/>
        <v>150</v>
      </c>
      <c r="G1701">
        <f t="shared" si="212"/>
        <v>82.584269662921344</v>
      </c>
      <c r="H1701" t="str">
        <f>_xlfn.XLOOKUP(A1701,Fact_Events!$D$2:$D$20,Fact_Events!$A$2:$A$20, "")</f>
        <v/>
      </c>
      <c r="I1701">
        <f t="shared" si="213"/>
        <v>0</v>
      </c>
      <c r="J1701" t="str">
        <f>_xlfn.XLOOKUP(H1701, Fact_Events!$A$2:$A$20, Fact_Events!$F$2:$F$20, "")</f>
        <v/>
      </c>
      <c r="K1701" t="str">
        <f t="shared" si="214"/>
        <v>Low</v>
      </c>
      <c r="L1701">
        <f t="shared" si="215"/>
        <v>0.55000000000000004</v>
      </c>
      <c r="M1701">
        <f>_xlfn.XLOOKUP(B1701, Dim_Hotel!$A$2:$A$11, Dim_Hotel!$I$2:$I$11)
 + (IF(J1701="",0,J1701)
    * _xlfn.XLOOKUP(B1701, Dim_Hotel!$A$2:$A$11, Dim_Hotel!$J$2:$J$11))</f>
        <v>150</v>
      </c>
    </row>
    <row r="1702" spans="1:13" x14ac:dyDescent="0.25">
      <c r="A1702" s="1">
        <f t="shared" si="208"/>
        <v>46193</v>
      </c>
      <c r="B1702" t="str" cm="1">
        <f t="array" ref="B1702">INDEX(HotelList,MOD(ROW()-2,10)+1)</f>
        <v>H001</v>
      </c>
      <c r="C1702">
        <f>_xlfn.XLOOKUP(B1702,Dim_Hotel!$A$2:$A$11,Dim_Hotel!$F$2:$F$11)</f>
        <v>888</v>
      </c>
      <c r="D1702">
        <f t="shared" si="209"/>
        <v>488</v>
      </c>
      <c r="E1702">
        <f t="shared" si="210"/>
        <v>0.5495495495495496</v>
      </c>
      <c r="F1702">
        <f t="shared" si="211"/>
        <v>260</v>
      </c>
      <c r="G1702">
        <f t="shared" si="212"/>
        <v>142.88288288288288</v>
      </c>
      <c r="H1702" t="str">
        <f>_xlfn.XLOOKUP(A1702,Fact_Events!$D$2:$D$20,Fact_Events!$A$2:$A$20, "")</f>
        <v/>
      </c>
      <c r="I1702">
        <f t="shared" si="213"/>
        <v>0</v>
      </c>
      <c r="J1702" t="str">
        <f>_xlfn.XLOOKUP(H1702, Fact_Events!$A$2:$A$20, Fact_Events!$F$2:$F$20, "")</f>
        <v/>
      </c>
      <c r="K1702" t="str">
        <f t="shared" si="214"/>
        <v>Low</v>
      </c>
      <c r="L1702">
        <f t="shared" si="215"/>
        <v>0.55000000000000004</v>
      </c>
      <c r="M1702">
        <f>_xlfn.XLOOKUP(B1702, Dim_Hotel!$A$2:$A$11, Dim_Hotel!$I$2:$I$11)
 + (IF(J1702="",0,J1702)
    * _xlfn.XLOOKUP(B1702, Dim_Hotel!$A$2:$A$11, Dim_Hotel!$J$2:$J$11))</f>
        <v>260</v>
      </c>
    </row>
    <row r="1703" spans="1:13" x14ac:dyDescent="0.25">
      <c r="A1703" s="1">
        <f t="shared" si="208"/>
        <v>46193</v>
      </c>
      <c r="B1703" t="str" cm="1">
        <f t="array" ref="B1703">INDEX(HotelList,MOD(ROW()-2,10)+1)</f>
        <v>H002</v>
      </c>
      <c r="C1703">
        <f>_xlfn.XLOOKUP(B1703,Dim_Hotel!$A$2:$A$11,Dim_Hotel!$F$2:$F$11)</f>
        <v>147</v>
      </c>
      <c r="D1703">
        <f t="shared" si="209"/>
        <v>81</v>
      </c>
      <c r="E1703">
        <f t="shared" si="210"/>
        <v>0.55102040816326525</v>
      </c>
      <c r="F1703">
        <f t="shared" si="211"/>
        <v>175</v>
      </c>
      <c r="G1703">
        <f t="shared" si="212"/>
        <v>96.428571428571416</v>
      </c>
      <c r="H1703" t="str">
        <f>_xlfn.XLOOKUP(A1703,Fact_Events!$D$2:$D$20,Fact_Events!$A$2:$A$20, "")</f>
        <v/>
      </c>
      <c r="I1703">
        <f t="shared" si="213"/>
        <v>0</v>
      </c>
      <c r="J1703" t="str">
        <f>_xlfn.XLOOKUP(H1703, Fact_Events!$A$2:$A$20, Fact_Events!$F$2:$F$20, "")</f>
        <v/>
      </c>
      <c r="K1703" t="str">
        <f t="shared" si="214"/>
        <v>Low</v>
      </c>
      <c r="L1703">
        <f t="shared" si="215"/>
        <v>0.55000000000000004</v>
      </c>
      <c r="M1703">
        <f>_xlfn.XLOOKUP(B1703, Dim_Hotel!$A$2:$A$11, Dim_Hotel!$I$2:$I$11)
 + (IF(J1703="",0,J1703)
    * _xlfn.XLOOKUP(B1703, Dim_Hotel!$A$2:$A$11, Dim_Hotel!$J$2:$J$11))</f>
        <v>175</v>
      </c>
    </row>
    <row r="1704" spans="1:13" x14ac:dyDescent="0.25">
      <c r="A1704" s="1">
        <f t="shared" si="208"/>
        <v>46193</v>
      </c>
      <c r="B1704" t="str" cm="1">
        <f t="array" ref="B1704">INDEX(HotelList,MOD(ROW()-2,10)+1)</f>
        <v>H003</v>
      </c>
      <c r="C1704">
        <f>_xlfn.XLOOKUP(B1704,Dim_Hotel!$A$2:$A$11,Dim_Hotel!$F$2:$F$11)</f>
        <v>121</v>
      </c>
      <c r="D1704">
        <f t="shared" si="209"/>
        <v>67</v>
      </c>
      <c r="E1704">
        <f t="shared" si="210"/>
        <v>0.55371900826446285</v>
      </c>
      <c r="F1704">
        <f t="shared" si="211"/>
        <v>145</v>
      </c>
      <c r="G1704">
        <f t="shared" si="212"/>
        <v>80.289256198347118</v>
      </c>
      <c r="H1704" t="str">
        <f>_xlfn.XLOOKUP(A1704,Fact_Events!$D$2:$D$20,Fact_Events!$A$2:$A$20, "")</f>
        <v/>
      </c>
      <c r="I1704">
        <f t="shared" si="213"/>
        <v>0</v>
      </c>
      <c r="J1704" t="str">
        <f>_xlfn.XLOOKUP(H1704, Fact_Events!$A$2:$A$20, Fact_Events!$F$2:$F$20, "")</f>
        <v/>
      </c>
      <c r="K1704" t="str">
        <f t="shared" si="214"/>
        <v>Low</v>
      </c>
      <c r="L1704">
        <f t="shared" si="215"/>
        <v>0.55000000000000004</v>
      </c>
      <c r="M1704">
        <f>_xlfn.XLOOKUP(B1704, Dim_Hotel!$A$2:$A$11, Dim_Hotel!$I$2:$I$11)
 + (IF(J1704="",0,J1704)
    * _xlfn.XLOOKUP(B1704, Dim_Hotel!$A$2:$A$11, Dim_Hotel!$J$2:$J$11))</f>
        <v>145</v>
      </c>
    </row>
    <row r="1705" spans="1:13" x14ac:dyDescent="0.25">
      <c r="A1705" s="1">
        <f t="shared" si="208"/>
        <v>46193</v>
      </c>
      <c r="B1705" t="str" cm="1">
        <f t="array" ref="B1705">INDEX(HotelList,MOD(ROW()-2,10)+1)</f>
        <v>H004</v>
      </c>
      <c r="C1705">
        <f>_xlfn.XLOOKUP(B1705,Dim_Hotel!$A$2:$A$11,Dim_Hotel!$F$2:$F$11)</f>
        <v>108</v>
      </c>
      <c r="D1705">
        <f t="shared" si="209"/>
        <v>59</v>
      </c>
      <c r="E1705">
        <f t="shared" si="210"/>
        <v>0.54629629629629628</v>
      </c>
      <c r="F1705">
        <f t="shared" si="211"/>
        <v>135</v>
      </c>
      <c r="G1705">
        <f t="shared" si="212"/>
        <v>73.75</v>
      </c>
      <c r="H1705" t="str">
        <f>_xlfn.XLOOKUP(A1705,Fact_Events!$D$2:$D$20,Fact_Events!$A$2:$A$20, "")</f>
        <v/>
      </c>
      <c r="I1705">
        <f t="shared" si="213"/>
        <v>0</v>
      </c>
      <c r="J1705" t="str">
        <f>_xlfn.XLOOKUP(H1705, Fact_Events!$A$2:$A$20, Fact_Events!$F$2:$F$20, "")</f>
        <v/>
      </c>
      <c r="K1705" t="str">
        <f t="shared" si="214"/>
        <v>Low</v>
      </c>
      <c r="L1705">
        <f t="shared" si="215"/>
        <v>0.55000000000000004</v>
      </c>
      <c r="M1705">
        <f>_xlfn.XLOOKUP(B1705, Dim_Hotel!$A$2:$A$11, Dim_Hotel!$I$2:$I$11)
 + (IF(J1705="",0,J1705)
    * _xlfn.XLOOKUP(B1705, Dim_Hotel!$A$2:$A$11, Dim_Hotel!$J$2:$J$11))</f>
        <v>135</v>
      </c>
    </row>
    <row r="1706" spans="1:13" x14ac:dyDescent="0.25">
      <c r="A1706" s="1">
        <f t="shared" si="208"/>
        <v>46193</v>
      </c>
      <c r="B1706" t="str" cm="1">
        <f t="array" ref="B1706">INDEX(HotelList,MOD(ROW()-2,10)+1)</f>
        <v>H005</v>
      </c>
      <c r="C1706">
        <f>_xlfn.XLOOKUP(B1706,Dim_Hotel!$A$2:$A$11,Dim_Hotel!$F$2:$F$11)</f>
        <v>66</v>
      </c>
      <c r="D1706">
        <f t="shared" si="209"/>
        <v>36</v>
      </c>
      <c r="E1706">
        <f t="shared" si="210"/>
        <v>0.54545454545454541</v>
      </c>
      <c r="F1706">
        <f t="shared" si="211"/>
        <v>82</v>
      </c>
      <c r="G1706">
        <f t="shared" si="212"/>
        <v>44.727272727272727</v>
      </c>
      <c r="H1706" t="str">
        <f>_xlfn.XLOOKUP(A1706,Fact_Events!$D$2:$D$20,Fact_Events!$A$2:$A$20, "")</f>
        <v/>
      </c>
      <c r="I1706">
        <f t="shared" si="213"/>
        <v>0</v>
      </c>
      <c r="J1706" t="str">
        <f>_xlfn.XLOOKUP(H1706, Fact_Events!$A$2:$A$20, Fact_Events!$F$2:$F$20, "")</f>
        <v/>
      </c>
      <c r="K1706" t="str">
        <f t="shared" si="214"/>
        <v>Low</v>
      </c>
      <c r="L1706">
        <f t="shared" si="215"/>
        <v>0.55000000000000004</v>
      </c>
      <c r="M1706">
        <f>_xlfn.XLOOKUP(B1706, Dim_Hotel!$A$2:$A$11, Dim_Hotel!$I$2:$I$11)
 + (IF(J1706="",0,J1706)
    * _xlfn.XLOOKUP(B1706, Dim_Hotel!$A$2:$A$11, Dim_Hotel!$J$2:$J$11))</f>
        <v>82</v>
      </c>
    </row>
    <row r="1707" spans="1:13" x14ac:dyDescent="0.25">
      <c r="A1707" s="1">
        <f t="shared" si="208"/>
        <v>46193</v>
      </c>
      <c r="B1707" t="str" cm="1">
        <f t="array" ref="B1707">INDEX(HotelList,MOD(ROW()-2,10)+1)</f>
        <v>H006</v>
      </c>
      <c r="C1707">
        <f>_xlfn.XLOOKUP(B1707,Dim_Hotel!$A$2:$A$11,Dim_Hotel!$F$2:$F$11)</f>
        <v>311</v>
      </c>
      <c r="D1707">
        <f t="shared" si="209"/>
        <v>171</v>
      </c>
      <c r="E1707">
        <f t="shared" si="210"/>
        <v>0.54983922829581988</v>
      </c>
      <c r="F1707">
        <f t="shared" si="211"/>
        <v>190</v>
      </c>
      <c r="G1707">
        <f t="shared" si="212"/>
        <v>104.46945337620578</v>
      </c>
      <c r="H1707" t="str">
        <f>_xlfn.XLOOKUP(A1707,Fact_Events!$D$2:$D$20,Fact_Events!$A$2:$A$20, "")</f>
        <v/>
      </c>
      <c r="I1707">
        <f t="shared" si="213"/>
        <v>0</v>
      </c>
      <c r="J1707" t="str">
        <f>_xlfn.XLOOKUP(H1707, Fact_Events!$A$2:$A$20, Fact_Events!$F$2:$F$20, "")</f>
        <v/>
      </c>
      <c r="K1707" t="str">
        <f t="shared" si="214"/>
        <v>Low</v>
      </c>
      <c r="L1707">
        <f t="shared" si="215"/>
        <v>0.55000000000000004</v>
      </c>
      <c r="M1707">
        <f>_xlfn.XLOOKUP(B1707, Dim_Hotel!$A$2:$A$11, Dim_Hotel!$I$2:$I$11)
 + (IF(J1707="",0,J1707)
    * _xlfn.XLOOKUP(B1707, Dim_Hotel!$A$2:$A$11, Dim_Hotel!$J$2:$J$11))</f>
        <v>190</v>
      </c>
    </row>
    <row r="1708" spans="1:13" x14ac:dyDescent="0.25">
      <c r="A1708" s="1">
        <f t="shared" si="208"/>
        <v>46193</v>
      </c>
      <c r="B1708" t="str" cm="1">
        <f t="array" ref="B1708">INDEX(HotelList,MOD(ROW()-2,10)+1)</f>
        <v>H007</v>
      </c>
      <c r="C1708">
        <f>_xlfn.XLOOKUP(B1708,Dim_Hotel!$A$2:$A$11,Dim_Hotel!$F$2:$F$11)</f>
        <v>132</v>
      </c>
      <c r="D1708">
        <f t="shared" si="209"/>
        <v>73</v>
      </c>
      <c r="E1708">
        <f t="shared" si="210"/>
        <v>0.55303030303030298</v>
      </c>
      <c r="F1708">
        <f t="shared" si="211"/>
        <v>165</v>
      </c>
      <c r="G1708">
        <f t="shared" si="212"/>
        <v>91.249999999999986</v>
      </c>
      <c r="H1708" t="str">
        <f>_xlfn.XLOOKUP(A1708,Fact_Events!$D$2:$D$20,Fact_Events!$A$2:$A$20, "")</f>
        <v/>
      </c>
      <c r="I1708">
        <f t="shared" si="213"/>
        <v>0</v>
      </c>
      <c r="J1708" t="str">
        <f>_xlfn.XLOOKUP(H1708, Fact_Events!$A$2:$A$20, Fact_Events!$F$2:$F$20, "")</f>
        <v/>
      </c>
      <c r="K1708" t="str">
        <f t="shared" si="214"/>
        <v>Low</v>
      </c>
      <c r="L1708">
        <f t="shared" si="215"/>
        <v>0.55000000000000004</v>
      </c>
      <c r="M1708">
        <f>_xlfn.XLOOKUP(B1708, Dim_Hotel!$A$2:$A$11, Dim_Hotel!$I$2:$I$11)
 + (IF(J1708="",0,J1708)
    * _xlfn.XLOOKUP(B1708, Dim_Hotel!$A$2:$A$11, Dim_Hotel!$J$2:$J$11))</f>
        <v>165</v>
      </c>
    </row>
    <row r="1709" spans="1:13" x14ac:dyDescent="0.25">
      <c r="A1709" s="1">
        <f t="shared" si="208"/>
        <v>46193</v>
      </c>
      <c r="B1709" t="str" cm="1">
        <f t="array" ref="B1709">INDEX(HotelList,MOD(ROW()-2,10)+1)</f>
        <v>H008</v>
      </c>
      <c r="C1709">
        <f>_xlfn.XLOOKUP(B1709,Dim_Hotel!$A$2:$A$11,Dim_Hotel!$F$2:$F$11)</f>
        <v>103</v>
      </c>
      <c r="D1709">
        <f t="shared" si="209"/>
        <v>57</v>
      </c>
      <c r="E1709">
        <f t="shared" si="210"/>
        <v>0.55339805825242716</v>
      </c>
      <c r="F1709">
        <f t="shared" si="211"/>
        <v>140</v>
      </c>
      <c r="G1709">
        <f t="shared" si="212"/>
        <v>77.475728155339809</v>
      </c>
      <c r="H1709" t="str">
        <f>_xlfn.XLOOKUP(A1709,Fact_Events!$D$2:$D$20,Fact_Events!$A$2:$A$20, "")</f>
        <v/>
      </c>
      <c r="I1709">
        <f t="shared" si="213"/>
        <v>0</v>
      </c>
      <c r="J1709" t="str">
        <f>_xlfn.XLOOKUP(H1709, Fact_Events!$A$2:$A$20, Fact_Events!$F$2:$F$20, "")</f>
        <v/>
      </c>
      <c r="K1709" t="str">
        <f t="shared" si="214"/>
        <v>Low</v>
      </c>
      <c r="L1709">
        <f t="shared" si="215"/>
        <v>0.55000000000000004</v>
      </c>
      <c r="M1709">
        <f>_xlfn.XLOOKUP(B1709, Dim_Hotel!$A$2:$A$11, Dim_Hotel!$I$2:$I$11)
 + (IF(J1709="",0,J1709)
    * _xlfn.XLOOKUP(B1709, Dim_Hotel!$A$2:$A$11, Dim_Hotel!$J$2:$J$11))</f>
        <v>140</v>
      </c>
    </row>
    <row r="1710" spans="1:13" x14ac:dyDescent="0.25">
      <c r="A1710" s="1">
        <f t="shared" si="208"/>
        <v>46193</v>
      </c>
      <c r="B1710" t="str" cm="1">
        <f t="array" ref="B1710">INDEX(HotelList,MOD(ROW()-2,10)+1)</f>
        <v>H009</v>
      </c>
      <c r="C1710">
        <f>_xlfn.XLOOKUP(B1710,Dim_Hotel!$A$2:$A$11,Dim_Hotel!$F$2:$F$11)</f>
        <v>114</v>
      </c>
      <c r="D1710">
        <f t="shared" si="209"/>
        <v>63</v>
      </c>
      <c r="E1710">
        <f t="shared" si="210"/>
        <v>0.55263157894736847</v>
      </c>
      <c r="F1710">
        <f t="shared" si="211"/>
        <v>185</v>
      </c>
      <c r="G1710">
        <f t="shared" si="212"/>
        <v>102.23684210526316</v>
      </c>
      <c r="H1710" t="str">
        <f>_xlfn.XLOOKUP(A1710,Fact_Events!$D$2:$D$20,Fact_Events!$A$2:$A$20, "")</f>
        <v/>
      </c>
      <c r="I1710">
        <f t="shared" si="213"/>
        <v>0</v>
      </c>
      <c r="J1710" t="str">
        <f>_xlfn.XLOOKUP(H1710, Fact_Events!$A$2:$A$20, Fact_Events!$F$2:$F$20, "")</f>
        <v/>
      </c>
      <c r="K1710" t="str">
        <f t="shared" si="214"/>
        <v>Low</v>
      </c>
      <c r="L1710">
        <f t="shared" si="215"/>
        <v>0.55000000000000004</v>
      </c>
      <c r="M1710">
        <f>_xlfn.XLOOKUP(B1710, Dim_Hotel!$A$2:$A$11, Dim_Hotel!$I$2:$I$11)
 + (IF(J1710="",0,J1710)
    * _xlfn.XLOOKUP(B1710, Dim_Hotel!$A$2:$A$11, Dim_Hotel!$J$2:$J$11))</f>
        <v>185</v>
      </c>
    </row>
    <row r="1711" spans="1:13" x14ac:dyDescent="0.25">
      <c r="A1711" s="1">
        <f t="shared" si="208"/>
        <v>46193</v>
      </c>
      <c r="B1711" t="str" cm="1">
        <f t="array" ref="B1711">INDEX(HotelList,MOD(ROW()-2,10)+1)</f>
        <v>H010</v>
      </c>
      <c r="C1711">
        <f>_xlfn.XLOOKUP(B1711,Dim_Hotel!$A$2:$A$11,Dim_Hotel!$F$2:$F$11)</f>
        <v>89</v>
      </c>
      <c r="D1711">
        <f t="shared" si="209"/>
        <v>49</v>
      </c>
      <c r="E1711">
        <f t="shared" si="210"/>
        <v>0.550561797752809</v>
      </c>
      <c r="F1711">
        <f t="shared" si="211"/>
        <v>150</v>
      </c>
      <c r="G1711">
        <f t="shared" si="212"/>
        <v>82.584269662921344</v>
      </c>
      <c r="H1711" t="str">
        <f>_xlfn.XLOOKUP(A1711,Fact_Events!$D$2:$D$20,Fact_Events!$A$2:$A$20, "")</f>
        <v/>
      </c>
      <c r="I1711">
        <f t="shared" si="213"/>
        <v>0</v>
      </c>
      <c r="J1711" t="str">
        <f>_xlfn.XLOOKUP(H1711, Fact_Events!$A$2:$A$20, Fact_Events!$F$2:$F$20, "")</f>
        <v/>
      </c>
      <c r="K1711" t="str">
        <f t="shared" si="214"/>
        <v>Low</v>
      </c>
      <c r="L1711">
        <f t="shared" si="215"/>
        <v>0.55000000000000004</v>
      </c>
      <c r="M1711">
        <f>_xlfn.XLOOKUP(B1711, Dim_Hotel!$A$2:$A$11, Dim_Hotel!$I$2:$I$11)
 + (IF(J1711="",0,J1711)
    * _xlfn.XLOOKUP(B1711, Dim_Hotel!$A$2:$A$11, Dim_Hotel!$J$2:$J$11))</f>
        <v>150</v>
      </c>
    </row>
    <row r="1712" spans="1:13" x14ac:dyDescent="0.25">
      <c r="A1712" s="1">
        <f t="shared" si="208"/>
        <v>46194</v>
      </c>
      <c r="B1712" t="str" cm="1">
        <f t="array" ref="B1712">INDEX(HotelList,MOD(ROW()-2,10)+1)</f>
        <v>H001</v>
      </c>
      <c r="C1712">
        <f>_xlfn.XLOOKUP(B1712,Dim_Hotel!$A$2:$A$11,Dim_Hotel!$F$2:$F$11)</f>
        <v>888</v>
      </c>
      <c r="D1712">
        <f t="shared" si="209"/>
        <v>488</v>
      </c>
      <c r="E1712">
        <f t="shared" si="210"/>
        <v>0.5495495495495496</v>
      </c>
      <c r="F1712">
        <f t="shared" si="211"/>
        <v>260</v>
      </c>
      <c r="G1712">
        <f t="shared" si="212"/>
        <v>142.88288288288288</v>
      </c>
      <c r="H1712" t="str">
        <f>_xlfn.XLOOKUP(A1712,Fact_Events!$D$2:$D$20,Fact_Events!$A$2:$A$20, "")</f>
        <v/>
      </c>
      <c r="I1712">
        <f t="shared" si="213"/>
        <v>0</v>
      </c>
      <c r="J1712" t="str">
        <f>_xlfn.XLOOKUP(H1712, Fact_Events!$A$2:$A$20, Fact_Events!$F$2:$F$20, "")</f>
        <v/>
      </c>
      <c r="K1712" t="str">
        <f t="shared" si="214"/>
        <v>Low</v>
      </c>
      <c r="L1712">
        <f t="shared" si="215"/>
        <v>0.55000000000000004</v>
      </c>
      <c r="M1712">
        <f>_xlfn.XLOOKUP(B1712, Dim_Hotel!$A$2:$A$11, Dim_Hotel!$I$2:$I$11)
 + (IF(J1712="",0,J1712)
    * _xlfn.XLOOKUP(B1712, Dim_Hotel!$A$2:$A$11, Dim_Hotel!$J$2:$J$11))</f>
        <v>260</v>
      </c>
    </row>
    <row r="1713" spans="1:13" x14ac:dyDescent="0.25">
      <c r="A1713" s="1">
        <f t="shared" si="208"/>
        <v>46194</v>
      </c>
      <c r="B1713" t="str" cm="1">
        <f t="array" ref="B1713">INDEX(HotelList,MOD(ROW()-2,10)+1)</f>
        <v>H002</v>
      </c>
      <c r="C1713">
        <f>_xlfn.XLOOKUP(B1713,Dim_Hotel!$A$2:$A$11,Dim_Hotel!$F$2:$F$11)</f>
        <v>147</v>
      </c>
      <c r="D1713">
        <f t="shared" si="209"/>
        <v>81</v>
      </c>
      <c r="E1713">
        <f t="shared" si="210"/>
        <v>0.55102040816326525</v>
      </c>
      <c r="F1713">
        <f t="shared" si="211"/>
        <v>175</v>
      </c>
      <c r="G1713">
        <f t="shared" si="212"/>
        <v>96.428571428571416</v>
      </c>
      <c r="H1713" t="str">
        <f>_xlfn.XLOOKUP(A1713,Fact_Events!$D$2:$D$20,Fact_Events!$A$2:$A$20, "")</f>
        <v/>
      </c>
      <c r="I1713">
        <f t="shared" si="213"/>
        <v>0</v>
      </c>
      <c r="J1713" t="str">
        <f>_xlfn.XLOOKUP(H1713, Fact_Events!$A$2:$A$20, Fact_Events!$F$2:$F$20, "")</f>
        <v/>
      </c>
      <c r="K1713" t="str">
        <f t="shared" si="214"/>
        <v>Low</v>
      </c>
      <c r="L1713">
        <f t="shared" si="215"/>
        <v>0.55000000000000004</v>
      </c>
      <c r="M1713">
        <f>_xlfn.XLOOKUP(B1713, Dim_Hotel!$A$2:$A$11, Dim_Hotel!$I$2:$I$11)
 + (IF(J1713="",0,J1713)
    * _xlfn.XLOOKUP(B1713, Dim_Hotel!$A$2:$A$11, Dim_Hotel!$J$2:$J$11))</f>
        <v>175</v>
      </c>
    </row>
    <row r="1714" spans="1:13" x14ac:dyDescent="0.25">
      <c r="A1714" s="1">
        <f t="shared" si="208"/>
        <v>46194</v>
      </c>
      <c r="B1714" t="str" cm="1">
        <f t="array" ref="B1714">INDEX(HotelList,MOD(ROW()-2,10)+1)</f>
        <v>H003</v>
      </c>
      <c r="C1714">
        <f>_xlfn.XLOOKUP(B1714,Dim_Hotel!$A$2:$A$11,Dim_Hotel!$F$2:$F$11)</f>
        <v>121</v>
      </c>
      <c r="D1714">
        <f t="shared" si="209"/>
        <v>67</v>
      </c>
      <c r="E1714">
        <f t="shared" si="210"/>
        <v>0.55371900826446285</v>
      </c>
      <c r="F1714">
        <f t="shared" si="211"/>
        <v>145</v>
      </c>
      <c r="G1714">
        <f t="shared" si="212"/>
        <v>80.289256198347118</v>
      </c>
      <c r="H1714" t="str">
        <f>_xlfn.XLOOKUP(A1714,Fact_Events!$D$2:$D$20,Fact_Events!$A$2:$A$20, "")</f>
        <v/>
      </c>
      <c r="I1714">
        <f t="shared" si="213"/>
        <v>0</v>
      </c>
      <c r="J1714" t="str">
        <f>_xlfn.XLOOKUP(H1714, Fact_Events!$A$2:$A$20, Fact_Events!$F$2:$F$20, "")</f>
        <v/>
      </c>
      <c r="K1714" t="str">
        <f t="shared" si="214"/>
        <v>Low</v>
      </c>
      <c r="L1714">
        <f t="shared" si="215"/>
        <v>0.55000000000000004</v>
      </c>
      <c r="M1714">
        <f>_xlfn.XLOOKUP(B1714, Dim_Hotel!$A$2:$A$11, Dim_Hotel!$I$2:$I$11)
 + (IF(J1714="",0,J1714)
    * _xlfn.XLOOKUP(B1714, Dim_Hotel!$A$2:$A$11, Dim_Hotel!$J$2:$J$11))</f>
        <v>145</v>
      </c>
    </row>
    <row r="1715" spans="1:13" x14ac:dyDescent="0.25">
      <c r="A1715" s="1">
        <f t="shared" si="208"/>
        <v>46194</v>
      </c>
      <c r="B1715" t="str" cm="1">
        <f t="array" ref="B1715">INDEX(HotelList,MOD(ROW()-2,10)+1)</f>
        <v>H004</v>
      </c>
      <c r="C1715">
        <f>_xlfn.XLOOKUP(B1715,Dim_Hotel!$A$2:$A$11,Dim_Hotel!$F$2:$F$11)</f>
        <v>108</v>
      </c>
      <c r="D1715">
        <f t="shared" si="209"/>
        <v>59</v>
      </c>
      <c r="E1715">
        <f t="shared" si="210"/>
        <v>0.54629629629629628</v>
      </c>
      <c r="F1715">
        <f t="shared" si="211"/>
        <v>135</v>
      </c>
      <c r="G1715">
        <f t="shared" si="212"/>
        <v>73.75</v>
      </c>
      <c r="H1715" t="str">
        <f>_xlfn.XLOOKUP(A1715,Fact_Events!$D$2:$D$20,Fact_Events!$A$2:$A$20, "")</f>
        <v/>
      </c>
      <c r="I1715">
        <f t="shared" si="213"/>
        <v>0</v>
      </c>
      <c r="J1715" t="str">
        <f>_xlfn.XLOOKUP(H1715, Fact_Events!$A$2:$A$20, Fact_Events!$F$2:$F$20, "")</f>
        <v/>
      </c>
      <c r="K1715" t="str">
        <f t="shared" si="214"/>
        <v>Low</v>
      </c>
      <c r="L1715">
        <f t="shared" si="215"/>
        <v>0.55000000000000004</v>
      </c>
      <c r="M1715">
        <f>_xlfn.XLOOKUP(B1715, Dim_Hotel!$A$2:$A$11, Dim_Hotel!$I$2:$I$11)
 + (IF(J1715="",0,J1715)
    * _xlfn.XLOOKUP(B1715, Dim_Hotel!$A$2:$A$11, Dim_Hotel!$J$2:$J$11))</f>
        <v>135</v>
      </c>
    </row>
    <row r="1716" spans="1:13" x14ac:dyDescent="0.25">
      <c r="A1716" s="1">
        <f t="shared" si="208"/>
        <v>46194</v>
      </c>
      <c r="B1716" t="str" cm="1">
        <f t="array" ref="B1716">INDEX(HotelList,MOD(ROW()-2,10)+1)</f>
        <v>H005</v>
      </c>
      <c r="C1716">
        <f>_xlfn.XLOOKUP(B1716,Dim_Hotel!$A$2:$A$11,Dim_Hotel!$F$2:$F$11)</f>
        <v>66</v>
      </c>
      <c r="D1716">
        <f t="shared" si="209"/>
        <v>36</v>
      </c>
      <c r="E1716">
        <f t="shared" si="210"/>
        <v>0.54545454545454541</v>
      </c>
      <c r="F1716">
        <f t="shared" si="211"/>
        <v>82</v>
      </c>
      <c r="G1716">
        <f t="shared" si="212"/>
        <v>44.727272727272727</v>
      </c>
      <c r="H1716" t="str">
        <f>_xlfn.XLOOKUP(A1716,Fact_Events!$D$2:$D$20,Fact_Events!$A$2:$A$20, "")</f>
        <v/>
      </c>
      <c r="I1716">
        <f t="shared" si="213"/>
        <v>0</v>
      </c>
      <c r="J1716" t="str">
        <f>_xlfn.XLOOKUP(H1716, Fact_Events!$A$2:$A$20, Fact_Events!$F$2:$F$20, "")</f>
        <v/>
      </c>
      <c r="K1716" t="str">
        <f t="shared" si="214"/>
        <v>Low</v>
      </c>
      <c r="L1716">
        <f t="shared" si="215"/>
        <v>0.55000000000000004</v>
      </c>
      <c r="M1716">
        <f>_xlfn.XLOOKUP(B1716, Dim_Hotel!$A$2:$A$11, Dim_Hotel!$I$2:$I$11)
 + (IF(J1716="",0,J1716)
    * _xlfn.XLOOKUP(B1716, Dim_Hotel!$A$2:$A$11, Dim_Hotel!$J$2:$J$11))</f>
        <v>82</v>
      </c>
    </row>
    <row r="1717" spans="1:13" x14ac:dyDescent="0.25">
      <c r="A1717" s="1">
        <f t="shared" si="208"/>
        <v>46194</v>
      </c>
      <c r="B1717" t="str" cm="1">
        <f t="array" ref="B1717">INDEX(HotelList,MOD(ROW()-2,10)+1)</f>
        <v>H006</v>
      </c>
      <c r="C1717">
        <f>_xlfn.XLOOKUP(B1717,Dim_Hotel!$A$2:$A$11,Dim_Hotel!$F$2:$F$11)</f>
        <v>311</v>
      </c>
      <c r="D1717">
        <f t="shared" si="209"/>
        <v>171</v>
      </c>
      <c r="E1717">
        <f t="shared" si="210"/>
        <v>0.54983922829581988</v>
      </c>
      <c r="F1717">
        <f t="shared" si="211"/>
        <v>190</v>
      </c>
      <c r="G1717">
        <f t="shared" si="212"/>
        <v>104.46945337620578</v>
      </c>
      <c r="H1717" t="str">
        <f>_xlfn.XLOOKUP(A1717,Fact_Events!$D$2:$D$20,Fact_Events!$A$2:$A$20, "")</f>
        <v/>
      </c>
      <c r="I1717">
        <f t="shared" si="213"/>
        <v>0</v>
      </c>
      <c r="J1717" t="str">
        <f>_xlfn.XLOOKUP(H1717, Fact_Events!$A$2:$A$20, Fact_Events!$F$2:$F$20, "")</f>
        <v/>
      </c>
      <c r="K1717" t="str">
        <f t="shared" si="214"/>
        <v>Low</v>
      </c>
      <c r="L1717">
        <f t="shared" si="215"/>
        <v>0.55000000000000004</v>
      </c>
      <c r="M1717">
        <f>_xlfn.XLOOKUP(B1717, Dim_Hotel!$A$2:$A$11, Dim_Hotel!$I$2:$I$11)
 + (IF(J1717="",0,J1717)
    * _xlfn.XLOOKUP(B1717, Dim_Hotel!$A$2:$A$11, Dim_Hotel!$J$2:$J$11))</f>
        <v>190</v>
      </c>
    </row>
    <row r="1718" spans="1:13" x14ac:dyDescent="0.25">
      <c r="A1718" s="1">
        <f t="shared" si="208"/>
        <v>46194</v>
      </c>
      <c r="B1718" t="str" cm="1">
        <f t="array" ref="B1718">INDEX(HotelList,MOD(ROW()-2,10)+1)</f>
        <v>H007</v>
      </c>
      <c r="C1718">
        <f>_xlfn.XLOOKUP(B1718,Dim_Hotel!$A$2:$A$11,Dim_Hotel!$F$2:$F$11)</f>
        <v>132</v>
      </c>
      <c r="D1718">
        <f t="shared" si="209"/>
        <v>73</v>
      </c>
      <c r="E1718">
        <f t="shared" si="210"/>
        <v>0.55303030303030298</v>
      </c>
      <c r="F1718">
        <f t="shared" si="211"/>
        <v>165</v>
      </c>
      <c r="G1718">
        <f t="shared" si="212"/>
        <v>91.249999999999986</v>
      </c>
      <c r="H1718" t="str">
        <f>_xlfn.XLOOKUP(A1718,Fact_Events!$D$2:$D$20,Fact_Events!$A$2:$A$20, "")</f>
        <v/>
      </c>
      <c r="I1718">
        <f t="shared" si="213"/>
        <v>0</v>
      </c>
      <c r="J1718" t="str">
        <f>_xlfn.XLOOKUP(H1718, Fact_Events!$A$2:$A$20, Fact_Events!$F$2:$F$20, "")</f>
        <v/>
      </c>
      <c r="K1718" t="str">
        <f t="shared" si="214"/>
        <v>Low</v>
      </c>
      <c r="L1718">
        <f t="shared" si="215"/>
        <v>0.55000000000000004</v>
      </c>
      <c r="M1718">
        <f>_xlfn.XLOOKUP(B1718, Dim_Hotel!$A$2:$A$11, Dim_Hotel!$I$2:$I$11)
 + (IF(J1718="",0,J1718)
    * _xlfn.XLOOKUP(B1718, Dim_Hotel!$A$2:$A$11, Dim_Hotel!$J$2:$J$11))</f>
        <v>165</v>
      </c>
    </row>
    <row r="1719" spans="1:13" x14ac:dyDescent="0.25">
      <c r="A1719" s="1">
        <f t="shared" si="208"/>
        <v>46194</v>
      </c>
      <c r="B1719" t="str" cm="1">
        <f t="array" ref="B1719">INDEX(HotelList,MOD(ROW()-2,10)+1)</f>
        <v>H008</v>
      </c>
      <c r="C1719">
        <f>_xlfn.XLOOKUP(B1719,Dim_Hotel!$A$2:$A$11,Dim_Hotel!$F$2:$F$11)</f>
        <v>103</v>
      </c>
      <c r="D1719">
        <f t="shared" si="209"/>
        <v>57</v>
      </c>
      <c r="E1719">
        <f t="shared" si="210"/>
        <v>0.55339805825242716</v>
      </c>
      <c r="F1719">
        <f t="shared" si="211"/>
        <v>140</v>
      </c>
      <c r="G1719">
        <f t="shared" si="212"/>
        <v>77.475728155339809</v>
      </c>
      <c r="H1719" t="str">
        <f>_xlfn.XLOOKUP(A1719,Fact_Events!$D$2:$D$20,Fact_Events!$A$2:$A$20, "")</f>
        <v/>
      </c>
      <c r="I1719">
        <f t="shared" si="213"/>
        <v>0</v>
      </c>
      <c r="J1719" t="str">
        <f>_xlfn.XLOOKUP(H1719, Fact_Events!$A$2:$A$20, Fact_Events!$F$2:$F$20, "")</f>
        <v/>
      </c>
      <c r="K1719" t="str">
        <f t="shared" si="214"/>
        <v>Low</v>
      </c>
      <c r="L1719">
        <f t="shared" si="215"/>
        <v>0.55000000000000004</v>
      </c>
      <c r="M1719">
        <f>_xlfn.XLOOKUP(B1719, Dim_Hotel!$A$2:$A$11, Dim_Hotel!$I$2:$I$11)
 + (IF(J1719="",0,J1719)
    * _xlfn.XLOOKUP(B1719, Dim_Hotel!$A$2:$A$11, Dim_Hotel!$J$2:$J$11))</f>
        <v>140</v>
      </c>
    </row>
    <row r="1720" spans="1:13" x14ac:dyDescent="0.25">
      <c r="A1720" s="1">
        <f t="shared" si="208"/>
        <v>46194</v>
      </c>
      <c r="B1720" t="str" cm="1">
        <f t="array" ref="B1720">INDEX(HotelList,MOD(ROW()-2,10)+1)</f>
        <v>H009</v>
      </c>
      <c r="C1720">
        <f>_xlfn.XLOOKUP(B1720,Dim_Hotel!$A$2:$A$11,Dim_Hotel!$F$2:$F$11)</f>
        <v>114</v>
      </c>
      <c r="D1720">
        <f t="shared" si="209"/>
        <v>63</v>
      </c>
      <c r="E1720">
        <f t="shared" si="210"/>
        <v>0.55263157894736847</v>
      </c>
      <c r="F1720">
        <f t="shared" si="211"/>
        <v>185</v>
      </c>
      <c r="G1720">
        <f t="shared" si="212"/>
        <v>102.23684210526316</v>
      </c>
      <c r="H1720" t="str">
        <f>_xlfn.XLOOKUP(A1720,Fact_Events!$D$2:$D$20,Fact_Events!$A$2:$A$20, "")</f>
        <v/>
      </c>
      <c r="I1720">
        <f t="shared" si="213"/>
        <v>0</v>
      </c>
      <c r="J1720" t="str">
        <f>_xlfn.XLOOKUP(H1720, Fact_Events!$A$2:$A$20, Fact_Events!$F$2:$F$20, "")</f>
        <v/>
      </c>
      <c r="K1720" t="str">
        <f t="shared" si="214"/>
        <v>Low</v>
      </c>
      <c r="L1720">
        <f t="shared" si="215"/>
        <v>0.55000000000000004</v>
      </c>
      <c r="M1720">
        <f>_xlfn.XLOOKUP(B1720, Dim_Hotel!$A$2:$A$11, Dim_Hotel!$I$2:$I$11)
 + (IF(J1720="",0,J1720)
    * _xlfn.XLOOKUP(B1720, Dim_Hotel!$A$2:$A$11, Dim_Hotel!$J$2:$J$11))</f>
        <v>185</v>
      </c>
    </row>
    <row r="1721" spans="1:13" x14ac:dyDescent="0.25">
      <c r="A1721" s="1">
        <f t="shared" si="208"/>
        <v>46194</v>
      </c>
      <c r="B1721" t="str" cm="1">
        <f t="array" ref="B1721">INDEX(HotelList,MOD(ROW()-2,10)+1)</f>
        <v>H010</v>
      </c>
      <c r="C1721">
        <f>_xlfn.XLOOKUP(B1721,Dim_Hotel!$A$2:$A$11,Dim_Hotel!$F$2:$F$11)</f>
        <v>89</v>
      </c>
      <c r="D1721">
        <f t="shared" si="209"/>
        <v>49</v>
      </c>
      <c r="E1721">
        <f t="shared" si="210"/>
        <v>0.550561797752809</v>
      </c>
      <c r="F1721">
        <f t="shared" si="211"/>
        <v>150</v>
      </c>
      <c r="G1721">
        <f t="shared" si="212"/>
        <v>82.584269662921344</v>
      </c>
      <c r="H1721" t="str">
        <f>_xlfn.XLOOKUP(A1721,Fact_Events!$D$2:$D$20,Fact_Events!$A$2:$A$20, "")</f>
        <v/>
      </c>
      <c r="I1721">
        <f t="shared" si="213"/>
        <v>0</v>
      </c>
      <c r="J1721" t="str">
        <f>_xlfn.XLOOKUP(H1721, Fact_Events!$A$2:$A$20, Fact_Events!$F$2:$F$20, "")</f>
        <v/>
      </c>
      <c r="K1721" t="str">
        <f t="shared" si="214"/>
        <v>Low</v>
      </c>
      <c r="L1721">
        <f t="shared" si="215"/>
        <v>0.55000000000000004</v>
      </c>
      <c r="M1721">
        <f>_xlfn.XLOOKUP(B1721, Dim_Hotel!$A$2:$A$11, Dim_Hotel!$I$2:$I$11)
 + (IF(J1721="",0,J1721)
    * _xlfn.XLOOKUP(B1721, Dim_Hotel!$A$2:$A$11, Dim_Hotel!$J$2:$J$11))</f>
        <v>150</v>
      </c>
    </row>
    <row r="1722" spans="1:13" x14ac:dyDescent="0.25">
      <c r="A1722" s="1">
        <f t="shared" si="208"/>
        <v>46195</v>
      </c>
      <c r="B1722" t="str" cm="1">
        <f t="array" ref="B1722">INDEX(HotelList,MOD(ROW()-2,10)+1)</f>
        <v>H001</v>
      </c>
      <c r="C1722">
        <f>_xlfn.XLOOKUP(B1722,Dim_Hotel!$A$2:$A$11,Dim_Hotel!$F$2:$F$11)</f>
        <v>888</v>
      </c>
      <c r="D1722">
        <f t="shared" si="209"/>
        <v>799</v>
      </c>
      <c r="E1722">
        <f t="shared" si="210"/>
        <v>0.89977477477477474</v>
      </c>
      <c r="F1722">
        <f t="shared" si="211"/>
        <v>440</v>
      </c>
      <c r="G1722">
        <f t="shared" si="212"/>
        <v>395.90090090090087</v>
      </c>
      <c r="H1722" t="str">
        <f>_xlfn.XLOOKUP(A1722,Fact_Events!$D$2:$D$20,Fact_Events!$A$2:$A$20, "")</f>
        <v>E011</v>
      </c>
      <c r="I1722">
        <f t="shared" si="213"/>
        <v>1</v>
      </c>
      <c r="J1722">
        <f>_xlfn.XLOOKUP(H1722, Fact_Events!$A$2:$A$20, Fact_Events!$F$2:$F$20, "")</f>
        <v>10</v>
      </c>
      <c r="K1722" t="str">
        <f t="shared" si="214"/>
        <v>High</v>
      </c>
      <c r="L1722">
        <f t="shared" si="215"/>
        <v>0.9</v>
      </c>
      <c r="M1722">
        <f>_xlfn.XLOOKUP(B1722, Dim_Hotel!$A$2:$A$11, Dim_Hotel!$I$2:$I$11)
 + (IF(J1722="",0,J1722)
    * _xlfn.XLOOKUP(B1722, Dim_Hotel!$A$2:$A$11, Dim_Hotel!$J$2:$J$11))</f>
        <v>440</v>
      </c>
    </row>
    <row r="1723" spans="1:13" x14ac:dyDescent="0.25">
      <c r="A1723" s="1">
        <f t="shared" si="208"/>
        <v>46195</v>
      </c>
      <c r="B1723" t="str" cm="1">
        <f t="array" ref="B1723">INDEX(HotelList,MOD(ROW()-2,10)+1)</f>
        <v>H002</v>
      </c>
      <c r="C1723">
        <f>_xlfn.XLOOKUP(B1723,Dim_Hotel!$A$2:$A$11,Dim_Hotel!$F$2:$F$11)</f>
        <v>147</v>
      </c>
      <c r="D1723">
        <f t="shared" si="209"/>
        <v>132</v>
      </c>
      <c r="E1723">
        <f t="shared" si="210"/>
        <v>0.89795918367346939</v>
      </c>
      <c r="F1723">
        <f t="shared" si="211"/>
        <v>315</v>
      </c>
      <c r="G1723">
        <f t="shared" si="212"/>
        <v>282.85714285714283</v>
      </c>
      <c r="H1723" t="str">
        <f>_xlfn.XLOOKUP(A1723,Fact_Events!$D$2:$D$20,Fact_Events!$A$2:$A$20, "")</f>
        <v>E011</v>
      </c>
      <c r="I1723">
        <f t="shared" si="213"/>
        <v>1</v>
      </c>
      <c r="J1723">
        <f>_xlfn.XLOOKUP(H1723, Fact_Events!$A$2:$A$20, Fact_Events!$F$2:$F$20, "")</f>
        <v>10</v>
      </c>
      <c r="K1723" t="str">
        <f t="shared" si="214"/>
        <v>High</v>
      </c>
      <c r="L1723">
        <f t="shared" si="215"/>
        <v>0.9</v>
      </c>
      <c r="M1723">
        <f>_xlfn.XLOOKUP(B1723, Dim_Hotel!$A$2:$A$11, Dim_Hotel!$I$2:$I$11)
 + (IF(J1723="",0,J1723)
    * _xlfn.XLOOKUP(B1723, Dim_Hotel!$A$2:$A$11, Dim_Hotel!$J$2:$J$11))</f>
        <v>315</v>
      </c>
    </row>
    <row r="1724" spans="1:13" x14ac:dyDescent="0.25">
      <c r="A1724" s="1">
        <f t="shared" si="208"/>
        <v>46195</v>
      </c>
      <c r="B1724" t="str" cm="1">
        <f t="array" ref="B1724">INDEX(HotelList,MOD(ROW()-2,10)+1)</f>
        <v>H003</v>
      </c>
      <c r="C1724">
        <f>_xlfn.XLOOKUP(B1724,Dim_Hotel!$A$2:$A$11,Dim_Hotel!$F$2:$F$11)</f>
        <v>121</v>
      </c>
      <c r="D1724">
        <f t="shared" si="209"/>
        <v>109</v>
      </c>
      <c r="E1724">
        <f t="shared" si="210"/>
        <v>0.90082644628099173</v>
      </c>
      <c r="F1724">
        <f t="shared" si="211"/>
        <v>265</v>
      </c>
      <c r="G1724">
        <f t="shared" si="212"/>
        <v>238.71900826446281</v>
      </c>
      <c r="H1724" t="str">
        <f>_xlfn.XLOOKUP(A1724,Fact_Events!$D$2:$D$20,Fact_Events!$A$2:$A$20, "")</f>
        <v>E011</v>
      </c>
      <c r="I1724">
        <f t="shared" si="213"/>
        <v>1</v>
      </c>
      <c r="J1724">
        <f>_xlfn.XLOOKUP(H1724, Fact_Events!$A$2:$A$20, Fact_Events!$F$2:$F$20, "")</f>
        <v>10</v>
      </c>
      <c r="K1724" t="str">
        <f t="shared" si="214"/>
        <v>High</v>
      </c>
      <c r="L1724">
        <f t="shared" si="215"/>
        <v>0.9</v>
      </c>
      <c r="M1724">
        <f>_xlfn.XLOOKUP(B1724, Dim_Hotel!$A$2:$A$11, Dim_Hotel!$I$2:$I$11)
 + (IF(J1724="",0,J1724)
    * _xlfn.XLOOKUP(B1724, Dim_Hotel!$A$2:$A$11, Dim_Hotel!$J$2:$J$11))</f>
        <v>265</v>
      </c>
    </row>
    <row r="1725" spans="1:13" x14ac:dyDescent="0.25">
      <c r="A1725" s="1">
        <f t="shared" si="208"/>
        <v>46195</v>
      </c>
      <c r="B1725" t="str" cm="1">
        <f t="array" ref="B1725">INDEX(HotelList,MOD(ROW()-2,10)+1)</f>
        <v>H004</v>
      </c>
      <c r="C1725">
        <f>_xlfn.XLOOKUP(B1725,Dim_Hotel!$A$2:$A$11,Dim_Hotel!$F$2:$F$11)</f>
        <v>108</v>
      </c>
      <c r="D1725">
        <f t="shared" si="209"/>
        <v>97</v>
      </c>
      <c r="E1725">
        <f t="shared" si="210"/>
        <v>0.89814814814814814</v>
      </c>
      <c r="F1725">
        <f t="shared" si="211"/>
        <v>255</v>
      </c>
      <c r="G1725">
        <f t="shared" si="212"/>
        <v>229.02777777777777</v>
      </c>
      <c r="H1725" t="str">
        <f>_xlfn.XLOOKUP(A1725,Fact_Events!$D$2:$D$20,Fact_Events!$A$2:$A$20, "")</f>
        <v>E011</v>
      </c>
      <c r="I1725">
        <f t="shared" si="213"/>
        <v>1</v>
      </c>
      <c r="J1725">
        <f>_xlfn.XLOOKUP(H1725, Fact_Events!$A$2:$A$20, Fact_Events!$F$2:$F$20, "")</f>
        <v>10</v>
      </c>
      <c r="K1725" t="str">
        <f t="shared" si="214"/>
        <v>High</v>
      </c>
      <c r="L1725">
        <f t="shared" si="215"/>
        <v>0.9</v>
      </c>
      <c r="M1725">
        <f>_xlfn.XLOOKUP(B1725, Dim_Hotel!$A$2:$A$11, Dim_Hotel!$I$2:$I$11)
 + (IF(J1725="",0,J1725)
    * _xlfn.XLOOKUP(B1725, Dim_Hotel!$A$2:$A$11, Dim_Hotel!$J$2:$J$11))</f>
        <v>255</v>
      </c>
    </row>
    <row r="1726" spans="1:13" x14ac:dyDescent="0.25">
      <c r="A1726" s="1">
        <f t="shared" si="208"/>
        <v>46195</v>
      </c>
      <c r="B1726" t="str" cm="1">
        <f t="array" ref="B1726">INDEX(HotelList,MOD(ROW()-2,10)+1)</f>
        <v>H005</v>
      </c>
      <c r="C1726">
        <f>_xlfn.XLOOKUP(B1726,Dim_Hotel!$A$2:$A$11,Dim_Hotel!$F$2:$F$11)</f>
        <v>66</v>
      </c>
      <c r="D1726">
        <f t="shared" si="209"/>
        <v>59</v>
      </c>
      <c r="E1726">
        <f t="shared" si="210"/>
        <v>0.89393939393939392</v>
      </c>
      <c r="F1726">
        <f t="shared" si="211"/>
        <v>162</v>
      </c>
      <c r="G1726">
        <f t="shared" si="212"/>
        <v>144.81818181818181</v>
      </c>
      <c r="H1726" t="str">
        <f>_xlfn.XLOOKUP(A1726,Fact_Events!$D$2:$D$20,Fact_Events!$A$2:$A$20, "")</f>
        <v>E011</v>
      </c>
      <c r="I1726">
        <f t="shared" si="213"/>
        <v>1</v>
      </c>
      <c r="J1726">
        <f>_xlfn.XLOOKUP(H1726, Fact_Events!$A$2:$A$20, Fact_Events!$F$2:$F$20, "")</f>
        <v>10</v>
      </c>
      <c r="K1726" t="str">
        <f t="shared" si="214"/>
        <v>High</v>
      </c>
      <c r="L1726">
        <f t="shared" si="215"/>
        <v>0.9</v>
      </c>
      <c r="M1726">
        <f>_xlfn.XLOOKUP(B1726, Dim_Hotel!$A$2:$A$11, Dim_Hotel!$I$2:$I$11)
 + (IF(J1726="",0,J1726)
    * _xlfn.XLOOKUP(B1726, Dim_Hotel!$A$2:$A$11, Dim_Hotel!$J$2:$J$11))</f>
        <v>162</v>
      </c>
    </row>
    <row r="1727" spans="1:13" x14ac:dyDescent="0.25">
      <c r="A1727" s="1">
        <f t="shared" si="208"/>
        <v>46195</v>
      </c>
      <c r="B1727" t="str" cm="1">
        <f t="array" ref="B1727">INDEX(HotelList,MOD(ROW()-2,10)+1)</f>
        <v>H006</v>
      </c>
      <c r="C1727">
        <f>_xlfn.XLOOKUP(B1727,Dim_Hotel!$A$2:$A$11,Dim_Hotel!$F$2:$F$11)</f>
        <v>311</v>
      </c>
      <c r="D1727">
        <f t="shared" si="209"/>
        <v>280</v>
      </c>
      <c r="E1727">
        <f t="shared" si="210"/>
        <v>0.90032154340836013</v>
      </c>
      <c r="F1727">
        <f t="shared" si="211"/>
        <v>340</v>
      </c>
      <c r="G1727">
        <f t="shared" si="212"/>
        <v>306.10932475884243</v>
      </c>
      <c r="H1727" t="str">
        <f>_xlfn.XLOOKUP(A1727,Fact_Events!$D$2:$D$20,Fact_Events!$A$2:$A$20, "")</f>
        <v>E011</v>
      </c>
      <c r="I1727">
        <f t="shared" si="213"/>
        <v>1</v>
      </c>
      <c r="J1727">
        <f>_xlfn.XLOOKUP(H1727, Fact_Events!$A$2:$A$20, Fact_Events!$F$2:$F$20, "")</f>
        <v>10</v>
      </c>
      <c r="K1727" t="str">
        <f t="shared" si="214"/>
        <v>High</v>
      </c>
      <c r="L1727">
        <f t="shared" si="215"/>
        <v>0.9</v>
      </c>
      <c r="M1727">
        <f>_xlfn.XLOOKUP(B1727, Dim_Hotel!$A$2:$A$11, Dim_Hotel!$I$2:$I$11)
 + (IF(J1727="",0,J1727)
    * _xlfn.XLOOKUP(B1727, Dim_Hotel!$A$2:$A$11, Dim_Hotel!$J$2:$J$11))</f>
        <v>340</v>
      </c>
    </row>
    <row r="1728" spans="1:13" x14ac:dyDescent="0.25">
      <c r="A1728" s="1">
        <f t="shared" si="208"/>
        <v>46195</v>
      </c>
      <c r="B1728" t="str" cm="1">
        <f t="array" ref="B1728">INDEX(HotelList,MOD(ROW()-2,10)+1)</f>
        <v>H007</v>
      </c>
      <c r="C1728">
        <f>_xlfn.XLOOKUP(B1728,Dim_Hotel!$A$2:$A$11,Dim_Hotel!$F$2:$F$11)</f>
        <v>132</v>
      </c>
      <c r="D1728">
        <f t="shared" si="209"/>
        <v>119</v>
      </c>
      <c r="E1728">
        <f t="shared" si="210"/>
        <v>0.90151515151515149</v>
      </c>
      <c r="F1728">
        <f t="shared" si="211"/>
        <v>295</v>
      </c>
      <c r="G1728">
        <f t="shared" si="212"/>
        <v>265.94696969696969</v>
      </c>
      <c r="H1728" t="str">
        <f>_xlfn.XLOOKUP(A1728,Fact_Events!$D$2:$D$20,Fact_Events!$A$2:$A$20, "")</f>
        <v>E011</v>
      </c>
      <c r="I1728">
        <f t="shared" si="213"/>
        <v>1</v>
      </c>
      <c r="J1728">
        <f>_xlfn.XLOOKUP(H1728, Fact_Events!$A$2:$A$20, Fact_Events!$F$2:$F$20, "")</f>
        <v>10</v>
      </c>
      <c r="K1728" t="str">
        <f t="shared" si="214"/>
        <v>High</v>
      </c>
      <c r="L1728">
        <f t="shared" si="215"/>
        <v>0.9</v>
      </c>
      <c r="M1728">
        <f>_xlfn.XLOOKUP(B1728, Dim_Hotel!$A$2:$A$11, Dim_Hotel!$I$2:$I$11)
 + (IF(J1728="",0,J1728)
    * _xlfn.XLOOKUP(B1728, Dim_Hotel!$A$2:$A$11, Dim_Hotel!$J$2:$J$11))</f>
        <v>295</v>
      </c>
    </row>
    <row r="1729" spans="1:13" x14ac:dyDescent="0.25">
      <c r="A1729" s="1">
        <f t="shared" si="208"/>
        <v>46195</v>
      </c>
      <c r="B1729" t="str" cm="1">
        <f t="array" ref="B1729">INDEX(HotelList,MOD(ROW()-2,10)+1)</f>
        <v>H008</v>
      </c>
      <c r="C1729">
        <f>_xlfn.XLOOKUP(B1729,Dim_Hotel!$A$2:$A$11,Dim_Hotel!$F$2:$F$11)</f>
        <v>103</v>
      </c>
      <c r="D1729">
        <f t="shared" si="209"/>
        <v>93</v>
      </c>
      <c r="E1729">
        <f t="shared" si="210"/>
        <v>0.90291262135922334</v>
      </c>
      <c r="F1729">
        <f t="shared" si="211"/>
        <v>260</v>
      </c>
      <c r="G1729">
        <f t="shared" si="212"/>
        <v>234.75728155339806</v>
      </c>
      <c r="H1729" t="str">
        <f>_xlfn.XLOOKUP(A1729,Fact_Events!$D$2:$D$20,Fact_Events!$A$2:$A$20, "")</f>
        <v>E011</v>
      </c>
      <c r="I1729">
        <f t="shared" si="213"/>
        <v>1</v>
      </c>
      <c r="J1729">
        <f>_xlfn.XLOOKUP(H1729, Fact_Events!$A$2:$A$20, Fact_Events!$F$2:$F$20, "")</f>
        <v>10</v>
      </c>
      <c r="K1729" t="str">
        <f t="shared" si="214"/>
        <v>High</v>
      </c>
      <c r="L1729">
        <f t="shared" si="215"/>
        <v>0.9</v>
      </c>
      <c r="M1729">
        <f>_xlfn.XLOOKUP(B1729, Dim_Hotel!$A$2:$A$11, Dim_Hotel!$I$2:$I$11)
 + (IF(J1729="",0,J1729)
    * _xlfn.XLOOKUP(B1729, Dim_Hotel!$A$2:$A$11, Dim_Hotel!$J$2:$J$11))</f>
        <v>260</v>
      </c>
    </row>
    <row r="1730" spans="1:13" x14ac:dyDescent="0.25">
      <c r="A1730" s="1">
        <f t="shared" si="208"/>
        <v>46195</v>
      </c>
      <c r="B1730" t="str" cm="1">
        <f t="array" ref="B1730">INDEX(HotelList,MOD(ROW()-2,10)+1)</f>
        <v>H009</v>
      </c>
      <c r="C1730">
        <f>_xlfn.XLOOKUP(B1730,Dim_Hotel!$A$2:$A$11,Dim_Hotel!$F$2:$F$11)</f>
        <v>114</v>
      </c>
      <c r="D1730">
        <f t="shared" si="209"/>
        <v>103</v>
      </c>
      <c r="E1730">
        <f t="shared" si="210"/>
        <v>0.90350877192982459</v>
      </c>
      <c r="F1730">
        <f t="shared" si="211"/>
        <v>285</v>
      </c>
      <c r="G1730">
        <f t="shared" si="212"/>
        <v>257.5</v>
      </c>
      <c r="H1730" t="str">
        <f>_xlfn.XLOOKUP(A1730,Fact_Events!$D$2:$D$20,Fact_Events!$A$2:$A$20, "")</f>
        <v>E011</v>
      </c>
      <c r="I1730">
        <f t="shared" si="213"/>
        <v>1</v>
      </c>
      <c r="J1730">
        <f>_xlfn.XLOOKUP(H1730, Fact_Events!$A$2:$A$20, Fact_Events!$F$2:$F$20, "")</f>
        <v>10</v>
      </c>
      <c r="K1730" t="str">
        <f t="shared" si="214"/>
        <v>High</v>
      </c>
      <c r="L1730">
        <f t="shared" si="215"/>
        <v>0.9</v>
      </c>
      <c r="M1730">
        <f>_xlfn.XLOOKUP(B1730, Dim_Hotel!$A$2:$A$11, Dim_Hotel!$I$2:$I$11)
 + (IF(J1730="",0,J1730)
    * _xlfn.XLOOKUP(B1730, Dim_Hotel!$A$2:$A$11, Dim_Hotel!$J$2:$J$11))</f>
        <v>285</v>
      </c>
    </row>
    <row r="1731" spans="1:13" x14ac:dyDescent="0.25">
      <c r="A1731" s="1">
        <f t="shared" ref="A1731:A1794" si="216">DATE(2026,1,1) + INT((ROW()-2)/10)</f>
        <v>46195</v>
      </c>
      <c r="B1731" t="str" cm="1">
        <f t="array" ref="B1731">INDEX(HotelList,MOD(ROW()-2,10)+1)</f>
        <v>H010</v>
      </c>
      <c r="C1731">
        <f>_xlfn.XLOOKUP(B1731,Dim_Hotel!$A$2:$A$11,Dim_Hotel!$F$2:$F$11)</f>
        <v>89</v>
      </c>
      <c r="D1731">
        <f t="shared" ref="D1731:D1794" si="217">ROUND(L1731 * C1731, 0)</f>
        <v>80</v>
      </c>
      <c r="E1731">
        <f t="shared" ref="E1731:E1794" si="218">D1731/C1731</f>
        <v>0.898876404494382</v>
      </c>
      <c r="F1731">
        <f t="shared" ref="F1731:F1794" si="219">M1731</f>
        <v>250</v>
      </c>
      <c r="G1731">
        <f t="shared" ref="G1731:G1794" si="220">E1731*F1731</f>
        <v>224.71910112359549</v>
      </c>
      <c r="H1731" t="str">
        <f>_xlfn.XLOOKUP(A1731,Fact_Events!$D$2:$D$20,Fact_Events!$A$2:$A$20, "")</f>
        <v>E011</v>
      </c>
      <c r="I1731">
        <f t="shared" ref="I1731:I1794" si="221">IF(H1731="",0,1)</f>
        <v>1</v>
      </c>
      <c r="J1731">
        <f>_xlfn.XLOOKUP(H1731, Fact_Events!$A$2:$A$20, Fact_Events!$F$2:$F$20, "")</f>
        <v>10</v>
      </c>
      <c r="K1731" t="str">
        <f t="shared" ref="K1731:K1794" si="222">IF(I1731=0,"Low",
   IF(J1731&gt;=9,"High","Medium"))</f>
        <v>High</v>
      </c>
      <c r="L1731">
        <f t="shared" ref="L1731:L1794" si="223">MIN(1,
  0.55
  + (I1731 * 0.25)
  + (IF(J1731="",0,J1731) / 100)
)</f>
        <v>0.9</v>
      </c>
      <c r="M1731">
        <f>_xlfn.XLOOKUP(B1731, Dim_Hotel!$A$2:$A$11, Dim_Hotel!$I$2:$I$11)
 + (IF(J1731="",0,J1731)
    * _xlfn.XLOOKUP(B1731, Dim_Hotel!$A$2:$A$11, Dim_Hotel!$J$2:$J$11))</f>
        <v>250</v>
      </c>
    </row>
    <row r="1732" spans="1:13" x14ac:dyDescent="0.25">
      <c r="A1732" s="1">
        <f t="shared" si="216"/>
        <v>46196</v>
      </c>
      <c r="B1732" t="str" cm="1">
        <f t="array" ref="B1732">INDEX(HotelList,MOD(ROW()-2,10)+1)</f>
        <v>H001</v>
      </c>
      <c r="C1732">
        <f>_xlfn.XLOOKUP(B1732,Dim_Hotel!$A$2:$A$11,Dim_Hotel!$F$2:$F$11)</f>
        <v>888</v>
      </c>
      <c r="D1732">
        <f t="shared" si="217"/>
        <v>488</v>
      </c>
      <c r="E1732">
        <f t="shared" si="218"/>
        <v>0.5495495495495496</v>
      </c>
      <c r="F1732">
        <f t="shared" si="219"/>
        <v>260</v>
      </c>
      <c r="G1732">
        <f t="shared" si="220"/>
        <v>142.88288288288288</v>
      </c>
      <c r="H1732" t="str">
        <f>_xlfn.XLOOKUP(A1732,Fact_Events!$D$2:$D$20,Fact_Events!$A$2:$A$20, "")</f>
        <v/>
      </c>
      <c r="I1732">
        <f t="shared" si="221"/>
        <v>0</v>
      </c>
      <c r="J1732" t="str">
        <f>_xlfn.XLOOKUP(H1732, Fact_Events!$A$2:$A$20, Fact_Events!$F$2:$F$20, "")</f>
        <v/>
      </c>
      <c r="K1732" t="str">
        <f t="shared" si="222"/>
        <v>Low</v>
      </c>
      <c r="L1732">
        <f t="shared" si="223"/>
        <v>0.55000000000000004</v>
      </c>
      <c r="M1732">
        <f>_xlfn.XLOOKUP(B1732, Dim_Hotel!$A$2:$A$11, Dim_Hotel!$I$2:$I$11)
 + (IF(J1732="",0,J1732)
    * _xlfn.XLOOKUP(B1732, Dim_Hotel!$A$2:$A$11, Dim_Hotel!$J$2:$J$11))</f>
        <v>260</v>
      </c>
    </row>
    <row r="1733" spans="1:13" x14ac:dyDescent="0.25">
      <c r="A1733" s="1">
        <f t="shared" si="216"/>
        <v>46196</v>
      </c>
      <c r="B1733" t="str" cm="1">
        <f t="array" ref="B1733">INDEX(HotelList,MOD(ROW()-2,10)+1)</f>
        <v>H002</v>
      </c>
      <c r="C1733">
        <f>_xlfn.XLOOKUP(B1733,Dim_Hotel!$A$2:$A$11,Dim_Hotel!$F$2:$F$11)</f>
        <v>147</v>
      </c>
      <c r="D1733">
        <f t="shared" si="217"/>
        <v>81</v>
      </c>
      <c r="E1733">
        <f t="shared" si="218"/>
        <v>0.55102040816326525</v>
      </c>
      <c r="F1733">
        <f t="shared" si="219"/>
        <v>175</v>
      </c>
      <c r="G1733">
        <f t="shared" si="220"/>
        <v>96.428571428571416</v>
      </c>
      <c r="H1733" t="str">
        <f>_xlfn.XLOOKUP(A1733,Fact_Events!$D$2:$D$20,Fact_Events!$A$2:$A$20, "")</f>
        <v/>
      </c>
      <c r="I1733">
        <f t="shared" si="221"/>
        <v>0</v>
      </c>
      <c r="J1733" t="str">
        <f>_xlfn.XLOOKUP(H1733, Fact_Events!$A$2:$A$20, Fact_Events!$F$2:$F$20, "")</f>
        <v/>
      </c>
      <c r="K1733" t="str">
        <f t="shared" si="222"/>
        <v>Low</v>
      </c>
      <c r="L1733">
        <f t="shared" si="223"/>
        <v>0.55000000000000004</v>
      </c>
      <c r="M1733">
        <f>_xlfn.XLOOKUP(B1733, Dim_Hotel!$A$2:$A$11, Dim_Hotel!$I$2:$I$11)
 + (IF(J1733="",0,J1733)
    * _xlfn.XLOOKUP(B1733, Dim_Hotel!$A$2:$A$11, Dim_Hotel!$J$2:$J$11))</f>
        <v>175</v>
      </c>
    </row>
    <row r="1734" spans="1:13" x14ac:dyDescent="0.25">
      <c r="A1734" s="1">
        <f t="shared" si="216"/>
        <v>46196</v>
      </c>
      <c r="B1734" t="str" cm="1">
        <f t="array" ref="B1734">INDEX(HotelList,MOD(ROW()-2,10)+1)</f>
        <v>H003</v>
      </c>
      <c r="C1734">
        <f>_xlfn.XLOOKUP(B1734,Dim_Hotel!$A$2:$A$11,Dim_Hotel!$F$2:$F$11)</f>
        <v>121</v>
      </c>
      <c r="D1734">
        <f t="shared" si="217"/>
        <v>67</v>
      </c>
      <c r="E1734">
        <f t="shared" si="218"/>
        <v>0.55371900826446285</v>
      </c>
      <c r="F1734">
        <f t="shared" si="219"/>
        <v>145</v>
      </c>
      <c r="G1734">
        <f t="shared" si="220"/>
        <v>80.289256198347118</v>
      </c>
      <c r="H1734" t="str">
        <f>_xlfn.XLOOKUP(A1734,Fact_Events!$D$2:$D$20,Fact_Events!$A$2:$A$20, "")</f>
        <v/>
      </c>
      <c r="I1734">
        <f t="shared" si="221"/>
        <v>0</v>
      </c>
      <c r="J1734" t="str">
        <f>_xlfn.XLOOKUP(H1734, Fact_Events!$A$2:$A$20, Fact_Events!$F$2:$F$20, "")</f>
        <v/>
      </c>
      <c r="K1734" t="str">
        <f t="shared" si="222"/>
        <v>Low</v>
      </c>
      <c r="L1734">
        <f t="shared" si="223"/>
        <v>0.55000000000000004</v>
      </c>
      <c r="M1734">
        <f>_xlfn.XLOOKUP(B1734, Dim_Hotel!$A$2:$A$11, Dim_Hotel!$I$2:$I$11)
 + (IF(J1734="",0,J1734)
    * _xlfn.XLOOKUP(B1734, Dim_Hotel!$A$2:$A$11, Dim_Hotel!$J$2:$J$11))</f>
        <v>145</v>
      </c>
    </row>
    <row r="1735" spans="1:13" x14ac:dyDescent="0.25">
      <c r="A1735" s="1">
        <f t="shared" si="216"/>
        <v>46196</v>
      </c>
      <c r="B1735" t="str" cm="1">
        <f t="array" ref="B1735">INDEX(HotelList,MOD(ROW()-2,10)+1)</f>
        <v>H004</v>
      </c>
      <c r="C1735">
        <f>_xlfn.XLOOKUP(B1735,Dim_Hotel!$A$2:$A$11,Dim_Hotel!$F$2:$F$11)</f>
        <v>108</v>
      </c>
      <c r="D1735">
        <f t="shared" si="217"/>
        <v>59</v>
      </c>
      <c r="E1735">
        <f t="shared" si="218"/>
        <v>0.54629629629629628</v>
      </c>
      <c r="F1735">
        <f t="shared" si="219"/>
        <v>135</v>
      </c>
      <c r="G1735">
        <f t="shared" si="220"/>
        <v>73.75</v>
      </c>
      <c r="H1735" t="str">
        <f>_xlfn.XLOOKUP(A1735,Fact_Events!$D$2:$D$20,Fact_Events!$A$2:$A$20, "")</f>
        <v/>
      </c>
      <c r="I1735">
        <f t="shared" si="221"/>
        <v>0</v>
      </c>
      <c r="J1735" t="str">
        <f>_xlfn.XLOOKUP(H1735, Fact_Events!$A$2:$A$20, Fact_Events!$F$2:$F$20, "")</f>
        <v/>
      </c>
      <c r="K1735" t="str">
        <f t="shared" si="222"/>
        <v>Low</v>
      </c>
      <c r="L1735">
        <f t="shared" si="223"/>
        <v>0.55000000000000004</v>
      </c>
      <c r="M1735">
        <f>_xlfn.XLOOKUP(B1735, Dim_Hotel!$A$2:$A$11, Dim_Hotel!$I$2:$I$11)
 + (IF(J1735="",0,J1735)
    * _xlfn.XLOOKUP(B1735, Dim_Hotel!$A$2:$A$11, Dim_Hotel!$J$2:$J$11))</f>
        <v>135</v>
      </c>
    </row>
    <row r="1736" spans="1:13" x14ac:dyDescent="0.25">
      <c r="A1736" s="1">
        <f t="shared" si="216"/>
        <v>46196</v>
      </c>
      <c r="B1736" t="str" cm="1">
        <f t="array" ref="B1736">INDEX(HotelList,MOD(ROW()-2,10)+1)</f>
        <v>H005</v>
      </c>
      <c r="C1736">
        <f>_xlfn.XLOOKUP(B1736,Dim_Hotel!$A$2:$A$11,Dim_Hotel!$F$2:$F$11)</f>
        <v>66</v>
      </c>
      <c r="D1736">
        <f t="shared" si="217"/>
        <v>36</v>
      </c>
      <c r="E1736">
        <f t="shared" si="218"/>
        <v>0.54545454545454541</v>
      </c>
      <c r="F1736">
        <f t="shared" si="219"/>
        <v>82</v>
      </c>
      <c r="G1736">
        <f t="shared" si="220"/>
        <v>44.727272727272727</v>
      </c>
      <c r="H1736" t="str">
        <f>_xlfn.XLOOKUP(A1736,Fact_Events!$D$2:$D$20,Fact_Events!$A$2:$A$20, "")</f>
        <v/>
      </c>
      <c r="I1736">
        <f t="shared" si="221"/>
        <v>0</v>
      </c>
      <c r="J1736" t="str">
        <f>_xlfn.XLOOKUP(H1736, Fact_Events!$A$2:$A$20, Fact_Events!$F$2:$F$20, "")</f>
        <v/>
      </c>
      <c r="K1736" t="str">
        <f t="shared" si="222"/>
        <v>Low</v>
      </c>
      <c r="L1736">
        <f t="shared" si="223"/>
        <v>0.55000000000000004</v>
      </c>
      <c r="M1736">
        <f>_xlfn.XLOOKUP(B1736, Dim_Hotel!$A$2:$A$11, Dim_Hotel!$I$2:$I$11)
 + (IF(J1736="",0,J1736)
    * _xlfn.XLOOKUP(B1736, Dim_Hotel!$A$2:$A$11, Dim_Hotel!$J$2:$J$11))</f>
        <v>82</v>
      </c>
    </row>
    <row r="1737" spans="1:13" x14ac:dyDescent="0.25">
      <c r="A1737" s="1">
        <f t="shared" si="216"/>
        <v>46196</v>
      </c>
      <c r="B1737" t="str" cm="1">
        <f t="array" ref="B1737">INDEX(HotelList,MOD(ROW()-2,10)+1)</f>
        <v>H006</v>
      </c>
      <c r="C1737">
        <f>_xlfn.XLOOKUP(B1737,Dim_Hotel!$A$2:$A$11,Dim_Hotel!$F$2:$F$11)</f>
        <v>311</v>
      </c>
      <c r="D1737">
        <f t="shared" si="217"/>
        <v>171</v>
      </c>
      <c r="E1737">
        <f t="shared" si="218"/>
        <v>0.54983922829581988</v>
      </c>
      <c r="F1737">
        <f t="shared" si="219"/>
        <v>190</v>
      </c>
      <c r="G1737">
        <f t="shared" si="220"/>
        <v>104.46945337620578</v>
      </c>
      <c r="H1737" t="str">
        <f>_xlfn.XLOOKUP(A1737,Fact_Events!$D$2:$D$20,Fact_Events!$A$2:$A$20, "")</f>
        <v/>
      </c>
      <c r="I1737">
        <f t="shared" si="221"/>
        <v>0</v>
      </c>
      <c r="J1737" t="str">
        <f>_xlfn.XLOOKUP(H1737, Fact_Events!$A$2:$A$20, Fact_Events!$F$2:$F$20, "")</f>
        <v/>
      </c>
      <c r="K1737" t="str">
        <f t="shared" si="222"/>
        <v>Low</v>
      </c>
      <c r="L1737">
        <f t="shared" si="223"/>
        <v>0.55000000000000004</v>
      </c>
      <c r="M1737">
        <f>_xlfn.XLOOKUP(B1737, Dim_Hotel!$A$2:$A$11, Dim_Hotel!$I$2:$I$11)
 + (IF(J1737="",0,J1737)
    * _xlfn.XLOOKUP(B1737, Dim_Hotel!$A$2:$A$11, Dim_Hotel!$J$2:$J$11))</f>
        <v>190</v>
      </c>
    </row>
    <row r="1738" spans="1:13" x14ac:dyDescent="0.25">
      <c r="A1738" s="1">
        <f t="shared" si="216"/>
        <v>46196</v>
      </c>
      <c r="B1738" t="str" cm="1">
        <f t="array" ref="B1738">INDEX(HotelList,MOD(ROW()-2,10)+1)</f>
        <v>H007</v>
      </c>
      <c r="C1738">
        <f>_xlfn.XLOOKUP(B1738,Dim_Hotel!$A$2:$A$11,Dim_Hotel!$F$2:$F$11)</f>
        <v>132</v>
      </c>
      <c r="D1738">
        <f t="shared" si="217"/>
        <v>73</v>
      </c>
      <c r="E1738">
        <f t="shared" si="218"/>
        <v>0.55303030303030298</v>
      </c>
      <c r="F1738">
        <f t="shared" si="219"/>
        <v>165</v>
      </c>
      <c r="G1738">
        <f t="shared" si="220"/>
        <v>91.249999999999986</v>
      </c>
      <c r="H1738" t="str">
        <f>_xlfn.XLOOKUP(A1738,Fact_Events!$D$2:$D$20,Fact_Events!$A$2:$A$20, "")</f>
        <v/>
      </c>
      <c r="I1738">
        <f t="shared" si="221"/>
        <v>0</v>
      </c>
      <c r="J1738" t="str">
        <f>_xlfn.XLOOKUP(H1738, Fact_Events!$A$2:$A$20, Fact_Events!$F$2:$F$20, "")</f>
        <v/>
      </c>
      <c r="K1738" t="str">
        <f t="shared" si="222"/>
        <v>Low</v>
      </c>
      <c r="L1738">
        <f t="shared" si="223"/>
        <v>0.55000000000000004</v>
      </c>
      <c r="M1738">
        <f>_xlfn.XLOOKUP(B1738, Dim_Hotel!$A$2:$A$11, Dim_Hotel!$I$2:$I$11)
 + (IF(J1738="",0,J1738)
    * _xlfn.XLOOKUP(B1738, Dim_Hotel!$A$2:$A$11, Dim_Hotel!$J$2:$J$11))</f>
        <v>165</v>
      </c>
    </row>
    <row r="1739" spans="1:13" x14ac:dyDescent="0.25">
      <c r="A1739" s="1">
        <f t="shared" si="216"/>
        <v>46196</v>
      </c>
      <c r="B1739" t="str" cm="1">
        <f t="array" ref="B1739">INDEX(HotelList,MOD(ROW()-2,10)+1)</f>
        <v>H008</v>
      </c>
      <c r="C1739">
        <f>_xlfn.XLOOKUP(B1739,Dim_Hotel!$A$2:$A$11,Dim_Hotel!$F$2:$F$11)</f>
        <v>103</v>
      </c>
      <c r="D1739">
        <f t="shared" si="217"/>
        <v>57</v>
      </c>
      <c r="E1739">
        <f t="shared" si="218"/>
        <v>0.55339805825242716</v>
      </c>
      <c r="F1739">
        <f t="shared" si="219"/>
        <v>140</v>
      </c>
      <c r="G1739">
        <f t="shared" si="220"/>
        <v>77.475728155339809</v>
      </c>
      <c r="H1739" t="str">
        <f>_xlfn.XLOOKUP(A1739,Fact_Events!$D$2:$D$20,Fact_Events!$A$2:$A$20, "")</f>
        <v/>
      </c>
      <c r="I1739">
        <f t="shared" si="221"/>
        <v>0</v>
      </c>
      <c r="J1739" t="str">
        <f>_xlfn.XLOOKUP(H1739, Fact_Events!$A$2:$A$20, Fact_Events!$F$2:$F$20, "")</f>
        <v/>
      </c>
      <c r="K1739" t="str">
        <f t="shared" si="222"/>
        <v>Low</v>
      </c>
      <c r="L1739">
        <f t="shared" si="223"/>
        <v>0.55000000000000004</v>
      </c>
      <c r="M1739">
        <f>_xlfn.XLOOKUP(B1739, Dim_Hotel!$A$2:$A$11, Dim_Hotel!$I$2:$I$11)
 + (IF(J1739="",0,J1739)
    * _xlfn.XLOOKUP(B1739, Dim_Hotel!$A$2:$A$11, Dim_Hotel!$J$2:$J$11))</f>
        <v>140</v>
      </c>
    </row>
    <row r="1740" spans="1:13" x14ac:dyDescent="0.25">
      <c r="A1740" s="1">
        <f t="shared" si="216"/>
        <v>46196</v>
      </c>
      <c r="B1740" t="str" cm="1">
        <f t="array" ref="B1740">INDEX(HotelList,MOD(ROW()-2,10)+1)</f>
        <v>H009</v>
      </c>
      <c r="C1740">
        <f>_xlfn.XLOOKUP(B1740,Dim_Hotel!$A$2:$A$11,Dim_Hotel!$F$2:$F$11)</f>
        <v>114</v>
      </c>
      <c r="D1740">
        <f t="shared" si="217"/>
        <v>63</v>
      </c>
      <c r="E1740">
        <f t="shared" si="218"/>
        <v>0.55263157894736847</v>
      </c>
      <c r="F1740">
        <f t="shared" si="219"/>
        <v>185</v>
      </c>
      <c r="G1740">
        <f t="shared" si="220"/>
        <v>102.23684210526316</v>
      </c>
      <c r="H1740" t="str">
        <f>_xlfn.XLOOKUP(A1740,Fact_Events!$D$2:$D$20,Fact_Events!$A$2:$A$20, "")</f>
        <v/>
      </c>
      <c r="I1740">
        <f t="shared" si="221"/>
        <v>0</v>
      </c>
      <c r="J1740" t="str">
        <f>_xlfn.XLOOKUP(H1740, Fact_Events!$A$2:$A$20, Fact_Events!$F$2:$F$20, "")</f>
        <v/>
      </c>
      <c r="K1740" t="str">
        <f t="shared" si="222"/>
        <v>Low</v>
      </c>
      <c r="L1740">
        <f t="shared" si="223"/>
        <v>0.55000000000000004</v>
      </c>
      <c r="M1740">
        <f>_xlfn.XLOOKUP(B1740, Dim_Hotel!$A$2:$A$11, Dim_Hotel!$I$2:$I$11)
 + (IF(J1740="",0,J1740)
    * _xlfn.XLOOKUP(B1740, Dim_Hotel!$A$2:$A$11, Dim_Hotel!$J$2:$J$11))</f>
        <v>185</v>
      </c>
    </row>
    <row r="1741" spans="1:13" x14ac:dyDescent="0.25">
      <c r="A1741" s="1">
        <f t="shared" si="216"/>
        <v>46196</v>
      </c>
      <c r="B1741" t="str" cm="1">
        <f t="array" ref="B1741">INDEX(HotelList,MOD(ROW()-2,10)+1)</f>
        <v>H010</v>
      </c>
      <c r="C1741">
        <f>_xlfn.XLOOKUP(B1741,Dim_Hotel!$A$2:$A$11,Dim_Hotel!$F$2:$F$11)</f>
        <v>89</v>
      </c>
      <c r="D1741">
        <f t="shared" si="217"/>
        <v>49</v>
      </c>
      <c r="E1741">
        <f t="shared" si="218"/>
        <v>0.550561797752809</v>
      </c>
      <c r="F1741">
        <f t="shared" si="219"/>
        <v>150</v>
      </c>
      <c r="G1741">
        <f t="shared" si="220"/>
        <v>82.584269662921344</v>
      </c>
      <c r="H1741" t="str">
        <f>_xlfn.XLOOKUP(A1741,Fact_Events!$D$2:$D$20,Fact_Events!$A$2:$A$20, "")</f>
        <v/>
      </c>
      <c r="I1741">
        <f t="shared" si="221"/>
        <v>0</v>
      </c>
      <c r="J1741" t="str">
        <f>_xlfn.XLOOKUP(H1741, Fact_Events!$A$2:$A$20, Fact_Events!$F$2:$F$20, "")</f>
        <v/>
      </c>
      <c r="K1741" t="str">
        <f t="shared" si="222"/>
        <v>Low</v>
      </c>
      <c r="L1741">
        <f t="shared" si="223"/>
        <v>0.55000000000000004</v>
      </c>
      <c r="M1741">
        <f>_xlfn.XLOOKUP(B1741, Dim_Hotel!$A$2:$A$11, Dim_Hotel!$I$2:$I$11)
 + (IF(J1741="",0,J1741)
    * _xlfn.XLOOKUP(B1741, Dim_Hotel!$A$2:$A$11, Dim_Hotel!$J$2:$J$11))</f>
        <v>150</v>
      </c>
    </row>
    <row r="1742" spans="1:13" x14ac:dyDescent="0.25">
      <c r="A1742" s="1">
        <f t="shared" si="216"/>
        <v>46197</v>
      </c>
      <c r="B1742" t="str" cm="1">
        <f t="array" ref="B1742">INDEX(HotelList,MOD(ROW()-2,10)+1)</f>
        <v>H001</v>
      </c>
      <c r="C1742">
        <f>_xlfn.XLOOKUP(B1742,Dim_Hotel!$A$2:$A$11,Dim_Hotel!$F$2:$F$11)</f>
        <v>888</v>
      </c>
      <c r="D1742">
        <f t="shared" si="217"/>
        <v>488</v>
      </c>
      <c r="E1742">
        <f t="shared" si="218"/>
        <v>0.5495495495495496</v>
      </c>
      <c r="F1742">
        <f t="shared" si="219"/>
        <v>260</v>
      </c>
      <c r="G1742">
        <f t="shared" si="220"/>
        <v>142.88288288288288</v>
      </c>
      <c r="H1742" t="str">
        <f>_xlfn.XLOOKUP(A1742,Fact_Events!$D$2:$D$20,Fact_Events!$A$2:$A$20, "")</f>
        <v/>
      </c>
      <c r="I1742">
        <f t="shared" si="221"/>
        <v>0</v>
      </c>
      <c r="J1742" t="str">
        <f>_xlfn.XLOOKUP(H1742, Fact_Events!$A$2:$A$20, Fact_Events!$F$2:$F$20, "")</f>
        <v/>
      </c>
      <c r="K1742" t="str">
        <f t="shared" si="222"/>
        <v>Low</v>
      </c>
      <c r="L1742">
        <f t="shared" si="223"/>
        <v>0.55000000000000004</v>
      </c>
      <c r="M1742">
        <f>_xlfn.XLOOKUP(B1742, Dim_Hotel!$A$2:$A$11, Dim_Hotel!$I$2:$I$11)
 + (IF(J1742="",0,J1742)
    * _xlfn.XLOOKUP(B1742, Dim_Hotel!$A$2:$A$11, Dim_Hotel!$J$2:$J$11))</f>
        <v>260</v>
      </c>
    </row>
    <row r="1743" spans="1:13" x14ac:dyDescent="0.25">
      <c r="A1743" s="1">
        <f t="shared" si="216"/>
        <v>46197</v>
      </c>
      <c r="B1743" t="str" cm="1">
        <f t="array" ref="B1743">INDEX(HotelList,MOD(ROW()-2,10)+1)</f>
        <v>H002</v>
      </c>
      <c r="C1743">
        <f>_xlfn.XLOOKUP(B1743,Dim_Hotel!$A$2:$A$11,Dim_Hotel!$F$2:$F$11)</f>
        <v>147</v>
      </c>
      <c r="D1743">
        <f t="shared" si="217"/>
        <v>81</v>
      </c>
      <c r="E1743">
        <f t="shared" si="218"/>
        <v>0.55102040816326525</v>
      </c>
      <c r="F1743">
        <f t="shared" si="219"/>
        <v>175</v>
      </c>
      <c r="G1743">
        <f t="shared" si="220"/>
        <v>96.428571428571416</v>
      </c>
      <c r="H1743" t="str">
        <f>_xlfn.XLOOKUP(A1743,Fact_Events!$D$2:$D$20,Fact_Events!$A$2:$A$20, "")</f>
        <v/>
      </c>
      <c r="I1743">
        <f t="shared" si="221"/>
        <v>0</v>
      </c>
      <c r="J1743" t="str">
        <f>_xlfn.XLOOKUP(H1743, Fact_Events!$A$2:$A$20, Fact_Events!$F$2:$F$20, "")</f>
        <v/>
      </c>
      <c r="K1743" t="str">
        <f t="shared" si="222"/>
        <v>Low</v>
      </c>
      <c r="L1743">
        <f t="shared" si="223"/>
        <v>0.55000000000000004</v>
      </c>
      <c r="M1743">
        <f>_xlfn.XLOOKUP(B1743, Dim_Hotel!$A$2:$A$11, Dim_Hotel!$I$2:$I$11)
 + (IF(J1743="",0,J1743)
    * _xlfn.XLOOKUP(B1743, Dim_Hotel!$A$2:$A$11, Dim_Hotel!$J$2:$J$11))</f>
        <v>175</v>
      </c>
    </row>
    <row r="1744" spans="1:13" x14ac:dyDescent="0.25">
      <c r="A1744" s="1">
        <f t="shared" si="216"/>
        <v>46197</v>
      </c>
      <c r="B1744" t="str" cm="1">
        <f t="array" ref="B1744">INDEX(HotelList,MOD(ROW()-2,10)+1)</f>
        <v>H003</v>
      </c>
      <c r="C1744">
        <f>_xlfn.XLOOKUP(B1744,Dim_Hotel!$A$2:$A$11,Dim_Hotel!$F$2:$F$11)</f>
        <v>121</v>
      </c>
      <c r="D1744">
        <f t="shared" si="217"/>
        <v>67</v>
      </c>
      <c r="E1744">
        <f t="shared" si="218"/>
        <v>0.55371900826446285</v>
      </c>
      <c r="F1744">
        <f t="shared" si="219"/>
        <v>145</v>
      </c>
      <c r="G1744">
        <f t="shared" si="220"/>
        <v>80.289256198347118</v>
      </c>
      <c r="H1744" t="str">
        <f>_xlfn.XLOOKUP(A1744,Fact_Events!$D$2:$D$20,Fact_Events!$A$2:$A$20, "")</f>
        <v/>
      </c>
      <c r="I1744">
        <f t="shared" si="221"/>
        <v>0</v>
      </c>
      <c r="J1744" t="str">
        <f>_xlfn.XLOOKUP(H1744, Fact_Events!$A$2:$A$20, Fact_Events!$F$2:$F$20, "")</f>
        <v/>
      </c>
      <c r="K1744" t="str">
        <f t="shared" si="222"/>
        <v>Low</v>
      </c>
      <c r="L1744">
        <f t="shared" si="223"/>
        <v>0.55000000000000004</v>
      </c>
      <c r="M1744">
        <f>_xlfn.XLOOKUP(B1744, Dim_Hotel!$A$2:$A$11, Dim_Hotel!$I$2:$I$11)
 + (IF(J1744="",0,J1744)
    * _xlfn.XLOOKUP(B1744, Dim_Hotel!$A$2:$A$11, Dim_Hotel!$J$2:$J$11))</f>
        <v>145</v>
      </c>
    </row>
    <row r="1745" spans="1:13" x14ac:dyDescent="0.25">
      <c r="A1745" s="1">
        <f t="shared" si="216"/>
        <v>46197</v>
      </c>
      <c r="B1745" t="str" cm="1">
        <f t="array" ref="B1745">INDEX(HotelList,MOD(ROW()-2,10)+1)</f>
        <v>H004</v>
      </c>
      <c r="C1745">
        <f>_xlfn.XLOOKUP(B1745,Dim_Hotel!$A$2:$A$11,Dim_Hotel!$F$2:$F$11)</f>
        <v>108</v>
      </c>
      <c r="D1745">
        <f t="shared" si="217"/>
        <v>59</v>
      </c>
      <c r="E1745">
        <f t="shared" si="218"/>
        <v>0.54629629629629628</v>
      </c>
      <c r="F1745">
        <f t="shared" si="219"/>
        <v>135</v>
      </c>
      <c r="G1745">
        <f t="shared" si="220"/>
        <v>73.75</v>
      </c>
      <c r="H1745" t="str">
        <f>_xlfn.XLOOKUP(A1745,Fact_Events!$D$2:$D$20,Fact_Events!$A$2:$A$20, "")</f>
        <v/>
      </c>
      <c r="I1745">
        <f t="shared" si="221"/>
        <v>0</v>
      </c>
      <c r="J1745" t="str">
        <f>_xlfn.XLOOKUP(H1745, Fact_Events!$A$2:$A$20, Fact_Events!$F$2:$F$20, "")</f>
        <v/>
      </c>
      <c r="K1745" t="str">
        <f t="shared" si="222"/>
        <v>Low</v>
      </c>
      <c r="L1745">
        <f t="shared" si="223"/>
        <v>0.55000000000000004</v>
      </c>
      <c r="M1745">
        <f>_xlfn.XLOOKUP(B1745, Dim_Hotel!$A$2:$A$11, Dim_Hotel!$I$2:$I$11)
 + (IF(J1745="",0,J1745)
    * _xlfn.XLOOKUP(B1745, Dim_Hotel!$A$2:$A$11, Dim_Hotel!$J$2:$J$11))</f>
        <v>135</v>
      </c>
    </row>
    <row r="1746" spans="1:13" x14ac:dyDescent="0.25">
      <c r="A1746" s="1">
        <f t="shared" si="216"/>
        <v>46197</v>
      </c>
      <c r="B1746" t="str" cm="1">
        <f t="array" ref="B1746">INDEX(HotelList,MOD(ROW()-2,10)+1)</f>
        <v>H005</v>
      </c>
      <c r="C1746">
        <f>_xlfn.XLOOKUP(B1746,Dim_Hotel!$A$2:$A$11,Dim_Hotel!$F$2:$F$11)</f>
        <v>66</v>
      </c>
      <c r="D1746">
        <f t="shared" si="217"/>
        <v>36</v>
      </c>
      <c r="E1746">
        <f t="shared" si="218"/>
        <v>0.54545454545454541</v>
      </c>
      <c r="F1746">
        <f t="shared" si="219"/>
        <v>82</v>
      </c>
      <c r="G1746">
        <f t="shared" si="220"/>
        <v>44.727272727272727</v>
      </c>
      <c r="H1746" t="str">
        <f>_xlfn.XLOOKUP(A1746,Fact_Events!$D$2:$D$20,Fact_Events!$A$2:$A$20, "")</f>
        <v/>
      </c>
      <c r="I1746">
        <f t="shared" si="221"/>
        <v>0</v>
      </c>
      <c r="J1746" t="str">
        <f>_xlfn.XLOOKUP(H1746, Fact_Events!$A$2:$A$20, Fact_Events!$F$2:$F$20, "")</f>
        <v/>
      </c>
      <c r="K1746" t="str">
        <f t="shared" si="222"/>
        <v>Low</v>
      </c>
      <c r="L1746">
        <f t="shared" si="223"/>
        <v>0.55000000000000004</v>
      </c>
      <c r="M1746">
        <f>_xlfn.XLOOKUP(B1746, Dim_Hotel!$A$2:$A$11, Dim_Hotel!$I$2:$I$11)
 + (IF(J1746="",0,J1746)
    * _xlfn.XLOOKUP(B1746, Dim_Hotel!$A$2:$A$11, Dim_Hotel!$J$2:$J$11))</f>
        <v>82</v>
      </c>
    </row>
    <row r="1747" spans="1:13" x14ac:dyDescent="0.25">
      <c r="A1747" s="1">
        <f t="shared" si="216"/>
        <v>46197</v>
      </c>
      <c r="B1747" t="str" cm="1">
        <f t="array" ref="B1747">INDEX(HotelList,MOD(ROW()-2,10)+1)</f>
        <v>H006</v>
      </c>
      <c r="C1747">
        <f>_xlfn.XLOOKUP(B1747,Dim_Hotel!$A$2:$A$11,Dim_Hotel!$F$2:$F$11)</f>
        <v>311</v>
      </c>
      <c r="D1747">
        <f t="shared" si="217"/>
        <v>171</v>
      </c>
      <c r="E1747">
        <f t="shared" si="218"/>
        <v>0.54983922829581988</v>
      </c>
      <c r="F1747">
        <f t="shared" si="219"/>
        <v>190</v>
      </c>
      <c r="G1747">
        <f t="shared" si="220"/>
        <v>104.46945337620578</v>
      </c>
      <c r="H1747" t="str">
        <f>_xlfn.XLOOKUP(A1747,Fact_Events!$D$2:$D$20,Fact_Events!$A$2:$A$20, "")</f>
        <v/>
      </c>
      <c r="I1747">
        <f t="shared" si="221"/>
        <v>0</v>
      </c>
      <c r="J1747" t="str">
        <f>_xlfn.XLOOKUP(H1747, Fact_Events!$A$2:$A$20, Fact_Events!$F$2:$F$20, "")</f>
        <v/>
      </c>
      <c r="K1747" t="str">
        <f t="shared" si="222"/>
        <v>Low</v>
      </c>
      <c r="L1747">
        <f t="shared" si="223"/>
        <v>0.55000000000000004</v>
      </c>
      <c r="M1747">
        <f>_xlfn.XLOOKUP(B1747, Dim_Hotel!$A$2:$A$11, Dim_Hotel!$I$2:$I$11)
 + (IF(J1747="",0,J1747)
    * _xlfn.XLOOKUP(B1747, Dim_Hotel!$A$2:$A$11, Dim_Hotel!$J$2:$J$11))</f>
        <v>190</v>
      </c>
    </row>
    <row r="1748" spans="1:13" x14ac:dyDescent="0.25">
      <c r="A1748" s="1">
        <f t="shared" si="216"/>
        <v>46197</v>
      </c>
      <c r="B1748" t="str" cm="1">
        <f t="array" ref="B1748">INDEX(HotelList,MOD(ROW()-2,10)+1)</f>
        <v>H007</v>
      </c>
      <c r="C1748">
        <f>_xlfn.XLOOKUP(B1748,Dim_Hotel!$A$2:$A$11,Dim_Hotel!$F$2:$F$11)</f>
        <v>132</v>
      </c>
      <c r="D1748">
        <f t="shared" si="217"/>
        <v>73</v>
      </c>
      <c r="E1748">
        <f t="shared" si="218"/>
        <v>0.55303030303030298</v>
      </c>
      <c r="F1748">
        <f t="shared" si="219"/>
        <v>165</v>
      </c>
      <c r="G1748">
        <f t="shared" si="220"/>
        <v>91.249999999999986</v>
      </c>
      <c r="H1748" t="str">
        <f>_xlfn.XLOOKUP(A1748,Fact_Events!$D$2:$D$20,Fact_Events!$A$2:$A$20, "")</f>
        <v/>
      </c>
      <c r="I1748">
        <f t="shared" si="221"/>
        <v>0</v>
      </c>
      <c r="J1748" t="str">
        <f>_xlfn.XLOOKUP(H1748, Fact_Events!$A$2:$A$20, Fact_Events!$F$2:$F$20, "")</f>
        <v/>
      </c>
      <c r="K1748" t="str">
        <f t="shared" si="222"/>
        <v>Low</v>
      </c>
      <c r="L1748">
        <f t="shared" si="223"/>
        <v>0.55000000000000004</v>
      </c>
      <c r="M1748">
        <f>_xlfn.XLOOKUP(B1748, Dim_Hotel!$A$2:$A$11, Dim_Hotel!$I$2:$I$11)
 + (IF(J1748="",0,J1748)
    * _xlfn.XLOOKUP(B1748, Dim_Hotel!$A$2:$A$11, Dim_Hotel!$J$2:$J$11))</f>
        <v>165</v>
      </c>
    </row>
    <row r="1749" spans="1:13" x14ac:dyDescent="0.25">
      <c r="A1749" s="1">
        <f t="shared" si="216"/>
        <v>46197</v>
      </c>
      <c r="B1749" t="str" cm="1">
        <f t="array" ref="B1749">INDEX(HotelList,MOD(ROW()-2,10)+1)</f>
        <v>H008</v>
      </c>
      <c r="C1749">
        <f>_xlfn.XLOOKUP(B1749,Dim_Hotel!$A$2:$A$11,Dim_Hotel!$F$2:$F$11)</f>
        <v>103</v>
      </c>
      <c r="D1749">
        <f t="shared" si="217"/>
        <v>57</v>
      </c>
      <c r="E1749">
        <f t="shared" si="218"/>
        <v>0.55339805825242716</v>
      </c>
      <c r="F1749">
        <f t="shared" si="219"/>
        <v>140</v>
      </c>
      <c r="G1749">
        <f t="shared" si="220"/>
        <v>77.475728155339809</v>
      </c>
      <c r="H1749" t="str">
        <f>_xlfn.XLOOKUP(A1749,Fact_Events!$D$2:$D$20,Fact_Events!$A$2:$A$20, "")</f>
        <v/>
      </c>
      <c r="I1749">
        <f t="shared" si="221"/>
        <v>0</v>
      </c>
      <c r="J1749" t="str">
        <f>_xlfn.XLOOKUP(H1749, Fact_Events!$A$2:$A$20, Fact_Events!$F$2:$F$20, "")</f>
        <v/>
      </c>
      <c r="K1749" t="str">
        <f t="shared" si="222"/>
        <v>Low</v>
      </c>
      <c r="L1749">
        <f t="shared" si="223"/>
        <v>0.55000000000000004</v>
      </c>
      <c r="M1749">
        <f>_xlfn.XLOOKUP(B1749, Dim_Hotel!$A$2:$A$11, Dim_Hotel!$I$2:$I$11)
 + (IF(J1749="",0,J1749)
    * _xlfn.XLOOKUP(B1749, Dim_Hotel!$A$2:$A$11, Dim_Hotel!$J$2:$J$11))</f>
        <v>140</v>
      </c>
    </row>
    <row r="1750" spans="1:13" x14ac:dyDescent="0.25">
      <c r="A1750" s="1">
        <f t="shared" si="216"/>
        <v>46197</v>
      </c>
      <c r="B1750" t="str" cm="1">
        <f t="array" ref="B1750">INDEX(HotelList,MOD(ROW()-2,10)+1)</f>
        <v>H009</v>
      </c>
      <c r="C1750">
        <f>_xlfn.XLOOKUP(B1750,Dim_Hotel!$A$2:$A$11,Dim_Hotel!$F$2:$F$11)</f>
        <v>114</v>
      </c>
      <c r="D1750">
        <f t="shared" si="217"/>
        <v>63</v>
      </c>
      <c r="E1750">
        <f t="shared" si="218"/>
        <v>0.55263157894736847</v>
      </c>
      <c r="F1750">
        <f t="shared" si="219"/>
        <v>185</v>
      </c>
      <c r="G1750">
        <f t="shared" si="220"/>
        <v>102.23684210526316</v>
      </c>
      <c r="H1750" t="str">
        <f>_xlfn.XLOOKUP(A1750,Fact_Events!$D$2:$D$20,Fact_Events!$A$2:$A$20, "")</f>
        <v/>
      </c>
      <c r="I1750">
        <f t="shared" si="221"/>
        <v>0</v>
      </c>
      <c r="J1750" t="str">
        <f>_xlfn.XLOOKUP(H1750, Fact_Events!$A$2:$A$20, Fact_Events!$F$2:$F$20, "")</f>
        <v/>
      </c>
      <c r="K1750" t="str">
        <f t="shared" si="222"/>
        <v>Low</v>
      </c>
      <c r="L1750">
        <f t="shared" si="223"/>
        <v>0.55000000000000004</v>
      </c>
      <c r="M1750">
        <f>_xlfn.XLOOKUP(B1750, Dim_Hotel!$A$2:$A$11, Dim_Hotel!$I$2:$I$11)
 + (IF(J1750="",0,J1750)
    * _xlfn.XLOOKUP(B1750, Dim_Hotel!$A$2:$A$11, Dim_Hotel!$J$2:$J$11))</f>
        <v>185</v>
      </c>
    </row>
    <row r="1751" spans="1:13" x14ac:dyDescent="0.25">
      <c r="A1751" s="1">
        <f t="shared" si="216"/>
        <v>46197</v>
      </c>
      <c r="B1751" t="str" cm="1">
        <f t="array" ref="B1751">INDEX(HotelList,MOD(ROW()-2,10)+1)</f>
        <v>H010</v>
      </c>
      <c r="C1751">
        <f>_xlfn.XLOOKUP(B1751,Dim_Hotel!$A$2:$A$11,Dim_Hotel!$F$2:$F$11)</f>
        <v>89</v>
      </c>
      <c r="D1751">
        <f t="shared" si="217"/>
        <v>49</v>
      </c>
      <c r="E1751">
        <f t="shared" si="218"/>
        <v>0.550561797752809</v>
      </c>
      <c r="F1751">
        <f t="shared" si="219"/>
        <v>150</v>
      </c>
      <c r="G1751">
        <f t="shared" si="220"/>
        <v>82.584269662921344</v>
      </c>
      <c r="H1751" t="str">
        <f>_xlfn.XLOOKUP(A1751,Fact_Events!$D$2:$D$20,Fact_Events!$A$2:$A$20, "")</f>
        <v/>
      </c>
      <c r="I1751">
        <f t="shared" si="221"/>
        <v>0</v>
      </c>
      <c r="J1751" t="str">
        <f>_xlfn.XLOOKUP(H1751, Fact_Events!$A$2:$A$20, Fact_Events!$F$2:$F$20, "")</f>
        <v/>
      </c>
      <c r="K1751" t="str">
        <f t="shared" si="222"/>
        <v>Low</v>
      </c>
      <c r="L1751">
        <f t="shared" si="223"/>
        <v>0.55000000000000004</v>
      </c>
      <c r="M1751">
        <f>_xlfn.XLOOKUP(B1751, Dim_Hotel!$A$2:$A$11, Dim_Hotel!$I$2:$I$11)
 + (IF(J1751="",0,J1751)
    * _xlfn.XLOOKUP(B1751, Dim_Hotel!$A$2:$A$11, Dim_Hotel!$J$2:$J$11))</f>
        <v>150</v>
      </c>
    </row>
    <row r="1752" spans="1:13" x14ac:dyDescent="0.25">
      <c r="A1752" s="1">
        <f t="shared" si="216"/>
        <v>46198</v>
      </c>
      <c r="B1752" t="str" cm="1">
        <f t="array" ref="B1752">INDEX(HotelList,MOD(ROW()-2,10)+1)</f>
        <v>H001</v>
      </c>
      <c r="C1752">
        <f>_xlfn.XLOOKUP(B1752,Dim_Hotel!$A$2:$A$11,Dim_Hotel!$F$2:$F$11)</f>
        <v>888</v>
      </c>
      <c r="D1752">
        <f t="shared" si="217"/>
        <v>790</v>
      </c>
      <c r="E1752">
        <f t="shared" si="218"/>
        <v>0.88963963963963966</v>
      </c>
      <c r="F1752">
        <f t="shared" si="219"/>
        <v>422</v>
      </c>
      <c r="G1752">
        <f t="shared" si="220"/>
        <v>375.42792792792795</v>
      </c>
      <c r="H1752" t="str">
        <f>_xlfn.XLOOKUP(A1752,Fact_Events!$D$2:$D$20,Fact_Events!$A$2:$A$20, "")</f>
        <v>E012</v>
      </c>
      <c r="I1752">
        <f t="shared" si="221"/>
        <v>1</v>
      </c>
      <c r="J1752">
        <f>_xlfn.XLOOKUP(H1752, Fact_Events!$A$2:$A$20, Fact_Events!$F$2:$F$20, "")</f>
        <v>9</v>
      </c>
      <c r="K1752" t="str">
        <f t="shared" si="222"/>
        <v>High</v>
      </c>
      <c r="L1752">
        <f t="shared" si="223"/>
        <v>0.89</v>
      </c>
      <c r="M1752">
        <f>_xlfn.XLOOKUP(B1752, Dim_Hotel!$A$2:$A$11, Dim_Hotel!$I$2:$I$11)
 + (IF(J1752="",0,J1752)
    * _xlfn.XLOOKUP(B1752, Dim_Hotel!$A$2:$A$11, Dim_Hotel!$J$2:$J$11))</f>
        <v>422</v>
      </c>
    </row>
    <row r="1753" spans="1:13" x14ac:dyDescent="0.25">
      <c r="A1753" s="1">
        <f t="shared" si="216"/>
        <v>46198</v>
      </c>
      <c r="B1753" t="str" cm="1">
        <f t="array" ref="B1753">INDEX(HotelList,MOD(ROW()-2,10)+1)</f>
        <v>H002</v>
      </c>
      <c r="C1753">
        <f>_xlfn.XLOOKUP(B1753,Dim_Hotel!$A$2:$A$11,Dim_Hotel!$F$2:$F$11)</f>
        <v>147</v>
      </c>
      <c r="D1753">
        <f t="shared" si="217"/>
        <v>131</v>
      </c>
      <c r="E1753">
        <f t="shared" si="218"/>
        <v>0.891156462585034</v>
      </c>
      <c r="F1753">
        <f t="shared" si="219"/>
        <v>301</v>
      </c>
      <c r="G1753">
        <f t="shared" si="220"/>
        <v>268.23809523809524</v>
      </c>
      <c r="H1753" t="str">
        <f>_xlfn.XLOOKUP(A1753,Fact_Events!$D$2:$D$20,Fact_Events!$A$2:$A$20, "")</f>
        <v>E012</v>
      </c>
      <c r="I1753">
        <f t="shared" si="221"/>
        <v>1</v>
      </c>
      <c r="J1753">
        <f>_xlfn.XLOOKUP(H1753, Fact_Events!$A$2:$A$20, Fact_Events!$F$2:$F$20, "")</f>
        <v>9</v>
      </c>
      <c r="K1753" t="str">
        <f t="shared" si="222"/>
        <v>High</v>
      </c>
      <c r="L1753">
        <f t="shared" si="223"/>
        <v>0.89</v>
      </c>
      <c r="M1753">
        <f>_xlfn.XLOOKUP(B1753, Dim_Hotel!$A$2:$A$11, Dim_Hotel!$I$2:$I$11)
 + (IF(J1753="",0,J1753)
    * _xlfn.XLOOKUP(B1753, Dim_Hotel!$A$2:$A$11, Dim_Hotel!$J$2:$J$11))</f>
        <v>301</v>
      </c>
    </row>
    <row r="1754" spans="1:13" x14ac:dyDescent="0.25">
      <c r="A1754" s="1">
        <f t="shared" si="216"/>
        <v>46198</v>
      </c>
      <c r="B1754" t="str" cm="1">
        <f t="array" ref="B1754">INDEX(HotelList,MOD(ROW()-2,10)+1)</f>
        <v>H003</v>
      </c>
      <c r="C1754">
        <f>_xlfn.XLOOKUP(B1754,Dim_Hotel!$A$2:$A$11,Dim_Hotel!$F$2:$F$11)</f>
        <v>121</v>
      </c>
      <c r="D1754">
        <f t="shared" si="217"/>
        <v>108</v>
      </c>
      <c r="E1754">
        <f t="shared" si="218"/>
        <v>0.8925619834710744</v>
      </c>
      <c r="F1754">
        <f t="shared" si="219"/>
        <v>253</v>
      </c>
      <c r="G1754">
        <f t="shared" si="220"/>
        <v>225.81818181818181</v>
      </c>
      <c r="H1754" t="str">
        <f>_xlfn.XLOOKUP(A1754,Fact_Events!$D$2:$D$20,Fact_Events!$A$2:$A$20, "")</f>
        <v>E012</v>
      </c>
      <c r="I1754">
        <f t="shared" si="221"/>
        <v>1</v>
      </c>
      <c r="J1754">
        <f>_xlfn.XLOOKUP(H1754, Fact_Events!$A$2:$A$20, Fact_Events!$F$2:$F$20, "")</f>
        <v>9</v>
      </c>
      <c r="K1754" t="str">
        <f t="shared" si="222"/>
        <v>High</v>
      </c>
      <c r="L1754">
        <f t="shared" si="223"/>
        <v>0.89</v>
      </c>
      <c r="M1754">
        <f>_xlfn.XLOOKUP(B1754, Dim_Hotel!$A$2:$A$11, Dim_Hotel!$I$2:$I$11)
 + (IF(J1754="",0,J1754)
    * _xlfn.XLOOKUP(B1754, Dim_Hotel!$A$2:$A$11, Dim_Hotel!$J$2:$J$11))</f>
        <v>253</v>
      </c>
    </row>
    <row r="1755" spans="1:13" x14ac:dyDescent="0.25">
      <c r="A1755" s="1">
        <f t="shared" si="216"/>
        <v>46198</v>
      </c>
      <c r="B1755" t="str" cm="1">
        <f t="array" ref="B1755">INDEX(HotelList,MOD(ROW()-2,10)+1)</f>
        <v>H004</v>
      </c>
      <c r="C1755">
        <f>_xlfn.XLOOKUP(B1755,Dim_Hotel!$A$2:$A$11,Dim_Hotel!$F$2:$F$11)</f>
        <v>108</v>
      </c>
      <c r="D1755">
        <f t="shared" si="217"/>
        <v>96</v>
      </c>
      <c r="E1755">
        <f t="shared" si="218"/>
        <v>0.88888888888888884</v>
      </c>
      <c r="F1755">
        <f t="shared" si="219"/>
        <v>243</v>
      </c>
      <c r="G1755">
        <f t="shared" si="220"/>
        <v>216</v>
      </c>
      <c r="H1755" t="str">
        <f>_xlfn.XLOOKUP(A1755,Fact_Events!$D$2:$D$20,Fact_Events!$A$2:$A$20, "")</f>
        <v>E012</v>
      </c>
      <c r="I1755">
        <f t="shared" si="221"/>
        <v>1</v>
      </c>
      <c r="J1755">
        <f>_xlfn.XLOOKUP(H1755, Fact_Events!$A$2:$A$20, Fact_Events!$F$2:$F$20, "")</f>
        <v>9</v>
      </c>
      <c r="K1755" t="str">
        <f t="shared" si="222"/>
        <v>High</v>
      </c>
      <c r="L1755">
        <f t="shared" si="223"/>
        <v>0.89</v>
      </c>
      <c r="M1755">
        <f>_xlfn.XLOOKUP(B1755, Dim_Hotel!$A$2:$A$11, Dim_Hotel!$I$2:$I$11)
 + (IF(J1755="",0,J1755)
    * _xlfn.XLOOKUP(B1755, Dim_Hotel!$A$2:$A$11, Dim_Hotel!$J$2:$J$11))</f>
        <v>243</v>
      </c>
    </row>
    <row r="1756" spans="1:13" x14ac:dyDescent="0.25">
      <c r="A1756" s="1">
        <f t="shared" si="216"/>
        <v>46198</v>
      </c>
      <c r="B1756" t="str" cm="1">
        <f t="array" ref="B1756">INDEX(HotelList,MOD(ROW()-2,10)+1)</f>
        <v>H005</v>
      </c>
      <c r="C1756">
        <f>_xlfn.XLOOKUP(B1756,Dim_Hotel!$A$2:$A$11,Dim_Hotel!$F$2:$F$11)</f>
        <v>66</v>
      </c>
      <c r="D1756">
        <f t="shared" si="217"/>
        <v>59</v>
      </c>
      <c r="E1756">
        <f t="shared" si="218"/>
        <v>0.89393939393939392</v>
      </c>
      <c r="F1756">
        <f t="shared" si="219"/>
        <v>154</v>
      </c>
      <c r="G1756">
        <f t="shared" si="220"/>
        <v>137.66666666666666</v>
      </c>
      <c r="H1756" t="str">
        <f>_xlfn.XLOOKUP(A1756,Fact_Events!$D$2:$D$20,Fact_Events!$A$2:$A$20, "")</f>
        <v>E012</v>
      </c>
      <c r="I1756">
        <f t="shared" si="221"/>
        <v>1</v>
      </c>
      <c r="J1756">
        <f>_xlfn.XLOOKUP(H1756, Fact_Events!$A$2:$A$20, Fact_Events!$F$2:$F$20, "")</f>
        <v>9</v>
      </c>
      <c r="K1756" t="str">
        <f t="shared" si="222"/>
        <v>High</v>
      </c>
      <c r="L1756">
        <f t="shared" si="223"/>
        <v>0.89</v>
      </c>
      <c r="M1756">
        <f>_xlfn.XLOOKUP(B1756, Dim_Hotel!$A$2:$A$11, Dim_Hotel!$I$2:$I$11)
 + (IF(J1756="",0,J1756)
    * _xlfn.XLOOKUP(B1756, Dim_Hotel!$A$2:$A$11, Dim_Hotel!$J$2:$J$11))</f>
        <v>154</v>
      </c>
    </row>
    <row r="1757" spans="1:13" x14ac:dyDescent="0.25">
      <c r="A1757" s="1">
        <f t="shared" si="216"/>
        <v>46198</v>
      </c>
      <c r="B1757" t="str" cm="1">
        <f t="array" ref="B1757">INDEX(HotelList,MOD(ROW()-2,10)+1)</f>
        <v>H006</v>
      </c>
      <c r="C1757">
        <f>_xlfn.XLOOKUP(B1757,Dim_Hotel!$A$2:$A$11,Dim_Hotel!$F$2:$F$11)</f>
        <v>311</v>
      </c>
      <c r="D1757">
        <f t="shared" si="217"/>
        <v>277</v>
      </c>
      <c r="E1757">
        <f t="shared" si="218"/>
        <v>0.89067524115755625</v>
      </c>
      <c r="F1757">
        <f t="shared" si="219"/>
        <v>325</v>
      </c>
      <c r="G1757">
        <f t="shared" si="220"/>
        <v>289.46945337620576</v>
      </c>
      <c r="H1757" t="str">
        <f>_xlfn.XLOOKUP(A1757,Fact_Events!$D$2:$D$20,Fact_Events!$A$2:$A$20, "")</f>
        <v>E012</v>
      </c>
      <c r="I1757">
        <f t="shared" si="221"/>
        <v>1</v>
      </c>
      <c r="J1757">
        <f>_xlfn.XLOOKUP(H1757, Fact_Events!$A$2:$A$20, Fact_Events!$F$2:$F$20, "")</f>
        <v>9</v>
      </c>
      <c r="K1757" t="str">
        <f t="shared" si="222"/>
        <v>High</v>
      </c>
      <c r="L1757">
        <f t="shared" si="223"/>
        <v>0.89</v>
      </c>
      <c r="M1757">
        <f>_xlfn.XLOOKUP(B1757, Dim_Hotel!$A$2:$A$11, Dim_Hotel!$I$2:$I$11)
 + (IF(J1757="",0,J1757)
    * _xlfn.XLOOKUP(B1757, Dim_Hotel!$A$2:$A$11, Dim_Hotel!$J$2:$J$11))</f>
        <v>325</v>
      </c>
    </row>
    <row r="1758" spans="1:13" x14ac:dyDescent="0.25">
      <c r="A1758" s="1">
        <f t="shared" si="216"/>
        <v>46198</v>
      </c>
      <c r="B1758" t="str" cm="1">
        <f t="array" ref="B1758">INDEX(HotelList,MOD(ROW()-2,10)+1)</f>
        <v>H007</v>
      </c>
      <c r="C1758">
        <f>_xlfn.XLOOKUP(B1758,Dim_Hotel!$A$2:$A$11,Dim_Hotel!$F$2:$F$11)</f>
        <v>132</v>
      </c>
      <c r="D1758">
        <f t="shared" si="217"/>
        <v>117</v>
      </c>
      <c r="E1758">
        <f t="shared" si="218"/>
        <v>0.88636363636363635</v>
      </c>
      <c r="F1758">
        <f t="shared" si="219"/>
        <v>282</v>
      </c>
      <c r="G1758">
        <f t="shared" si="220"/>
        <v>249.95454545454544</v>
      </c>
      <c r="H1758" t="str">
        <f>_xlfn.XLOOKUP(A1758,Fact_Events!$D$2:$D$20,Fact_Events!$A$2:$A$20, "")</f>
        <v>E012</v>
      </c>
      <c r="I1758">
        <f t="shared" si="221"/>
        <v>1</v>
      </c>
      <c r="J1758">
        <f>_xlfn.XLOOKUP(H1758, Fact_Events!$A$2:$A$20, Fact_Events!$F$2:$F$20, "")</f>
        <v>9</v>
      </c>
      <c r="K1758" t="str">
        <f t="shared" si="222"/>
        <v>High</v>
      </c>
      <c r="L1758">
        <f t="shared" si="223"/>
        <v>0.89</v>
      </c>
      <c r="M1758">
        <f>_xlfn.XLOOKUP(B1758, Dim_Hotel!$A$2:$A$11, Dim_Hotel!$I$2:$I$11)
 + (IF(J1758="",0,J1758)
    * _xlfn.XLOOKUP(B1758, Dim_Hotel!$A$2:$A$11, Dim_Hotel!$J$2:$J$11))</f>
        <v>282</v>
      </c>
    </row>
    <row r="1759" spans="1:13" x14ac:dyDescent="0.25">
      <c r="A1759" s="1">
        <f t="shared" si="216"/>
        <v>46198</v>
      </c>
      <c r="B1759" t="str" cm="1">
        <f t="array" ref="B1759">INDEX(HotelList,MOD(ROW()-2,10)+1)</f>
        <v>H008</v>
      </c>
      <c r="C1759">
        <f>_xlfn.XLOOKUP(B1759,Dim_Hotel!$A$2:$A$11,Dim_Hotel!$F$2:$F$11)</f>
        <v>103</v>
      </c>
      <c r="D1759">
        <f t="shared" si="217"/>
        <v>92</v>
      </c>
      <c r="E1759">
        <f t="shared" si="218"/>
        <v>0.89320388349514568</v>
      </c>
      <c r="F1759">
        <f t="shared" si="219"/>
        <v>248</v>
      </c>
      <c r="G1759">
        <f t="shared" si="220"/>
        <v>221.51456310679612</v>
      </c>
      <c r="H1759" t="str">
        <f>_xlfn.XLOOKUP(A1759,Fact_Events!$D$2:$D$20,Fact_Events!$A$2:$A$20, "")</f>
        <v>E012</v>
      </c>
      <c r="I1759">
        <f t="shared" si="221"/>
        <v>1</v>
      </c>
      <c r="J1759">
        <f>_xlfn.XLOOKUP(H1759, Fact_Events!$A$2:$A$20, Fact_Events!$F$2:$F$20, "")</f>
        <v>9</v>
      </c>
      <c r="K1759" t="str">
        <f t="shared" si="222"/>
        <v>High</v>
      </c>
      <c r="L1759">
        <f t="shared" si="223"/>
        <v>0.89</v>
      </c>
      <c r="M1759">
        <f>_xlfn.XLOOKUP(B1759, Dim_Hotel!$A$2:$A$11, Dim_Hotel!$I$2:$I$11)
 + (IF(J1759="",0,J1759)
    * _xlfn.XLOOKUP(B1759, Dim_Hotel!$A$2:$A$11, Dim_Hotel!$J$2:$J$11))</f>
        <v>248</v>
      </c>
    </row>
    <row r="1760" spans="1:13" x14ac:dyDescent="0.25">
      <c r="A1760" s="1">
        <f t="shared" si="216"/>
        <v>46198</v>
      </c>
      <c r="B1760" t="str" cm="1">
        <f t="array" ref="B1760">INDEX(HotelList,MOD(ROW()-2,10)+1)</f>
        <v>H009</v>
      </c>
      <c r="C1760">
        <f>_xlfn.XLOOKUP(B1760,Dim_Hotel!$A$2:$A$11,Dim_Hotel!$F$2:$F$11)</f>
        <v>114</v>
      </c>
      <c r="D1760">
        <f t="shared" si="217"/>
        <v>101</v>
      </c>
      <c r="E1760">
        <f t="shared" si="218"/>
        <v>0.88596491228070173</v>
      </c>
      <c r="F1760">
        <f t="shared" si="219"/>
        <v>275</v>
      </c>
      <c r="G1760">
        <f t="shared" si="220"/>
        <v>243.64035087719299</v>
      </c>
      <c r="H1760" t="str">
        <f>_xlfn.XLOOKUP(A1760,Fact_Events!$D$2:$D$20,Fact_Events!$A$2:$A$20, "")</f>
        <v>E012</v>
      </c>
      <c r="I1760">
        <f t="shared" si="221"/>
        <v>1</v>
      </c>
      <c r="J1760">
        <f>_xlfn.XLOOKUP(H1760, Fact_Events!$A$2:$A$20, Fact_Events!$F$2:$F$20, "")</f>
        <v>9</v>
      </c>
      <c r="K1760" t="str">
        <f t="shared" si="222"/>
        <v>High</v>
      </c>
      <c r="L1760">
        <f t="shared" si="223"/>
        <v>0.89</v>
      </c>
      <c r="M1760">
        <f>_xlfn.XLOOKUP(B1760, Dim_Hotel!$A$2:$A$11, Dim_Hotel!$I$2:$I$11)
 + (IF(J1760="",0,J1760)
    * _xlfn.XLOOKUP(B1760, Dim_Hotel!$A$2:$A$11, Dim_Hotel!$J$2:$J$11))</f>
        <v>275</v>
      </c>
    </row>
    <row r="1761" spans="1:13" x14ac:dyDescent="0.25">
      <c r="A1761" s="1">
        <f t="shared" si="216"/>
        <v>46198</v>
      </c>
      <c r="B1761" t="str" cm="1">
        <f t="array" ref="B1761">INDEX(HotelList,MOD(ROW()-2,10)+1)</f>
        <v>H010</v>
      </c>
      <c r="C1761">
        <f>_xlfn.XLOOKUP(B1761,Dim_Hotel!$A$2:$A$11,Dim_Hotel!$F$2:$F$11)</f>
        <v>89</v>
      </c>
      <c r="D1761">
        <f t="shared" si="217"/>
        <v>79</v>
      </c>
      <c r="E1761">
        <f t="shared" si="218"/>
        <v>0.88764044943820219</v>
      </c>
      <c r="F1761">
        <f t="shared" si="219"/>
        <v>240</v>
      </c>
      <c r="G1761">
        <f t="shared" si="220"/>
        <v>213.03370786516854</v>
      </c>
      <c r="H1761" t="str">
        <f>_xlfn.XLOOKUP(A1761,Fact_Events!$D$2:$D$20,Fact_Events!$A$2:$A$20, "")</f>
        <v>E012</v>
      </c>
      <c r="I1761">
        <f t="shared" si="221"/>
        <v>1</v>
      </c>
      <c r="J1761">
        <f>_xlfn.XLOOKUP(H1761, Fact_Events!$A$2:$A$20, Fact_Events!$F$2:$F$20, "")</f>
        <v>9</v>
      </c>
      <c r="K1761" t="str">
        <f t="shared" si="222"/>
        <v>High</v>
      </c>
      <c r="L1761">
        <f t="shared" si="223"/>
        <v>0.89</v>
      </c>
      <c r="M1761">
        <f>_xlfn.XLOOKUP(B1761, Dim_Hotel!$A$2:$A$11, Dim_Hotel!$I$2:$I$11)
 + (IF(J1761="",0,J1761)
    * _xlfn.XLOOKUP(B1761, Dim_Hotel!$A$2:$A$11, Dim_Hotel!$J$2:$J$11))</f>
        <v>240</v>
      </c>
    </row>
    <row r="1762" spans="1:13" x14ac:dyDescent="0.25">
      <c r="A1762" s="1">
        <f t="shared" si="216"/>
        <v>46199</v>
      </c>
      <c r="B1762" t="str" cm="1">
        <f t="array" ref="B1762">INDEX(HotelList,MOD(ROW()-2,10)+1)</f>
        <v>H001</v>
      </c>
      <c r="C1762">
        <f>_xlfn.XLOOKUP(B1762,Dim_Hotel!$A$2:$A$11,Dim_Hotel!$F$2:$F$11)</f>
        <v>888</v>
      </c>
      <c r="D1762">
        <f t="shared" si="217"/>
        <v>488</v>
      </c>
      <c r="E1762">
        <f t="shared" si="218"/>
        <v>0.5495495495495496</v>
      </c>
      <c r="F1762">
        <f t="shared" si="219"/>
        <v>260</v>
      </c>
      <c r="G1762">
        <f t="shared" si="220"/>
        <v>142.88288288288288</v>
      </c>
      <c r="H1762" t="str">
        <f>_xlfn.XLOOKUP(A1762,Fact_Events!$D$2:$D$20,Fact_Events!$A$2:$A$20, "")</f>
        <v/>
      </c>
      <c r="I1762">
        <f t="shared" si="221"/>
        <v>0</v>
      </c>
      <c r="J1762" t="str">
        <f>_xlfn.XLOOKUP(H1762, Fact_Events!$A$2:$A$20, Fact_Events!$F$2:$F$20, "")</f>
        <v/>
      </c>
      <c r="K1762" t="str">
        <f t="shared" si="222"/>
        <v>Low</v>
      </c>
      <c r="L1762">
        <f t="shared" si="223"/>
        <v>0.55000000000000004</v>
      </c>
      <c r="M1762">
        <f>_xlfn.XLOOKUP(B1762, Dim_Hotel!$A$2:$A$11, Dim_Hotel!$I$2:$I$11)
 + (IF(J1762="",0,J1762)
    * _xlfn.XLOOKUP(B1762, Dim_Hotel!$A$2:$A$11, Dim_Hotel!$J$2:$J$11))</f>
        <v>260</v>
      </c>
    </row>
    <row r="1763" spans="1:13" x14ac:dyDescent="0.25">
      <c r="A1763" s="1">
        <f t="shared" si="216"/>
        <v>46199</v>
      </c>
      <c r="B1763" t="str" cm="1">
        <f t="array" ref="B1763">INDEX(HotelList,MOD(ROW()-2,10)+1)</f>
        <v>H002</v>
      </c>
      <c r="C1763">
        <f>_xlfn.XLOOKUP(B1763,Dim_Hotel!$A$2:$A$11,Dim_Hotel!$F$2:$F$11)</f>
        <v>147</v>
      </c>
      <c r="D1763">
        <f t="shared" si="217"/>
        <v>81</v>
      </c>
      <c r="E1763">
        <f t="shared" si="218"/>
        <v>0.55102040816326525</v>
      </c>
      <c r="F1763">
        <f t="shared" si="219"/>
        <v>175</v>
      </c>
      <c r="G1763">
        <f t="shared" si="220"/>
        <v>96.428571428571416</v>
      </c>
      <c r="H1763" t="str">
        <f>_xlfn.XLOOKUP(A1763,Fact_Events!$D$2:$D$20,Fact_Events!$A$2:$A$20, "")</f>
        <v/>
      </c>
      <c r="I1763">
        <f t="shared" si="221"/>
        <v>0</v>
      </c>
      <c r="J1763" t="str">
        <f>_xlfn.XLOOKUP(H1763, Fact_Events!$A$2:$A$20, Fact_Events!$F$2:$F$20, "")</f>
        <v/>
      </c>
      <c r="K1763" t="str">
        <f t="shared" si="222"/>
        <v>Low</v>
      </c>
      <c r="L1763">
        <f t="shared" si="223"/>
        <v>0.55000000000000004</v>
      </c>
      <c r="M1763">
        <f>_xlfn.XLOOKUP(B1763, Dim_Hotel!$A$2:$A$11, Dim_Hotel!$I$2:$I$11)
 + (IF(J1763="",0,J1763)
    * _xlfn.XLOOKUP(B1763, Dim_Hotel!$A$2:$A$11, Dim_Hotel!$J$2:$J$11))</f>
        <v>175</v>
      </c>
    </row>
    <row r="1764" spans="1:13" x14ac:dyDescent="0.25">
      <c r="A1764" s="1">
        <f t="shared" si="216"/>
        <v>46199</v>
      </c>
      <c r="B1764" t="str" cm="1">
        <f t="array" ref="B1764">INDEX(HotelList,MOD(ROW()-2,10)+1)</f>
        <v>H003</v>
      </c>
      <c r="C1764">
        <f>_xlfn.XLOOKUP(B1764,Dim_Hotel!$A$2:$A$11,Dim_Hotel!$F$2:$F$11)</f>
        <v>121</v>
      </c>
      <c r="D1764">
        <f t="shared" si="217"/>
        <v>67</v>
      </c>
      <c r="E1764">
        <f t="shared" si="218"/>
        <v>0.55371900826446285</v>
      </c>
      <c r="F1764">
        <f t="shared" si="219"/>
        <v>145</v>
      </c>
      <c r="G1764">
        <f t="shared" si="220"/>
        <v>80.289256198347118</v>
      </c>
      <c r="H1764" t="str">
        <f>_xlfn.XLOOKUP(A1764,Fact_Events!$D$2:$D$20,Fact_Events!$A$2:$A$20, "")</f>
        <v/>
      </c>
      <c r="I1764">
        <f t="shared" si="221"/>
        <v>0</v>
      </c>
      <c r="J1764" t="str">
        <f>_xlfn.XLOOKUP(H1764, Fact_Events!$A$2:$A$20, Fact_Events!$F$2:$F$20, "")</f>
        <v/>
      </c>
      <c r="K1764" t="str">
        <f t="shared" si="222"/>
        <v>Low</v>
      </c>
      <c r="L1764">
        <f t="shared" si="223"/>
        <v>0.55000000000000004</v>
      </c>
      <c r="M1764">
        <f>_xlfn.XLOOKUP(B1764, Dim_Hotel!$A$2:$A$11, Dim_Hotel!$I$2:$I$11)
 + (IF(J1764="",0,J1764)
    * _xlfn.XLOOKUP(B1764, Dim_Hotel!$A$2:$A$11, Dim_Hotel!$J$2:$J$11))</f>
        <v>145</v>
      </c>
    </row>
    <row r="1765" spans="1:13" x14ac:dyDescent="0.25">
      <c r="A1765" s="1">
        <f t="shared" si="216"/>
        <v>46199</v>
      </c>
      <c r="B1765" t="str" cm="1">
        <f t="array" ref="B1765">INDEX(HotelList,MOD(ROW()-2,10)+1)</f>
        <v>H004</v>
      </c>
      <c r="C1765">
        <f>_xlfn.XLOOKUP(B1765,Dim_Hotel!$A$2:$A$11,Dim_Hotel!$F$2:$F$11)</f>
        <v>108</v>
      </c>
      <c r="D1765">
        <f t="shared" si="217"/>
        <v>59</v>
      </c>
      <c r="E1765">
        <f t="shared" si="218"/>
        <v>0.54629629629629628</v>
      </c>
      <c r="F1765">
        <f t="shared" si="219"/>
        <v>135</v>
      </c>
      <c r="G1765">
        <f t="shared" si="220"/>
        <v>73.75</v>
      </c>
      <c r="H1765" t="str">
        <f>_xlfn.XLOOKUP(A1765,Fact_Events!$D$2:$D$20,Fact_Events!$A$2:$A$20, "")</f>
        <v/>
      </c>
      <c r="I1765">
        <f t="shared" si="221"/>
        <v>0</v>
      </c>
      <c r="J1765" t="str">
        <f>_xlfn.XLOOKUP(H1765, Fact_Events!$A$2:$A$20, Fact_Events!$F$2:$F$20, "")</f>
        <v/>
      </c>
      <c r="K1765" t="str">
        <f t="shared" si="222"/>
        <v>Low</v>
      </c>
      <c r="L1765">
        <f t="shared" si="223"/>
        <v>0.55000000000000004</v>
      </c>
      <c r="M1765">
        <f>_xlfn.XLOOKUP(B1765, Dim_Hotel!$A$2:$A$11, Dim_Hotel!$I$2:$I$11)
 + (IF(J1765="",0,J1765)
    * _xlfn.XLOOKUP(B1765, Dim_Hotel!$A$2:$A$11, Dim_Hotel!$J$2:$J$11))</f>
        <v>135</v>
      </c>
    </row>
    <row r="1766" spans="1:13" x14ac:dyDescent="0.25">
      <c r="A1766" s="1">
        <f t="shared" si="216"/>
        <v>46199</v>
      </c>
      <c r="B1766" t="str" cm="1">
        <f t="array" ref="B1766">INDEX(HotelList,MOD(ROW()-2,10)+1)</f>
        <v>H005</v>
      </c>
      <c r="C1766">
        <f>_xlfn.XLOOKUP(B1766,Dim_Hotel!$A$2:$A$11,Dim_Hotel!$F$2:$F$11)</f>
        <v>66</v>
      </c>
      <c r="D1766">
        <f t="shared" si="217"/>
        <v>36</v>
      </c>
      <c r="E1766">
        <f t="shared" si="218"/>
        <v>0.54545454545454541</v>
      </c>
      <c r="F1766">
        <f t="shared" si="219"/>
        <v>82</v>
      </c>
      <c r="G1766">
        <f t="shared" si="220"/>
        <v>44.727272727272727</v>
      </c>
      <c r="H1766" t="str">
        <f>_xlfn.XLOOKUP(A1766,Fact_Events!$D$2:$D$20,Fact_Events!$A$2:$A$20, "")</f>
        <v/>
      </c>
      <c r="I1766">
        <f t="shared" si="221"/>
        <v>0</v>
      </c>
      <c r="J1766" t="str">
        <f>_xlfn.XLOOKUP(H1766, Fact_Events!$A$2:$A$20, Fact_Events!$F$2:$F$20, "")</f>
        <v/>
      </c>
      <c r="K1766" t="str">
        <f t="shared" si="222"/>
        <v>Low</v>
      </c>
      <c r="L1766">
        <f t="shared" si="223"/>
        <v>0.55000000000000004</v>
      </c>
      <c r="M1766">
        <f>_xlfn.XLOOKUP(B1766, Dim_Hotel!$A$2:$A$11, Dim_Hotel!$I$2:$I$11)
 + (IF(J1766="",0,J1766)
    * _xlfn.XLOOKUP(B1766, Dim_Hotel!$A$2:$A$11, Dim_Hotel!$J$2:$J$11))</f>
        <v>82</v>
      </c>
    </row>
    <row r="1767" spans="1:13" x14ac:dyDescent="0.25">
      <c r="A1767" s="1">
        <f t="shared" si="216"/>
        <v>46199</v>
      </c>
      <c r="B1767" t="str" cm="1">
        <f t="array" ref="B1767">INDEX(HotelList,MOD(ROW()-2,10)+1)</f>
        <v>H006</v>
      </c>
      <c r="C1767">
        <f>_xlfn.XLOOKUP(B1767,Dim_Hotel!$A$2:$A$11,Dim_Hotel!$F$2:$F$11)</f>
        <v>311</v>
      </c>
      <c r="D1767">
        <f t="shared" si="217"/>
        <v>171</v>
      </c>
      <c r="E1767">
        <f t="shared" si="218"/>
        <v>0.54983922829581988</v>
      </c>
      <c r="F1767">
        <f t="shared" si="219"/>
        <v>190</v>
      </c>
      <c r="G1767">
        <f t="shared" si="220"/>
        <v>104.46945337620578</v>
      </c>
      <c r="H1767" t="str">
        <f>_xlfn.XLOOKUP(A1767,Fact_Events!$D$2:$D$20,Fact_Events!$A$2:$A$20, "")</f>
        <v/>
      </c>
      <c r="I1767">
        <f t="shared" si="221"/>
        <v>0</v>
      </c>
      <c r="J1767" t="str">
        <f>_xlfn.XLOOKUP(H1767, Fact_Events!$A$2:$A$20, Fact_Events!$F$2:$F$20, "")</f>
        <v/>
      </c>
      <c r="K1767" t="str">
        <f t="shared" si="222"/>
        <v>Low</v>
      </c>
      <c r="L1767">
        <f t="shared" si="223"/>
        <v>0.55000000000000004</v>
      </c>
      <c r="M1767">
        <f>_xlfn.XLOOKUP(B1767, Dim_Hotel!$A$2:$A$11, Dim_Hotel!$I$2:$I$11)
 + (IF(J1767="",0,J1767)
    * _xlfn.XLOOKUP(B1767, Dim_Hotel!$A$2:$A$11, Dim_Hotel!$J$2:$J$11))</f>
        <v>190</v>
      </c>
    </row>
    <row r="1768" spans="1:13" x14ac:dyDescent="0.25">
      <c r="A1768" s="1">
        <f t="shared" si="216"/>
        <v>46199</v>
      </c>
      <c r="B1768" t="str" cm="1">
        <f t="array" ref="B1768">INDEX(HotelList,MOD(ROW()-2,10)+1)</f>
        <v>H007</v>
      </c>
      <c r="C1768">
        <f>_xlfn.XLOOKUP(B1768,Dim_Hotel!$A$2:$A$11,Dim_Hotel!$F$2:$F$11)</f>
        <v>132</v>
      </c>
      <c r="D1768">
        <f t="shared" si="217"/>
        <v>73</v>
      </c>
      <c r="E1768">
        <f t="shared" si="218"/>
        <v>0.55303030303030298</v>
      </c>
      <c r="F1768">
        <f t="shared" si="219"/>
        <v>165</v>
      </c>
      <c r="G1768">
        <f t="shared" si="220"/>
        <v>91.249999999999986</v>
      </c>
      <c r="H1768" t="str">
        <f>_xlfn.XLOOKUP(A1768,Fact_Events!$D$2:$D$20,Fact_Events!$A$2:$A$20, "")</f>
        <v/>
      </c>
      <c r="I1768">
        <f t="shared" si="221"/>
        <v>0</v>
      </c>
      <c r="J1768" t="str">
        <f>_xlfn.XLOOKUP(H1768, Fact_Events!$A$2:$A$20, Fact_Events!$F$2:$F$20, "")</f>
        <v/>
      </c>
      <c r="K1768" t="str">
        <f t="shared" si="222"/>
        <v>Low</v>
      </c>
      <c r="L1768">
        <f t="shared" si="223"/>
        <v>0.55000000000000004</v>
      </c>
      <c r="M1768">
        <f>_xlfn.XLOOKUP(B1768, Dim_Hotel!$A$2:$A$11, Dim_Hotel!$I$2:$I$11)
 + (IF(J1768="",0,J1768)
    * _xlfn.XLOOKUP(B1768, Dim_Hotel!$A$2:$A$11, Dim_Hotel!$J$2:$J$11))</f>
        <v>165</v>
      </c>
    </row>
    <row r="1769" spans="1:13" x14ac:dyDescent="0.25">
      <c r="A1769" s="1">
        <f t="shared" si="216"/>
        <v>46199</v>
      </c>
      <c r="B1769" t="str" cm="1">
        <f t="array" ref="B1769">INDEX(HotelList,MOD(ROW()-2,10)+1)</f>
        <v>H008</v>
      </c>
      <c r="C1769">
        <f>_xlfn.XLOOKUP(B1769,Dim_Hotel!$A$2:$A$11,Dim_Hotel!$F$2:$F$11)</f>
        <v>103</v>
      </c>
      <c r="D1769">
        <f t="shared" si="217"/>
        <v>57</v>
      </c>
      <c r="E1769">
        <f t="shared" si="218"/>
        <v>0.55339805825242716</v>
      </c>
      <c r="F1769">
        <f t="shared" si="219"/>
        <v>140</v>
      </c>
      <c r="G1769">
        <f t="shared" si="220"/>
        <v>77.475728155339809</v>
      </c>
      <c r="H1769" t="str">
        <f>_xlfn.XLOOKUP(A1769,Fact_Events!$D$2:$D$20,Fact_Events!$A$2:$A$20, "")</f>
        <v/>
      </c>
      <c r="I1769">
        <f t="shared" si="221"/>
        <v>0</v>
      </c>
      <c r="J1769" t="str">
        <f>_xlfn.XLOOKUP(H1769, Fact_Events!$A$2:$A$20, Fact_Events!$F$2:$F$20, "")</f>
        <v/>
      </c>
      <c r="K1769" t="str">
        <f t="shared" si="222"/>
        <v>Low</v>
      </c>
      <c r="L1769">
        <f t="shared" si="223"/>
        <v>0.55000000000000004</v>
      </c>
      <c r="M1769">
        <f>_xlfn.XLOOKUP(B1769, Dim_Hotel!$A$2:$A$11, Dim_Hotel!$I$2:$I$11)
 + (IF(J1769="",0,J1769)
    * _xlfn.XLOOKUP(B1769, Dim_Hotel!$A$2:$A$11, Dim_Hotel!$J$2:$J$11))</f>
        <v>140</v>
      </c>
    </row>
    <row r="1770" spans="1:13" x14ac:dyDescent="0.25">
      <c r="A1770" s="1">
        <f t="shared" si="216"/>
        <v>46199</v>
      </c>
      <c r="B1770" t="str" cm="1">
        <f t="array" ref="B1770">INDEX(HotelList,MOD(ROW()-2,10)+1)</f>
        <v>H009</v>
      </c>
      <c r="C1770">
        <f>_xlfn.XLOOKUP(B1770,Dim_Hotel!$A$2:$A$11,Dim_Hotel!$F$2:$F$11)</f>
        <v>114</v>
      </c>
      <c r="D1770">
        <f t="shared" si="217"/>
        <v>63</v>
      </c>
      <c r="E1770">
        <f t="shared" si="218"/>
        <v>0.55263157894736847</v>
      </c>
      <c r="F1770">
        <f t="shared" si="219"/>
        <v>185</v>
      </c>
      <c r="G1770">
        <f t="shared" si="220"/>
        <v>102.23684210526316</v>
      </c>
      <c r="H1770" t="str">
        <f>_xlfn.XLOOKUP(A1770,Fact_Events!$D$2:$D$20,Fact_Events!$A$2:$A$20, "")</f>
        <v/>
      </c>
      <c r="I1770">
        <f t="shared" si="221"/>
        <v>0</v>
      </c>
      <c r="J1770" t="str">
        <f>_xlfn.XLOOKUP(H1770, Fact_Events!$A$2:$A$20, Fact_Events!$F$2:$F$20, "")</f>
        <v/>
      </c>
      <c r="K1770" t="str">
        <f t="shared" si="222"/>
        <v>Low</v>
      </c>
      <c r="L1770">
        <f t="shared" si="223"/>
        <v>0.55000000000000004</v>
      </c>
      <c r="M1770">
        <f>_xlfn.XLOOKUP(B1770, Dim_Hotel!$A$2:$A$11, Dim_Hotel!$I$2:$I$11)
 + (IF(J1770="",0,J1770)
    * _xlfn.XLOOKUP(B1770, Dim_Hotel!$A$2:$A$11, Dim_Hotel!$J$2:$J$11))</f>
        <v>185</v>
      </c>
    </row>
    <row r="1771" spans="1:13" x14ac:dyDescent="0.25">
      <c r="A1771" s="1">
        <f t="shared" si="216"/>
        <v>46199</v>
      </c>
      <c r="B1771" t="str" cm="1">
        <f t="array" ref="B1771">INDEX(HotelList,MOD(ROW()-2,10)+1)</f>
        <v>H010</v>
      </c>
      <c r="C1771">
        <f>_xlfn.XLOOKUP(B1771,Dim_Hotel!$A$2:$A$11,Dim_Hotel!$F$2:$F$11)</f>
        <v>89</v>
      </c>
      <c r="D1771">
        <f t="shared" si="217"/>
        <v>49</v>
      </c>
      <c r="E1771">
        <f t="shared" si="218"/>
        <v>0.550561797752809</v>
      </c>
      <c r="F1771">
        <f t="shared" si="219"/>
        <v>150</v>
      </c>
      <c r="G1771">
        <f t="shared" si="220"/>
        <v>82.584269662921344</v>
      </c>
      <c r="H1771" t="str">
        <f>_xlfn.XLOOKUP(A1771,Fact_Events!$D$2:$D$20,Fact_Events!$A$2:$A$20, "")</f>
        <v/>
      </c>
      <c r="I1771">
        <f t="shared" si="221"/>
        <v>0</v>
      </c>
      <c r="J1771" t="str">
        <f>_xlfn.XLOOKUP(H1771, Fact_Events!$A$2:$A$20, Fact_Events!$F$2:$F$20, "")</f>
        <v/>
      </c>
      <c r="K1771" t="str">
        <f t="shared" si="222"/>
        <v>Low</v>
      </c>
      <c r="L1771">
        <f t="shared" si="223"/>
        <v>0.55000000000000004</v>
      </c>
      <c r="M1771">
        <f>_xlfn.XLOOKUP(B1771, Dim_Hotel!$A$2:$A$11, Dim_Hotel!$I$2:$I$11)
 + (IF(J1771="",0,J1771)
    * _xlfn.XLOOKUP(B1771, Dim_Hotel!$A$2:$A$11, Dim_Hotel!$J$2:$J$11))</f>
        <v>150</v>
      </c>
    </row>
    <row r="1772" spans="1:13" x14ac:dyDescent="0.25">
      <c r="A1772" s="1">
        <f t="shared" si="216"/>
        <v>46200</v>
      </c>
      <c r="B1772" t="str" cm="1">
        <f t="array" ref="B1772">INDEX(HotelList,MOD(ROW()-2,10)+1)</f>
        <v>H001</v>
      </c>
      <c r="C1772">
        <f>_xlfn.XLOOKUP(B1772,Dim_Hotel!$A$2:$A$11,Dim_Hotel!$F$2:$F$11)</f>
        <v>888</v>
      </c>
      <c r="D1772">
        <f t="shared" si="217"/>
        <v>799</v>
      </c>
      <c r="E1772">
        <f t="shared" si="218"/>
        <v>0.89977477477477474</v>
      </c>
      <c r="F1772">
        <f t="shared" si="219"/>
        <v>440</v>
      </c>
      <c r="G1772">
        <f t="shared" si="220"/>
        <v>395.90090090090087</v>
      </c>
      <c r="H1772" t="str">
        <f>_xlfn.XLOOKUP(A1772,Fact_Events!$D$2:$D$20,Fact_Events!$A$2:$A$20, "")</f>
        <v>E013</v>
      </c>
      <c r="I1772">
        <f t="shared" si="221"/>
        <v>1</v>
      </c>
      <c r="J1772">
        <f>_xlfn.XLOOKUP(H1772, Fact_Events!$A$2:$A$20, Fact_Events!$F$2:$F$20, "")</f>
        <v>10</v>
      </c>
      <c r="K1772" t="str">
        <f t="shared" si="222"/>
        <v>High</v>
      </c>
      <c r="L1772">
        <f t="shared" si="223"/>
        <v>0.9</v>
      </c>
      <c r="M1772">
        <f>_xlfn.XLOOKUP(B1772, Dim_Hotel!$A$2:$A$11, Dim_Hotel!$I$2:$I$11)
 + (IF(J1772="",0,J1772)
    * _xlfn.XLOOKUP(B1772, Dim_Hotel!$A$2:$A$11, Dim_Hotel!$J$2:$J$11))</f>
        <v>440</v>
      </c>
    </row>
    <row r="1773" spans="1:13" x14ac:dyDescent="0.25">
      <c r="A1773" s="1">
        <f t="shared" si="216"/>
        <v>46200</v>
      </c>
      <c r="B1773" t="str" cm="1">
        <f t="array" ref="B1773">INDEX(HotelList,MOD(ROW()-2,10)+1)</f>
        <v>H002</v>
      </c>
      <c r="C1773">
        <f>_xlfn.XLOOKUP(B1773,Dim_Hotel!$A$2:$A$11,Dim_Hotel!$F$2:$F$11)</f>
        <v>147</v>
      </c>
      <c r="D1773">
        <f t="shared" si="217"/>
        <v>132</v>
      </c>
      <c r="E1773">
        <f t="shared" si="218"/>
        <v>0.89795918367346939</v>
      </c>
      <c r="F1773">
        <f t="shared" si="219"/>
        <v>315</v>
      </c>
      <c r="G1773">
        <f t="shared" si="220"/>
        <v>282.85714285714283</v>
      </c>
      <c r="H1773" t="str">
        <f>_xlfn.XLOOKUP(A1773,Fact_Events!$D$2:$D$20,Fact_Events!$A$2:$A$20, "")</f>
        <v>E013</v>
      </c>
      <c r="I1773">
        <f t="shared" si="221"/>
        <v>1</v>
      </c>
      <c r="J1773">
        <f>_xlfn.XLOOKUP(H1773, Fact_Events!$A$2:$A$20, Fact_Events!$F$2:$F$20, "")</f>
        <v>10</v>
      </c>
      <c r="K1773" t="str">
        <f t="shared" si="222"/>
        <v>High</v>
      </c>
      <c r="L1773">
        <f t="shared" si="223"/>
        <v>0.9</v>
      </c>
      <c r="M1773">
        <f>_xlfn.XLOOKUP(B1773, Dim_Hotel!$A$2:$A$11, Dim_Hotel!$I$2:$I$11)
 + (IF(J1773="",0,J1773)
    * _xlfn.XLOOKUP(B1773, Dim_Hotel!$A$2:$A$11, Dim_Hotel!$J$2:$J$11))</f>
        <v>315</v>
      </c>
    </row>
    <row r="1774" spans="1:13" x14ac:dyDescent="0.25">
      <c r="A1774" s="1">
        <f t="shared" si="216"/>
        <v>46200</v>
      </c>
      <c r="B1774" t="str" cm="1">
        <f t="array" ref="B1774">INDEX(HotelList,MOD(ROW()-2,10)+1)</f>
        <v>H003</v>
      </c>
      <c r="C1774">
        <f>_xlfn.XLOOKUP(B1774,Dim_Hotel!$A$2:$A$11,Dim_Hotel!$F$2:$F$11)</f>
        <v>121</v>
      </c>
      <c r="D1774">
        <f t="shared" si="217"/>
        <v>109</v>
      </c>
      <c r="E1774">
        <f t="shared" si="218"/>
        <v>0.90082644628099173</v>
      </c>
      <c r="F1774">
        <f t="shared" si="219"/>
        <v>265</v>
      </c>
      <c r="G1774">
        <f t="shared" si="220"/>
        <v>238.71900826446281</v>
      </c>
      <c r="H1774" t="str">
        <f>_xlfn.XLOOKUP(A1774,Fact_Events!$D$2:$D$20,Fact_Events!$A$2:$A$20, "")</f>
        <v>E013</v>
      </c>
      <c r="I1774">
        <f t="shared" si="221"/>
        <v>1</v>
      </c>
      <c r="J1774">
        <f>_xlfn.XLOOKUP(H1774, Fact_Events!$A$2:$A$20, Fact_Events!$F$2:$F$20, "")</f>
        <v>10</v>
      </c>
      <c r="K1774" t="str">
        <f t="shared" si="222"/>
        <v>High</v>
      </c>
      <c r="L1774">
        <f t="shared" si="223"/>
        <v>0.9</v>
      </c>
      <c r="M1774">
        <f>_xlfn.XLOOKUP(B1774, Dim_Hotel!$A$2:$A$11, Dim_Hotel!$I$2:$I$11)
 + (IF(J1774="",0,J1774)
    * _xlfn.XLOOKUP(B1774, Dim_Hotel!$A$2:$A$11, Dim_Hotel!$J$2:$J$11))</f>
        <v>265</v>
      </c>
    </row>
    <row r="1775" spans="1:13" x14ac:dyDescent="0.25">
      <c r="A1775" s="1">
        <f t="shared" si="216"/>
        <v>46200</v>
      </c>
      <c r="B1775" t="str" cm="1">
        <f t="array" ref="B1775">INDEX(HotelList,MOD(ROW()-2,10)+1)</f>
        <v>H004</v>
      </c>
      <c r="C1775">
        <f>_xlfn.XLOOKUP(B1775,Dim_Hotel!$A$2:$A$11,Dim_Hotel!$F$2:$F$11)</f>
        <v>108</v>
      </c>
      <c r="D1775">
        <f t="shared" si="217"/>
        <v>97</v>
      </c>
      <c r="E1775">
        <f t="shared" si="218"/>
        <v>0.89814814814814814</v>
      </c>
      <c r="F1775">
        <f t="shared" si="219"/>
        <v>255</v>
      </c>
      <c r="G1775">
        <f t="shared" si="220"/>
        <v>229.02777777777777</v>
      </c>
      <c r="H1775" t="str">
        <f>_xlfn.XLOOKUP(A1775,Fact_Events!$D$2:$D$20,Fact_Events!$A$2:$A$20, "")</f>
        <v>E013</v>
      </c>
      <c r="I1775">
        <f t="shared" si="221"/>
        <v>1</v>
      </c>
      <c r="J1775">
        <f>_xlfn.XLOOKUP(H1775, Fact_Events!$A$2:$A$20, Fact_Events!$F$2:$F$20, "")</f>
        <v>10</v>
      </c>
      <c r="K1775" t="str">
        <f t="shared" si="222"/>
        <v>High</v>
      </c>
      <c r="L1775">
        <f t="shared" si="223"/>
        <v>0.9</v>
      </c>
      <c r="M1775">
        <f>_xlfn.XLOOKUP(B1775, Dim_Hotel!$A$2:$A$11, Dim_Hotel!$I$2:$I$11)
 + (IF(J1775="",0,J1775)
    * _xlfn.XLOOKUP(B1775, Dim_Hotel!$A$2:$A$11, Dim_Hotel!$J$2:$J$11))</f>
        <v>255</v>
      </c>
    </row>
    <row r="1776" spans="1:13" x14ac:dyDescent="0.25">
      <c r="A1776" s="1">
        <f t="shared" si="216"/>
        <v>46200</v>
      </c>
      <c r="B1776" t="str" cm="1">
        <f t="array" ref="B1776">INDEX(HotelList,MOD(ROW()-2,10)+1)</f>
        <v>H005</v>
      </c>
      <c r="C1776">
        <f>_xlfn.XLOOKUP(B1776,Dim_Hotel!$A$2:$A$11,Dim_Hotel!$F$2:$F$11)</f>
        <v>66</v>
      </c>
      <c r="D1776">
        <f t="shared" si="217"/>
        <v>59</v>
      </c>
      <c r="E1776">
        <f t="shared" si="218"/>
        <v>0.89393939393939392</v>
      </c>
      <c r="F1776">
        <f t="shared" si="219"/>
        <v>162</v>
      </c>
      <c r="G1776">
        <f t="shared" si="220"/>
        <v>144.81818181818181</v>
      </c>
      <c r="H1776" t="str">
        <f>_xlfn.XLOOKUP(A1776,Fact_Events!$D$2:$D$20,Fact_Events!$A$2:$A$20, "")</f>
        <v>E013</v>
      </c>
      <c r="I1776">
        <f t="shared" si="221"/>
        <v>1</v>
      </c>
      <c r="J1776">
        <f>_xlfn.XLOOKUP(H1776, Fact_Events!$A$2:$A$20, Fact_Events!$F$2:$F$20, "")</f>
        <v>10</v>
      </c>
      <c r="K1776" t="str">
        <f t="shared" si="222"/>
        <v>High</v>
      </c>
      <c r="L1776">
        <f t="shared" si="223"/>
        <v>0.9</v>
      </c>
      <c r="M1776">
        <f>_xlfn.XLOOKUP(B1776, Dim_Hotel!$A$2:$A$11, Dim_Hotel!$I$2:$I$11)
 + (IF(J1776="",0,J1776)
    * _xlfn.XLOOKUP(B1776, Dim_Hotel!$A$2:$A$11, Dim_Hotel!$J$2:$J$11))</f>
        <v>162</v>
      </c>
    </row>
    <row r="1777" spans="1:13" x14ac:dyDescent="0.25">
      <c r="A1777" s="1">
        <f t="shared" si="216"/>
        <v>46200</v>
      </c>
      <c r="B1777" t="str" cm="1">
        <f t="array" ref="B1777">INDEX(HotelList,MOD(ROW()-2,10)+1)</f>
        <v>H006</v>
      </c>
      <c r="C1777">
        <f>_xlfn.XLOOKUP(B1777,Dim_Hotel!$A$2:$A$11,Dim_Hotel!$F$2:$F$11)</f>
        <v>311</v>
      </c>
      <c r="D1777">
        <f t="shared" si="217"/>
        <v>280</v>
      </c>
      <c r="E1777">
        <f t="shared" si="218"/>
        <v>0.90032154340836013</v>
      </c>
      <c r="F1777">
        <f t="shared" si="219"/>
        <v>340</v>
      </c>
      <c r="G1777">
        <f t="shared" si="220"/>
        <v>306.10932475884243</v>
      </c>
      <c r="H1777" t="str">
        <f>_xlfn.XLOOKUP(A1777,Fact_Events!$D$2:$D$20,Fact_Events!$A$2:$A$20, "")</f>
        <v>E013</v>
      </c>
      <c r="I1777">
        <f t="shared" si="221"/>
        <v>1</v>
      </c>
      <c r="J1777">
        <f>_xlfn.XLOOKUP(H1777, Fact_Events!$A$2:$A$20, Fact_Events!$F$2:$F$20, "")</f>
        <v>10</v>
      </c>
      <c r="K1777" t="str">
        <f t="shared" si="222"/>
        <v>High</v>
      </c>
      <c r="L1777">
        <f t="shared" si="223"/>
        <v>0.9</v>
      </c>
      <c r="M1777">
        <f>_xlfn.XLOOKUP(B1777, Dim_Hotel!$A$2:$A$11, Dim_Hotel!$I$2:$I$11)
 + (IF(J1777="",0,J1777)
    * _xlfn.XLOOKUP(B1777, Dim_Hotel!$A$2:$A$11, Dim_Hotel!$J$2:$J$11))</f>
        <v>340</v>
      </c>
    </row>
    <row r="1778" spans="1:13" x14ac:dyDescent="0.25">
      <c r="A1778" s="1">
        <f t="shared" si="216"/>
        <v>46200</v>
      </c>
      <c r="B1778" t="str" cm="1">
        <f t="array" ref="B1778">INDEX(HotelList,MOD(ROW()-2,10)+1)</f>
        <v>H007</v>
      </c>
      <c r="C1778">
        <f>_xlfn.XLOOKUP(B1778,Dim_Hotel!$A$2:$A$11,Dim_Hotel!$F$2:$F$11)</f>
        <v>132</v>
      </c>
      <c r="D1778">
        <f t="shared" si="217"/>
        <v>119</v>
      </c>
      <c r="E1778">
        <f t="shared" si="218"/>
        <v>0.90151515151515149</v>
      </c>
      <c r="F1778">
        <f t="shared" si="219"/>
        <v>295</v>
      </c>
      <c r="G1778">
        <f t="shared" si="220"/>
        <v>265.94696969696969</v>
      </c>
      <c r="H1778" t="str">
        <f>_xlfn.XLOOKUP(A1778,Fact_Events!$D$2:$D$20,Fact_Events!$A$2:$A$20, "")</f>
        <v>E013</v>
      </c>
      <c r="I1778">
        <f t="shared" si="221"/>
        <v>1</v>
      </c>
      <c r="J1778">
        <f>_xlfn.XLOOKUP(H1778, Fact_Events!$A$2:$A$20, Fact_Events!$F$2:$F$20, "")</f>
        <v>10</v>
      </c>
      <c r="K1778" t="str">
        <f t="shared" si="222"/>
        <v>High</v>
      </c>
      <c r="L1778">
        <f t="shared" si="223"/>
        <v>0.9</v>
      </c>
      <c r="M1778">
        <f>_xlfn.XLOOKUP(B1778, Dim_Hotel!$A$2:$A$11, Dim_Hotel!$I$2:$I$11)
 + (IF(J1778="",0,J1778)
    * _xlfn.XLOOKUP(B1778, Dim_Hotel!$A$2:$A$11, Dim_Hotel!$J$2:$J$11))</f>
        <v>295</v>
      </c>
    </row>
    <row r="1779" spans="1:13" x14ac:dyDescent="0.25">
      <c r="A1779" s="1">
        <f t="shared" si="216"/>
        <v>46200</v>
      </c>
      <c r="B1779" t="str" cm="1">
        <f t="array" ref="B1779">INDEX(HotelList,MOD(ROW()-2,10)+1)</f>
        <v>H008</v>
      </c>
      <c r="C1779">
        <f>_xlfn.XLOOKUP(B1779,Dim_Hotel!$A$2:$A$11,Dim_Hotel!$F$2:$F$11)</f>
        <v>103</v>
      </c>
      <c r="D1779">
        <f t="shared" si="217"/>
        <v>93</v>
      </c>
      <c r="E1779">
        <f t="shared" si="218"/>
        <v>0.90291262135922334</v>
      </c>
      <c r="F1779">
        <f t="shared" si="219"/>
        <v>260</v>
      </c>
      <c r="G1779">
        <f t="shared" si="220"/>
        <v>234.75728155339806</v>
      </c>
      <c r="H1779" t="str">
        <f>_xlfn.XLOOKUP(A1779,Fact_Events!$D$2:$D$20,Fact_Events!$A$2:$A$20, "")</f>
        <v>E013</v>
      </c>
      <c r="I1779">
        <f t="shared" si="221"/>
        <v>1</v>
      </c>
      <c r="J1779">
        <f>_xlfn.XLOOKUP(H1779, Fact_Events!$A$2:$A$20, Fact_Events!$F$2:$F$20, "")</f>
        <v>10</v>
      </c>
      <c r="K1779" t="str">
        <f t="shared" si="222"/>
        <v>High</v>
      </c>
      <c r="L1779">
        <f t="shared" si="223"/>
        <v>0.9</v>
      </c>
      <c r="M1779">
        <f>_xlfn.XLOOKUP(B1779, Dim_Hotel!$A$2:$A$11, Dim_Hotel!$I$2:$I$11)
 + (IF(J1779="",0,J1779)
    * _xlfn.XLOOKUP(B1779, Dim_Hotel!$A$2:$A$11, Dim_Hotel!$J$2:$J$11))</f>
        <v>260</v>
      </c>
    </row>
    <row r="1780" spans="1:13" x14ac:dyDescent="0.25">
      <c r="A1780" s="1">
        <f t="shared" si="216"/>
        <v>46200</v>
      </c>
      <c r="B1780" t="str" cm="1">
        <f t="array" ref="B1780">INDEX(HotelList,MOD(ROW()-2,10)+1)</f>
        <v>H009</v>
      </c>
      <c r="C1780">
        <f>_xlfn.XLOOKUP(B1780,Dim_Hotel!$A$2:$A$11,Dim_Hotel!$F$2:$F$11)</f>
        <v>114</v>
      </c>
      <c r="D1780">
        <f t="shared" si="217"/>
        <v>103</v>
      </c>
      <c r="E1780">
        <f t="shared" si="218"/>
        <v>0.90350877192982459</v>
      </c>
      <c r="F1780">
        <f t="shared" si="219"/>
        <v>285</v>
      </c>
      <c r="G1780">
        <f t="shared" si="220"/>
        <v>257.5</v>
      </c>
      <c r="H1780" t="str">
        <f>_xlfn.XLOOKUP(A1780,Fact_Events!$D$2:$D$20,Fact_Events!$A$2:$A$20, "")</f>
        <v>E013</v>
      </c>
      <c r="I1780">
        <f t="shared" si="221"/>
        <v>1</v>
      </c>
      <c r="J1780">
        <f>_xlfn.XLOOKUP(H1780, Fact_Events!$A$2:$A$20, Fact_Events!$F$2:$F$20, "")</f>
        <v>10</v>
      </c>
      <c r="K1780" t="str">
        <f t="shared" si="222"/>
        <v>High</v>
      </c>
      <c r="L1780">
        <f t="shared" si="223"/>
        <v>0.9</v>
      </c>
      <c r="M1780">
        <f>_xlfn.XLOOKUP(B1780, Dim_Hotel!$A$2:$A$11, Dim_Hotel!$I$2:$I$11)
 + (IF(J1780="",0,J1780)
    * _xlfn.XLOOKUP(B1780, Dim_Hotel!$A$2:$A$11, Dim_Hotel!$J$2:$J$11))</f>
        <v>285</v>
      </c>
    </row>
    <row r="1781" spans="1:13" x14ac:dyDescent="0.25">
      <c r="A1781" s="1">
        <f t="shared" si="216"/>
        <v>46200</v>
      </c>
      <c r="B1781" t="str" cm="1">
        <f t="array" ref="B1781">INDEX(HotelList,MOD(ROW()-2,10)+1)</f>
        <v>H010</v>
      </c>
      <c r="C1781">
        <f>_xlfn.XLOOKUP(B1781,Dim_Hotel!$A$2:$A$11,Dim_Hotel!$F$2:$F$11)</f>
        <v>89</v>
      </c>
      <c r="D1781">
        <f t="shared" si="217"/>
        <v>80</v>
      </c>
      <c r="E1781">
        <f t="shared" si="218"/>
        <v>0.898876404494382</v>
      </c>
      <c r="F1781">
        <f t="shared" si="219"/>
        <v>250</v>
      </c>
      <c r="G1781">
        <f t="shared" si="220"/>
        <v>224.71910112359549</v>
      </c>
      <c r="H1781" t="str">
        <f>_xlfn.XLOOKUP(A1781,Fact_Events!$D$2:$D$20,Fact_Events!$A$2:$A$20, "")</f>
        <v>E013</v>
      </c>
      <c r="I1781">
        <f t="shared" si="221"/>
        <v>1</v>
      </c>
      <c r="J1781">
        <f>_xlfn.XLOOKUP(H1781, Fact_Events!$A$2:$A$20, Fact_Events!$F$2:$F$20, "")</f>
        <v>10</v>
      </c>
      <c r="K1781" t="str">
        <f t="shared" si="222"/>
        <v>High</v>
      </c>
      <c r="L1781">
        <f t="shared" si="223"/>
        <v>0.9</v>
      </c>
      <c r="M1781">
        <f>_xlfn.XLOOKUP(B1781, Dim_Hotel!$A$2:$A$11, Dim_Hotel!$I$2:$I$11)
 + (IF(J1781="",0,J1781)
    * _xlfn.XLOOKUP(B1781, Dim_Hotel!$A$2:$A$11, Dim_Hotel!$J$2:$J$11))</f>
        <v>250</v>
      </c>
    </row>
    <row r="1782" spans="1:13" x14ac:dyDescent="0.25">
      <c r="A1782" s="1">
        <f t="shared" si="216"/>
        <v>46201</v>
      </c>
      <c r="B1782" t="str" cm="1">
        <f t="array" ref="B1782">INDEX(HotelList,MOD(ROW()-2,10)+1)</f>
        <v>H001</v>
      </c>
      <c r="C1782">
        <f>_xlfn.XLOOKUP(B1782,Dim_Hotel!$A$2:$A$11,Dim_Hotel!$F$2:$F$11)</f>
        <v>888</v>
      </c>
      <c r="D1782">
        <f t="shared" si="217"/>
        <v>488</v>
      </c>
      <c r="E1782">
        <f t="shared" si="218"/>
        <v>0.5495495495495496</v>
      </c>
      <c r="F1782">
        <f t="shared" si="219"/>
        <v>260</v>
      </c>
      <c r="G1782">
        <f t="shared" si="220"/>
        <v>142.88288288288288</v>
      </c>
      <c r="H1782" t="str">
        <f>_xlfn.XLOOKUP(A1782,Fact_Events!$D$2:$D$20,Fact_Events!$A$2:$A$20, "")</f>
        <v/>
      </c>
      <c r="I1782">
        <f t="shared" si="221"/>
        <v>0</v>
      </c>
      <c r="J1782" t="str">
        <f>_xlfn.XLOOKUP(H1782, Fact_Events!$A$2:$A$20, Fact_Events!$F$2:$F$20, "")</f>
        <v/>
      </c>
      <c r="K1782" t="str">
        <f t="shared" si="222"/>
        <v>Low</v>
      </c>
      <c r="L1782">
        <f t="shared" si="223"/>
        <v>0.55000000000000004</v>
      </c>
      <c r="M1782">
        <f>_xlfn.XLOOKUP(B1782, Dim_Hotel!$A$2:$A$11, Dim_Hotel!$I$2:$I$11)
 + (IF(J1782="",0,J1782)
    * _xlfn.XLOOKUP(B1782, Dim_Hotel!$A$2:$A$11, Dim_Hotel!$J$2:$J$11))</f>
        <v>260</v>
      </c>
    </row>
    <row r="1783" spans="1:13" x14ac:dyDescent="0.25">
      <c r="A1783" s="1">
        <f t="shared" si="216"/>
        <v>46201</v>
      </c>
      <c r="B1783" t="str" cm="1">
        <f t="array" ref="B1783">INDEX(HotelList,MOD(ROW()-2,10)+1)</f>
        <v>H002</v>
      </c>
      <c r="C1783">
        <f>_xlfn.XLOOKUP(B1783,Dim_Hotel!$A$2:$A$11,Dim_Hotel!$F$2:$F$11)</f>
        <v>147</v>
      </c>
      <c r="D1783">
        <f t="shared" si="217"/>
        <v>81</v>
      </c>
      <c r="E1783">
        <f t="shared" si="218"/>
        <v>0.55102040816326525</v>
      </c>
      <c r="F1783">
        <f t="shared" si="219"/>
        <v>175</v>
      </c>
      <c r="G1783">
        <f t="shared" si="220"/>
        <v>96.428571428571416</v>
      </c>
      <c r="H1783" t="str">
        <f>_xlfn.XLOOKUP(A1783,Fact_Events!$D$2:$D$20,Fact_Events!$A$2:$A$20, "")</f>
        <v/>
      </c>
      <c r="I1783">
        <f t="shared" si="221"/>
        <v>0</v>
      </c>
      <c r="J1783" t="str">
        <f>_xlfn.XLOOKUP(H1783, Fact_Events!$A$2:$A$20, Fact_Events!$F$2:$F$20, "")</f>
        <v/>
      </c>
      <c r="K1783" t="str">
        <f t="shared" si="222"/>
        <v>Low</v>
      </c>
      <c r="L1783">
        <f t="shared" si="223"/>
        <v>0.55000000000000004</v>
      </c>
      <c r="M1783">
        <f>_xlfn.XLOOKUP(B1783, Dim_Hotel!$A$2:$A$11, Dim_Hotel!$I$2:$I$11)
 + (IF(J1783="",0,J1783)
    * _xlfn.XLOOKUP(B1783, Dim_Hotel!$A$2:$A$11, Dim_Hotel!$J$2:$J$11))</f>
        <v>175</v>
      </c>
    </row>
    <row r="1784" spans="1:13" x14ac:dyDescent="0.25">
      <c r="A1784" s="1">
        <f t="shared" si="216"/>
        <v>46201</v>
      </c>
      <c r="B1784" t="str" cm="1">
        <f t="array" ref="B1784">INDEX(HotelList,MOD(ROW()-2,10)+1)</f>
        <v>H003</v>
      </c>
      <c r="C1784">
        <f>_xlfn.XLOOKUP(B1784,Dim_Hotel!$A$2:$A$11,Dim_Hotel!$F$2:$F$11)</f>
        <v>121</v>
      </c>
      <c r="D1784">
        <f t="shared" si="217"/>
        <v>67</v>
      </c>
      <c r="E1784">
        <f t="shared" si="218"/>
        <v>0.55371900826446285</v>
      </c>
      <c r="F1784">
        <f t="shared" si="219"/>
        <v>145</v>
      </c>
      <c r="G1784">
        <f t="shared" si="220"/>
        <v>80.289256198347118</v>
      </c>
      <c r="H1784" t="str">
        <f>_xlfn.XLOOKUP(A1784,Fact_Events!$D$2:$D$20,Fact_Events!$A$2:$A$20, "")</f>
        <v/>
      </c>
      <c r="I1784">
        <f t="shared" si="221"/>
        <v>0</v>
      </c>
      <c r="J1784" t="str">
        <f>_xlfn.XLOOKUP(H1784, Fact_Events!$A$2:$A$20, Fact_Events!$F$2:$F$20, "")</f>
        <v/>
      </c>
      <c r="K1784" t="str">
        <f t="shared" si="222"/>
        <v>Low</v>
      </c>
      <c r="L1784">
        <f t="shared" si="223"/>
        <v>0.55000000000000004</v>
      </c>
      <c r="M1784">
        <f>_xlfn.XLOOKUP(B1784, Dim_Hotel!$A$2:$A$11, Dim_Hotel!$I$2:$I$11)
 + (IF(J1784="",0,J1784)
    * _xlfn.XLOOKUP(B1784, Dim_Hotel!$A$2:$A$11, Dim_Hotel!$J$2:$J$11))</f>
        <v>145</v>
      </c>
    </row>
    <row r="1785" spans="1:13" x14ac:dyDescent="0.25">
      <c r="A1785" s="1">
        <f t="shared" si="216"/>
        <v>46201</v>
      </c>
      <c r="B1785" t="str" cm="1">
        <f t="array" ref="B1785">INDEX(HotelList,MOD(ROW()-2,10)+1)</f>
        <v>H004</v>
      </c>
      <c r="C1785">
        <f>_xlfn.XLOOKUP(B1785,Dim_Hotel!$A$2:$A$11,Dim_Hotel!$F$2:$F$11)</f>
        <v>108</v>
      </c>
      <c r="D1785">
        <f t="shared" si="217"/>
        <v>59</v>
      </c>
      <c r="E1785">
        <f t="shared" si="218"/>
        <v>0.54629629629629628</v>
      </c>
      <c r="F1785">
        <f t="shared" si="219"/>
        <v>135</v>
      </c>
      <c r="G1785">
        <f t="shared" si="220"/>
        <v>73.75</v>
      </c>
      <c r="H1785" t="str">
        <f>_xlfn.XLOOKUP(A1785,Fact_Events!$D$2:$D$20,Fact_Events!$A$2:$A$20, "")</f>
        <v/>
      </c>
      <c r="I1785">
        <f t="shared" si="221"/>
        <v>0</v>
      </c>
      <c r="J1785" t="str">
        <f>_xlfn.XLOOKUP(H1785, Fact_Events!$A$2:$A$20, Fact_Events!$F$2:$F$20, "")</f>
        <v/>
      </c>
      <c r="K1785" t="str">
        <f t="shared" si="222"/>
        <v>Low</v>
      </c>
      <c r="L1785">
        <f t="shared" si="223"/>
        <v>0.55000000000000004</v>
      </c>
      <c r="M1785">
        <f>_xlfn.XLOOKUP(B1785, Dim_Hotel!$A$2:$A$11, Dim_Hotel!$I$2:$I$11)
 + (IF(J1785="",0,J1785)
    * _xlfn.XLOOKUP(B1785, Dim_Hotel!$A$2:$A$11, Dim_Hotel!$J$2:$J$11))</f>
        <v>135</v>
      </c>
    </row>
    <row r="1786" spans="1:13" x14ac:dyDescent="0.25">
      <c r="A1786" s="1">
        <f t="shared" si="216"/>
        <v>46201</v>
      </c>
      <c r="B1786" t="str" cm="1">
        <f t="array" ref="B1786">INDEX(HotelList,MOD(ROW()-2,10)+1)</f>
        <v>H005</v>
      </c>
      <c r="C1786">
        <f>_xlfn.XLOOKUP(B1786,Dim_Hotel!$A$2:$A$11,Dim_Hotel!$F$2:$F$11)</f>
        <v>66</v>
      </c>
      <c r="D1786">
        <f t="shared" si="217"/>
        <v>36</v>
      </c>
      <c r="E1786">
        <f t="shared" si="218"/>
        <v>0.54545454545454541</v>
      </c>
      <c r="F1786">
        <f t="shared" si="219"/>
        <v>82</v>
      </c>
      <c r="G1786">
        <f t="shared" si="220"/>
        <v>44.727272727272727</v>
      </c>
      <c r="H1786" t="str">
        <f>_xlfn.XLOOKUP(A1786,Fact_Events!$D$2:$D$20,Fact_Events!$A$2:$A$20, "")</f>
        <v/>
      </c>
      <c r="I1786">
        <f t="shared" si="221"/>
        <v>0</v>
      </c>
      <c r="J1786" t="str">
        <f>_xlfn.XLOOKUP(H1786, Fact_Events!$A$2:$A$20, Fact_Events!$F$2:$F$20, "")</f>
        <v/>
      </c>
      <c r="K1786" t="str">
        <f t="shared" si="222"/>
        <v>Low</v>
      </c>
      <c r="L1786">
        <f t="shared" si="223"/>
        <v>0.55000000000000004</v>
      </c>
      <c r="M1786">
        <f>_xlfn.XLOOKUP(B1786, Dim_Hotel!$A$2:$A$11, Dim_Hotel!$I$2:$I$11)
 + (IF(J1786="",0,J1786)
    * _xlfn.XLOOKUP(B1786, Dim_Hotel!$A$2:$A$11, Dim_Hotel!$J$2:$J$11))</f>
        <v>82</v>
      </c>
    </row>
    <row r="1787" spans="1:13" x14ac:dyDescent="0.25">
      <c r="A1787" s="1">
        <f t="shared" si="216"/>
        <v>46201</v>
      </c>
      <c r="B1787" t="str" cm="1">
        <f t="array" ref="B1787">INDEX(HotelList,MOD(ROW()-2,10)+1)</f>
        <v>H006</v>
      </c>
      <c r="C1787">
        <f>_xlfn.XLOOKUP(B1787,Dim_Hotel!$A$2:$A$11,Dim_Hotel!$F$2:$F$11)</f>
        <v>311</v>
      </c>
      <c r="D1787">
        <f t="shared" si="217"/>
        <v>171</v>
      </c>
      <c r="E1787">
        <f t="shared" si="218"/>
        <v>0.54983922829581988</v>
      </c>
      <c r="F1787">
        <f t="shared" si="219"/>
        <v>190</v>
      </c>
      <c r="G1787">
        <f t="shared" si="220"/>
        <v>104.46945337620578</v>
      </c>
      <c r="H1787" t="str">
        <f>_xlfn.XLOOKUP(A1787,Fact_Events!$D$2:$D$20,Fact_Events!$A$2:$A$20, "")</f>
        <v/>
      </c>
      <c r="I1787">
        <f t="shared" si="221"/>
        <v>0</v>
      </c>
      <c r="J1787" t="str">
        <f>_xlfn.XLOOKUP(H1787, Fact_Events!$A$2:$A$20, Fact_Events!$F$2:$F$20, "")</f>
        <v/>
      </c>
      <c r="K1787" t="str">
        <f t="shared" si="222"/>
        <v>Low</v>
      </c>
      <c r="L1787">
        <f t="shared" si="223"/>
        <v>0.55000000000000004</v>
      </c>
      <c r="M1787">
        <f>_xlfn.XLOOKUP(B1787, Dim_Hotel!$A$2:$A$11, Dim_Hotel!$I$2:$I$11)
 + (IF(J1787="",0,J1787)
    * _xlfn.XLOOKUP(B1787, Dim_Hotel!$A$2:$A$11, Dim_Hotel!$J$2:$J$11))</f>
        <v>190</v>
      </c>
    </row>
    <row r="1788" spans="1:13" x14ac:dyDescent="0.25">
      <c r="A1788" s="1">
        <f t="shared" si="216"/>
        <v>46201</v>
      </c>
      <c r="B1788" t="str" cm="1">
        <f t="array" ref="B1788">INDEX(HotelList,MOD(ROW()-2,10)+1)</f>
        <v>H007</v>
      </c>
      <c r="C1788">
        <f>_xlfn.XLOOKUP(B1788,Dim_Hotel!$A$2:$A$11,Dim_Hotel!$F$2:$F$11)</f>
        <v>132</v>
      </c>
      <c r="D1788">
        <f t="shared" si="217"/>
        <v>73</v>
      </c>
      <c r="E1788">
        <f t="shared" si="218"/>
        <v>0.55303030303030298</v>
      </c>
      <c r="F1788">
        <f t="shared" si="219"/>
        <v>165</v>
      </c>
      <c r="G1788">
        <f t="shared" si="220"/>
        <v>91.249999999999986</v>
      </c>
      <c r="H1788" t="str">
        <f>_xlfn.XLOOKUP(A1788,Fact_Events!$D$2:$D$20,Fact_Events!$A$2:$A$20, "")</f>
        <v/>
      </c>
      <c r="I1788">
        <f t="shared" si="221"/>
        <v>0</v>
      </c>
      <c r="J1788" t="str">
        <f>_xlfn.XLOOKUP(H1788, Fact_Events!$A$2:$A$20, Fact_Events!$F$2:$F$20, "")</f>
        <v/>
      </c>
      <c r="K1788" t="str">
        <f t="shared" si="222"/>
        <v>Low</v>
      </c>
      <c r="L1788">
        <f t="shared" si="223"/>
        <v>0.55000000000000004</v>
      </c>
      <c r="M1788">
        <f>_xlfn.XLOOKUP(B1788, Dim_Hotel!$A$2:$A$11, Dim_Hotel!$I$2:$I$11)
 + (IF(J1788="",0,J1788)
    * _xlfn.XLOOKUP(B1788, Dim_Hotel!$A$2:$A$11, Dim_Hotel!$J$2:$J$11))</f>
        <v>165</v>
      </c>
    </row>
    <row r="1789" spans="1:13" x14ac:dyDescent="0.25">
      <c r="A1789" s="1">
        <f t="shared" si="216"/>
        <v>46201</v>
      </c>
      <c r="B1789" t="str" cm="1">
        <f t="array" ref="B1789">INDEX(HotelList,MOD(ROW()-2,10)+1)</f>
        <v>H008</v>
      </c>
      <c r="C1789">
        <f>_xlfn.XLOOKUP(B1789,Dim_Hotel!$A$2:$A$11,Dim_Hotel!$F$2:$F$11)</f>
        <v>103</v>
      </c>
      <c r="D1789">
        <f t="shared" si="217"/>
        <v>57</v>
      </c>
      <c r="E1789">
        <f t="shared" si="218"/>
        <v>0.55339805825242716</v>
      </c>
      <c r="F1789">
        <f t="shared" si="219"/>
        <v>140</v>
      </c>
      <c r="G1789">
        <f t="shared" si="220"/>
        <v>77.475728155339809</v>
      </c>
      <c r="H1789" t="str">
        <f>_xlfn.XLOOKUP(A1789,Fact_Events!$D$2:$D$20,Fact_Events!$A$2:$A$20, "")</f>
        <v/>
      </c>
      <c r="I1789">
        <f t="shared" si="221"/>
        <v>0</v>
      </c>
      <c r="J1789" t="str">
        <f>_xlfn.XLOOKUP(H1789, Fact_Events!$A$2:$A$20, Fact_Events!$F$2:$F$20, "")</f>
        <v/>
      </c>
      <c r="K1789" t="str">
        <f t="shared" si="222"/>
        <v>Low</v>
      </c>
      <c r="L1789">
        <f t="shared" si="223"/>
        <v>0.55000000000000004</v>
      </c>
      <c r="M1789">
        <f>_xlfn.XLOOKUP(B1789, Dim_Hotel!$A$2:$A$11, Dim_Hotel!$I$2:$I$11)
 + (IF(J1789="",0,J1789)
    * _xlfn.XLOOKUP(B1789, Dim_Hotel!$A$2:$A$11, Dim_Hotel!$J$2:$J$11))</f>
        <v>140</v>
      </c>
    </row>
    <row r="1790" spans="1:13" x14ac:dyDescent="0.25">
      <c r="A1790" s="1">
        <f t="shared" si="216"/>
        <v>46201</v>
      </c>
      <c r="B1790" t="str" cm="1">
        <f t="array" ref="B1790">INDEX(HotelList,MOD(ROW()-2,10)+1)</f>
        <v>H009</v>
      </c>
      <c r="C1790">
        <f>_xlfn.XLOOKUP(B1790,Dim_Hotel!$A$2:$A$11,Dim_Hotel!$F$2:$F$11)</f>
        <v>114</v>
      </c>
      <c r="D1790">
        <f t="shared" si="217"/>
        <v>63</v>
      </c>
      <c r="E1790">
        <f t="shared" si="218"/>
        <v>0.55263157894736847</v>
      </c>
      <c r="F1790">
        <f t="shared" si="219"/>
        <v>185</v>
      </c>
      <c r="G1790">
        <f t="shared" si="220"/>
        <v>102.23684210526316</v>
      </c>
      <c r="H1790" t="str">
        <f>_xlfn.XLOOKUP(A1790,Fact_Events!$D$2:$D$20,Fact_Events!$A$2:$A$20, "")</f>
        <v/>
      </c>
      <c r="I1790">
        <f t="shared" si="221"/>
        <v>0</v>
      </c>
      <c r="J1790" t="str">
        <f>_xlfn.XLOOKUP(H1790, Fact_Events!$A$2:$A$20, Fact_Events!$F$2:$F$20, "")</f>
        <v/>
      </c>
      <c r="K1790" t="str">
        <f t="shared" si="222"/>
        <v>Low</v>
      </c>
      <c r="L1790">
        <f t="shared" si="223"/>
        <v>0.55000000000000004</v>
      </c>
      <c r="M1790">
        <f>_xlfn.XLOOKUP(B1790, Dim_Hotel!$A$2:$A$11, Dim_Hotel!$I$2:$I$11)
 + (IF(J1790="",0,J1790)
    * _xlfn.XLOOKUP(B1790, Dim_Hotel!$A$2:$A$11, Dim_Hotel!$J$2:$J$11))</f>
        <v>185</v>
      </c>
    </row>
    <row r="1791" spans="1:13" x14ac:dyDescent="0.25">
      <c r="A1791" s="1">
        <f t="shared" si="216"/>
        <v>46201</v>
      </c>
      <c r="B1791" t="str" cm="1">
        <f t="array" ref="B1791">INDEX(HotelList,MOD(ROW()-2,10)+1)</f>
        <v>H010</v>
      </c>
      <c r="C1791">
        <f>_xlfn.XLOOKUP(B1791,Dim_Hotel!$A$2:$A$11,Dim_Hotel!$F$2:$F$11)</f>
        <v>89</v>
      </c>
      <c r="D1791">
        <f t="shared" si="217"/>
        <v>49</v>
      </c>
      <c r="E1791">
        <f t="shared" si="218"/>
        <v>0.550561797752809</v>
      </c>
      <c r="F1791">
        <f t="shared" si="219"/>
        <v>150</v>
      </c>
      <c r="G1791">
        <f t="shared" si="220"/>
        <v>82.584269662921344</v>
      </c>
      <c r="H1791" t="str">
        <f>_xlfn.XLOOKUP(A1791,Fact_Events!$D$2:$D$20,Fact_Events!$A$2:$A$20, "")</f>
        <v/>
      </c>
      <c r="I1791">
        <f t="shared" si="221"/>
        <v>0</v>
      </c>
      <c r="J1791" t="str">
        <f>_xlfn.XLOOKUP(H1791, Fact_Events!$A$2:$A$20, Fact_Events!$F$2:$F$20, "")</f>
        <v/>
      </c>
      <c r="K1791" t="str">
        <f t="shared" si="222"/>
        <v>Low</v>
      </c>
      <c r="L1791">
        <f t="shared" si="223"/>
        <v>0.55000000000000004</v>
      </c>
      <c r="M1791">
        <f>_xlfn.XLOOKUP(B1791, Dim_Hotel!$A$2:$A$11, Dim_Hotel!$I$2:$I$11)
 + (IF(J1791="",0,J1791)
    * _xlfn.XLOOKUP(B1791, Dim_Hotel!$A$2:$A$11, Dim_Hotel!$J$2:$J$11))</f>
        <v>150</v>
      </c>
    </row>
    <row r="1792" spans="1:13" x14ac:dyDescent="0.25">
      <c r="A1792" s="1">
        <f t="shared" si="216"/>
        <v>46202</v>
      </c>
      <c r="B1792" t="str" cm="1">
        <f t="array" ref="B1792">INDEX(HotelList,MOD(ROW()-2,10)+1)</f>
        <v>H001</v>
      </c>
      <c r="C1792">
        <f>_xlfn.XLOOKUP(B1792,Dim_Hotel!$A$2:$A$11,Dim_Hotel!$F$2:$F$11)</f>
        <v>888</v>
      </c>
      <c r="D1792">
        <f t="shared" si="217"/>
        <v>488</v>
      </c>
      <c r="E1792">
        <f t="shared" si="218"/>
        <v>0.5495495495495496</v>
      </c>
      <c r="F1792">
        <f t="shared" si="219"/>
        <v>260</v>
      </c>
      <c r="G1792">
        <f t="shared" si="220"/>
        <v>142.88288288288288</v>
      </c>
      <c r="H1792" t="str">
        <f>_xlfn.XLOOKUP(A1792,Fact_Events!$D$2:$D$20,Fact_Events!$A$2:$A$20, "")</f>
        <v/>
      </c>
      <c r="I1792">
        <f t="shared" si="221"/>
        <v>0</v>
      </c>
      <c r="J1792" t="str">
        <f>_xlfn.XLOOKUP(H1792, Fact_Events!$A$2:$A$20, Fact_Events!$F$2:$F$20, "")</f>
        <v/>
      </c>
      <c r="K1792" t="str">
        <f t="shared" si="222"/>
        <v>Low</v>
      </c>
      <c r="L1792">
        <f t="shared" si="223"/>
        <v>0.55000000000000004</v>
      </c>
      <c r="M1792">
        <f>_xlfn.XLOOKUP(B1792, Dim_Hotel!$A$2:$A$11, Dim_Hotel!$I$2:$I$11)
 + (IF(J1792="",0,J1792)
    * _xlfn.XLOOKUP(B1792, Dim_Hotel!$A$2:$A$11, Dim_Hotel!$J$2:$J$11))</f>
        <v>260</v>
      </c>
    </row>
    <row r="1793" spans="1:13" x14ac:dyDescent="0.25">
      <c r="A1793" s="1">
        <f t="shared" si="216"/>
        <v>46202</v>
      </c>
      <c r="B1793" t="str" cm="1">
        <f t="array" ref="B1793">INDEX(HotelList,MOD(ROW()-2,10)+1)</f>
        <v>H002</v>
      </c>
      <c r="C1793">
        <f>_xlfn.XLOOKUP(B1793,Dim_Hotel!$A$2:$A$11,Dim_Hotel!$F$2:$F$11)</f>
        <v>147</v>
      </c>
      <c r="D1793">
        <f t="shared" si="217"/>
        <v>81</v>
      </c>
      <c r="E1793">
        <f t="shared" si="218"/>
        <v>0.55102040816326525</v>
      </c>
      <c r="F1793">
        <f t="shared" si="219"/>
        <v>175</v>
      </c>
      <c r="G1793">
        <f t="shared" si="220"/>
        <v>96.428571428571416</v>
      </c>
      <c r="H1793" t="str">
        <f>_xlfn.XLOOKUP(A1793,Fact_Events!$D$2:$D$20,Fact_Events!$A$2:$A$20, "")</f>
        <v/>
      </c>
      <c r="I1793">
        <f t="shared" si="221"/>
        <v>0</v>
      </c>
      <c r="J1793" t="str">
        <f>_xlfn.XLOOKUP(H1793, Fact_Events!$A$2:$A$20, Fact_Events!$F$2:$F$20, "")</f>
        <v/>
      </c>
      <c r="K1793" t="str">
        <f t="shared" si="222"/>
        <v>Low</v>
      </c>
      <c r="L1793">
        <f t="shared" si="223"/>
        <v>0.55000000000000004</v>
      </c>
      <c r="M1793">
        <f>_xlfn.XLOOKUP(B1793, Dim_Hotel!$A$2:$A$11, Dim_Hotel!$I$2:$I$11)
 + (IF(J1793="",0,J1793)
    * _xlfn.XLOOKUP(B1793, Dim_Hotel!$A$2:$A$11, Dim_Hotel!$J$2:$J$11))</f>
        <v>175</v>
      </c>
    </row>
    <row r="1794" spans="1:13" x14ac:dyDescent="0.25">
      <c r="A1794" s="1">
        <f t="shared" si="216"/>
        <v>46202</v>
      </c>
      <c r="B1794" t="str" cm="1">
        <f t="array" ref="B1794">INDEX(HotelList,MOD(ROW()-2,10)+1)</f>
        <v>H003</v>
      </c>
      <c r="C1794">
        <f>_xlfn.XLOOKUP(B1794,Dim_Hotel!$A$2:$A$11,Dim_Hotel!$F$2:$F$11)</f>
        <v>121</v>
      </c>
      <c r="D1794">
        <f t="shared" si="217"/>
        <v>67</v>
      </c>
      <c r="E1794">
        <f t="shared" si="218"/>
        <v>0.55371900826446285</v>
      </c>
      <c r="F1794">
        <f t="shared" si="219"/>
        <v>145</v>
      </c>
      <c r="G1794">
        <f t="shared" si="220"/>
        <v>80.289256198347118</v>
      </c>
      <c r="H1794" t="str">
        <f>_xlfn.XLOOKUP(A1794,Fact_Events!$D$2:$D$20,Fact_Events!$A$2:$A$20, "")</f>
        <v/>
      </c>
      <c r="I1794">
        <f t="shared" si="221"/>
        <v>0</v>
      </c>
      <c r="J1794" t="str">
        <f>_xlfn.XLOOKUP(H1794, Fact_Events!$A$2:$A$20, Fact_Events!$F$2:$F$20, "")</f>
        <v/>
      </c>
      <c r="K1794" t="str">
        <f t="shared" si="222"/>
        <v>Low</v>
      </c>
      <c r="L1794">
        <f t="shared" si="223"/>
        <v>0.55000000000000004</v>
      </c>
      <c r="M1794">
        <f>_xlfn.XLOOKUP(B1794, Dim_Hotel!$A$2:$A$11, Dim_Hotel!$I$2:$I$11)
 + (IF(J1794="",0,J1794)
    * _xlfn.XLOOKUP(B1794, Dim_Hotel!$A$2:$A$11, Dim_Hotel!$J$2:$J$11))</f>
        <v>145</v>
      </c>
    </row>
    <row r="1795" spans="1:13" x14ac:dyDescent="0.25">
      <c r="A1795" s="1">
        <f t="shared" ref="A1795:A1858" si="224">DATE(2026,1,1) + INT((ROW()-2)/10)</f>
        <v>46202</v>
      </c>
      <c r="B1795" t="str" cm="1">
        <f t="array" ref="B1795">INDEX(HotelList,MOD(ROW()-2,10)+1)</f>
        <v>H004</v>
      </c>
      <c r="C1795">
        <f>_xlfn.XLOOKUP(B1795,Dim_Hotel!$A$2:$A$11,Dim_Hotel!$F$2:$F$11)</f>
        <v>108</v>
      </c>
      <c r="D1795">
        <f t="shared" ref="D1795:D1858" si="225">ROUND(L1795 * C1795, 0)</f>
        <v>59</v>
      </c>
      <c r="E1795">
        <f t="shared" ref="E1795:E1858" si="226">D1795/C1795</f>
        <v>0.54629629629629628</v>
      </c>
      <c r="F1795">
        <f t="shared" ref="F1795:F1858" si="227">M1795</f>
        <v>135</v>
      </c>
      <c r="G1795">
        <f t="shared" ref="G1795:G1858" si="228">E1795*F1795</f>
        <v>73.75</v>
      </c>
      <c r="H1795" t="str">
        <f>_xlfn.XLOOKUP(A1795,Fact_Events!$D$2:$D$20,Fact_Events!$A$2:$A$20, "")</f>
        <v/>
      </c>
      <c r="I1795">
        <f t="shared" ref="I1795:I1858" si="229">IF(H1795="",0,1)</f>
        <v>0</v>
      </c>
      <c r="J1795" t="str">
        <f>_xlfn.XLOOKUP(H1795, Fact_Events!$A$2:$A$20, Fact_Events!$F$2:$F$20, "")</f>
        <v/>
      </c>
      <c r="K1795" t="str">
        <f t="shared" ref="K1795:K1858" si="230">IF(I1795=0,"Low",
   IF(J1795&gt;=9,"High","Medium"))</f>
        <v>Low</v>
      </c>
      <c r="L1795">
        <f t="shared" ref="L1795:L1858" si="231">MIN(1,
  0.55
  + (I1795 * 0.25)
  + (IF(J1795="",0,J1795) / 100)
)</f>
        <v>0.55000000000000004</v>
      </c>
      <c r="M1795">
        <f>_xlfn.XLOOKUP(B1795, Dim_Hotel!$A$2:$A$11, Dim_Hotel!$I$2:$I$11)
 + (IF(J1795="",0,J1795)
    * _xlfn.XLOOKUP(B1795, Dim_Hotel!$A$2:$A$11, Dim_Hotel!$J$2:$J$11))</f>
        <v>135</v>
      </c>
    </row>
    <row r="1796" spans="1:13" x14ac:dyDescent="0.25">
      <c r="A1796" s="1">
        <f t="shared" si="224"/>
        <v>46202</v>
      </c>
      <c r="B1796" t="str" cm="1">
        <f t="array" ref="B1796">INDEX(HotelList,MOD(ROW()-2,10)+1)</f>
        <v>H005</v>
      </c>
      <c r="C1796">
        <f>_xlfn.XLOOKUP(B1796,Dim_Hotel!$A$2:$A$11,Dim_Hotel!$F$2:$F$11)</f>
        <v>66</v>
      </c>
      <c r="D1796">
        <f t="shared" si="225"/>
        <v>36</v>
      </c>
      <c r="E1796">
        <f t="shared" si="226"/>
        <v>0.54545454545454541</v>
      </c>
      <c r="F1796">
        <f t="shared" si="227"/>
        <v>82</v>
      </c>
      <c r="G1796">
        <f t="shared" si="228"/>
        <v>44.727272727272727</v>
      </c>
      <c r="H1796" t="str">
        <f>_xlfn.XLOOKUP(A1796,Fact_Events!$D$2:$D$20,Fact_Events!$A$2:$A$20, "")</f>
        <v/>
      </c>
      <c r="I1796">
        <f t="shared" si="229"/>
        <v>0</v>
      </c>
      <c r="J1796" t="str">
        <f>_xlfn.XLOOKUP(H1796, Fact_Events!$A$2:$A$20, Fact_Events!$F$2:$F$20, "")</f>
        <v/>
      </c>
      <c r="K1796" t="str">
        <f t="shared" si="230"/>
        <v>Low</v>
      </c>
      <c r="L1796">
        <f t="shared" si="231"/>
        <v>0.55000000000000004</v>
      </c>
      <c r="M1796">
        <f>_xlfn.XLOOKUP(B1796, Dim_Hotel!$A$2:$A$11, Dim_Hotel!$I$2:$I$11)
 + (IF(J1796="",0,J1796)
    * _xlfn.XLOOKUP(B1796, Dim_Hotel!$A$2:$A$11, Dim_Hotel!$J$2:$J$11))</f>
        <v>82</v>
      </c>
    </row>
    <row r="1797" spans="1:13" x14ac:dyDescent="0.25">
      <c r="A1797" s="1">
        <f t="shared" si="224"/>
        <v>46202</v>
      </c>
      <c r="B1797" t="str" cm="1">
        <f t="array" ref="B1797">INDEX(HotelList,MOD(ROW()-2,10)+1)</f>
        <v>H006</v>
      </c>
      <c r="C1797">
        <f>_xlfn.XLOOKUP(B1797,Dim_Hotel!$A$2:$A$11,Dim_Hotel!$F$2:$F$11)</f>
        <v>311</v>
      </c>
      <c r="D1797">
        <f t="shared" si="225"/>
        <v>171</v>
      </c>
      <c r="E1797">
        <f t="shared" si="226"/>
        <v>0.54983922829581988</v>
      </c>
      <c r="F1797">
        <f t="shared" si="227"/>
        <v>190</v>
      </c>
      <c r="G1797">
        <f t="shared" si="228"/>
        <v>104.46945337620578</v>
      </c>
      <c r="H1797" t="str">
        <f>_xlfn.XLOOKUP(A1797,Fact_Events!$D$2:$D$20,Fact_Events!$A$2:$A$20, "")</f>
        <v/>
      </c>
      <c r="I1797">
        <f t="shared" si="229"/>
        <v>0</v>
      </c>
      <c r="J1797" t="str">
        <f>_xlfn.XLOOKUP(H1797, Fact_Events!$A$2:$A$20, Fact_Events!$F$2:$F$20, "")</f>
        <v/>
      </c>
      <c r="K1797" t="str">
        <f t="shared" si="230"/>
        <v>Low</v>
      </c>
      <c r="L1797">
        <f t="shared" si="231"/>
        <v>0.55000000000000004</v>
      </c>
      <c r="M1797">
        <f>_xlfn.XLOOKUP(B1797, Dim_Hotel!$A$2:$A$11, Dim_Hotel!$I$2:$I$11)
 + (IF(J1797="",0,J1797)
    * _xlfn.XLOOKUP(B1797, Dim_Hotel!$A$2:$A$11, Dim_Hotel!$J$2:$J$11))</f>
        <v>190</v>
      </c>
    </row>
    <row r="1798" spans="1:13" x14ac:dyDescent="0.25">
      <c r="A1798" s="1">
        <f t="shared" si="224"/>
        <v>46202</v>
      </c>
      <c r="B1798" t="str" cm="1">
        <f t="array" ref="B1798">INDEX(HotelList,MOD(ROW()-2,10)+1)</f>
        <v>H007</v>
      </c>
      <c r="C1798">
        <f>_xlfn.XLOOKUP(B1798,Dim_Hotel!$A$2:$A$11,Dim_Hotel!$F$2:$F$11)</f>
        <v>132</v>
      </c>
      <c r="D1798">
        <f t="shared" si="225"/>
        <v>73</v>
      </c>
      <c r="E1798">
        <f t="shared" si="226"/>
        <v>0.55303030303030298</v>
      </c>
      <c r="F1798">
        <f t="shared" si="227"/>
        <v>165</v>
      </c>
      <c r="G1798">
        <f t="shared" si="228"/>
        <v>91.249999999999986</v>
      </c>
      <c r="H1798" t="str">
        <f>_xlfn.XLOOKUP(A1798,Fact_Events!$D$2:$D$20,Fact_Events!$A$2:$A$20, "")</f>
        <v/>
      </c>
      <c r="I1798">
        <f t="shared" si="229"/>
        <v>0</v>
      </c>
      <c r="J1798" t="str">
        <f>_xlfn.XLOOKUP(H1798, Fact_Events!$A$2:$A$20, Fact_Events!$F$2:$F$20, "")</f>
        <v/>
      </c>
      <c r="K1798" t="str">
        <f t="shared" si="230"/>
        <v>Low</v>
      </c>
      <c r="L1798">
        <f t="shared" si="231"/>
        <v>0.55000000000000004</v>
      </c>
      <c r="M1798">
        <f>_xlfn.XLOOKUP(B1798, Dim_Hotel!$A$2:$A$11, Dim_Hotel!$I$2:$I$11)
 + (IF(J1798="",0,J1798)
    * _xlfn.XLOOKUP(B1798, Dim_Hotel!$A$2:$A$11, Dim_Hotel!$J$2:$J$11))</f>
        <v>165</v>
      </c>
    </row>
    <row r="1799" spans="1:13" x14ac:dyDescent="0.25">
      <c r="A1799" s="1">
        <f t="shared" si="224"/>
        <v>46202</v>
      </c>
      <c r="B1799" t="str" cm="1">
        <f t="array" ref="B1799">INDEX(HotelList,MOD(ROW()-2,10)+1)</f>
        <v>H008</v>
      </c>
      <c r="C1799">
        <f>_xlfn.XLOOKUP(B1799,Dim_Hotel!$A$2:$A$11,Dim_Hotel!$F$2:$F$11)</f>
        <v>103</v>
      </c>
      <c r="D1799">
        <f t="shared" si="225"/>
        <v>57</v>
      </c>
      <c r="E1799">
        <f t="shared" si="226"/>
        <v>0.55339805825242716</v>
      </c>
      <c r="F1799">
        <f t="shared" si="227"/>
        <v>140</v>
      </c>
      <c r="G1799">
        <f t="shared" si="228"/>
        <v>77.475728155339809</v>
      </c>
      <c r="H1799" t="str">
        <f>_xlfn.XLOOKUP(A1799,Fact_Events!$D$2:$D$20,Fact_Events!$A$2:$A$20, "")</f>
        <v/>
      </c>
      <c r="I1799">
        <f t="shared" si="229"/>
        <v>0</v>
      </c>
      <c r="J1799" t="str">
        <f>_xlfn.XLOOKUP(H1799, Fact_Events!$A$2:$A$20, Fact_Events!$F$2:$F$20, "")</f>
        <v/>
      </c>
      <c r="K1799" t="str">
        <f t="shared" si="230"/>
        <v>Low</v>
      </c>
      <c r="L1799">
        <f t="shared" si="231"/>
        <v>0.55000000000000004</v>
      </c>
      <c r="M1799">
        <f>_xlfn.XLOOKUP(B1799, Dim_Hotel!$A$2:$A$11, Dim_Hotel!$I$2:$I$11)
 + (IF(J1799="",0,J1799)
    * _xlfn.XLOOKUP(B1799, Dim_Hotel!$A$2:$A$11, Dim_Hotel!$J$2:$J$11))</f>
        <v>140</v>
      </c>
    </row>
    <row r="1800" spans="1:13" x14ac:dyDescent="0.25">
      <c r="A1800" s="1">
        <f t="shared" si="224"/>
        <v>46202</v>
      </c>
      <c r="B1800" t="str" cm="1">
        <f t="array" ref="B1800">INDEX(HotelList,MOD(ROW()-2,10)+1)</f>
        <v>H009</v>
      </c>
      <c r="C1800">
        <f>_xlfn.XLOOKUP(B1800,Dim_Hotel!$A$2:$A$11,Dim_Hotel!$F$2:$F$11)</f>
        <v>114</v>
      </c>
      <c r="D1800">
        <f t="shared" si="225"/>
        <v>63</v>
      </c>
      <c r="E1800">
        <f t="shared" si="226"/>
        <v>0.55263157894736847</v>
      </c>
      <c r="F1800">
        <f t="shared" si="227"/>
        <v>185</v>
      </c>
      <c r="G1800">
        <f t="shared" si="228"/>
        <v>102.23684210526316</v>
      </c>
      <c r="H1800" t="str">
        <f>_xlfn.XLOOKUP(A1800,Fact_Events!$D$2:$D$20,Fact_Events!$A$2:$A$20, "")</f>
        <v/>
      </c>
      <c r="I1800">
        <f t="shared" si="229"/>
        <v>0</v>
      </c>
      <c r="J1800" t="str">
        <f>_xlfn.XLOOKUP(H1800, Fact_Events!$A$2:$A$20, Fact_Events!$F$2:$F$20, "")</f>
        <v/>
      </c>
      <c r="K1800" t="str">
        <f t="shared" si="230"/>
        <v>Low</v>
      </c>
      <c r="L1800">
        <f t="shared" si="231"/>
        <v>0.55000000000000004</v>
      </c>
      <c r="M1800">
        <f>_xlfn.XLOOKUP(B1800, Dim_Hotel!$A$2:$A$11, Dim_Hotel!$I$2:$I$11)
 + (IF(J1800="",0,J1800)
    * _xlfn.XLOOKUP(B1800, Dim_Hotel!$A$2:$A$11, Dim_Hotel!$J$2:$J$11))</f>
        <v>185</v>
      </c>
    </row>
    <row r="1801" spans="1:13" x14ac:dyDescent="0.25">
      <c r="A1801" s="1">
        <f t="shared" si="224"/>
        <v>46202</v>
      </c>
      <c r="B1801" t="str" cm="1">
        <f t="array" ref="B1801">INDEX(HotelList,MOD(ROW()-2,10)+1)</f>
        <v>H010</v>
      </c>
      <c r="C1801">
        <f>_xlfn.XLOOKUP(B1801,Dim_Hotel!$A$2:$A$11,Dim_Hotel!$F$2:$F$11)</f>
        <v>89</v>
      </c>
      <c r="D1801">
        <f t="shared" si="225"/>
        <v>49</v>
      </c>
      <c r="E1801">
        <f t="shared" si="226"/>
        <v>0.550561797752809</v>
      </c>
      <c r="F1801">
        <f t="shared" si="227"/>
        <v>150</v>
      </c>
      <c r="G1801">
        <f t="shared" si="228"/>
        <v>82.584269662921344</v>
      </c>
      <c r="H1801" t="str">
        <f>_xlfn.XLOOKUP(A1801,Fact_Events!$D$2:$D$20,Fact_Events!$A$2:$A$20, "")</f>
        <v/>
      </c>
      <c r="I1801">
        <f t="shared" si="229"/>
        <v>0</v>
      </c>
      <c r="J1801" t="str">
        <f>_xlfn.XLOOKUP(H1801, Fact_Events!$A$2:$A$20, Fact_Events!$F$2:$F$20, "")</f>
        <v/>
      </c>
      <c r="K1801" t="str">
        <f t="shared" si="230"/>
        <v>Low</v>
      </c>
      <c r="L1801">
        <f t="shared" si="231"/>
        <v>0.55000000000000004</v>
      </c>
      <c r="M1801">
        <f>_xlfn.XLOOKUP(B1801, Dim_Hotel!$A$2:$A$11, Dim_Hotel!$I$2:$I$11)
 + (IF(J1801="",0,J1801)
    * _xlfn.XLOOKUP(B1801, Dim_Hotel!$A$2:$A$11, Dim_Hotel!$J$2:$J$11))</f>
        <v>150</v>
      </c>
    </row>
    <row r="1802" spans="1:13" x14ac:dyDescent="0.25">
      <c r="A1802" s="1">
        <f t="shared" si="224"/>
        <v>46203</v>
      </c>
      <c r="B1802" t="str" cm="1">
        <f t="array" ref="B1802">INDEX(HotelList,MOD(ROW()-2,10)+1)</f>
        <v>H001</v>
      </c>
      <c r="C1802">
        <f>_xlfn.XLOOKUP(B1802,Dim_Hotel!$A$2:$A$11,Dim_Hotel!$F$2:$F$11)</f>
        <v>888</v>
      </c>
      <c r="D1802">
        <f t="shared" si="225"/>
        <v>799</v>
      </c>
      <c r="E1802">
        <f t="shared" si="226"/>
        <v>0.89977477477477474</v>
      </c>
      <c r="F1802">
        <f t="shared" si="227"/>
        <v>440</v>
      </c>
      <c r="G1802">
        <f t="shared" si="228"/>
        <v>395.90090090090087</v>
      </c>
      <c r="H1802" t="str">
        <f>_xlfn.XLOOKUP(A1802,Fact_Events!$D$2:$D$20,Fact_Events!$A$2:$A$20, "")</f>
        <v>E014</v>
      </c>
      <c r="I1802">
        <f t="shared" si="229"/>
        <v>1</v>
      </c>
      <c r="J1802">
        <f>_xlfn.XLOOKUP(H1802, Fact_Events!$A$2:$A$20, Fact_Events!$F$2:$F$20, "")</f>
        <v>10</v>
      </c>
      <c r="K1802" t="str">
        <f t="shared" si="230"/>
        <v>High</v>
      </c>
      <c r="L1802">
        <f t="shared" si="231"/>
        <v>0.9</v>
      </c>
      <c r="M1802">
        <f>_xlfn.XLOOKUP(B1802, Dim_Hotel!$A$2:$A$11, Dim_Hotel!$I$2:$I$11)
 + (IF(J1802="",0,J1802)
    * _xlfn.XLOOKUP(B1802, Dim_Hotel!$A$2:$A$11, Dim_Hotel!$J$2:$J$11))</f>
        <v>440</v>
      </c>
    </row>
    <row r="1803" spans="1:13" x14ac:dyDescent="0.25">
      <c r="A1803" s="1">
        <f t="shared" si="224"/>
        <v>46203</v>
      </c>
      <c r="B1803" t="str" cm="1">
        <f t="array" ref="B1803">INDEX(HotelList,MOD(ROW()-2,10)+1)</f>
        <v>H002</v>
      </c>
      <c r="C1803">
        <f>_xlfn.XLOOKUP(B1803,Dim_Hotel!$A$2:$A$11,Dim_Hotel!$F$2:$F$11)</f>
        <v>147</v>
      </c>
      <c r="D1803">
        <f t="shared" si="225"/>
        <v>132</v>
      </c>
      <c r="E1803">
        <f t="shared" si="226"/>
        <v>0.89795918367346939</v>
      </c>
      <c r="F1803">
        <f t="shared" si="227"/>
        <v>315</v>
      </c>
      <c r="G1803">
        <f t="shared" si="228"/>
        <v>282.85714285714283</v>
      </c>
      <c r="H1803" t="str">
        <f>_xlfn.XLOOKUP(A1803,Fact_Events!$D$2:$D$20,Fact_Events!$A$2:$A$20, "")</f>
        <v>E014</v>
      </c>
      <c r="I1803">
        <f t="shared" si="229"/>
        <v>1</v>
      </c>
      <c r="J1803">
        <f>_xlfn.XLOOKUP(H1803, Fact_Events!$A$2:$A$20, Fact_Events!$F$2:$F$20, "")</f>
        <v>10</v>
      </c>
      <c r="K1803" t="str">
        <f t="shared" si="230"/>
        <v>High</v>
      </c>
      <c r="L1803">
        <f t="shared" si="231"/>
        <v>0.9</v>
      </c>
      <c r="M1803">
        <f>_xlfn.XLOOKUP(B1803, Dim_Hotel!$A$2:$A$11, Dim_Hotel!$I$2:$I$11)
 + (IF(J1803="",0,J1803)
    * _xlfn.XLOOKUP(B1803, Dim_Hotel!$A$2:$A$11, Dim_Hotel!$J$2:$J$11))</f>
        <v>315</v>
      </c>
    </row>
    <row r="1804" spans="1:13" x14ac:dyDescent="0.25">
      <c r="A1804" s="1">
        <f t="shared" si="224"/>
        <v>46203</v>
      </c>
      <c r="B1804" t="str" cm="1">
        <f t="array" ref="B1804">INDEX(HotelList,MOD(ROW()-2,10)+1)</f>
        <v>H003</v>
      </c>
      <c r="C1804">
        <f>_xlfn.XLOOKUP(B1804,Dim_Hotel!$A$2:$A$11,Dim_Hotel!$F$2:$F$11)</f>
        <v>121</v>
      </c>
      <c r="D1804">
        <f t="shared" si="225"/>
        <v>109</v>
      </c>
      <c r="E1804">
        <f t="shared" si="226"/>
        <v>0.90082644628099173</v>
      </c>
      <c r="F1804">
        <f t="shared" si="227"/>
        <v>265</v>
      </c>
      <c r="G1804">
        <f t="shared" si="228"/>
        <v>238.71900826446281</v>
      </c>
      <c r="H1804" t="str">
        <f>_xlfn.XLOOKUP(A1804,Fact_Events!$D$2:$D$20,Fact_Events!$A$2:$A$20, "")</f>
        <v>E014</v>
      </c>
      <c r="I1804">
        <f t="shared" si="229"/>
        <v>1</v>
      </c>
      <c r="J1804">
        <f>_xlfn.XLOOKUP(H1804, Fact_Events!$A$2:$A$20, Fact_Events!$F$2:$F$20, "")</f>
        <v>10</v>
      </c>
      <c r="K1804" t="str">
        <f t="shared" si="230"/>
        <v>High</v>
      </c>
      <c r="L1804">
        <f t="shared" si="231"/>
        <v>0.9</v>
      </c>
      <c r="M1804">
        <f>_xlfn.XLOOKUP(B1804, Dim_Hotel!$A$2:$A$11, Dim_Hotel!$I$2:$I$11)
 + (IF(J1804="",0,J1804)
    * _xlfn.XLOOKUP(B1804, Dim_Hotel!$A$2:$A$11, Dim_Hotel!$J$2:$J$11))</f>
        <v>265</v>
      </c>
    </row>
    <row r="1805" spans="1:13" x14ac:dyDescent="0.25">
      <c r="A1805" s="1">
        <f t="shared" si="224"/>
        <v>46203</v>
      </c>
      <c r="B1805" t="str" cm="1">
        <f t="array" ref="B1805">INDEX(HotelList,MOD(ROW()-2,10)+1)</f>
        <v>H004</v>
      </c>
      <c r="C1805">
        <f>_xlfn.XLOOKUP(B1805,Dim_Hotel!$A$2:$A$11,Dim_Hotel!$F$2:$F$11)</f>
        <v>108</v>
      </c>
      <c r="D1805">
        <f t="shared" si="225"/>
        <v>97</v>
      </c>
      <c r="E1805">
        <f t="shared" si="226"/>
        <v>0.89814814814814814</v>
      </c>
      <c r="F1805">
        <f t="shared" si="227"/>
        <v>255</v>
      </c>
      <c r="G1805">
        <f t="shared" si="228"/>
        <v>229.02777777777777</v>
      </c>
      <c r="H1805" t="str">
        <f>_xlfn.XLOOKUP(A1805,Fact_Events!$D$2:$D$20,Fact_Events!$A$2:$A$20, "")</f>
        <v>E014</v>
      </c>
      <c r="I1805">
        <f t="shared" si="229"/>
        <v>1</v>
      </c>
      <c r="J1805">
        <f>_xlfn.XLOOKUP(H1805, Fact_Events!$A$2:$A$20, Fact_Events!$F$2:$F$20, "")</f>
        <v>10</v>
      </c>
      <c r="K1805" t="str">
        <f t="shared" si="230"/>
        <v>High</v>
      </c>
      <c r="L1805">
        <f t="shared" si="231"/>
        <v>0.9</v>
      </c>
      <c r="M1805">
        <f>_xlfn.XLOOKUP(B1805, Dim_Hotel!$A$2:$A$11, Dim_Hotel!$I$2:$I$11)
 + (IF(J1805="",0,J1805)
    * _xlfn.XLOOKUP(B1805, Dim_Hotel!$A$2:$A$11, Dim_Hotel!$J$2:$J$11))</f>
        <v>255</v>
      </c>
    </row>
    <row r="1806" spans="1:13" x14ac:dyDescent="0.25">
      <c r="A1806" s="1">
        <f t="shared" si="224"/>
        <v>46203</v>
      </c>
      <c r="B1806" t="str" cm="1">
        <f t="array" ref="B1806">INDEX(HotelList,MOD(ROW()-2,10)+1)</f>
        <v>H005</v>
      </c>
      <c r="C1806">
        <f>_xlfn.XLOOKUP(B1806,Dim_Hotel!$A$2:$A$11,Dim_Hotel!$F$2:$F$11)</f>
        <v>66</v>
      </c>
      <c r="D1806">
        <f t="shared" si="225"/>
        <v>59</v>
      </c>
      <c r="E1806">
        <f t="shared" si="226"/>
        <v>0.89393939393939392</v>
      </c>
      <c r="F1806">
        <f t="shared" si="227"/>
        <v>162</v>
      </c>
      <c r="G1806">
        <f t="shared" si="228"/>
        <v>144.81818181818181</v>
      </c>
      <c r="H1806" t="str">
        <f>_xlfn.XLOOKUP(A1806,Fact_Events!$D$2:$D$20,Fact_Events!$A$2:$A$20, "")</f>
        <v>E014</v>
      </c>
      <c r="I1806">
        <f t="shared" si="229"/>
        <v>1</v>
      </c>
      <c r="J1806">
        <f>_xlfn.XLOOKUP(H1806, Fact_Events!$A$2:$A$20, Fact_Events!$F$2:$F$20, "")</f>
        <v>10</v>
      </c>
      <c r="K1806" t="str">
        <f t="shared" si="230"/>
        <v>High</v>
      </c>
      <c r="L1806">
        <f t="shared" si="231"/>
        <v>0.9</v>
      </c>
      <c r="M1806">
        <f>_xlfn.XLOOKUP(B1806, Dim_Hotel!$A$2:$A$11, Dim_Hotel!$I$2:$I$11)
 + (IF(J1806="",0,J1806)
    * _xlfn.XLOOKUP(B1806, Dim_Hotel!$A$2:$A$11, Dim_Hotel!$J$2:$J$11))</f>
        <v>162</v>
      </c>
    </row>
    <row r="1807" spans="1:13" x14ac:dyDescent="0.25">
      <c r="A1807" s="1">
        <f t="shared" si="224"/>
        <v>46203</v>
      </c>
      <c r="B1807" t="str" cm="1">
        <f t="array" ref="B1807">INDEX(HotelList,MOD(ROW()-2,10)+1)</f>
        <v>H006</v>
      </c>
      <c r="C1807">
        <f>_xlfn.XLOOKUP(B1807,Dim_Hotel!$A$2:$A$11,Dim_Hotel!$F$2:$F$11)</f>
        <v>311</v>
      </c>
      <c r="D1807">
        <f t="shared" si="225"/>
        <v>280</v>
      </c>
      <c r="E1807">
        <f t="shared" si="226"/>
        <v>0.90032154340836013</v>
      </c>
      <c r="F1807">
        <f t="shared" si="227"/>
        <v>340</v>
      </c>
      <c r="G1807">
        <f t="shared" si="228"/>
        <v>306.10932475884243</v>
      </c>
      <c r="H1807" t="str">
        <f>_xlfn.XLOOKUP(A1807,Fact_Events!$D$2:$D$20,Fact_Events!$A$2:$A$20, "")</f>
        <v>E014</v>
      </c>
      <c r="I1807">
        <f t="shared" si="229"/>
        <v>1</v>
      </c>
      <c r="J1807">
        <f>_xlfn.XLOOKUP(H1807, Fact_Events!$A$2:$A$20, Fact_Events!$F$2:$F$20, "")</f>
        <v>10</v>
      </c>
      <c r="K1807" t="str">
        <f t="shared" si="230"/>
        <v>High</v>
      </c>
      <c r="L1807">
        <f t="shared" si="231"/>
        <v>0.9</v>
      </c>
      <c r="M1807">
        <f>_xlfn.XLOOKUP(B1807, Dim_Hotel!$A$2:$A$11, Dim_Hotel!$I$2:$I$11)
 + (IF(J1807="",0,J1807)
    * _xlfn.XLOOKUP(B1807, Dim_Hotel!$A$2:$A$11, Dim_Hotel!$J$2:$J$11))</f>
        <v>340</v>
      </c>
    </row>
    <row r="1808" spans="1:13" x14ac:dyDescent="0.25">
      <c r="A1808" s="1">
        <f t="shared" si="224"/>
        <v>46203</v>
      </c>
      <c r="B1808" t="str" cm="1">
        <f t="array" ref="B1808">INDEX(HotelList,MOD(ROW()-2,10)+1)</f>
        <v>H007</v>
      </c>
      <c r="C1808">
        <f>_xlfn.XLOOKUP(B1808,Dim_Hotel!$A$2:$A$11,Dim_Hotel!$F$2:$F$11)</f>
        <v>132</v>
      </c>
      <c r="D1808">
        <f t="shared" si="225"/>
        <v>119</v>
      </c>
      <c r="E1808">
        <f t="shared" si="226"/>
        <v>0.90151515151515149</v>
      </c>
      <c r="F1808">
        <f t="shared" si="227"/>
        <v>295</v>
      </c>
      <c r="G1808">
        <f t="shared" si="228"/>
        <v>265.94696969696969</v>
      </c>
      <c r="H1808" t="str">
        <f>_xlfn.XLOOKUP(A1808,Fact_Events!$D$2:$D$20,Fact_Events!$A$2:$A$20, "")</f>
        <v>E014</v>
      </c>
      <c r="I1808">
        <f t="shared" si="229"/>
        <v>1</v>
      </c>
      <c r="J1808">
        <f>_xlfn.XLOOKUP(H1808, Fact_Events!$A$2:$A$20, Fact_Events!$F$2:$F$20, "")</f>
        <v>10</v>
      </c>
      <c r="K1808" t="str">
        <f t="shared" si="230"/>
        <v>High</v>
      </c>
      <c r="L1808">
        <f t="shared" si="231"/>
        <v>0.9</v>
      </c>
      <c r="M1808">
        <f>_xlfn.XLOOKUP(B1808, Dim_Hotel!$A$2:$A$11, Dim_Hotel!$I$2:$I$11)
 + (IF(J1808="",0,J1808)
    * _xlfn.XLOOKUP(B1808, Dim_Hotel!$A$2:$A$11, Dim_Hotel!$J$2:$J$11))</f>
        <v>295</v>
      </c>
    </row>
    <row r="1809" spans="1:13" x14ac:dyDescent="0.25">
      <c r="A1809" s="1">
        <f t="shared" si="224"/>
        <v>46203</v>
      </c>
      <c r="B1809" t="str" cm="1">
        <f t="array" ref="B1809">INDEX(HotelList,MOD(ROW()-2,10)+1)</f>
        <v>H008</v>
      </c>
      <c r="C1809">
        <f>_xlfn.XLOOKUP(B1809,Dim_Hotel!$A$2:$A$11,Dim_Hotel!$F$2:$F$11)</f>
        <v>103</v>
      </c>
      <c r="D1809">
        <f t="shared" si="225"/>
        <v>93</v>
      </c>
      <c r="E1809">
        <f t="shared" si="226"/>
        <v>0.90291262135922334</v>
      </c>
      <c r="F1809">
        <f t="shared" si="227"/>
        <v>260</v>
      </c>
      <c r="G1809">
        <f t="shared" si="228"/>
        <v>234.75728155339806</v>
      </c>
      <c r="H1809" t="str">
        <f>_xlfn.XLOOKUP(A1809,Fact_Events!$D$2:$D$20,Fact_Events!$A$2:$A$20, "")</f>
        <v>E014</v>
      </c>
      <c r="I1809">
        <f t="shared" si="229"/>
        <v>1</v>
      </c>
      <c r="J1809">
        <f>_xlfn.XLOOKUP(H1809, Fact_Events!$A$2:$A$20, Fact_Events!$F$2:$F$20, "")</f>
        <v>10</v>
      </c>
      <c r="K1809" t="str">
        <f t="shared" si="230"/>
        <v>High</v>
      </c>
      <c r="L1809">
        <f t="shared" si="231"/>
        <v>0.9</v>
      </c>
      <c r="M1809">
        <f>_xlfn.XLOOKUP(B1809, Dim_Hotel!$A$2:$A$11, Dim_Hotel!$I$2:$I$11)
 + (IF(J1809="",0,J1809)
    * _xlfn.XLOOKUP(B1809, Dim_Hotel!$A$2:$A$11, Dim_Hotel!$J$2:$J$11))</f>
        <v>260</v>
      </c>
    </row>
    <row r="1810" spans="1:13" x14ac:dyDescent="0.25">
      <c r="A1810" s="1">
        <f t="shared" si="224"/>
        <v>46203</v>
      </c>
      <c r="B1810" t="str" cm="1">
        <f t="array" ref="B1810">INDEX(HotelList,MOD(ROW()-2,10)+1)</f>
        <v>H009</v>
      </c>
      <c r="C1810">
        <f>_xlfn.XLOOKUP(B1810,Dim_Hotel!$A$2:$A$11,Dim_Hotel!$F$2:$F$11)</f>
        <v>114</v>
      </c>
      <c r="D1810">
        <f t="shared" si="225"/>
        <v>103</v>
      </c>
      <c r="E1810">
        <f t="shared" si="226"/>
        <v>0.90350877192982459</v>
      </c>
      <c r="F1810">
        <f t="shared" si="227"/>
        <v>285</v>
      </c>
      <c r="G1810">
        <f t="shared" si="228"/>
        <v>257.5</v>
      </c>
      <c r="H1810" t="str">
        <f>_xlfn.XLOOKUP(A1810,Fact_Events!$D$2:$D$20,Fact_Events!$A$2:$A$20, "")</f>
        <v>E014</v>
      </c>
      <c r="I1810">
        <f t="shared" si="229"/>
        <v>1</v>
      </c>
      <c r="J1810">
        <f>_xlfn.XLOOKUP(H1810, Fact_Events!$A$2:$A$20, Fact_Events!$F$2:$F$20, "")</f>
        <v>10</v>
      </c>
      <c r="K1810" t="str">
        <f t="shared" si="230"/>
        <v>High</v>
      </c>
      <c r="L1810">
        <f t="shared" si="231"/>
        <v>0.9</v>
      </c>
      <c r="M1810">
        <f>_xlfn.XLOOKUP(B1810, Dim_Hotel!$A$2:$A$11, Dim_Hotel!$I$2:$I$11)
 + (IF(J1810="",0,J1810)
    * _xlfn.XLOOKUP(B1810, Dim_Hotel!$A$2:$A$11, Dim_Hotel!$J$2:$J$11))</f>
        <v>285</v>
      </c>
    </row>
    <row r="1811" spans="1:13" x14ac:dyDescent="0.25">
      <c r="A1811" s="1">
        <f t="shared" si="224"/>
        <v>46203</v>
      </c>
      <c r="B1811" t="str" cm="1">
        <f t="array" ref="B1811">INDEX(HotelList,MOD(ROW()-2,10)+1)</f>
        <v>H010</v>
      </c>
      <c r="C1811">
        <f>_xlfn.XLOOKUP(B1811,Dim_Hotel!$A$2:$A$11,Dim_Hotel!$F$2:$F$11)</f>
        <v>89</v>
      </c>
      <c r="D1811">
        <f t="shared" si="225"/>
        <v>80</v>
      </c>
      <c r="E1811">
        <f t="shared" si="226"/>
        <v>0.898876404494382</v>
      </c>
      <c r="F1811">
        <f t="shared" si="227"/>
        <v>250</v>
      </c>
      <c r="G1811">
        <f t="shared" si="228"/>
        <v>224.71910112359549</v>
      </c>
      <c r="H1811" t="str">
        <f>_xlfn.XLOOKUP(A1811,Fact_Events!$D$2:$D$20,Fact_Events!$A$2:$A$20, "")</f>
        <v>E014</v>
      </c>
      <c r="I1811">
        <f t="shared" si="229"/>
        <v>1</v>
      </c>
      <c r="J1811">
        <f>_xlfn.XLOOKUP(H1811, Fact_Events!$A$2:$A$20, Fact_Events!$F$2:$F$20, "")</f>
        <v>10</v>
      </c>
      <c r="K1811" t="str">
        <f t="shared" si="230"/>
        <v>High</v>
      </c>
      <c r="L1811">
        <f t="shared" si="231"/>
        <v>0.9</v>
      </c>
      <c r="M1811">
        <f>_xlfn.XLOOKUP(B1811, Dim_Hotel!$A$2:$A$11, Dim_Hotel!$I$2:$I$11)
 + (IF(J1811="",0,J1811)
    * _xlfn.XLOOKUP(B1811, Dim_Hotel!$A$2:$A$11, Dim_Hotel!$J$2:$J$11))</f>
        <v>250</v>
      </c>
    </row>
    <row r="1812" spans="1:13" x14ac:dyDescent="0.25">
      <c r="A1812" s="1">
        <f t="shared" si="224"/>
        <v>46204</v>
      </c>
      <c r="B1812" t="str" cm="1">
        <f t="array" ref="B1812">INDEX(HotelList,MOD(ROW()-2,10)+1)</f>
        <v>H001</v>
      </c>
      <c r="C1812">
        <f>_xlfn.XLOOKUP(B1812,Dim_Hotel!$A$2:$A$11,Dim_Hotel!$F$2:$F$11)</f>
        <v>888</v>
      </c>
      <c r="D1812">
        <f t="shared" si="225"/>
        <v>488</v>
      </c>
      <c r="E1812">
        <f t="shared" si="226"/>
        <v>0.5495495495495496</v>
      </c>
      <c r="F1812">
        <f t="shared" si="227"/>
        <v>260</v>
      </c>
      <c r="G1812">
        <f t="shared" si="228"/>
        <v>142.88288288288288</v>
      </c>
      <c r="H1812" t="str">
        <f>_xlfn.XLOOKUP(A1812,Fact_Events!$D$2:$D$20,Fact_Events!$A$2:$A$20, "")</f>
        <v/>
      </c>
      <c r="I1812">
        <f t="shared" si="229"/>
        <v>0</v>
      </c>
      <c r="J1812" t="str">
        <f>_xlfn.XLOOKUP(H1812, Fact_Events!$A$2:$A$20, Fact_Events!$F$2:$F$20, "")</f>
        <v/>
      </c>
      <c r="K1812" t="str">
        <f t="shared" si="230"/>
        <v>Low</v>
      </c>
      <c r="L1812">
        <f t="shared" si="231"/>
        <v>0.55000000000000004</v>
      </c>
      <c r="M1812">
        <f>_xlfn.XLOOKUP(B1812, Dim_Hotel!$A$2:$A$11, Dim_Hotel!$I$2:$I$11)
 + (IF(J1812="",0,J1812)
    * _xlfn.XLOOKUP(B1812, Dim_Hotel!$A$2:$A$11, Dim_Hotel!$J$2:$J$11))</f>
        <v>260</v>
      </c>
    </row>
    <row r="1813" spans="1:13" x14ac:dyDescent="0.25">
      <c r="A1813" s="1">
        <f t="shared" si="224"/>
        <v>46204</v>
      </c>
      <c r="B1813" t="str" cm="1">
        <f t="array" ref="B1813">INDEX(HotelList,MOD(ROW()-2,10)+1)</f>
        <v>H002</v>
      </c>
      <c r="C1813">
        <f>_xlfn.XLOOKUP(B1813,Dim_Hotel!$A$2:$A$11,Dim_Hotel!$F$2:$F$11)</f>
        <v>147</v>
      </c>
      <c r="D1813">
        <f t="shared" si="225"/>
        <v>81</v>
      </c>
      <c r="E1813">
        <f t="shared" si="226"/>
        <v>0.55102040816326525</v>
      </c>
      <c r="F1813">
        <f t="shared" si="227"/>
        <v>175</v>
      </c>
      <c r="G1813">
        <f t="shared" si="228"/>
        <v>96.428571428571416</v>
      </c>
      <c r="H1813" t="str">
        <f>_xlfn.XLOOKUP(A1813,Fact_Events!$D$2:$D$20,Fact_Events!$A$2:$A$20, "")</f>
        <v/>
      </c>
      <c r="I1813">
        <f t="shared" si="229"/>
        <v>0</v>
      </c>
      <c r="J1813" t="str">
        <f>_xlfn.XLOOKUP(H1813, Fact_Events!$A$2:$A$20, Fact_Events!$F$2:$F$20, "")</f>
        <v/>
      </c>
      <c r="K1813" t="str">
        <f t="shared" si="230"/>
        <v>Low</v>
      </c>
      <c r="L1813">
        <f t="shared" si="231"/>
        <v>0.55000000000000004</v>
      </c>
      <c r="M1813">
        <f>_xlfn.XLOOKUP(B1813, Dim_Hotel!$A$2:$A$11, Dim_Hotel!$I$2:$I$11)
 + (IF(J1813="",0,J1813)
    * _xlfn.XLOOKUP(B1813, Dim_Hotel!$A$2:$A$11, Dim_Hotel!$J$2:$J$11))</f>
        <v>175</v>
      </c>
    </row>
    <row r="1814" spans="1:13" x14ac:dyDescent="0.25">
      <c r="A1814" s="1">
        <f t="shared" si="224"/>
        <v>46204</v>
      </c>
      <c r="B1814" t="str" cm="1">
        <f t="array" ref="B1814">INDEX(HotelList,MOD(ROW()-2,10)+1)</f>
        <v>H003</v>
      </c>
      <c r="C1814">
        <f>_xlfn.XLOOKUP(B1814,Dim_Hotel!$A$2:$A$11,Dim_Hotel!$F$2:$F$11)</f>
        <v>121</v>
      </c>
      <c r="D1814">
        <f t="shared" si="225"/>
        <v>67</v>
      </c>
      <c r="E1814">
        <f t="shared" si="226"/>
        <v>0.55371900826446285</v>
      </c>
      <c r="F1814">
        <f t="shared" si="227"/>
        <v>145</v>
      </c>
      <c r="G1814">
        <f t="shared" si="228"/>
        <v>80.289256198347118</v>
      </c>
      <c r="H1814" t="str">
        <f>_xlfn.XLOOKUP(A1814,Fact_Events!$D$2:$D$20,Fact_Events!$A$2:$A$20, "")</f>
        <v/>
      </c>
      <c r="I1814">
        <f t="shared" si="229"/>
        <v>0</v>
      </c>
      <c r="J1814" t="str">
        <f>_xlfn.XLOOKUP(H1814, Fact_Events!$A$2:$A$20, Fact_Events!$F$2:$F$20, "")</f>
        <v/>
      </c>
      <c r="K1814" t="str">
        <f t="shared" si="230"/>
        <v>Low</v>
      </c>
      <c r="L1814">
        <f t="shared" si="231"/>
        <v>0.55000000000000004</v>
      </c>
      <c r="M1814">
        <f>_xlfn.XLOOKUP(B1814, Dim_Hotel!$A$2:$A$11, Dim_Hotel!$I$2:$I$11)
 + (IF(J1814="",0,J1814)
    * _xlfn.XLOOKUP(B1814, Dim_Hotel!$A$2:$A$11, Dim_Hotel!$J$2:$J$11))</f>
        <v>145</v>
      </c>
    </row>
    <row r="1815" spans="1:13" x14ac:dyDescent="0.25">
      <c r="A1815" s="1">
        <f t="shared" si="224"/>
        <v>46204</v>
      </c>
      <c r="B1815" t="str" cm="1">
        <f t="array" ref="B1815">INDEX(HotelList,MOD(ROW()-2,10)+1)</f>
        <v>H004</v>
      </c>
      <c r="C1815">
        <f>_xlfn.XLOOKUP(B1815,Dim_Hotel!$A$2:$A$11,Dim_Hotel!$F$2:$F$11)</f>
        <v>108</v>
      </c>
      <c r="D1815">
        <f t="shared" si="225"/>
        <v>59</v>
      </c>
      <c r="E1815">
        <f t="shared" si="226"/>
        <v>0.54629629629629628</v>
      </c>
      <c r="F1815">
        <f t="shared" si="227"/>
        <v>135</v>
      </c>
      <c r="G1815">
        <f t="shared" si="228"/>
        <v>73.75</v>
      </c>
      <c r="H1815" t="str">
        <f>_xlfn.XLOOKUP(A1815,Fact_Events!$D$2:$D$20,Fact_Events!$A$2:$A$20, "")</f>
        <v/>
      </c>
      <c r="I1815">
        <f t="shared" si="229"/>
        <v>0</v>
      </c>
      <c r="J1815" t="str">
        <f>_xlfn.XLOOKUP(H1815, Fact_Events!$A$2:$A$20, Fact_Events!$F$2:$F$20, "")</f>
        <v/>
      </c>
      <c r="K1815" t="str">
        <f t="shared" si="230"/>
        <v>Low</v>
      </c>
      <c r="L1815">
        <f t="shared" si="231"/>
        <v>0.55000000000000004</v>
      </c>
      <c r="M1815">
        <f>_xlfn.XLOOKUP(B1815, Dim_Hotel!$A$2:$A$11, Dim_Hotel!$I$2:$I$11)
 + (IF(J1815="",0,J1815)
    * _xlfn.XLOOKUP(B1815, Dim_Hotel!$A$2:$A$11, Dim_Hotel!$J$2:$J$11))</f>
        <v>135</v>
      </c>
    </row>
    <row r="1816" spans="1:13" x14ac:dyDescent="0.25">
      <c r="A1816" s="1">
        <f t="shared" si="224"/>
        <v>46204</v>
      </c>
      <c r="B1816" t="str" cm="1">
        <f t="array" ref="B1816">INDEX(HotelList,MOD(ROW()-2,10)+1)</f>
        <v>H005</v>
      </c>
      <c r="C1816">
        <f>_xlfn.XLOOKUP(B1816,Dim_Hotel!$A$2:$A$11,Dim_Hotel!$F$2:$F$11)</f>
        <v>66</v>
      </c>
      <c r="D1816">
        <f t="shared" si="225"/>
        <v>36</v>
      </c>
      <c r="E1816">
        <f t="shared" si="226"/>
        <v>0.54545454545454541</v>
      </c>
      <c r="F1816">
        <f t="shared" si="227"/>
        <v>82</v>
      </c>
      <c r="G1816">
        <f t="shared" si="228"/>
        <v>44.727272727272727</v>
      </c>
      <c r="H1816" t="str">
        <f>_xlfn.XLOOKUP(A1816,Fact_Events!$D$2:$D$20,Fact_Events!$A$2:$A$20, "")</f>
        <v/>
      </c>
      <c r="I1816">
        <f t="shared" si="229"/>
        <v>0</v>
      </c>
      <c r="J1816" t="str">
        <f>_xlfn.XLOOKUP(H1816, Fact_Events!$A$2:$A$20, Fact_Events!$F$2:$F$20, "")</f>
        <v/>
      </c>
      <c r="K1816" t="str">
        <f t="shared" si="230"/>
        <v>Low</v>
      </c>
      <c r="L1816">
        <f t="shared" si="231"/>
        <v>0.55000000000000004</v>
      </c>
      <c r="M1816">
        <f>_xlfn.XLOOKUP(B1816, Dim_Hotel!$A$2:$A$11, Dim_Hotel!$I$2:$I$11)
 + (IF(J1816="",0,J1816)
    * _xlfn.XLOOKUP(B1816, Dim_Hotel!$A$2:$A$11, Dim_Hotel!$J$2:$J$11))</f>
        <v>82</v>
      </c>
    </row>
    <row r="1817" spans="1:13" x14ac:dyDescent="0.25">
      <c r="A1817" s="1">
        <f t="shared" si="224"/>
        <v>46204</v>
      </c>
      <c r="B1817" t="str" cm="1">
        <f t="array" ref="B1817">INDEX(HotelList,MOD(ROW()-2,10)+1)</f>
        <v>H006</v>
      </c>
      <c r="C1817">
        <f>_xlfn.XLOOKUP(B1817,Dim_Hotel!$A$2:$A$11,Dim_Hotel!$F$2:$F$11)</f>
        <v>311</v>
      </c>
      <c r="D1817">
        <f t="shared" si="225"/>
        <v>171</v>
      </c>
      <c r="E1817">
        <f t="shared" si="226"/>
        <v>0.54983922829581988</v>
      </c>
      <c r="F1817">
        <f t="shared" si="227"/>
        <v>190</v>
      </c>
      <c r="G1817">
        <f t="shared" si="228"/>
        <v>104.46945337620578</v>
      </c>
      <c r="H1817" t="str">
        <f>_xlfn.XLOOKUP(A1817,Fact_Events!$D$2:$D$20,Fact_Events!$A$2:$A$20, "")</f>
        <v/>
      </c>
      <c r="I1817">
        <f t="shared" si="229"/>
        <v>0</v>
      </c>
      <c r="J1817" t="str">
        <f>_xlfn.XLOOKUP(H1817, Fact_Events!$A$2:$A$20, Fact_Events!$F$2:$F$20, "")</f>
        <v/>
      </c>
      <c r="K1817" t="str">
        <f t="shared" si="230"/>
        <v>Low</v>
      </c>
      <c r="L1817">
        <f t="shared" si="231"/>
        <v>0.55000000000000004</v>
      </c>
      <c r="M1817">
        <f>_xlfn.XLOOKUP(B1817, Dim_Hotel!$A$2:$A$11, Dim_Hotel!$I$2:$I$11)
 + (IF(J1817="",0,J1817)
    * _xlfn.XLOOKUP(B1817, Dim_Hotel!$A$2:$A$11, Dim_Hotel!$J$2:$J$11))</f>
        <v>190</v>
      </c>
    </row>
    <row r="1818" spans="1:13" x14ac:dyDescent="0.25">
      <c r="A1818" s="1">
        <f t="shared" si="224"/>
        <v>46204</v>
      </c>
      <c r="B1818" t="str" cm="1">
        <f t="array" ref="B1818">INDEX(HotelList,MOD(ROW()-2,10)+1)</f>
        <v>H007</v>
      </c>
      <c r="C1818">
        <f>_xlfn.XLOOKUP(B1818,Dim_Hotel!$A$2:$A$11,Dim_Hotel!$F$2:$F$11)</f>
        <v>132</v>
      </c>
      <c r="D1818">
        <f t="shared" si="225"/>
        <v>73</v>
      </c>
      <c r="E1818">
        <f t="shared" si="226"/>
        <v>0.55303030303030298</v>
      </c>
      <c r="F1818">
        <f t="shared" si="227"/>
        <v>165</v>
      </c>
      <c r="G1818">
        <f t="shared" si="228"/>
        <v>91.249999999999986</v>
      </c>
      <c r="H1818" t="str">
        <f>_xlfn.XLOOKUP(A1818,Fact_Events!$D$2:$D$20,Fact_Events!$A$2:$A$20, "")</f>
        <v/>
      </c>
      <c r="I1818">
        <f t="shared" si="229"/>
        <v>0</v>
      </c>
      <c r="J1818" t="str">
        <f>_xlfn.XLOOKUP(H1818, Fact_Events!$A$2:$A$20, Fact_Events!$F$2:$F$20, "")</f>
        <v/>
      </c>
      <c r="K1818" t="str">
        <f t="shared" si="230"/>
        <v>Low</v>
      </c>
      <c r="L1818">
        <f t="shared" si="231"/>
        <v>0.55000000000000004</v>
      </c>
      <c r="M1818">
        <f>_xlfn.XLOOKUP(B1818, Dim_Hotel!$A$2:$A$11, Dim_Hotel!$I$2:$I$11)
 + (IF(J1818="",0,J1818)
    * _xlfn.XLOOKUP(B1818, Dim_Hotel!$A$2:$A$11, Dim_Hotel!$J$2:$J$11))</f>
        <v>165</v>
      </c>
    </row>
    <row r="1819" spans="1:13" x14ac:dyDescent="0.25">
      <c r="A1819" s="1">
        <f t="shared" si="224"/>
        <v>46204</v>
      </c>
      <c r="B1819" t="str" cm="1">
        <f t="array" ref="B1819">INDEX(HotelList,MOD(ROW()-2,10)+1)</f>
        <v>H008</v>
      </c>
      <c r="C1819">
        <f>_xlfn.XLOOKUP(B1819,Dim_Hotel!$A$2:$A$11,Dim_Hotel!$F$2:$F$11)</f>
        <v>103</v>
      </c>
      <c r="D1819">
        <f t="shared" si="225"/>
        <v>57</v>
      </c>
      <c r="E1819">
        <f t="shared" si="226"/>
        <v>0.55339805825242716</v>
      </c>
      <c r="F1819">
        <f t="shared" si="227"/>
        <v>140</v>
      </c>
      <c r="G1819">
        <f t="shared" si="228"/>
        <v>77.475728155339809</v>
      </c>
      <c r="H1819" t="str">
        <f>_xlfn.XLOOKUP(A1819,Fact_Events!$D$2:$D$20,Fact_Events!$A$2:$A$20, "")</f>
        <v/>
      </c>
      <c r="I1819">
        <f t="shared" si="229"/>
        <v>0</v>
      </c>
      <c r="J1819" t="str">
        <f>_xlfn.XLOOKUP(H1819, Fact_Events!$A$2:$A$20, Fact_Events!$F$2:$F$20, "")</f>
        <v/>
      </c>
      <c r="K1819" t="str">
        <f t="shared" si="230"/>
        <v>Low</v>
      </c>
      <c r="L1819">
        <f t="shared" si="231"/>
        <v>0.55000000000000004</v>
      </c>
      <c r="M1819">
        <f>_xlfn.XLOOKUP(B1819, Dim_Hotel!$A$2:$A$11, Dim_Hotel!$I$2:$I$11)
 + (IF(J1819="",0,J1819)
    * _xlfn.XLOOKUP(B1819, Dim_Hotel!$A$2:$A$11, Dim_Hotel!$J$2:$J$11))</f>
        <v>140</v>
      </c>
    </row>
    <row r="1820" spans="1:13" x14ac:dyDescent="0.25">
      <c r="A1820" s="1">
        <f t="shared" si="224"/>
        <v>46204</v>
      </c>
      <c r="B1820" t="str" cm="1">
        <f t="array" ref="B1820">INDEX(HotelList,MOD(ROW()-2,10)+1)</f>
        <v>H009</v>
      </c>
      <c r="C1820">
        <f>_xlfn.XLOOKUP(B1820,Dim_Hotel!$A$2:$A$11,Dim_Hotel!$F$2:$F$11)</f>
        <v>114</v>
      </c>
      <c r="D1820">
        <f t="shared" si="225"/>
        <v>63</v>
      </c>
      <c r="E1820">
        <f t="shared" si="226"/>
        <v>0.55263157894736847</v>
      </c>
      <c r="F1820">
        <f t="shared" si="227"/>
        <v>185</v>
      </c>
      <c r="G1820">
        <f t="shared" si="228"/>
        <v>102.23684210526316</v>
      </c>
      <c r="H1820" t="str">
        <f>_xlfn.XLOOKUP(A1820,Fact_Events!$D$2:$D$20,Fact_Events!$A$2:$A$20, "")</f>
        <v/>
      </c>
      <c r="I1820">
        <f t="shared" si="229"/>
        <v>0</v>
      </c>
      <c r="J1820" t="str">
        <f>_xlfn.XLOOKUP(H1820, Fact_Events!$A$2:$A$20, Fact_Events!$F$2:$F$20, "")</f>
        <v/>
      </c>
      <c r="K1820" t="str">
        <f t="shared" si="230"/>
        <v>Low</v>
      </c>
      <c r="L1820">
        <f t="shared" si="231"/>
        <v>0.55000000000000004</v>
      </c>
      <c r="M1820">
        <f>_xlfn.XLOOKUP(B1820, Dim_Hotel!$A$2:$A$11, Dim_Hotel!$I$2:$I$11)
 + (IF(J1820="",0,J1820)
    * _xlfn.XLOOKUP(B1820, Dim_Hotel!$A$2:$A$11, Dim_Hotel!$J$2:$J$11))</f>
        <v>185</v>
      </c>
    </row>
    <row r="1821" spans="1:13" x14ac:dyDescent="0.25">
      <c r="A1821" s="1">
        <f t="shared" si="224"/>
        <v>46204</v>
      </c>
      <c r="B1821" t="str" cm="1">
        <f t="array" ref="B1821">INDEX(HotelList,MOD(ROW()-2,10)+1)</f>
        <v>H010</v>
      </c>
      <c r="C1821">
        <f>_xlfn.XLOOKUP(B1821,Dim_Hotel!$A$2:$A$11,Dim_Hotel!$F$2:$F$11)</f>
        <v>89</v>
      </c>
      <c r="D1821">
        <f t="shared" si="225"/>
        <v>49</v>
      </c>
      <c r="E1821">
        <f t="shared" si="226"/>
        <v>0.550561797752809</v>
      </c>
      <c r="F1821">
        <f t="shared" si="227"/>
        <v>150</v>
      </c>
      <c r="G1821">
        <f t="shared" si="228"/>
        <v>82.584269662921344</v>
      </c>
      <c r="H1821" t="str">
        <f>_xlfn.XLOOKUP(A1821,Fact_Events!$D$2:$D$20,Fact_Events!$A$2:$A$20, "")</f>
        <v/>
      </c>
      <c r="I1821">
        <f t="shared" si="229"/>
        <v>0</v>
      </c>
      <c r="J1821" t="str">
        <f>_xlfn.XLOOKUP(H1821, Fact_Events!$A$2:$A$20, Fact_Events!$F$2:$F$20, "")</f>
        <v/>
      </c>
      <c r="K1821" t="str">
        <f t="shared" si="230"/>
        <v>Low</v>
      </c>
      <c r="L1821">
        <f t="shared" si="231"/>
        <v>0.55000000000000004</v>
      </c>
      <c r="M1821">
        <f>_xlfn.XLOOKUP(B1821, Dim_Hotel!$A$2:$A$11, Dim_Hotel!$I$2:$I$11)
 + (IF(J1821="",0,J1821)
    * _xlfn.XLOOKUP(B1821, Dim_Hotel!$A$2:$A$11, Dim_Hotel!$J$2:$J$11))</f>
        <v>150</v>
      </c>
    </row>
    <row r="1822" spans="1:13" x14ac:dyDescent="0.25">
      <c r="A1822" s="1">
        <f t="shared" si="224"/>
        <v>46205</v>
      </c>
      <c r="B1822" t="str" cm="1">
        <f t="array" ref="B1822">INDEX(HotelList,MOD(ROW()-2,10)+1)</f>
        <v>H001</v>
      </c>
      <c r="C1822">
        <f>_xlfn.XLOOKUP(B1822,Dim_Hotel!$A$2:$A$11,Dim_Hotel!$F$2:$F$11)</f>
        <v>888</v>
      </c>
      <c r="D1822">
        <f t="shared" si="225"/>
        <v>488</v>
      </c>
      <c r="E1822">
        <f t="shared" si="226"/>
        <v>0.5495495495495496</v>
      </c>
      <c r="F1822">
        <f t="shared" si="227"/>
        <v>260</v>
      </c>
      <c r="G1822">
        <f t="shared" si="228"/>
        <v>142.88288288288288</v>
      </c>
      <c r="H1822" t="str">
        <f>_xlfn.XLOOKUP(A1822,Fact_Events!$D$2:$D$20,Fact_Events!$A$2:$A$20, "")</f>
        <v/>
      </c>
      <c r="I1822">
        <f t="shared" si="229"/>
        <v>0</v>
      </c>
      <c r="J1822" t="str">
        <f>_xlfn.XLOOKUP(H1822, Fact_Events!$A$2:$A$20, Fact_Events!$F$2:$F$20, "")</f>
        <v/>
      </c>
      <c r="K1822" t="str">
        <f t="shared" si="230"/>
        <v>Low</v>
      </c>
      <c r="L1822">
        <f t="shared" si="231"/>
        <v>0.55000000000000004</v>
      </c>
      <c r="M1822">
        <f>_xlfn.XLOOKUP(B1822, Dim_Hotel!$A$2:$A$11, Dim_Hotel!$I$2:$I$11)
 + (IF(J1822="",0,J1822)
    * _xlfn.XLOOKUP(B1822, Dim_Hotel!$A$2:$A$11, Dim_Hotel!$J$2:$J$11))</f>
        <v>260</v>
      </c>
    </row>
    <row r="1823" spans="1:13" x14ac:dyDescent="0.25">
      <c r="A1823" s="1">
        <f t="shared" si="224"/>
        <v>46205</v>
      </c>
      <c r="B1823" t="str" cm="1">
        <f t="array" ref="B1823">INDEX(HotelList,MOD(ROW()-2,10)+1)</f>
        <v>H002</v>
      </c>
      <c r="C1823">
        <f>_xlfn.XLOOKUP(B1823,Dim_Hotel!$A$2:$A$11,Dim_Hotel!$F$2:$F$11)</f>
        <v>147</v>
      </c>
      <c r="D1823">
        <f t="shared" si="225"/>
        <v>81</v>
      </c>
      <c r="E1823">
        <f t="shared" si="226"/>
        <v>0.55102040816326525</v>
      </c>
      <c r="F1823">
        <f t="shared" si="227"/>
        <v>175</v>
      </c>
      <c r="G1823">
        <f t="shared" si="228"/>
        <v>96.428571428571416</v>
      </c>
      <c r="H1823" t="str">
        <f>_xlfn.XLOOKUP(A1823,Fact_Events!$D$2:$D$20,Fact_Events!$A$2:$A$20, "")</f>
        <v/>
      </c>
      <c r="I1823">
        <f t="shared" si="229"/>
        <v>0</v>
      </c>
      <c r="J1823" t="str">
        <f>_xlfn.XLOOKUP(H1823, Fact_Events!$A$2:$A$20, Fact_Events!$F$2:$F$20, "")</f>
        <v/>
      </c>
      <c r="K1823" t="str">
        <f t="shared" si="230"/>
        <v>Low</v>
      </c>
      <c r="L1823">
        <f t="shared" si="231"/>
        <v>0.55000000000000004</v>
      </c>
      <c r="M1823">
        <f>_xlfn.XLOOKUP(B1823, Dim_Hotel!$A$2:$A$11, Dim_Hotel!$I$2:$I$11)
 + (IF(J1823="",0,J1823)
    * _xlfn.XLOOKUP(B1823, Dim_Hotel!$A$2:$A$11, Dim_Hotel!$J$2:$J$11))</f>
        <v>175</v>
      </c>
    </row>
    <row r="1824" spans="1:13" x14ac:dyDescent="0.25">
      <c r="A1824" s="1">
        <f t="shared" si="224"/>
        <v>46205</v>
      </c>
      <c r="B1824" t="str" cm="1">
        <f t="array" ref="B1824">INDEX(HotelList,MOD(ROW()-2,10)+1)</f>
        <v>H003</v>
      </c>
      <c r="C1824">
        <f>_xlfn.XLOOKUP(B1824,Dim_Hotel!$A$2:$A$11,Dim_Hotel!$F$2:$F$11)</f>
        <v>121</v>
      </c>
      <c r="D1824">
        <f t="shared" si="225"/>
        <v>67</v>
      </c>
      <c r="E1824">
        <f t="shared" si="226"/>
        <v>0.55371900826446285</v>
      </c>
      <c r="F1824">
        <f t="shared" si="227"/>
        <v>145</v>
      </c>
      <c r="G1824">
        <f t="shared" si="228"/>
        <v>80.289256198347118</v>
      </c>
      <c r="H1824" t="str">
        <f>_xlfn.XLOOKUP(A1824,Fact_Events!$D$2:$D$20,Fact_Events!$A$2:$A$20, "")</f>
        <v/>
      </c>
      <c r="I1824">
        <f t="shared" si="229"/>
        <v>0</v>
      </c>
      <c r="J1824" t="str">
        <f>_xlfn.XLOOKUP(H1824, Fact_Events!$A$2:$A$20, Fact_Events!$F$2:$F$20, "")</f>
        <v/>
      </c>
      <c r="K1824" t="str">
        <f t="shared" si="230"/>
        <v>Low</v>
      </c>
      <c r="L1824">
        <f t="shared" si="231"/>
        <v>0.55000000000000004</v>
      </c>
      <c r="M1824">
        <f>_xlfn.XLOOKUP(B1824, Dim_Hotel!$A$2:$A$11, Dim_Hotel!$I$2:$I$11)
 + (IF(J1824="",0,J1824)
    * _xlfn.XLOOKUP(B1824, Dim_Hotel!$A$2:$A$11, Dim_Hotel!$J$2:$J$11))</f>
        <v>145</v>
      </c>
    </row>
    <row r="1825" spans="1:13" x14ac:dyDescent="0.25">
      <c r="A1825" s="1">
        <f t="shared" si="224"/>
        <v>46205</v>
      </c>
      <c r="B1825" t="str" cm="1">
        <f t="array" ref="B1825">INDEX(HotelList,MOD(ROW()-2,10)+1)</f>
        <v>H004</v>
      </c>
      <c r="C1825">
        <f>_xlfn.XLOOKUP(B1825,Dim_Hotel!$A$2:$A$11,Dim_Hotel!$F$2:$F$11)</f>
        <v>108</v>
      </c>
      <c r="D1825">
        <f t="shared" si="225"/>
        <v>59</v>
      </c>
      <c r="E1825">
        <f t="shared" si="226"/>
        <v>0.54629629629629628</v>
      </c>
      <c r="F1825">
        <f t="shared" si="227"/>
        <v>135</v>
      </c>
      <c r="G1825">
        <f t="shared" si="228"/>
        <v>73.75</v>
      </c>
      <c r="H1825" t="str">
        <f>_xlfn.XLOOKUP(A1825,Fact_Events!$D$2:$D$20,Fact_Events!$A$2:$A$20, "")</f>
        <v/>
      </c>
      <c r="I1825">
        <f t="shared" si="229"/>
        <v>0</v>
      </c>
      <c r="J1825" t="str">
        <f>_xlfn.XLOOKUP(H1825, Fact_Events!$A$2:$A$20, Fact_Events!$F$2:$F$20, "")</f>
        <v/>
      </c>
      <c r="K1825" t="str">
        <f t="shared" si="230"/>
        <v>Low</v>
      </c>
      <c r="L1825">
        <f t="shared" si="231"/>
        <v>0.55000000000000004</v>
      </c>
      <c r="M1825">
        <f>_xlfn.XLOOKUP(B1825, Dim_Hotel!$A$2:$A$11, Dim_Hotel!$I$2:$I$11)
 + (IF(J1825="",0,J1825)
    * _xlfn.XLOOKUP(B1825, Dim_Hotel!$A$2:$A$11, Dim_Hotel!$J$2:$J$11))</f>
        <v>135</v>
      </c>
    </row>
    <row r="1826" spans="1:13" x14ac:dyDescent="0.25">
      <c r="A1826" s="1">
        <f t="shared" si="224"/>
        <v>46205</v>
      </c>
      <c r="B1826" t="str" cm="1">
        <f t="array" ref="B1826">INDEX(HotelList,MOD(ROW()-2,10)+1)</f>
        <v>H005</v>
      </c>
      <c r="C1826">
        <f>_xlfn.XLOOKUP(B1826,Dim_Hotel!$A$2:$A$11,Dim_Hotel!$F$2:$F$11)</f>
        <v>66</v>
      </c>
      <c r="D1826">
        <f t="shared" si="225"/>
        <v>36</v>
      </c>
      <c r="E1826">
        <f t="shared" si="226"/>
        <v>0.54545454545454541</v>
      </c>
      <c r="F1826">
        <f t="shared" si="227"/>
        <v>82</v>
      </c>
      <c r="G1826">
        <f t="shared" si="228"/>
        <v>44.727272727272727</v>
      </c>
      <c r="H1826" t="str">
        <f>_xlfn.XLOOKUP(A1826,Fact_Events!$D$2:$D$20,Fact_Events!$A$2:$A$20, "")</f>
        <v/>
      </c>
      <c r="I1826">
        <f t="shared" si="229"/>
        <v>0</v>
      </c>
      <c r="J1826" t="str">
        <f>_xlfn.XLOOKUP(H1826, Fact_Events!$A$2:$A$20, Fact_Events!$F$2:$F$20, "")</f>
        <v/>
      </c>
      <c r="K1826" t="str">
        <f t="shared" si="230"/>
        <v>Low</v>
      </c>
      <c r="L1826">
        <f t="shared" si="231"/>
        <v>0.55000000000000004</v>
      </c>
      <c r="M1826">
        <f>_xlfn.XLOOKUP(B1826, Dim_Hotel!$A$2:$A$11, Dim_Hotel!$I$2:$I$11)
 + (IF(J1826="",0,J1826)
    * _xlfn.XLOOKUP(B1826, Dim_Hotel!$A$2:$A$11, Dim_Hotel!$J$2:$J$11))</f>
        <v>82</v>
      </c>
    </row>
    <row r="1827" spans="1:13" x14ac:dyDescent="0.25">
      <c r="A1827" s="1">
        <f t="shared" si="224"/>
        <v>46205</v>
      </c>
      <c r="B1827" t="str" cm="1">
        <f t="array" ref="B1827">INDEX(HotelList,MOD(ROW()-2,10)+1)</f>
        <v>H006</v>
      </c>
      <c r="C1827">
        <f>_xlfn.XLOOKUP(B1827,Dim_Hotel!$A$2:$A$11,Dim_Hotel!$F$2:$F$11)</f>
        <v>311</v>
      </c>
      <c r="D1827">
        <f t="shared" si="225"/>
        <v>171</v>
      </c>
      <c r="E1827">
        <f t="shared" si="226"/>
        <v>0.54983922829581988</v>
      </c>
      <c r="F1827">
        <f t="shared" si="227"/>
        <v>190</v>
      </c>
      <c r="G1827">
        <f t="shared" si="228"/>
        <v>104.46945337620578</v>
      </c>
      <c r="H1827" t="str">
        <f>_xlfn.XLOOKUP(A1827,Fact_Events!$D$2:$D$20,Fact_Events!$A$2:$A$20, "")</f>
        <v/>
      </c>
      <c r="I1827">
        <f t="shared" si="229"/>
        <v>0</v>
      </c>
      <c r="J1827" t="str">
        <f>_xlfn.XLOOKUP(H1827, Fact_Events!$A$2:$A$20, Fact_Events!$F$2:$F$20, "")</f>
        <v/>
      </c>
      <c r="K1827" t="str">
        <f t="shared" si="230"/>
        <v>Low</v>
      </c>
      <c r="L1827">
        <f t="shared" si="231"/>
        <v>0.55000000000000004</v>
      </c>
      <c r="M1827">
        <f>_xlfn.XLOOKUP(B1827, Dim_Hotel!$A$2:$A$11, Dim_Hotel!$I$2:$I$11)
 + (IF(J1827="",0,J1827)
    * _xlfn.XLOOKUP(B1827, Dim_Hotel!$A$2:$A$11, Dim_Hotel!$J$2:$J$11))</f>
        <v>190</v>
      </c>
    </row>
    <row r="1828" spans="1:13" x14ac:dyDescent="0.25">
      <c r="A1828" s="1">
        <f t="shared" si="224"/>
        <v>46205</v>
      </c>
      <c r="B1828" t="str" cm="1">
        <f t="array" ref="B1828">INDEX(HotelList,MOD(ROW()-2,10)+1)</f>
        <v>H007</v>
      </c>
      <c r="C1828">
        <f>_xlfn.XLOOKUP(B1828,Dim_Hotel!$A$2:$A$11,Dim_Hotel!$F$2:$F$11)</f>
        <v>132</v>
      </c>
      <c r="D1828">
        <f t="shared" si="225"/>
        <v>73</v>
      </c>
      <c r="E1828">
        <f t="shared" si="226"/>
        <v>0.55303030303030298</v>
      </c>
      <c r="F1828">
        <f t="shared" si="227"/>
        <v>165</v>
      </c>
      <c r="G1828">
        <f t="shared" si="228"/>
        <v>91.249999999999986</v>
      </c>
      <c r="H1828" t="str">
        <f>_xlfn.XLOOKUP(A1828,Fact_Events!$D$2:$D$20,Fact_Events!$A$2:$A$20, "")</f>
        <v/>
      </c>
      <c r="I1828">
        <f t="shared" si="229"/>
        <v>0</v>
      </c>
      <c r="J1828" t="str">
        <f>_xlfn.XLOOKUP(H1828, Fact_Events!$A$2:$A$20, Fact_Events!$F$2:$F$20, "")</f>
        <v/>
      </c>
      <c r="K1828" t="str">
        <f t="shared" si="230"/>
        <v>Low</v>
      </c>
      <c r="L1828">
        <f t="shared" si="231"/>
        <v>0.55000000000000004</v>
      </c>
      <c r="M1828">
        <f>_xlfn.XLOOKUP(B1828, Dim_Hotel!$A$2:$A$11, Dim_Hotel!$I$2:$I$11)
 + (IF(J1828="",0,J1828)
    * _xlfn.XLOOKUP(B1828, Dim_Hotel!$A$2:$A$11, Dim_Hotel!$J$2:$J$11))</f>
        <v>165</v>
      </c>
    </row>
    <row r="1829" spans="1:13" x14ac:dyDescent="0.25">
      <c r="A1829" s="1">
        <f t="shared" si="224"/>
        <v>46205</v>
      </c>
      <c r="B1829" t="str" cm="1">
        <f t="array" ref="B1829">INDEX(HotelList,MOD(ROW()-2,10)+1)</f>
        <v>H008</v>
      </c>
      <c r="C1829">
        <f>_xlfn.XLOOKUP(B1829,Dim_Hotel!$A$2:$A$11,Dim_Hotel!$F$2:$F$11)</f>
        <v>103</v>
      </c>
      <c r="D1829">
        <f t="shared" si="225"/>
        <v>57</v>
      </c>
      <c r="E1829">
        <f t="shared" si="226"/>
        <v>0.55339805825242716</v>
      </c>
      <c r="F1829">
        <f t="shared" si="227"/>
        <v>140</v>
      </c>
      <c r="G1829">
        <f t="shared" si="228"/>
        <v>77.475728155339809</v>
      </c>
      <c r="H1829" t="str">
        <f>_xlfn.XLOOKUP(A1829,Fact_Events!$D$2:$D$20,Fact_Events!$A$2:$A$20, "")</f>
        <v/>
      </c>
      <c r="I1829">
        <f t="shared" si="229"/>
        <v>0</v>
      </c>
      <c r="J1829" t="str">
        <f>_xlfn.XLOOKUP(H1829, Fact_Events!$A$2:$A$20, Fact_Events!$F$2:$F$20, "")</f>
        <v/>
      </c>
      <c r="K1829" t="str">
        <f t="shared" si="230"/>
        <v>Low</v>
      </c>
      <c r="L1829">
        <f t="shared" si="231"/>
        <v>0.55000000000000004</v>
      </c>
      <c r="M1829">
        <f>_xlfn.XLOOKUP(B1829, Dim_Hotel!$A$2:$A$11, Dim_Hotel!$I$2:$I$11)
 + (IF(J1829="",0,J1829)
    * _xlfn.XLOOKUP(B1829, Dim_Hotel!$A$2:$A$11, Dim_Hotel!$J$2:$J$11))</f>
        <v>140</v>
      </c>
    </row>
    <row r="1830" spans="1:13" x14ac:dyDescent="0.25">
      <c r="A1830" s="1">
        <f t="shared" si="224"/>
        <v>46205</v>
      </c>
      <c r="B1830" t="str" cm="1">
        <f t="array" ref="B1830">INDEX(HotelList,MOD(ROW()-2,10)+1)</f>
        <v>H009</v>
      </c>
      <c r="C1830">
        <f>_xlfn.XLOOKUP(B1830,Dim_Hotel!$A$2:$A$11,Dim_Hotel!$F$2:$F$11)</f>
        <v>114</v>
      </c>
      <c r="D1830">
        <f t="shared" si="225"/>
        <v>63</v>
      </c>
      <c r="E1830">
        <f t="shared" si="226"/>
        <v>0.55263157894736847</v>
      </c>
      <c r="F1830">
        <f t="shared" si="227"/>
        <v>185</v>
      </c>
      <c r="G1830">
        <f t="shared" si="228"/>
        <v>102.23684210526316</v>
      </c>
      <c r="H1830" t="str">
        <f>_xlfn.XLOOKUP(A1830,Fact_Events!$D$2:$D$20,Fact_Events!$A$2:$A$20, "")</f>
        <v/>
      </c>
      <c r="I1830">
        <f t="shared" si="229"/>
        <v>0</v>
      </c>
      <c r="J1830" t="str">
        <f>_xlfn.XLOOKUP(H1830, Fact_Events!$A$2:$A$20, Fact_Events!$F$2:$F$20, "")</f>
        <v/>
      </c>
      <c r="K1830" t="str">
        <f t="shared" si="230"/>
        <v>Low</v>
      </c>
      <c r="L1830">
        <f t="shared" si="231"/>
        <v>0.55000000000000004</v>
      </c>
      <c r="M1830">
        <f>_xlfn.XLOOKUP(B1830, Dim_Hotel!$A$2:$A$11, Dim_Hotel!$I$2:$I$11)
 + (IF(J1830="",0,J1830)
    * _xlfn.XLOOKUP(B1830, Dim_Hotel!$A$2:$A$11, Dim_Hotel!$J$2:$J$11))</f>
        <v>185</v>
      </c>
    </row>
    <row r="1831" spans="1:13" x14ac:dyDescent="0.25">
      <c r="A1831" s="1">
        <f t="shared" si="224"/>
        <v>46205</v>
      </c>
      <c r="B1831" t="str" cm="1">
        <f t="array" ref="B1831">INDEX(HotelList,MOD(ROW()-2,10)+1)</f>
        <v>H010</v>
      </c>
      <c r="C1831">
        <f>_xlfn.XLOOKUP(B1831,Dim_Hotel!$A$2:$A$11,Dim_Hotel!$F$2:$F$11)</f>
        <v>89</v>
      </c>
      <c r="D1831">
        <f t="shared" si="225"/>
        <v>49</v>
      </c>
      <c r="E1831">
        <f t="shared" si="226"/>
        <v>0.550561797752809</v>
      </c>
      <c r="F1831">
        <f t="shared" si="227"/>
        <v>150</v>
      </c>
      <c r="G1831">
        <f t="shared" si="228"/>
        <v>82.584269662921344</v>
      </c>
      <c r="H1831" t="str">
        <f>_xlfn.XLOOKUP(A1831,Fact_Events!$D$2:$D$20,Fact_Events!$A$2:$A$20, "")</f>
        <v/>
      </c>
      <c r="I1831">
        <f t="shared" si="229"/>
        <v>0</v>
      </c>
      <c r="J1831" t="str">
        <f>_xlfn.XLOOKUP(H1831, Fact_Events!$A$2:$A$20, Fact_Events!$F$2:$F$20, "")</f>
        <v/>
      </c>
      <c r="K1831" t="str">
        <f t="shared" si="230"/>
        <v>Low</v>
      </c>
      <c r="L1831">
        <f t="shared" si="231"/>
        <v>0.55000000000000004</v>
      </c>
      <c r="M1831">
        <f>_xlfn.XLOOKUP(B1831, Dim_Hotel!$A$2:$A$11, Dim_Hotel!$I$2:$I$11)
 + (IF(J1831="",0,J1831)
    * _xlfn.XLOOKUP(B1831, Dim_Hotel!$A$2:$A$11, Dim_Hotel!$J$2:$J$11))</f>
        <v>150</v>
      </c>
    </row>
    <row r="1832" spans="1:13" x14ac:dyDescent="0.25">
      <c r="A1832" s="1">
        <f t="shared" si="224"/>
        <v>46206</v>
      </c>
      <c r="B1832" t="str" cm="1">
        <f t="array" ref="B1832">INDEX(HotelList,MOD(ROW()-2,10)+1)</f>
        <v>H001</v>
      </c>
      <c r="C1832">
        <f>_xlfn.XLOOKUP(B1832,Dim_Hotel!$A$2:$A$11,Dim_Hotel!$F$2:$F$11)</f>
        <v>888</v>
      </c>
      <c r="D1832">
        <f t="shared" si="225"/>
        <v>799</v>
      </c>
      <c r="E1832">
        <f t="shared" si="226"/>
        <v>0.89977477477477474</v>
      </c>
      <c r="F1832">
        <f t="shared" si="227"/>
        <v>440</v>
      </c>
      <c r="G1832">
        <f t="shared" si="228"/>
        <v>395.90090090090087</v>
      </c>
      <c r="H1832" t="str">
        <f>_xlfn.XLOOKUP(A1832,Fact_Events!$D$2:$D$20,Fact_Events!$A$2:$A$20, "")</f>
        <v>E015</v>
      </c>
      <c r="I1832">
        <f t="shared" si="229"/>
        <v>1</v>
      </c>
      <c r="J1832">
        <f>_xlfn.XLOOKUP(H1832, Fact_Events!$A$2:$A$20, Fact_Events!$F$2:$F$20, "")</f>
        <v>10</v>
      </c>
      <c r="K1832" t="str">
        <f t="shared" si="230"/>
        <v>High</v>
      </c>
      <c r="L1832">
        <f t="shared" si="231"/>
        <v>0.9</v>
      </c>
      <c r="M1832">
        <f>_xlfn.XLOOKUP(B1832, Dim_Hotel!$A$2:$A$11, Dim_Hotel!$I$2:$I$11)
 + (IF(J1832="",0,J1832)
    * _xlfn.XLOOKUP(B1832, Dim_Hotel!$A$2:$A$11, Dim_Hotel!$J$2:$J$11))</f>
        <v>440</v>
      </c>
    </row>
    <row r="1833" spans="1:13" x14ac:dyDescent="0.25">
      <c r="A1833" s="1">
        <f t="shared" si="224"/>
        <v>46206</v>
      </c>
      <c r="B1833" t="str" cm="1">
        <f t="array" ref="B1833">INDEX(HotelList,MOD(ROW()-2,10)+1)</f>
        <v>H002</v>
      </c>
      <c r="C1833">
        <f>_xlfn.XLOOKUP(B1833,Dim_Hotel!$A$2:$A$11,Dim_Hotel!$F$2:$F$11)</f>
        <v>147</v>
      </c>
      <c r="D1833">
        <f t="shared" si="225"/>
        <v>132</v>
      </c>
      <c r="E1833">
        <f t="shared" si="226"/>
        <v>0.89795918367346939</v>
      </c>
      <c r="F1833">
        <f t="shared" si="227"/>
        <v>315</v>
      </c>
      <c r="G1833">
        <f t="shared" si="228"/>
        <v>282.85714285714283</v>
      </c>
      <c r="H1833" t="str">
        <f>_xlfn.XLOOKUP(A1833,Fact_Events!$D$2:$D$20,Fact_Events!$A$2:$A$20, "")</f>
        <v>E015</v>
      </c>
      <c r="I1833">
        <f t="shared" si="229"/>
        <v>1</v>
      </c>
      <c r="J1833">
        <f>_xlfn.XLOOKUP(H1833, Fact_Events!$A$2:$A$20, Fact_Events!$F$2:$F$20, "")</f>
        <v>10</v>
      </c>
      <c r="K1833" t="str">
        <f t="shared" si="230"/>
        <v>High</v>
      </c>
      <c r="L1833">
        <f t="shared" si="231"/>
        <v>0.9</v>
      </c>
      <c r="M1833">
        <f>_xlfn.XLOOKUP(B1833, Dim_Hotel!$A$2:$A$11, Dim_Hotel!$I$2:$I$11)
 + (IF(J1833="",0,J1833)
    * _xlfn.XLOOKUP(B1833, Dim_Hotel!$A$2:$A$11, Dim_Hotel!$J$2:$J$11))</f>
        <v>315</v>
      </c>
    </row>
    <row r="1834" spans="1:13" x14ac:dyDescent="0.25">
      <c r="A1834" s="1">
        <f t="shared" si="224"/>
        <v>46206</v>
      </c>
      <c r="B1834" t="str" cm="1">
        <f t="array" ref="B1834">INDEX(HotelList,MOD(ROW()-2,10)+1)</f>
        <v>H003</v>
      </c>
      <c r="C1834">
        <f>_xlfn.XLOOKUP(B1834,Dim_Hotel!$A$2:$A$11,Dim_Hotel!$F$2:$F$11)</f>
        <v>121</v>
      </c>
      <c r="D1834">
        <f t="shared" si="225"/>
        <v>109</v>
      </c>
      <c r="E1834">
        <f t="shared" si="226"/>
        <v>0.90082644628099173</v>
      </c>
      <c r="F1834">
        <f t="shared" si="227"/>
        <v>265</v>
      </c>
      <c r="G1834">
        <f t="shared" si="228"/>
        <v>238.71900826446281</v>
      </c>
      <c r="H1834" t="str">
        <f>_xlfn.XLOOKUP(A1834,Fact_Events!$D$2:$D$20,Fact_Events!$A$2:$A$20, "")</f>
        <v>E015</v>
      </c>
      <c r="I1834">
        <f t="shared" si="229"/>
        <v>1</v>
      </c>
      <c r="J1834">
        <f>_xlfn.XLOOKUP(H1834, Fact_Events!$A$2:$A$20, Fact_Events!$F$2:$F$20, "")</f>
        <v>10</v>
      </c>
      <c r="K1834" t="str">
        <f t="shared" si="230"/>
        <v>High</v>
      </c>
      <c r="L1834">
        <f t="shared" si="231"/>
        <v>0.9</v>
      </c>
      <c r="M1834">
        <f>_xlfn.XLOOKUP(B1834, Dim_Hotel!$A$2:$A$11, Dim_Hotel!$I$2:$I$11)
 + (IF(J1834="",0,J1834)
    * _xlfn.XLOOKUP(B1834, Dim_Hotel!$A$2:$A$11, Dim_Hotel!$J$2:$J$11))</f>
        <v>265</v>
      </c>
    </row>
    <row r="1835" spans="1:13" x14ac:dyDescent="0.25">
      <c r="A1835" s="1">
        <f t="shared" si="224"/>
        <v>46206</v>
      </c>
      <c r="B1835" t="str" cm="1">
        <f t="array" ref="B1835">INDEX(HotelList,MOD(ROW()-2,10)+1)</f>
        <v>H004</v>
      </c>
      <c r="C1835">
        <f>_xlfn.XLOOKUP(B1835,Dim_Hotel!$A$2:$A$11,Dim_Hotel!$F$2:$F$11)</f>
        <v>108</v>
      </c>
      <c r="D1835">
        <f t="shared" si="225"/>
        <v>97</v>
      </c>
      <c r="E1835">
        <f t="shared" si="226"/>
        <v>0.89814814814814814</v>
      </c>
      <c r="F1835">
        <f t="shared" si="227"/>
        <v>255</v>
      </c>
      <c r="G1835">
        <f t="shared" si="228"/>
        <v>229.02777777777777</v>
      </c>
      <c r="H1835" t="str">
        <f>_xlfn.XLOOKUP(A1835,Fact_Events!$D$2:$D$20,Fact_Events!$A$2:$A$20, "")</f>
        <v>E015</v>
      </c>
      <c r="I1835">
        <f t="shared" si="229"/>
        <v>1</v>
      </c>
      <c r="J1835">
        <f>_xlfn.XLOOKUP(H1835, Fact_Events!$A$2:$A$20, Fact_Events!$F$2:$F$20, "")</f>
        <v>10</v>
      </c>
      <c r="K1835" t="str">
        <f t="shared" si="230"/>
        <v>High</v>
      </c>
      <c r="L1835">
        <f t="shared" si="231"/>
        <v>0.9</v>
      </c>
      <c r="M1835">
        <f>_xlfn.XLOOKUP(B1835, Dim_Hotel!$A$2:$A$11, Dim_Hotel!$I$2:$I$11)
 + (IF(J1835="",0,J1835)
    * _xlfn.XLOOKUP(B1835, Dim_Hotel!$A$2:$A$11, Dim_Hotel!$J$2:$J$11))</f>
        <v>255</v>
      </c>
    </row>
    <row r="1836" spans="1:13" x14ac:dyDescent="0.25">
      <c r="A1836" s="1">
        <f t="shared" si="224"/>
        <v>46206</v>
      </c>
      <c r="B1836" t="str" cm="1">
        <f t="array" ref="B1836">INDEX(HotelList,MOD(ROW()-2,10)+1)</f>
        <v>H005</v>
      </c>
      <c r="C1836">
        <f>_xlfn.XLOOKUP(B1836,Dim_Hotel!$A$2:$A$11,Dim_Hotel!$F$2:$F$11)</f>
        <v>66</v>
      </c>
      <c r="D1836">
        <f t="shared" si="225"/>
        <v>59</v>
      </c>
      <c r="E1836">
        <f t="shared" si="226"/>
        <v>0.89393939393939392</v>
      </c>
      <c r="F1836">
        <f t="shared" si="227"/>
        <v>162</v>
      </c>
      <c r="G1836">
        <f t="shared" si="228"/>
        <v>144.81818181818181</v>
      </c>
      <c r="H1836" t="str">
        <f>_xlfn.XLOOKUP(A1836,Fact_Events!$D$2:$D$20,Fact_Events!$A$2:$A$20, "")</f>
        <v>E015</v>
      </c>
      <c r="I1836">
        <f t="shared" si="229"/>
        <v>1</v>
      </c>
      <c r="J1836">
        <f>_xlfn.XLOOKUP(H1836, Fact_Events!$A$2:$A$20, Fact_Events!$F$2:$F$20, "")</f>
        <v>10</v>
      </c>
      <c r="K1836" t="str">
        <f t="shared" si="230"/>
        <v>High</v>
      </c>
      <c r="L1836">
        <f t="shared" si="231"/>
        <v>0.9</v>
      </c>
      <c r="M1836">
        <f>_xlfn.XLOOKUP(B1836, Dim_Hotel!$A$2:$A$11, Dim_Hotel!$I$2:$I$11)
 + (IF(J1836="",0,J1836)
    * _xlfn.XLOOKUP(B1836, Dim_Hotel!$A$2:$A$11, Dim_Hotel!$J$2:$J$11))</f>
        <v>162</v>
      </c>
    </row>
    <row r="1837" spans="1:13" x14ac:dyDescent="0.25">
      <c r="A1837" s="1">
        <f t="shared" si="224"/>
        <v>46206</v>
      </c>
      <c r="B1837" t="str" cm="1">
        <f t="array" ref="B1837">INDEX(HotelList,MOD(ROW()-2,10)+1)</f>
        <v>H006</v>
      </c>
      <c r="C1837">
        <f>_xlfn.XLOOKUP(B1837,Dim_Hotel!$A$2:$A$11,Dim_Hotel!$F$2:$F$11)</f>
        <v>311</v>
      </c>
      <c r="D1837">
        <f t="shared" si="225"/>
        <v>280</v>
      </c>
      <c r="E1837">
        <f t="shared" si="226"/>
        <v>0.90032154340836013</v>
      </c>
      <c r="F1837">
        <f t="shared" si="227"/>
        <v>340</v>
      </c>
      <c r="G1837">
        <f t="shared" si="228"/>
        <v>306.10932475884243</v>
      </c>
      <c r="H1837" t="str">
        <f>_xlfn.XLOOKUP(A1837,Fact_Events!$D$2:$D$20,Fact_Events!$A$2:$A$20, "")</f>
        <v>E015</v>
      </c>
      <c r="I1837">
        <f t="shared" si="229"/>
        <v>1</v>
      </c>
      <c r="J1837">
        <f>_xlfn.XLOOKUP(H1837, Fact_Events!$A$2:$A$20, Fact_Events!$F$2:$F$20, "")</f>
        <v>10</v>
      </c>
      <c r="K1837" t="str">
        <f t="shared" si="230"/>
        <v>High</v>
      </c>
      <c r="L1837">
        <f t="shared" si="231"/>
        <v>0.9</v>
      </c>
      <c r="M1837">
        <f>_xlfn.XLOOKUP(B1837, Dim_Hotel!$A$2:$A$11, Dim_Hotel!$I$2:$I$11)
 + (IF(J1837="",0,J1837)
    * _xlfn.XLOOKUP(B1837, Dim_Hotel!$A$2:$A$11, Dim_Hotel!$J$2:$J$11))</f>
        <v>340</v>
      </c>
    </row>
    <row r="1838" spans="1:13" x14ac:dyDescent="0.25">
      <c r="A1838" s="1">
        <f t="shared" si="224"/>
        <v>46206</v>
      </c>
      <c r="B1838" t="str" cm="1">
        <f t="array" ref="B1838">INDEX(HotelList,MOD(ROW()-2,10)+1)</f>
        <v>H007</v>
      </c>
      <c r="C1838">
        <f>_xlfn.XLOOKUP(B1838,Dim_Hotel!$A$2:$A$11,Dim_Hotel!$F$2:$F$11)</f>
        <v>132</v>
      </c>
      <c r="D1838">
        <f t="shared" si="225"/>
        <v>119</v>
      </c>
      <c r="E1838">
        <f t="shared" si="226"/>
        <v>0.90151515151515149</v>
      </c>
      <c r="F1838">
        <f t="shared" si="227"/>
        <v>295</v>
      </c>
      <c r="G1838">
        <f t="shared" si="228"/>
        <v>265.94696969696969</v>
      </c>
      <c r="H1838" t="str">
        <f>_xlfn.XLOOKUP(A1838,Fact_Events!$D$2:$D$20,Fact_Events!$A$2:$A$20, "")</f>
        <v>E015</v>
      </c>
      <c r="I1838">
        <f t="shared" si="229"/>
        <v>1</v>
      </c>
      <c r="J1838">
        <f>_xlfn.XLOOKUP(H1838, Fact_Events!$A$2:$A$20, Fact_Events!$F$2:$F$20, "")</f>
        <v>10</v>
      </c>
      <c r="K1838" t="str">
        <f t="shared" si="230"/>
        <v>High</v>
      </c>
      <c r="L1838">
        <f t="shared" si="231"/>
        <v>0.9</v>
      </c>
      <c r="M1838">
        <f>_xlfn.XLOOKUP(B1838, Dim_Hotel!$A$2:$A$11, Dim_Hotel!$I$2:$I$11)
 + (IF(J1838="",0,J1838)
    * _xlfn.XLOOKUP(B1838, Dim_Hotel!$A$2:$A$11, Dim_Hotel!$J$2:$J$11))</f>
        <v>295</v>
      </c>
    </row>
    <row r="1839" spans="1:13" x14ac:dyDescent="0.25">
      <c r="A1839" s="1">
        <f t="shared" si="224"/>
        <v>46206</v>
      </c>
      <c r="B1839" t="str" cm="1">
        <f t="array" ref="B1839">INDEX(HotelList,MOD(ROW()-2,10)+1)</f>
        <v>H008</v>
      </c>
      <c r="C1839">
        <f>_xlfn.XLOOKUP(B1839,Dim_Hotel!$A$2:$A$11,Dim_Hotel!$F$2:$F$11)</f>
        <v>103</v>
      </c>
      <c r="D1839">
        <f t="shared" si="225"/>
        <v>93</v>
      </c>
      <c r="E1839">
        <f t="shared" si="226"/>
        <v>0.90291262135922334</v>
      </c>
      <c r="F1839">
        <f t="shared" si="227"/>
        <v>260</v>
      </c>
      <c r="G1839">
        <f t="shared" si="228"/>
        <v>234.75728155339806</v>
      </c>
      <c r="H1839" t="str">
        <f>_xlfn.XLOOKUP(A1839,Fact_Events!$D$2:$D$20,Fact_Events!$A$2:$A$20, "")</f>
        <v>E015</v>
      </c>
      <c r="I1839">
        <f t="shared" si="229"/>
        <v>1</v>
      </c>
      <c r="J1839">
        <f>_xlfn.XLOOKUP(H1839, Fact_Events!$A$2:$A$20, Fact_Events!$F$2:$F$20, "")</f>
        <v>10</v>
      </c>
      <c r="K1839" t="str">
        <f t="shared" si="230"/>
        <v>High</v>
      </c>
      <c r="L1839">
        <f t="shared" si="231"/>
        <v>0.9</v>
      </c>
      <c r="M1839">
        <f>_xlfn.XLOOKUP(B1839, Dim_Hotel!$A$2:$A$11, Dim_Hotel!$I$2:$I$11)
 + (IF(J1839="",0,J1839)
    * _xlfn.XLOOKUP(B1839, Dim_Hotel!$A$2:$A$11, Dim_Hotel!$J$2:$J$11))</f>
        <v>260</v>
      </c>
    </row>
    <row r="1840" spans="1:13" x14ac:dyDescent="0.25">
      <c r="A1840" s="1">
        <f t="shared" si="224"/>
        <v>46206</v>
      </c>
      <c r="B1840" t="str" cm="1">
        <f t="array" ref="B1840">INDEX(HotelList,MOD(ROW()-2,10)+1)</f>
        <v>H009</v>
      </c>
      <c r="C1840">
        <f>_xlfn.XLOOKUP(B1840,Dim_Hotel!$A$2:$A$11,Dim_Hotel!$F$2:$F$11)</f>
        <v>114</v>
      </c>
      <c r="D1840">
        <f t="shared" si="225"/>
        <v>103</v>
      </c>
      <c r="E1840">
        <f t="shared" si="226"/>
        <v>0.90350877192982459</v>
      </c>
      <c r="F1840">
        <f t="shared" si="227"/>
        <v>285</v>
      </c>
      <c r="G1840">
        <f t="shared" si="228"/>
        <v>257.5</v>
      </c>
      <c r="H1840" t="str">
        <f>_xlfn.XLOOKUP(A1840,Fact_Events!$D$2:$D$20,Fact_Events!$A$2:$A$20, "")</f>
        <v>E015</v>
      </c>
      <c r="I1840">
        <f t="shared" si="229"/>
        <v>1</v>
      </c>
      <c r="J1840">
        <f>_xlfn.XLOOKUP(H1840, Fact_Events!$A$2:$A$20, Fact_Events!$F$2:$F$20, "")</f>
        <v>10</v>
      </c>
      <c r="K1840" t="str">
        <f t="shared" si="230"/>
        <v>High</v>
      </c>
      <c r="L1840">
        <f t="shared" si="231"/>
        <v>0.9</v>
      </c>
      <c r="M1840">
        <f>_xlfn.XLOOKUP(B1840, Dim_Hotel!$A$2:$A$11, Dim_Hotel!$I$2:$I$11)
 + (IF(J1840="",0,J1840)
    * _xlfn.XLOOKUP(B1840, Dim_Hotel!$A$2:$A$11, Dim_Hotel!$J$2:$J$11))</f>
        <v>285</v>
      </c>
    </row>
    <row r="1841" spans="1:13" x14ac:dyDescent="0.25">
      <c r="A1841" s="1">
        <f t="shared" si="224"/>
        <v>46206</v>
      </c>
      <c r="B1841" t="str" cm="1">
        <f t="array" ref="B1841">INDEX(HotelList,MOD(ROW()-2,10)+1)</f>
        <v>H010</v>
      </c>
      <c r="C1841">
        <f>_xlfn.XLOOKUP(B1841,Dim_Hotel!$A$2:$A$11,Dim_Hotel!$F$2:$F$11)</f>
        <v>89</v>
      </c>
      <c r="D1841">
        <f t="shared" si="225"/>
        <v>80</v>
      </c>
      <c r="E1841">
        <f t="shared" si="226"/>
        <v>0.898876404494382</v>
      </c>
      <c r="F1841">
        <f t="shared" si="227"/>
        <v>250</v>
      </c>
      <c r="G1841">
        <f t="shared" si="228"/>
        <v>224.71910112359549</v>
      </c>
      <c r="H1841" t="str">
        <f>_xlfn.XLOOKUP(A1841,Fact_Events!$D$2:$D$20,Fact_Events!$A$2:$A$20, "")</f>
        <v>E015</v>
      </c>
      <c r="I1841">
        <f t="shared" si="229"/>
        <v>1</v>
      </c>
      <c r="J1841">
        <f>_xlfn.XLOOKUP(H1841, Fact_Events!$A$2:$A$20, Fact_Events!$F$2:$F$20, "")</f>
        <v>10</v>
      </c>
      <c r="K1841" t="str">
        <f t="shared" si="230"/>
        <v>High</v>
      </c>
      <c r="L1841">
        <f t="shared" si="231"/>
        <v>0.9</v>
      </c>
      <c r="M1841">
        <f>_xlfn.XLOOKUP(B1841, Dim_Hotel!$A$2:$A$11, Dim_Hotel!$I$2:$I$11)
 + (IF(J1841="",0,J1841)
    * _xlfn.XLOOKUP(B1841, Dim_Hotel!$A$2:$A$11, Dim_Hotel!$J$2:$J$11))</f>
        <v>250</v>
      </c>
    </row>
    <row r="1842" spans="1:13" x14ac:dyDescent="0.25">
      <c r="A1842" s="1">
        <f t="shared" si="224"/>
        <v>46207</v>
      </c>
      <c r="B1842" t="str" cm="1">
        <f t="array" ref="B1842">INDEX(HotelList,MOD(ROW()-2,10)+1)</f>
        <v>H001</v>
      </c>
      <c r="C1842">
        <f>_xlfn.XLOOKUP(B1842,Dim_Hotel!$A$2:$A$11,Dim_Hotel!$F$2:$F$11)</f>
        <v>888</v>
      </c>
      <c r="D1842">
        <f t="shared" si="225"/>
        <v>488</v>
      </c>
      <c r="E1842">
        <f t="shared" si="226"/>
        <v>0.5495495495495496</v>
      </c>
      <c r="F1842">
        <f t="shared" si="227"/>
        <v>260</v>
      </c>
      <c r="G1842">
        <f t="shared" si="228"/>
        <v>142.88288288288288</v>
      </c>
      <c r="H1842" t="str">
        <f>_xlfn.XLOOKUP(A1842,Fact_Events!$D$2:$D$20,Fact_Events!$A$2:$A$20, "")</f>
        <v/>
      </c>
      <c r="I1842">
        <f t="shared" si="229"/>
        <v>0</v>
      </c>
      <c r="J1842" t="str">
        <f>_xlfn.XLOOKUP(H1842, Fact_Events!$A$2:$A$20, Fact_Events!$F$2:$F$20, "")</f>
        <v/>
      </c>
      <c r="K1842" t="str">
        <f t="shared" si="230"/>
        <v>Low</v>
      </c>
      <c r="L1842">
        <f t="shared" si="231"/>
        <v>0.55000000000000004</v>
      </c>
      <c r="M1842">
        <f>_xlfn.XLOOKUP(B1842, Dim_Hotel!$A$2:$A$11, Dim_Hotel!$I$2:$I$11)
 + (IF(J1842="",0,J1842)
    * _xlfn.XLOOKUP(B1842, Dim_Hotel!$A$2:$A$11, Dim_Hotel!$J$2:$J$11))</f>
        <v>260</v>
      </c>
    </row>
    <row r="1843" spans="1:13" x14ac:dyDescent="0.25">
      <c r="A1843" s="1">
        <f t="shared" si="224"/>
        <v>46207</v>
      </c>
      <c r="B1843" t="str" cm="1">
        <f t="array" ref="B1843">INDEX(HotelList,MOD(ROW()-2,10)+1)</f>
        <v>H002</v>
      </c>
      <c r="C1843">
        <f>_xlfn.XLOOKUP(B1843,Dim_Hotel!$A$2:$A$11,Dim_Hotel!$F$2:$F$11)</f>
        <v>147</v>
      </c>
      <c r="D1843">
        <f t="shared" si="225"/>
        <v>81</v>
      </c>
      <c r="E1843">
        <f t="shared" si="226"/>
        <v>0.55102040816326525</v>
      </c>
      <c r="F1843">
        <f t="shared" si="227"/>
        <v>175</v>
      </c>
      <c r="G1843">
        <f t="shared" si="228"/>
        <v>96.428571428571416</v>
      </c>
      <c r="H1843" t="str">
        <f>_xlfn.XLOOKUP(A1843,Fact_Events!$D$2:$D$20,Fact_Events!$A$2:$A$20, "")</f>
        <v/>
      </c>
      <c r="I1843">
        <f t="shared" si="229"/>
        <v>0</v>
      </c>
      <c r="J1843" t="str">
        <f>_xlfn.XLOOKUP(H1843, Fact_Events!$A$2:$A$20, Fact_Events!$F$2:$F$20, "")</f>
        <v/>
      </c>
      <c r="K1843" t="str">
        <f t="shared" si="230"/>
        <v>Low</v>
      </c>
      <c r="L1843">
        <f t="shared" si="231"/>
        <v>0.55000000000000004</v>
      </c>
      <c r="M1843">
        <f>_xlfn.XLOOKUP(B1843, Dim_Hotel!$A$2:$A$11, Dim_Hotel!$I$2:$I$11)
 + (IF(J1843="",0,J1843)
    * _xlfn.XLOOKUP(B1843, Dim_Hotel!$A$2:$A$11, Dim_Hotel!$J$2:$J$11))</f>
        <v>175</v>
      </c>
    </row>
    <row r="1844" spans="1:13" x14ac:dyDescent="0.25">
      <c r="A1844" s="1">
        <f t="shared" si="224"/>
        <v>46207</v>
      </c>
      <c r="B1844" t="str" cm="1">
        <f t="array" ref="B1844">INDEX(HotelList,MOD(ROW()-2,10)+1)</f>
        <v>H003</v>
      </c>
      <c r="C1844">
        <f>_xlfn.XLOOKUP(B1844,Dim_Hotel!$A$2:$A$11,Dim_Hotel!$F$2:$F$11)</f>
        <v>121</v>
      </c>
      <c r="D1844">
        <f t="shared" si="225"/>
        <v>67</v>
      </c>
      <c r="E1844">
        <f t="shared" si="226"/>
        <v>0.55371900826446285</v>
      </c>
      <c r="F1844">
        <f t="shared" si="227"/>
        <v>145</v>
      </c>
      <c r="G1844">
        <f t="shared" si="228"/>
        <v>80.289256198347118</v>
      </c>
      <c r="H1844" t="str">
        <f>_xlfn.XLOOKUP(A1844,Fact_Events!$D$2:$D$20,Fact_Events!$A$2:$A$20, "")</f>
        <v/>
      </c>
      <c r="I1844">
        <f t="shared" si="229"/>
        <v>0</v>
      </c>
      <c r="J1844" t="str">
        <f>_xlfn.XLOOKUP(H1844, Fact_Events!$A$2:$A$20, Fact_Events!$F$2:$F$20, "")</f>
        <v/>
      </c>
      <c r="K1844" t="str">
        <f t="shared" si="230"/>
        <v>Low</v>
      </c>
      <c r="L1844">
        <f t="shared" si="231"/>
        <v>0.55000000000000004</v>
      </c>
      <c r="M1844">
        <f>_xlfn.XLOOKUP(B1844, Dim_Hotel!$A$2:$A$11, Dim_Hotel!$I$2:$I$11)
 + (IF(J1844="",0,J1844)
    * _xlfn.XLOOKUP(B1844, Dim_Hotel!$A$2:$A$11, Dim_Hotel!$J$2:$J$11))</f>
        <v>145</v>
      </c>
    </row>
    <row r="1845" spans="1:13" x14ac:dyDescent="0.25">
      <c r="A1845" s="1">
        <f t="shared" si="224"/>
        <v>46207</v>
      </c>
      <c r="B1845" t="str" cm="1">
        <f t="array" ref="B1845">INDEX(HotelList,MOD(ROW()-2,10)+1)</f>
        <v>H004</v>
      </c>
      <c r="C1845">
        <f>_xlfn.XLOOKUP(B1845,Dim_Hotel!$A$2:$A$11,Dim_Hotel!$F$2:$F$11)</f>
        <v>108</v>
      </c>
      <c r="D1845">
        <f t="shared" si="225"/>
        <v>59</v>
      </c>
      <c r="E1845">
        <f t="shared" si="226"/>
        <v>0.54629629629629628</v>
      </c>
      <c r="F1845">
        <f t="shared" si="227"/>
        <v>135</v>
      </c>
      <c r="G1845">
        <f t="shared" si="228"/>
        <v>73.75</v>
      </c>
      <c r="H1845" t="str">
        <f>_xlfn.XLOOKUP(A1845,Fact_Events!$D$2:$D$20,Fact_Events!$A$2:$A$20, "")</f>
        <v/>
      </c>
      <c r="I1845">
        <f t="shared" si="229"/>
        <v>0</v>
      </c>
      <c r="J1845" t="str">
        <f>_xlfn.XLOOKUP(H1845, Fact_Events!$A$2:$A$20, Fact_Events!$F$2:$F$20, "")</f>
        <v/>
      </c>
      <c r="K1845" t="str">
        <f t="shared" si="230"/>
        <v>Low</v>
      </c>
      <c r="L1845">
        <f t="shared" si="231"/>
        <v>0.55000000000000004</v>
      </c>
      <c r="M1845">
        <f>_xlfn.XLOOKUP(B1845, Dim_Hotel!$A$2:$A$11, Dim_Hotel!$I$2:$I$11)
 + (IF(J1845="",0,J1845)
    * _xlfn.XLOOKUP(B1845, Dim_Hotel!$A$2:$A$11, Dim_Hotel!$J$2:$J$11))</f>
        <v>135</v>
      </c>
    </row>
    <row r="1846" spans="1:13" x14ac:dyDescent="0.25">
      <c r="A1846" s="1">
        <f t="shared" si="224"/>
        <v>46207</v>
      </c>
      <c r="B1846" t="str" cm="1">
        <f t="array" ref="B1846">INDEX(HotelList,MOD(ROW()-2,10)+1)</f>
        <v>H005</v>
      </c>
      <c r="C1846">
        <f>_xlfn.XLOOKUP(B1846,Dim_Hotel!$A$2:$A$11,Dim_Hotel!$F$2:$F$11)</f>
        <v>66</v>
      </c>
      <c r="D1846">
        <f t="shared" si="225"/>
        <v>36</v>
      </c>
      <c r="E1846">
        <f t="shared" si="226"/>
        <v>0.54545454545454541</v>
      </c>
      <c r="F1846">
        <f t="shared" si="227"/>
        <v>82</v>
      </c>
      <c r="G1846">
        <f t="shared" si="228"/>
        <v>44.727272727272727</v>
      </c>
      <c r="H1846" t="str">
        <f>_xlfn.XLOOKUP(A1846,Fact_Events!$D$2:$D$20,Fact_Events!$A$2:$A$20, "")</f>
        <v/>
      </c>
      <c r="I1846">
        <f t="shared" si="229"/>
        <v>0</v>
      </c>
      <c r="J1846" t="str">
        <f>_xlfn.XLOOKUP(H1846, Fact_Events!$A$2:$A$20, Fact_Events!$F$2:$F$20, "")</f>
        <v/>
      </c>
      <c r="K1846" t="str">
        <f t="shared" si="230"/>
        <v>Low</v>
      </c>
      <c r="L1846">
        <f t="shared" si="231"/>
        <v>0.55000000000000004</v>
      </c>
      <c r="M1846">
        <f>_xlfn.XLOOKUP(B1846, Dim_Hotel!$A$2:$A$11, Dim_Hotel!$I$2:$I$11)
 + (IF(J1846="",0,J1846)
    * _xlfn.XLOOKUP(B1846, Dim_Hotel!$A$2:$A$11, Dim_Hotel!$J$2:$J$11))</f>
        <v>82</v>
      </c>
    </row>
    <row r="1847" spans="1:13" x14ac:dyDescent="0.25">
      <c r="A1847" s="1">
        <f t="shared" si="224"/>
        <v>46207</v>
      </c>
      <c r="B1847" t="str" cm="1">
        <f t="array" ref="B1847">INDEX(HotelList,MOD(ROW()-2,10)+1)</f>
        <v>H006</v>
      </c>
      <c r="C1847">
        <f>_xlfn.XLOOKUP(B1847,Dim_Hotel!$A$2:$A$11,Dim_Hotel!$F$2:$F$11)</f>
        <v>311</v>
      </c>
      <c r="D1847">
        <f t="shared" si="225"/>
        <v>171</v>
      </c>
      <c r="E1847">
        <f t="shared" si="226"/>
        <v>0.54983922829581988</v>
      </c>
      <c r="F1847">
        <f t="shared" si="227"/>
        <v>190</v>
      </c>
      <c r="G1847">
        <f t="shared" si="228"/>
        <v>104.46945337620578</v>
      </c>
      <c r="H1847" t="str">
        <f>_xlfn.XLOOKUP(A1847,Fact_Events!$D$2:$D$20,Fact_Events!$A$2:$A$20, "")</f>
        <v/>
      </c>
      <c r="I1847">
        <f t="shared" si="229"/>
        <v>0</v>
      </c>
      <c r="J1847" t="str">
        <f>_xlfn.XLOOKUP(H1847, Fact_Events!$A$2:$A$20, Fact_Events!$F$2:$F$20, "")</f>
        <v/>
      </c>
      <c r="K1847" t="str">
        <f t="shared" si="230"/>
        <v>Low</v>
      </c>
      <c r="L1847">
        <f t="shared" si="231"/>
        <v>0.55000000000000004</v>
      </c>
      <c r="M1847">
        <f>_xlfn.XLOOKUP(B1847, Dim_Hotel!$A$2:$A$11, Dim_Hotel!$I$2:$I$11)
 + (IF(J1847="",0,J1847)
    * _xlfn.XLOOKUP(B1847, Dim_Hotel!$A$2:$A$11, Dim_Hotel!$J$2:$J$11))</f>
        <v>190</v>
      </c>
    </row>
    <row r="1848" spans="1:13" x14ac:dyDescent="0.25">
      <c r="A1848" s="1">
        <f t="shared" si="224"/>
        <v>46207</v>
      </c>
      <c r="B1848" t="str" cm="1">
        <f t="array" ref="B1848">INDEX(HotelList,MOD(ROW()-2,10)+1)</f>
        <v>H007</v>
      </c>
      <c r="C1848">
        <f>_xlfn.XLOOKUP(B1848,Dim_Hotel!$A$2:$A$11,Dim_Hotel!$F$2:$F$11)</f>
        <v>132</v>
      </c>
      <c r="D1848">
        <f t="shared" si="225"/>
        <v>73</v>
      </c>
      <c r="E1848">
        <f t="shared" si="226"/>
        <v>0.55303030303030298</v>
      </c>
      <c r="F1848">
        <f t="shared" si="227"/>
        <v>165</v>
      </c>
      <c r="G1848">
        <f t="shared" si="228"/>
        <v>91.249999999999986</v>
      </c>
      <c r="H1848" t="str">
        <f>_xlfn.XLOOKUP(A1848,Fact_Events!$D$2:$D$20,Fact_Events!$A$2:$A$20, "")</f>
        <v/>
      </c>
      <c r="I1848">
        <f t="shared" si="229"/>
        <v>0</v>
      </c>
      <c r="J1848" t="str">
        <f>_xlfn.XLOOKUP(H1848, Fact_Events!$A$2:$A$20, Fact_Events!$F$2:$F$20, "")</f>
        <v/>
      </c>
      <c r="K1848" t="str">
        <f t="shared" si="230"/>
        <v>Low</v>
      </c>
      <c r="L1848">
        <f t="shared" si="231"/>
        <v>0.55000000000000004</v>
      </c>
      <c r="M1848">
        <f>_xlfn.XLOOKUP(B1848, Dim_Hotel!$A$2:$A$11, Dim_Hotel!$I$2:$I$11)
 + (IF(J1848="",0,J1848)
    * _xlfn.XLOOKUP(B1848, Dim_Hotel!$A$2:$A$11, Dim_Hotel!$J$2:$J$11))</f>
        <v>165</v>
      </c>
    </row>
    <row r="1849" spans="1:13" x14ac:dyDescent="0.25">
      <c r="A1849" s="1">
        <f t="shared" si="224"/>
        <v>46207</v>
      </c>
      <c r="B1849" t="str" cm="1">
        <f t="array" ref="B1849">INDEX(HotelList,MOD(ROW()-2,10)+1)</f>
        <v>H008</v>
      </c>
      <c r="C1849">
        <f>_xlfn.XLOOKUP(B1849,Dim_Hotel!$A$2:$A$11,Dim_Hotel!$F$2:$F$11)</f>
        <v>103</v>
      </c>
      <c r="D1849">
        <f t="shared" si="225"/>
        <v>57</v>
      </c>
      <c r="E1849">
        <f t="shared" si="226"/>
        <v>0.55339805825242716</v>
      </c>
      <c r="F1849">
        <f t="shared" si="227"/>
        <v>140</v>
      </c>
      <c r="G1849">
        <f t="shared" si="228"/>
        <v>77.475728155339809</v>
      </c>
      <c r="H1849" t="str">
        <f>_xlfn.XLOOKUP(A1849,Fact_Events!$D$2:$D$20,Fact_Events!$A$2:$A$20, "")</f>
        <v/>
      </c>
      <c r="I1849">
        <f t="shared" si="229"/>
        <v>0</v>
      </c>
      <c r="J1849" t="str">
        <f>_xlfn.XLOOKUP(H1849, Fact_Events!$A$2:$A$20, Fact_Events!$F$2:$F$20, "")</f>
        <v/>
      </c>
      <c r="K1849" t="str">
        <f t="shared" si="230"/>
        <v>Low</v>
      </c>
      <c r="L1849">
        <f t="shared" si="231"/>
        <v>0.55000000000000004</v>
      </c>
      <c r="M1849">
        <f>_xlfn.XLOOKUP(B1849, Dim_Hotel!$A$2:$A$11, Dim_Hotel!$I$2:$I$11)
 + (IF(J1849="",0,J1849)
    * _xlfn.XLOOKUP(B1849, Dim_Hotel!$A$2:$A$11, Dim_Hotel!$J$2:$J$11))</f>
        <v>140</v>
      </c>
    </row>
    <row r="1850" spans="1:13" x14ac:dyDescent="0.25">
      <c r="A1850" s="1">
        <f t="shared" si="224"/>
        <v>46207</v>
      </c>
      <c r="B1850" t="str" cm="1">
        <f t="array" ref="B1850">INDEX(HotelList,MOD(ROW()-2,10)+1)</f>
        <v>H009</v>
      </c>
      <c r="C1850">
        <f>_xlfn.XLOOKUP(B1850,Dim_Hotel!$A$2:$A$11,Dim_Hotel!$F$2:$F$11)</f>
        <v>114</v>
      </c>
      <c r="D1850">
        <f t="shared" si="225"/>
        <v>63</v>
      </c>
      <c r="E1850">
        <f t="shared" si="226"/>
        <v>0.55263157894736847</v>
      </c>
      <c r="F1850">
        <f t="shared" si="227"/>
        <v>185</v>
      </c>
      <c r="G1850">
        <f t="shared" si="228"/>
        <v>102.23684210526316</v>
      </c>
      <c r="H1850" t="str">
        <f>_xlfn.XLOOKUP(A1850,Fact_Events!$D$2:$D$20,Fact_Events!$A$2:$A$20, "")</f>
        <v/>
      </c>
      <c r="I1850">
        <f t="shared" si="229"/>
        <v>0</v>
      </c>
      <c r="J1850" t="str">
        <f>_xlfn.XLOOKUP(H1850, Fact_Events!$A$2:$A$20, Fact_Events!$F$2:$F$20, "")</f>
        <v/>
      </c>
      <c r="K1850" t="str">
        <f t="shared" si="230"/>
        <v>Low</v>
      </c>
      <c r="L1850">
        <f t="shared" si="231"/>
        <v>0.55000000000000004</v>
      </c>
      <c r="M1850">
        <f>_xlfn.XLOOKUP(B1850, Dim_Hotel!$A$2:$A$11, Dim_Hotel!$I$2:$I$11)
 + (IF(J1850="",0,J1850)
    * _xlfn.XLOOKUP(B1850, Dim_Hotel!$A$2:$A$11, Dim_Hotel!$J$2:$J$11))</f>
        <v>185</v>
      </c>
    </row>
    <row r="1851" spans="1:13" x14ac:dyDescent="0.25">
      <c r="A1851" s="1">
        <f t="shared" si="224"/>
        <v>46207</v>
      </c>
      <c r="B1851" t="str" cm="1">
        <f t="array" ref="B1851">INDEX(HotelList,MOD(ROW()-2,10)+1)</f>
        <v>H010</v>
      </c>
      <c r="C1851">
        <f>_xlfn.XLOOKUP(B1851,Dim_Hotel!$A$2:$A$11,Dim_Hotel!$F$2:$F$11)</f>
        <v>89</v>
      </c>
      <c r="D1851">
        <f t="shared" si="225"/>
        <v>49</v>
      </c>
      <c r="E1851">
        <f t="shared" si="226"/>
        <v>0.550561797752809</v>
      </c>
      <c r="F1851">
        <f t="shared" si="227"/>
        <v>150</v>
      </c>
      <c r="G1851">
        <f t="shared" si="228"/>
        <v>82.584269662921344</v>
      </c>
      <c r="H1851" t="str">
        <f>_xlfn.XLOOKUP(A1851,Fact_Events!$D$2:$D$20,Fact_Events!$A$2:$A$20, "")</f>
        <v/>
      </c>
      <c r="I1851">
        <f t="shared" si="229"/>
        <v>0</v>
      </c>
      <c r="J1851" t="str">
        <f>_xlfn.XLOOKUP(H1851, Fact_Events!$A$2:$A$20, Fact_Events!$F$2:$F$20, "")</f>
        <v/>
      </c>
      <c r="K1851" t="str">
        <f t="shared" si="230"/>
        <v>Low</v>
      </c>
      <c r="L1851">
        <f t="shared" si="231"/>
        <v>0.55000000000000004</v>
      </c>
      <c r="M1851">
        <f>_xlfn.XLOOKUP(B1851, Dim_Hotel!$A$2:$A$11, Dim_Hotel!$I$2:$I$11)
 + (IF(J1851="",0,J1851)
    * _xlfn.XLOOKUP(B1851, Dim_Hotel!$A$2:$A$11, Dim_Hotel!$J$2:$J$11))</f>
        <v>150</v>
      </c>
    </row>
    <row r="1852" spans="1:13" x14ac:dyDescent="0.25">
      <c r="A1852" s="1">
        <f t="shared" si="224"/>
        <v>46208</v>
      </c>
      <c r="B1852" t="str" cm="1">
        <f t="array" ref="B1852">INDEX(HotelList,MOD(ROW()-2,10)+1)</f>
        <v>H001</v>
      </c>
      <c r="C1852">
        <f>_xlfn.XLOOKUP(B1852,Dim_Hotel!$A$2:$A$11,Dim_Hotel!$F$2:$F$11)</f>
        <v>888</v>
      </c>
      <c r="D1852">
        <f t="shared" si="225"/>
        <v>488</v>
      </c>
      <c r="E1852">
        <f t="shared" si="226"/>
        <v>0.5495495495495496</v>
      </c>
      <c r="F1852">
        <f t="shared" si="227"/>
        <v>260</v>
      </c>
      <c r="G1852">
        <f t="shared" si="228"/>
        <v>142.88288288288288</v>
      </c>
      <c r="H1852" t="str">
        <f>_xlfn.XLOOKUP(A1852,Fact_Events!$D$2:$D$20,Fact_Events!$A$2:$A$20, "")</f>
        <v/>
      </c>
      <c r="I1852">
        <f t="shared" si="229"/>
        <v>0</v>
      </c>
      <c r="J1852" t="str">
        <f>_xlfn.XLOOKUP(H1852, Fact_Events!$A$2:$A$20, Fact_Events!$F$2:$F$20, "")</f>
        <v/>
      </c>
      <c r="K1852" t="str">
        <f t="shared" si="230"/>
        <v>Low</v>
      </c>
      <c r="L1852">
        <f t="shared" si="231"/>
        <v>0.55000000000000004</v>
      </c>
      <c r="M1852">
        <f>_xlfn.XLOOKUP(B1852, Dim_Hotel!$A$2:$A$11, Dim_Hotel!$I$2:$I$11)
 + (IF(J1852="",0,J1852)
    * _xlfn.XLOOKUP(B1852, Dim_Hotel!$A$2:$A$11, Dim_Hotel!$J$2:$J$11))</f>
        <v>260</v>
      </c>
    </row>
    <row r="1853" spans="1:13" x14ac:dyDescent="0.25">
      <c r="A1853" s="1">
        <f t="shared" si="224"/>
        <v>46208</v>
      </c>
      <c r="B1853" t="str" cm="1">
        <f t="array" ref="B1853">INDEX(HotelList,MOD(ROW()-2,10)+1)</f>
        <v>H002</v>
      </c>
      <c r="C1853">
        <f>_xlfn.XLOOKUP(B1853,Dim_Hotel!$A$2:$A$11,Dim_Hotel!$F$2:$F$11)</f>
        <v>147</v>
      </c>
      <c r="D1853">
        <f t="shared" si="225"/>
        <v>81</v>
      </c>
      <c r="E1853">
        <f t="shared" si="226"/>
        <v>0.55102040816326525</v>
      </c>
      <c r="F1853">
        <f t="shared" si="227"/>
        <v>175</v>
      </c>
      <c r="G1853">
        <f t="shared" si="228"/>
        <v>96.428571428571416</v>
      </c>
      <c r="H1853" t="str">
        <f>_xlfn.XLOOKUP(A1853,Fact_Events!$D$2:$D$20,Fact_Events!$A$2:$A$20, "")</f>
        <v/>
      </c>
      <c r="I1853">
        <f t="shared" si="229"/>
        <v>0</v>
      </c>
      <c r="J1853" t="str">
        <f>_xlfn.XLOOKUP(H1853, Fact_Events!$A$2:$A$20, Fact_Events!$F$2:$F$20, "")</f>
        <v/>
      </c>
      <c r="K1853" t="str">
        <f t="shared" si="230"/>
        <v>Low</v>
      </c>
      <c r="L1853">
        <f t="shared" si="231"/>
        <v>0.55000000000000004</v>
      </c>
      <c r="M1853">
        <f>_xlfn.XLOOKUP(B1853, Dim_Hotel!$A$2:$A$11, Dim_Hotel!$I$2:$I$11)
 + (IF(J1853="",0,J1853)
    * _xlfn.XLOOKUP(B1853, Dim_Hotel!$A$2:$A$11, Dim_Hotel!$J$2:$J$11))</f>
        <v>175</v>
      </c>
    </row>
    <row r="1854" spans="1:13" x14ac:dyDescent="0.25">
      <c r="A1854" s="1">
        <f t="shared" si="224"/>
        <v>46208</v>
      </c>
      <c r="B1854" t="str" cm="1">
        <f t="array" ref="B1854">INDEX(HotelList,MOD(ROW()-2,10)+1)</f>
        <v>H003</v>
      </c>
      <c r="C1854">
        <f>_xlfn.XLOOKUP(B1854,Dim_Hotel!$A$2:$A$11,Dim_Hotel!$F$2:$F$11)</f>
        <v>121</v>
      </c>
      <c r="D1854">
        <f t="shared" si="225"/>
        <v>67</v>
      </c>
      <c r="E1854">
        <f t="shared" si="226"/>
        <v>0.55371900826446285</v>
      </c>
      <c r="F1854">
        <f t="shared" si="227"/>
        <v>145</v>
      </c>
      <c r="G1854">
        <f t="shared" si="228"/>
        <v>80.289256198347118</v>
      </c>
      <c r="H1854" t="str">
        <f>_xlfn.XLOOKUP(A1854,Fact_Events!$D$2:$D$20,Fact_Events!$A$2:$A$20, "")</f>
        <v/>
      </c>
      <c r="I1854">
        <f t="shared" si="229"/>
        <v>0</v>
      </c>
      <c r="J1854" t="str">
        <f>_xlfn.XLOOKUP(H1854, Fact_Events!$A$2:$A$20, Fact_Events!$F$2:$F$20, "")</f>
        <v/>
      </c>
      <c r="K1854" t="str">
        <f t="shared" si="230"/>
        <v>Low</v>
      </c>
      <c r="L1854">
        <f t="shared" si="231"/>
        <v>0.55000000000000004</v>
      </c>
      <c r="M1854">
        <f>_xlfn.XLOOKUP(B1854, Dim_Hotel!$A$2:$A$11, Dim_Hotel!$I$2:$I$11)
 + (IF(J1854="",0,J1854)
    * _xlfn.XLOOKUP(B1854, Dim_Hotel!$A$2:$A$11, Dim_Hotel!$J$2:$J$11))</f>
        <v>145</v>
      </c>
    </row>
    <row r="1855" spans="1:13" x14ac:dyDescent="0.25">
      <c r="A1855" s="1">
        <f t="shared" si="224"/>
        <v>46208</v>
      </c>
      <c r="B1855" t="str" cm="1">
        <f t="array" ref="B1855">INDEX(HotelList,MOD(ROW()-2,10)+1)</f>
        <v>H004</v>
      </c>
      <c r="C1855">
        <f>_xlfn.XLOOKUP(B1855,Dim_Hotel!$A$2:$A$11,Dim_Hotel!$F$2:$F$11)</f>
        <v>108</v>
      </c>
      <c r="D1855">
        <f t="shared" si="225"/>
        <v>59</v>
      </c>
      <c r="E1855">
        <f t="shared" si="226"/>
        <v>0.54629629629629628</v>
      </c>
      <c r="F1855">
        <f t="shared" si="227"/>
        <v>135</v>
      </c>
      <c r="G1855">
        <f t="shared" si="228"/>
        <v>73.75</v>
      </c>
      <c r="H1855" t="str">
        <f>_xlfn.XLOOKUP(A1855,Fact_Events!$D$2:$D$20,Fact_Events!$A$2:$A$20, "")</f>
        <v/>
      </c>
      <c r="I1855">
        <f t="shared" si="229"/>
        <v>0</v>
      </c>
      <c r="J1855" t="str">
        <f>_xlfn.XLOOKUP(H1855, Fact_Events!$A$2:$A$20, Fact_Events!$F$2:$F$20, "")</f>
        <v/>
      </c>
      <c r="K1855" t="str">
        <f t="shared" si="230"/>
        <v>Low</v>
      </c>
      <c r="L1855">
        <f t="shared" si="231"/>
        <v>0.55000000000000004</v>
      </c>
      <c r="M1855">
        <f>_xlfn.XLOOKUP(B1855, Dim_Hotel!$A$2:$A$11, Dim_Hotel!$I$2:$I$11)
 + (IF(J1855="",0,J1855)
    * _xlfn.XLOOKUP(B1855, Dim_Hotel!$A$2:$A$11, Dim_Hotel!$J$2:$J$11))</f>
        <v>135</v>
      </c>
    </row>
    <row r="1856" spans="1:13" x14ac:dyDescent="0.25">
      <c r="A1856" s="1">
        <f t="shared" si="224"/>
        <v>46208</v>
      </c>
      <c r="B1856" t="str" cm="1">
        <f t="array" ref="B1856">INDEX(HotelList,MOD(ROW()-2,10)+1)</f>
        <v>H005</v>
      </c>
      <c r="C1856">
        <f>_xlfn.XLOOKUP(B1856,Dim_Hotel!$A$2:$A$11,Dim_Hotel!$F$2:$F$11)</f>
        <v>66</v>
      </c>
      <c r="D1856">
        <f t="shared" si="225"/>
        <v>36</v>
      </c>
      <c r="E1856">
        <f t="shared" si="226"/>
        <v>0.54545454545454541</v>
      </c>
      <c r="F1856">
        <f t="shared" si="227"/>
        <v>82</v>
      </c>
      <c r="G1856">
        <f t="shared" si="228"/>
        <v>44.727272727272727</v>
      </c>
      <c r="H1856" t="str">
        <f>_xlfn.XLOOKUP(A1856,Fact_Events!$D$2:$D$20,Fact_Events!$A$2:$A$20, "")</f>
        <v/>
      </c>
      <c r="I1856">
        <f t="shared" si="229"/>
        <v>0</v>
      </c>
      <c r="J1856" t="str">
        <f>_xlfn.XLOOKUP(H1856, Fact_Events!$A$2:$A$20, Fact_Events!$F$2:$F$20, "")</f>
        <v/>
      </c>
      <c r="K1856" t="str">
        <f t="shared" si="230"/>
        <v>Low</v>
      </c>
      <c r="L1856">
        <f t="shared" si="231"/>
        <v>0.55000000000000004</v>
      </c>
      <c r="M1856">
        <f>_xlfn.XLOOKUP(B1856, Dim_Hotel!$A$2:$A$11, Dim_Hotel!$I$2:$I$11)
 + (IF(J1856="",0,J1856)
    * _xlfn.XLOOKUP(B1856, Dim_Hotel!$A$2:$A$11, Dim_Hotel!$J$2:$J$11))</f>
        <v>82</v>
      </c>
    </row>
    <row r="1857" spans="1:13" x14ac:dyDescent="0.25">
      <c r="A1857" s="1">
        <f t="shared" si="224"/>
        <v>46208</v>
      </c>
      <c r="B1857" t="str" cm="1">
        <f t="array" ref="B1857">INDEX(HotelList,MOD(ROW()-2,10)+1)</f>
        <v>H006</v>
      </c>
      <c r="C1857">
        <f>_xlfn.XLOOKUP(B1857,Dim_Hotel!$A$2:$A$11,Dim_Hotel!$F$2:$F$11)</f>
        <v>311</v>
      </c>
      <c r="D1857">
        <f t="shared" si="225"/>
        <v>171</v>
      </c>
      <c r="E1857">
        <f t="shared" si="226"/>
        <v>0.54983922829581988</v>
      </c>
      <c r="F1857">
        <f t="shared" si="227"/>
        <v>190</v>
      </c>
      <c r="G1857">
        <f t="shared" si="228"/>
        <v>104.46945337620578</v>
      </c>
      <c r="H1857" t="str">
        <f>_xlfn.XLOOKUP(A1857,Fact_Events!$D$2:$D$20,Fact_Events!$A$2:$A$20, "")</f>
        <v/>
      </c>
      <c r="I1857">
        <f t="shared" si="229"/>
        <v>0</v>
      </c>
      <c r="J1857" t="str">
        <f>_xlfn.XLOOKUP(H1857, Fact_Events!$A$2:$A$20, Fact_Events!$F$2:$F$20, "")</f>
        <v/>
      </c>
      <c r="K1857" t="str">
        <f t="shared" si="230"/>
        <v>Low</v>
      </c>
      <c r="L1857">
        <f t="shared" si="231"/>
        <v>0.55000000000000004</v>
      </c>
      <c r="M1857">
        <f>_xlfn.XLOOKUP(B1857, Dim_Hotel!$A$2:$A$11, Dim_Hotel!$I$2:$I$11)
 + (IF(J1857="",0,J1857)
    * _xlfn.XLOOKUP(B1857, Dim_Hotel!$A$2:$A$11, Dim_Hotel!$J$2:$J$11))</f>
        <v>190</v>
      </c>
    </row>
    <row r="1858" spans="1:13" x14ac:dyDescent="0.25">
      <c r="A1858" s="1">
        <f t="shared" si="224"/>
        <v>46208</v>
      </c>
      <c r="B1858" t="str" cm="1">
        <f t="array" ref="B1858">INDEX(HotelList,MOD(ROW()-2,10)+1)</f>
        <v>H007</v>
      </c>
      <c r="C1858">
        <f>_xlfn.XLOOKUP(B1858,Dim_Hotel!$A$2:$A$11,Dim_Hotel!$F$2:$F$11)</f>
        <v>132</v>
      </c>
      <c r="D1858">
        <f t="shared" si="225"/>
        <v>73</v>
      </c>
      <c r="E1858">
        <f t="shared" si="226"/>
        <v>0.55303030303030298</v>
      </c>
      <c r="F1858">
        <f t="shared" si="227"/>
        <v>165</v>
      </c>
      <c r="G1858">
        <f t="shared" si="228"/>
        <v>91.249999999999986</v>
      </c>
      <c r="H1858" t="str">
        <f>_xlfn.XLOOKUP(A1858,Fact_Events!$D$2:$D$20,Fact_Events!$A$2:$A$20, "")</f>
        <v/>
      </c>
      <c r="I1858">
        <f t="shared" si="229"/>
        <v>0</v>
      </c>
      <c r="J1858" t="str">
        <f>_xlfn.XLOOKUP(H1858, Fact_Events!$A$2:$A$20, Fact_Events!$F$2:$F$20, "")</f>
        <v/>
      </c>
      <c r="K1858" t="str">
        <f t="shared" si="230"/>
        <v>Low</v>
      </c>
      <c r="L1858">
        <f t="shared" si="231"/>
        <v>0.55000000000000004</v>
      </c>
      <c r="M1858">
        <f>_xlfn.XLOOKUP(B1858, Dim_Hotel!$A$2:$A$11, Dim_Hotel!$I$2:$I$11)
 + (IF(J1858="",0,J1858)
    * _xlfn.XLOOKUP(B1858, Dim_Hotel!$A$2:$A$11, Dim_Hotel!$J$2:$J$11))</f>
        <v>165</v>
      </c>
    </row>
    <row r="1859" spans="1:13" x14ac:dyDescent="0.25">
      <c r="A1859" s="1">
        <f t="shared" ref="A1859:A1922" si="232">DATE(2026,1,1) + INT((ROW()-2)/10)</f>
        <v>46208</v>
      </c>
      <c r="B1859" t="str" cm="1">
        <f t="array" ref="B1859">INDEX(HotelList,MOD(ROW()-2,10)+1)</f>
        <v>H008</v>
      </c>
      <c r="C1859">
        <f>_xlfn.XLOOKUP(B1859,Dim_Hotel!$A$2:$A$11,Dim_Hotel!$F$2:$F$11)</f>
        <v>103</v>
      </c>
      <c r="D1859">
        <f t="shared" ref="D1859:D1922" si="233">ROUND(L1859 * C1859, 0)</f>
        <v>57</v>
      </c>
      <c r="E1859">
        <f t="shared" ref="E1859:E1922" si="234">D1859/C1859</f>
        <v>0.55339805825242716</v>
      </c>
      <c r="F1859">
        <f t="shared" ref="F1859:F1922" si="235">M1859</f>
        <v>140</v>
      </c>
      <c r="G1859">
        <f t="shared" ref="G1859:G1922" si="236">E1859*F1859</f>
        <v>77.475728155339809</v>
      </c>
      <c r="H1859" t="str">
        <f>_xlfn.XLOOKUP(A1859,Fact_Events!$D$2:$D$20,Fact_Events!$A$2:$A$20, "")</f>
        <v/>
      </c>
      <c r="I1859">
        <f t="shared" ref="I1859:I1922" si="237">IF(H1859="",0,1)</f>
        <v>0</v>
      </c>
      <c r="J1859" t="str">
        <f>_xlfn.XLOOKUP(H1859, Fact_Events!$A$2:$A$20, Fact_Events!$F$2:$F$20, "")</f>
        <v/>
      </c>
      <c r="K1859" t="str">
        <f t="shared" ref="K1859:K1922" si="238">IF(I1859=0,"Low",
   IF(J1859&gt;=9,"High","Medium"))</f>
        <v>Low</v>
      </c>
      <c r="L1859">
        <f t="shared" ref="L1859:L1922" si="239">MIN(1,
  0.55
  + (I1859 * 0.25)
  + (IF(J1859="",0,J1859) / 100)
)</f>
        <v>0.55000000000000004</v>
      </c>
      <c r="M1859">
        <f>_xlfn.XLOOKUP(B1859, Dim_Hotel!$A$2:$A$11, Dim_Hotel!$I$2:$I$11)
 + (IF(J1859="",0,J1859)
    * _xlfn.XLOOKUP(B1859, Dim_Hotel!$A$2:$A$11, Dim_Hotel!$J$2:$J$11))</f>
        <v>140</v>
      </c>
    </row>
    <row r="1860" spans="1:13" x14ac:dyDescent="0.25">
      <c r="A1860" s="1">
        <f t="shared" si="232"/>
        <v>46208</v>
      </c>
      <c r="B1860" t="str" cm="1">
        <f t="array" ref="B1860">INDEX(HotelList,MOD(ROW()-2,10)+1)</f>
        <v>H009</v>
      </c>
      <c r="C1860">
        <f>_xlfn.XLOOKUP(B1860,Dim_Hotel!$A$2:$A$11,Dim_Hotel!$F$2:$F$11)</f>
        <v>114</v>
      </c>
      <c r="D1860">
        <f t="shared" si="233"/>
        <v>63</v>
      </c>
      <c r="E1860">
        <f t="shared" si="234"/>
        <v>0.55263157894736847</v>
      </c>
      <c r="F1860">
        <f t="shared" si="235"/>
        <v>185</v>
      </c>
      <c r="G1860">
        <f t="shared" si="236"/>
        <v>102.23684210526316</v>
      </c>
      <c r="H1860" t="str">
        <f>_xlfn.XLOOKUP(A1860,Fact_Events!$D$2:$D$20,Fact_Events!$A$2:$A$20, "")</f>
        <v/>
      </c>
      <c r="I1860">
        <f t="shared" si="237"/>
        <v>0</v>
      </c>
      <c r="J1860" t="str">
        <f>_xlfn.XLOOKUP(H1860, Fact_Events!$A$2:$A$20, Fact_Events!$F$2:$F$20, "")</f>
        <v/>
      </c>
      <c r="K1860" t="str">
        <f t="shared" si="238"/>
        <v>Low</v>
      </c>
      <c r="L1860">
        <f t="shared" si="239"/>
        <v>0.55000000000000004</v>
      </c>
      <c r="M1860">
        <f>_xlfn.XLOOKUP(B1860, Dim_Hotel!$A$2:$A$11, Dim_Hotel!$I$2:$I$11)
 + (IF(J1860="",0,J1860)
    * _xlfn.XLOOKUP(B1860, Dim_Hotel!$A$2:$A$11, Dim_Hotel!$J$2:$J$11))</f>
        <v>185</v>
      </c>
    </row>
    <row r="1861" spans="1:13" x14ac:dyDescent="0.25">
      <c r="A1861" s="1">
        <f t="shared" si="232"/>
        <v>46208</v>
      </c>
      <c r="B1861" t="str" cm="1">
        <f t="array" ref="B1861">INDEX(HotelList,MOD(ROW()-2,10)+1)</f>
        <v>H010</v>
      </c>
      <c r="C1861">
        <f>_xlfn.XLOOKUP(B1861,Dim_Hotel!$A$2:$A$11,Dim_Hotel!$F$2:$F$11)</f>
        <v>89</v>
      </c>
      <c r="D1861">
        <f t="shared" si="233"/>
        <v>49</v>
      </c>
      <c r="E1861">
        <f t="shared" si="234"/>
        <v>0.550561797752809</v>
      </c>
      <c r="F1861">
        <f t="shared" si="235"/>
        <v>150</v>
      </c>
      <c r="G1861">
        <f t="shared" si="236"/>
        <v>82.584269662921344</v>
      </c>
      <c r="H1861" t="str">
        <f>_xlfn.XLOOKUP(A1861,Fact_Events!$D$2:$D$20,Fact_Events!$A$2:$A$20, "")</f>
        <v/>
      </c>
      <c r="I1861">
        <f t="shared" si="237"/>
        <v>0</v>
      </c>
      <c r="J1861" t="str">
        <f>_xlfn.XLOOKUP(H1861, Fact_Events!$A$2:$A$20, Fact_Events!$F$2:$F$20, "")</f>
        <v/>
      </c>
      <c r="K1861" t="str">
        <f t="shared" si="238"/>
        <v>Low</v>
      </c>
      <c r="L1861">
        <f t="shared" si="239"/>
        <v>0.55000000000000004</v>
      </c>
      <c r="M1861">
        <f>_xlfn.XLOOKUP(B1861, Dim_Hotel!$A$2:$A$11, Dim_Hotel!$I$2:$I$11)
 + (IF(J1861="",0,J1861)
    * _xlfn.XLOOKUP(B1861, Dim_Hotel!$A$2:$A$11, Dim_Hotel!$J$2:$J$11))</f>
        <v>150</v>
      </c>
    </row>
    <row r="1862" spans="1:13" x14ac:dyDescent="0.25">
      <c r="A1862" s="1">
        <f t="shared" si="232"/>
        <v>46209</v>
      </c>
      <c r="B1862" t="str" cm="1">
        <f t="array" ref="B1862">INDEX(HotelList,MOD(ROW()-2,10)+1)</f>
        <v>H001</v>
      </c>
      <c r="C1862">
        <f>_xlfn.XLOOKUP(B1862,Dim_Hotel!$A$2:$A$11,Dim_Hotel!$F$2:$F$11)</f>
        <v>888</v>
      </c>
      <c r="D1862">
        <f t="shared" si="233"/>
        <v>799</v>
      </c>
      <c r="E1862">
        <f t="shared" si="234"/>
        <v>0.89977477477477474</v>
      </c>
      <c r="F1862">
        <f t="shared" si="235"/>
        <v>440</v>
      </c>
      <c r="G1862">
        <f t="shared" si="236"/>
        <v>395.90090090090087</v>
      </c>
      <c r="H1862" t="str">
        <f>_xlfn.XLOOKUP(A1862,Fact_Events!$D$2:$D$20,Fact_Events!$A$2:$A$20, "")</f>
        <v>E016</v>
      </c>
      <c r="I1862">
        <f t="shared" si="237"/>
        <v>1</v>
      </c>
      <c r="J1862">
        <f>_xlfn.XLOOKUP(H1862, Fact_Events!$A$2:$A$20, Fact_Events!$F$2:$F$20, "")</f>
        <v>10</v>
      </c>
      <c r="K1862" t="str">
        <f t="shared" si="238"/>
        <v>High</v>
      </c>
      <c r="L1862">
        <f t="shared" si="239"/>
        <v>0.9</v>
      </c>
      <c r="M1862">
        <f>_xlfn.XLOOKUP(B1862, Dim_Hotel!$A$2:$A$11, Dim_Hotel!$I$2:$I$11)
 + (IF(J1862="",0,J1862)
    * _xlfn.XLOOKUP(B1862, Dim_Hotel!$A$2:$A$11, Dim_Hotel!$J$2:$J$11))</f>
        <v>440</v>
      </c>
    </row>
    <row r="1863" spans="1:13" x14ac:dyDescent="0.25">
      <c r="A1863" s="1">
        <f t="shared" si="232"/>
        <v>46209</v>
      </c>
      <c r="B1863" t="str" cm="1">
        <f t="array" ref="B1863">INDEX(HotelList,MOD(ROW()-2,10)+1)</f>
        <v>H002</v>
      </c>
      <c r="C1863">
        <f>_xlfn.XLOOKUP(B1863,Dim_Hotel!$A$2:$A$11,Dim_Hotel!$F$2:$F$11)</f>
        <v>147</v>
      </c>
      <c r="D1863">
        <f t="shared" si="233"/>
        <v>132</v>
      </c>
      <c r="E1863">
        <f t="shared" si="234"/>
        <v>0.89795918367346939</v>
      </c>
      <c r="F1863">
        <f t="shared" si="235"/>
        <v>315</v>
      </c>
      <c r="G1863">
        <f t="shared" si="236"/>
        <v>282.85714285714283</v>
      </c>
      <c r="H1863" t="str">
        <f>_xlfn.XLOOKUP(A1863,Fact_Events!$D$2:$D$20,Fact_Events!$A$2:$A$20, "")</f>
        <v>E016</v>
      </c>
      <c r="I1863">
        <f t="shared" si="237"/>
        <v>1</v>
      </c>
      <c r="J1863">
        <f>_xlfn.XLOOKUP(H1863, Fact_Events!$A$2:$A$20, Fact_Events!$F$2:$F$20, "")</f>
        <v>10</v>
      </c>
      <c r="K1863" t="str">
        <f t="shared" si="238"/>
        <v>High</v>
      </c>
      <c r="L1863">
        <f t="shared" si="239"/>
        <v>0.9</v>
      </c>
      <c r="M1863">
        <f>_xlfn.XLOOKUP(B1863, Dim_Hotel!$A$2:$A$11, Dim_Hotel!$I$2:$I$11)
 + (IF(J1863="",0,J1863)
    * _xlfn.XLOOKUP(B1863, Dim_Hotel!$A$2:$A$11, Dim_Hotel!$J$2:$J$11))</f>
        <v>315</v>
      </c>
    </row>
    <row r="1864" spans="1:13" x14ac:dyDescent="0.25">
      <c r="A1864" s="1">
        <f t="shared" si="232"/>
        <v>46209</v>
      </c>
      <c r="B1864" t="str" cm="1">
        <f t="array" ref="B1864">INDEX(HotelList,MOD(ROW()-2,10)+1)</f>
        <v>H003</v>
      </c>
      <c r="C1864">
        <f>_xlfn.XLOOKUP(B1864,Dim_Hotel!$A$2:$A$11,Dim_Hotel!$F$2:$F$11)</f>
        <v>121</v>
      </c>
      <c r="D1864">
        <f t="shared" si="233"/>
        <v>109</v>
      </c>
      <c r="E1864">
        <f t="shared" si="234"/>
        <v>0.90082644628099173</v>
      </c>
      <c r="F1864">
        <f t="shared" si="235"/>
        <v>265</v>
      </c>
      <c r="G1864">
        <f t="shared" si="236"/>
        <v>238.71900826446281</v>
      </c>
      <c r="H1864" t="str">
        <f>_xlfn.XLOOKUP(A1864,Fact_Events!$D$2:$D$20,Fact_Events!$A$2:$A$20, "")</f>
        <v>E016</v>
      </c>
      <c r="I1864">
        <f t="shared" si="237"/>
        <v>1</v>
      </c>
      <c r="J1864">
        <f>_xlfn.XLOOKUP(H1864, Fact_Events!$A$2:$A$20, Fact_Events!$F$2:$F$20, "")</f>
        <v>10</v>
      </c>
      <c r="K1864" t="str">
        <f t="shared" si="238"/>
        <v>High</v>
      </c>
      <c r="L1864">
        <f t="shared" si="239"/>
        <v>0.9</v>
      </c>
      <c r="M1864">
        <f>_xlfn.XLOOKUP(B1864, Dim_Hotel!$A$2:$A$11, Dim_Hotel!$I$2:$I$11)
 + (IF(J1864="",0,J1864)
    * _xlfn.XLOOKUP(B1864, Dim_Hotel!$A$2:$A$11, Dim_Hotel!$J$2:$J$11))</f>
        <v>265</v>
      </c>
    </row>
    <row r="1865" spans="1:13" x14ac:dyDescent="0.25">
      <c r="A1865" s="1">
        <f t="shared" si="232"/>
        <v>46209</v>
      </c>
      <c r="B1865" t="str" cm="1">
        <f t="array" ref="B1865">INDEX(HotelList,MOD(ROW()-2,10)+1)</f>
        <v>H004</v>
      </c>
      <c r="C1865">
        <f>_xlfn.XLOOKUP(B1865,Dim_Hotel!$A$2:$A$11,Dim_Hotel!$F$2:$F$11)</f>
        <v>108</v>
      </c>
      <c r="D1865">
        <f t="shared" si="233"/>
        <v>97</v>
      </c>
      <c r="E1865">
        <f t="shared" si="234"/>
        <v>0.89814814814814814</v>
      </c>
      <c r="F1865">
        <f t="shared" si="235"/>
        <v>255</v>
      </c>
      <c r="G1865">
        <f t="shared" si="236"/>
        <v>229.02777777777777</v>
      </c>
      <c r="H1865" t="str">
        <f>_xlfn.XLOOKUP(A1865,Fact_Events!$D$2:$D$20,Fact_Events!$A$2:$A$20, "")</f>
        <v>E016</v>
      </c>
      <c r="I1865">
        <f t="shared" si="237"/>
        <v>1</v>
      </c>
      <c r="J1865">
        <f>_xlfn.XLOOKUP(H1865, Fact_Events!$A$2:$A$20, Fact_Events!$F$2:$F$20, "")</f>
        <v>10</v>
      </c>
      <c r="K1865" t="str">
        <f t="shared" si="238"/>
        <v>High</v>
      </c>
      <c r="L1865">
        <f t="shared" si="239"/>
        <v>0.9</v>
      </c>
      <c r="M1865">
        <f>_xlfn.XLOOKUP(B1865, Dim_Hotel!$A$2:$A$11, Dim_Hotel!$I$2:$I$11)
 + (IF(J1865="",0,J1865)
    * _xlfn.XLOOKUP(B1865, Dim_Hotel!$A$2:$A$11, Dim_Hotel!$J$2:$J$11))</f>
        <v>255</v>
      </c>
    </row>
    <row r="1866" spans="1:13" x14ac:dyDescent="0.25">
      <c r="A1866" s="1">
        <f t="shared" si="232"/>
        <v>46209</v>
      </c>
      <c r="B1866" t="str" cm="1">
        <f t="array" ref="B1866">INDEX(HotelList,MOD(ROW()-2,10)+1)</f>
        <v>H005</v>
      </c>
      <c r="C1866">
        <f>_xlfn.XLOOKUP(B1866,Dim_Hotel!$A$2:$A$11,Dim_Hotel!$F$2:$F$11)</f>
        <v>66</v>
      </c>
      <c r="D1866">
        <f t="shared" si="233"/>
        <v>59</v>
      </c>
      <c r="E1866">
        <f t="shared" si="234"/>
        <v>0.89393939393939392</v>
      </c>
      <c r="F1866">
        <f t="shared" si="235"/>
        <v>162</v>
      </c>
      <c r="G1866">
        <f t="shared" si="236"/>
        <v>144.81818181818181</v>
      </c>
      <c r="H1866" t="str">
        <f>_xlfn.XLOOKUP(A1866,Fact_Events!$D$2:$D$20,Fact_Events!$A$2:$A$20, "")</f>
        <v>E016</v>
      </c>
      <c r="I1866">
        <f t="shared" si="237"/>
        <v>1</v>
      </c>
      <c r="J1866">
        <f>_xlfn.XLOOKUP(H1866, Fact_Events!$A$2:$A$20, Fact_Events!$F$2:$F$20, "")</f>
        <v>10</v>
      </c>
      <c r="K1866" t="str">
        <f t="shared" si="238"/>
        <v>High</v>
      </c>
      <c r="L1866">
        <f t="shared" si="239"/>
        <v>0.9</v>
      </c>
      <c r="M1866">
        <f>_xlfn.XLOOKUP(B1866, Dim_Hotel!$A$2:$A$11, Dim_Hotel!$I$2:$I$11)
 + (IF(J1866="",0,J1866)
    * _xlfn.XLOOKUP(B1866, Dim_Hotel!$A$2:$A$11, Dim_Hotel!$J$2:$J$11))</f>
        <v>162</v>
      </c>
    </row>
    <row r="1867" spans="1:13" x14ac:dyDescent="0.25">
      <c r="A1867" s="1">
        <f t="shared" si="232"/>
        <v>46209</v>
      </c>
      <c r="B1867" t="str" cm="1">
        <f t="array" ref="B1867">INDEX(HotelList,MOD(ROW()-2,10)+1)</f>
        <v>H006</v>
      </c>
      <c r="C1867">
        <f>_xlfn.XLOOKUP(B1867,Dim_Hotel!$A$2:$A$11,Dim_Hotel!$F$2:$F$11)</f>
        <v>311</v>
      </c>
      <c r="D1867">
        <f t="shared" si="233"/>
        <v>280</v>
      </c>
      <c r="E1867">
        <f t="shared" si="234"/>
        <v>0.90032154340836013</v>
      </c>
      <c r="F1867">
        <f t="shared" si="235"/>
        <v>340</v>
      </c>
      <c r="G1867">
        <f t="shared" si="236"/>
        <v>306.10932475884243</v>
      </c>
      <c r="H1867" t="str">
        <f>_xlfn.XLOOKUP(A1867,Fact_Events!$D$2:$D$20,Fact_Events!$A$2:$A$20, "")</f>
        <v>E016</v>
      </c>
      <c r="I1867">
        <f t="shared" si="237"/>
        <v>1</v>
      </c>
      <c r="J1867">
        <f>_xlfn.XLOOKUP(H1867, Fact_Events!$A$2:$A$20, Fact_Events!$F$2:$F$20, "")</f>
        <v>10</v>
      </c>
      <c r="K1867" t="str">
        <f t="shared" si="238"/>
        <v>High</v>
      </c>
      <c r="L1867">
        <f t="shared" si="239"/>
        <v>0.9</v>
      </c>
      <c r="M1867">
        <f>_xlfn.XLOOKUP(B1867, Dim_Hotel!$A$2:$A$11, Dim_Hotel!$I$2:$I$11)
 + (IF(J1867="",0,J1867)
    * _xlfn.XLOOKUP(B1867, Dim_Hotel!$A$2:$A$11, Dim_Hotel!$J$2:$J$11))</f>
        <v>340</v>
      </c>
    </row>
    <row r="1868" spans="1:13" x14ac:dyDescent="0.25">
      <c r="A1868" s="1">
        <f t="shared" si="232"/>
        <v>46209</v>
      </c>
      <c r="B1868" t="str" cm="1">
        <f t="array" ref="B1868">INDEX(HotelList,MOD(ROW()-2,10)+1)</f>
        <v>H007</v>
      </c>
      <c r="C1868">
        <f>_xlfn.XLOOKUP(B1868,Dim_Hotel!$A$2:$A$11,Dim_Hotel!$F$2:$F$11)</f>
        <v>132</v>
      </c>
      <c r="D1868">
        <f t="shared" si="233"/>
        <v>119</v>
      </c>
      <c r="E1868">
        <f t="shared" si="234"/>
        <v>0.90151515151515149</v>
      </c>
      <c r="F1868">
        <f t="shared" si="235"/>
        <v>295</v>
      </c>
      <c r="G1868">
        <f t="shared" si="236"/>
        <v>265.94696969696969</v>
      </c>
      <c r="H1868" t="str">
        <f>_xlfn.XLOOKUP(A1868,Fact_Events!$D$2:$D$20,Fact_Events!$A$2:$A$20, "")</f>
        <v>E016</v>
      </c>
      <c r="I1868">
        <f t="shared" si="237"/>
        <v>1</v>
      </c>
      <c r="J1868">
        <f>_xlfn.XLOOKUP(H1868, Fact_Events!$A$2:$A$20, Fact_Events!$F$2:$F$20, "")</f>
        <v>10</v>
      </c>
      <c r="K1868" t="str">
        <f t="shared" si="238"/>
        <v>High</v>
      </c>
      <c r="L1868">
        <f t="shared" si="239"/>
        <v>0.9</v>
      </c>
      <c r="M1868">
        <f>_xlfn.XLOOKUP(B1868, Dim_Hotel!$A$2:$A$11, Dim_Hotel!$I$2:$I$11)
 + (IF(J1868="",0,J1868)
    * _xlfn.XLOOKUP(B1868, Dim_Hotel!$A$2:$A$11, Dim_Hotel!$J$2:$J$11))</f>
        <v>295</v>
      </c>
    </row>
    <row r="1869" spans="1:13" x14ac:dyDescent="0.25">
      <c r="A1869" s="1">
        <f t="shared" si="232"/>
        <v>46209</v>
      </c>
      <c r="B1869" t="str" cm="1">
        <f t="array" ref="B1869">INDEX(HotelList,MOD(ROW()-2,10)+1)</f>
        <v>H008</v>
      </c>
      <c r="C1869">
        <f>_xlfn.XLOOKUP(B1869,Dim_Hotel!$A$2:$A$11,Dim_Hotel!$F$2:$F$11)</f>
        <v>103</v>
      </c>
      <c r="D1869">
        <f t="shared" si="233"/>
        <v>93</v>
      </c>
      <c r="E1869">
        <f t="shared" si="234"/>
        <v>0.90291262135922334</v>
      </c>
      <c r="F1869">
        <f t="shared" si="235"/>
        <v>260</v>
      </c>
      <c r="G1869">
        <f t="shared" si="236"/>
        <v>234.75728155339806</v>
      </c>
      <c r="H1869" t="str">
        <f>_xlfn.XLOOKUP(A1869,Fact_Events!$D$2:$D$20,Fact_Events!$A$2:$A$20, "")</f>
        <v>E016</v>
      </c>
      <c r="I1869">
        <f t="shared" si="237"/>
        <v>1</v>
      </c>
      <c r="J1869">
        <f>_xlfn.XLOOKUP(H1869, Fact_Events!$A$2:$A$20, Fact_Events!$F$2:$F$20, "")</f>
        <v>10</v>
      </c>
      <c r="K1869" t="str">
        <f t="shared" si="238"/>
        <v>High</v>
      </c>
      <c r="L1869">
        <f t="shared" si="239"/>
        <v>0.9</v>
      </c>
      <c r="M1869">
        <f>_xlfn.XLOOKUP(B1869, Dim_Hotel!$A$2:$A$11, Dim_Hotel!$I$2:$I$11)
 + (IF(J1869="",0,J1869)
    * _xlfn.XLOOKUP(B1869, Dim_Hotel!$A$2:$A$11, Dim_Hotel!$J$2:$J$11))</f>
        <v>260</v>
      </c>
    </row>
    <row r="1870" spans="1:13" x14ac:dyDescent="0.25">
      <c r="A1870" s="1">
        <f t="shared" si="232"/>
        <v>46209</v>
      </c>
      <c r="B1870" t="str" cm="1">
        <f t="array" ref="B1870">INDEX(HotelList,MOD(ROW()-2,10)+1)</f>
        <v>H009</v>
      </c>
      <c r="C1870">
        <f>_xlfn.XLOOKUP(B1870,Dim_Hotel!$A$2:$A$11,Dim_Hotel!$F$2:$F$11)</f>
        <v>114</v>
      </c>
      <c r="D1870">
        <f t="shared" si="233"/>
        <v>103</v>
      </c>
      <c r="E1870">
        <f t="shared" si="234"/>
        <v>0.90350877192982459</v>
      </c>
      <c r="F1870">
        <f t="shared" si="235"/>
        <v>285</v>
      </c>
      <c r="G1870">
        <f t="shared" si="236"/>
        <v>257.5</v>
      </c>
      <c r="H1870" t="str">
        <f>_xlfn.XLOOKUP(A1870,Fact_Events!$D$2:$D$20,Fact_Events!$A$2:$A$20, "")</f>
        <v>E016</v>
      </c>
      <c r="I1870">
        <f t="shared" si="237"/>
        <v>1</v>
      </c>
      <c r="J1870">
        <f>_xlfn.XLOOKUP(H1870, Fact_Events!$A$2:$A$20, Fact_Events!$F$2:$F$20, "")</f>
        <v>10</v>
      </c>
      <c r="K1870" t="str">
        <f t="shared" si="238"/>
        <v>High</v>
      </c>
      <c r="L1870">
        <f t="shared" si="239"/>
        <v>0.9</v>
      </c>
      <c r="M1870">
        <f>_xlfn.XLOOKUP(B1870, Dim_Hotel!$A$2:$A$11, Dim_Hotel!$I$2:$I$11)
 + (IF(J1870="",0,J1870)
    * _xlfn.XLOOKUP(B1870, Dim_Hotel!$A$2:$A$11, Dim_Hotel!$J$2:$J$11))</f>
        <v>285</v>
      </c>
    </row>
    <row r="1871" spans="1:13" x14ac:dyDescent="0.25">
      <c r="A1871" s="1">
        <f t="shared" si="232"/>
        <v>46209</v>
      </c>
      <c r="B1871" t="str" cm="1">
        <f t="array" ref="B1871">INDEX(HotelList,MOD(ROW()-2,10)+1)</f>
        <v>H010</v>
      </c>
      <c r="C1871">
        <f>_xlfn.XLOOKUP(B1871,Dim_Hotel!$A$2:$A$11,Dim_Hotel!$F$2:$F$11)</f>
        <v>89</v>
      </c>
      <c r="D1871">
        <f t="shared" si="233"/>
        <v>80</v>
      </c>
      <c r="E1871">
        <f t="shared" si="234"/>
        <v>0.898876404494382</v>
      </c>
      <c r="F1871">
        <f t="shared" si="235"/>
        <v>250</v>
      </c>
      <c r="G1871">
        <f t="shared" si="236"/>
        <v>224.71910112359549</v>
      </c>
      <c r="H1871" t="str">
        <f>_xlfn.XLOOKUP(A1871,Fact_Events!$D$2:$D$20,Fact_Events!$A$2:$A$20, "")</f>
        <v>E016</v>
      </c>
      <c r="I1871">
        <f t="shared" si="237"/>
        <v>1</v>
      </c>
      <c r="J1871">
        <f>_xlfn.XLOOKUP(H1871, Fact_Events!$A$2:$A$20, Fact_Events!$F$2:$F$20, "")</f>
        <v>10</v>
      </c>
      <c r="K1871" t="str">
        <f t="shared" si="238"/>
        <v>High</v>
      </c>
      <c r="L1871">
        <f t="shared" si="239"/>
        <v>0.9</v>
      </c>
      <c r="M1871">
        <f>_xlfn.XLOOKUP(B1871, Dim_Hotel!$A$2:$A$11, Dim_Hotel!$I$2:$I$11)
 + (IF(J1871="",0,J1871)
    * _xlfn.XLOOKUP(B1871, Dim_Hotel!$A$2:$A$11, Dim_Hotel!$J$2:$J$11))</f>
        <v>250</v>
      </c>
    </row>
    <row r="1872" spans="1:13" x14ac:dyDescent="0.25">
      <c r="A1872" s="1">
        <f t="shared" si="232"/>
        <v>46210</v>
      </c>
      <c r="B1872" t="str" cm="1">
        <f t="array" ref="B1872">INDEX(HotelList,MOD(ROW()-2,10)+1)</f>
        <v>H001</v>
      </c>
      <c r="C1872">
        <f>_xlfn.XLOOKUP(B1872,Dim_Hotel!$A$2:$A$11,Dim_Hotel!$F$2:$F$11)</f>
        <v>888</v>
      </c>
      <c r="D1872">
        <f t="shared" si="233"/>
        <v>488</v>
      </c>
      <c r="E1872">
        <f t="shared" si="234"/>
        <v>0.5495495495495496</v>
      </c>
      <c r="F1872">
        <f t="shared" si="235"/>
        <v>260</v>
      </c>
      <c r="G1872">
        <f t="shared" si="236"/>
        <v>142.88288288288288</v>
      </c>
      <c r="H1872" t="str">
        <f>_xlfn.XLOOKUP(A1872,Fact_Events!$D$2:$D$20,Fact_Events!$A$2:$A$20, "")</f>
        <v/>
      </c>
      <c r="I1872">
        <f t="shared" si="237"/>
        <v>0</v>
      </c>
      <c r="J1872" t="str">
        <f>_xlfn.XLOOKUP(H1872, Fact_Events!$A$2:$A$20, Fact_Events!$F$2:$F$20, "")</f>
        <v/>
      </c>
      <c r="K1872" t="str">
        <f t="shared" si="238"/>
        <v>Low</v>
      </c>
      <c r="L1872">
        <f t="shared" si="239"/>
        <v>0.55000000000000004</v>
      </c>
      <c r="M1872">
        <f>_xlfn.XLOOKUP(B1872, Dim_Hotel!$A$2:$A$11, Dim_Hotel!$I$2:$I$11)
 + (IF(J1872="",0,J1872)
    * _xlfn.XLOOKUP(B1872, Dim_Hotel!$A$2:$A$11, Dim_Hotel!$J$2:$J$11))</f>
        <v>260</v>
      </c>
    </row>
    <row r="1873" spans="1:13" x14ac:dyDescent="0.25">
      <c r="A1873" s="1">
        <f t="shared" si="232"/>
        <v>46210</v>
      </c>
      <c r="B1873" t="str" cm="1">
        <f t="array" ref="B1873">INDEX(HotelList,MOD(ROW()-2,10)+1)</f>
        <v>H002</v>
      </c>
      <c r="C1873">
        <f>_xlfn.XLOOKUP(B1873,Dim_Hotel!$A$2:$A$11,Dim_Hotel!$F$2:$F$11)</f>
        <v>147</v>
      </c>
      <c r="D1873">
        <f t="shared" si="233"/>
        <v>81</v>
      </c>
      <c r="E1873">
        <f t="shared" si="234"/>
        <v>0.55102040816326525</v>
      </c>
      <c r="F1873">
        <f t="shared" si="235"/>
        <v>175</v>
      </c>
      <c r="G1873">
        <f t="shared" si="236"/>
        <v>96.428571428571416</v>
      </c>
      <c r="H1873" t="str">
        <f>_xlfn.XLOOKUP(A1873,Fact_Events!$D$2:$D$20,Fact_Events!$A$2:$A$20, "")</f>
        <v/>
      </c>
      <c r="I1873">
        <f t="shared" si="237"/>
        <v>0</v>
      </c>
      <c r="J1873" t="str">
        <f>_xlfn.XLOOKUP(H1873, Fact_Events!$A$2:$A$20, Fact_Events!$F$2:$F$20, "")</f>
        <v/>
      </c>
      <c r="K1873" t="str">
        <f t="shared" si="238"/>
        <v>Low</v>
      </c>
      <c r="L1873">
        <f t="shared" si="239"/>
        <v>0.55000000000000004</v>
      </c>
      <c r="M1873">
        <f>_xlfn.XLOOKUP(B1873, Dim_Hotel!$A$2:$A$11, Dim_Hotel!$I$2:$I$11)
 + (IF(J1873="",0,J1873)
    * _xlfn.XLOOKUP(B1873, Dim_Hotel!$A$2:$A$11, Dim_Hotel!$J$2:$J$11))</f>
        <v>175</v>
      </c>
    </row>
    <row r="1874" spans="1:13" x14ac:dyDescent="0.25">
      <c r="A1874" s="1">
        <f t="shared" si="232"/>
        <v>46210</v>
      </c>
      <c r="B1874" t="str" cm="1">
        <f t="array" ref="B1874">INDEX(HotelList,MOD(ROW()-2,10)+1)</f>
        <v>H003</v>
      </c>
      <c r="C1874">
        <f>_xlfn.XLOOKUP(B1874,Dim_Hotel!$A$2:$A$11,Dim_Hotel!$F$2:$F$11)</f>
        <v>121</v>
      </c>
      <c r="D1874">
        <f t="shared" si="233"/>
        <v>67</v>
      </c>
      <c r="E1874">
        <f t="shared" si="234"/>
        <v>0.55371900826446285</v>
      </c>
      <c r="F1874">
        <f t="shared" si="235"/>
        <v>145</v>
      </c>
      <c r="G1874">
        <f t="shared" si="236"/>
        <v>80.289256198347118</v>
      </c>
      <c r="H1874" t="str">
        <f>_xlfn.XLOOKUP(A1874,Fact_Events!$D$2:$D$20,Fact_Events!$A$2:$A$20, "")</f>
        <v/>
      </c>
      <c r="I1874">
        <f t="shared" si="237"/>
        <v>0</v>
      </c>
      <c r="J1874" t="str">
        <f>_xlfn.XLOOKUP(H1874, Fact_Events!$A$2:$A$20, Fact_Events!$F$2:$F$20, "")</f>
        <v/>
      </c>
      <c r="K1874" t="str">
        <f t="shared" si="238"/>
        <v>Low</v>
      </c>
      <c r="L1874">
        <f t="shared" si="239"/>
        <v>0.55000000000000004</v>
      </c>
      <c r="M1874">
        <f>_xlfn.XLOOKUP(B1874, Dim_Hotel!$A$2:$A$11, Dim_Hotel!$I$2:$I$11)
 + (IF(J1874="",0,J1874)
    * _xlfn.XLOOKUP(B1874, Dim_Hotel!$A$2:$A$11, Dim_Hotel!$J$2:$J$11))</f>
        <v>145</v>
      </c>
    </row>
    <row r="1875" spans="1:13" x14ac:dyDescent="0.25">
      <c r="A1875" s="1">
        <f t="shared" si="232"/>
        <v>46210</v>
      </c>
      <c r="B1875" t="str" cm="1">
        <f t="array" ref="B1875">INDEX(HotelList,MOD(ROW()-2,10)+1)</f>
        <v>H004</v>
      </c>
      <c r="C1875">
        <f>_xlfn.XLOOKUP(B1875,Dim_Hotel!$A$2:$A$11,Dim_Hotel!$F$2:$F$11)</f>
        <v>108</v>
      </c>
      <c r="D1875">
        <f t="shared" si="233"/>
        <v>59</v>
      </c>
      <c r="E1875">
        <f t="shared" si="234"/>
        <v>0.54629629629629628</v>
      </c>
      <c r="F1875">
        <f t="shared" si="235"/>
        <v>135</v>
      </c>
      <c r="G1875">
        <f t="shared" si="236"/>
        <v>73.75</v>
      </c>
      <c r="H1875" t="str">
        <f>_xlfn.XLOOKUP(A1875,Fact_Events!$D$2:$D$20,Fact_Events!$A$2:$A$20, "")</f>
        <v/>
      </c>
      <c r="I1875">
        <f t="shared" si="237"/>
        <v>0</v>
      </c>
      <c r="J1875" t="str">
        <f>_xlfn.XLOOKUP(H1875, Fact_Events!$A$2:$A$20, Fact_Events!$F$2:$F$20, "")</f>
        <v/>
      </c>
      <c r="K1875" t="str">
        <f t="shared" si="238"/>
        <v>Low</v>
      </c>
      <c r="L1875">
        <f t="shared" si="239"/>
        <v>0.55000000000000004</v>
      </c>
      <c r="M1875">
        <f>_xlfn.XLOOKUP(B1875, Dim_Hotel!$A$2:$A$11, Dim_Hotel!$I$2:$I$11)
 + (IF(J1875="",0,J1875)
    * _xlfn.XLOOKUP(B1875, Dim_Hotel!$A$2:$A$11, Dim_Hotel!$J$2:$J$11))</f>
        <v>135</v>
      </c>
    </row>
    <row r="1876" spans="1:13" x14ac:dyDescent="0.25">
      <c r="A1876" s="1">
        <f t="shared" si="232"/>
        <v>46210</v>
      </c>
      <c r="B1876" t="str" cm="1">
        <f t="array" ref="B1876">INDEX(HotelList,MOD(ROW()-2,10)+1)</f>
        <v>H005</v>
      </c>
      <c r="C1876">
        <f>_xlfn.XLOOKUP(B1876,Dim_Hotel!$A$2:$A$11,Dim_Hotel!$F$2:$F$11)</f>
        <v>66</v>
      </c>
      <c r="D1876">
        <f t="shared" si="233"/>
        <v>36</v>
      </c>
      <c r="E1876">
        <f t="shared" si="234"/>
        <v>0.54545454545454541</v>
      </c>
      <c r="F1876">
        <f t="shared" si="235"/>
        <v>82</v>
      </c>
      <c r="G1876">
        <f t="shared" si="236"/>
        <v>44.727272727272727</v>
      </c>
      <c r="H1876" t="str">
        <f>_xlfn.XLOOKUP(A1876,Fact_Events!$D$2:$D$20,Fact_Events!$A$2:$A$20, "")</f>
        <v/>
      </c>
      <c r="I1876">
        <f t="shared" si="237"/>
        <v>0</v>
      </c>
      <c r="J1876" t="str">
        <f>_xlfn.XLOOKUP(H1876, Fact_Events!$A$2:$A$20, Fact_Events!$F$2:$F$20, "")</f>
        <v/>
      </c>
      <c r="K1876" t="str">
        <f t="shared" si="238"/>
        <v>Low</v>
      </c>
      <c r="L1876">
        <f t="shared" si="239"/>
        <v>0.55000000000000004</v>
      </c>
      <c r="M1876">
        <f>_xlfn.XLOOKUP(B1876, Dim_Hotel!$A$2:$A$11, Dim_Hotel!$I$2:$I$11)
 + (IF(J1876="",0,J1876)
    * _xlfn.XLOOKUP(B1876, Dim_Hotel!$A$2:$A$11, Dim_Hotel!$J$2:$J$11))</f>
        <v>82</v>
      </c>
    </row>
    <row r="1877" spans="1:13" x14ac:dyDescent="0.25">
      <c r="A1877" s="1">
        <f t="shared" si="232"/>
        <v>46210</v>
      </c>
      <c r="B1877" t="str" cm="1">
        <f t="array" ref="B1877">INDEX(HotelList,MOD(ROW()-2,10)+1)</f>
        <v>H006</v>
      </c>
      <c r="C1877">
        <f>_xlfn.XLOOKUP(B1877,Dim_Hotel!$A$2:$A$11,Dim_Hotel!$F$2:$F$11)</f>
        <v>311</v>
      </c>
      <c r="D1877">
        <f t="shared" si="233"/>
        <v>171</v>
      </c>
      <c r="E1877">
        <f t="shared" si="234"/>
        <v>0.54983922829581988</v>
      </c>
      <c r="F1877">
        <f t="shared" si="235"/>
        <v>190</v>
      </c>
      <c r="G1877">
        <f t="shared" si="236"/>
        <v>104.46945337620578</v>
      </c>
      <c r="H1877" t="str">
        <f>_xlfn.XLOOKUP(A1877,Fact_Events!$D$2:$D$20,Fact_Events!$A$2:$A$20, "")</f>
        <v/>
      </c>
      <c r="I1877">
        <f t="shared" si="237"/>
        <v>0</v>
      </c>
      <c r="J1877" t="str">
        <f>_xlfn.XLOOKUP(H1877, Fact_Events!$A$2:$A$20, Fact_Events!$F$2:$F$20, "")</f>
        <v/>
      </c>
      <c r="K1877" t="str">
        <f t="shared" si="238"/>
        <v>Low</v>
      </c>
      <c r="L1877">
        <f t="shared" si="239"/>
        <v>0.55000000000000004</v>
      </c>
      <c r="M1877">
        <f>_xlfn.XLOOKUP(B1877, Dim_Hotel!$A$2:$A$11, Dim_Hotel!$I$2:$I$11)
 + (IF(J1877="",0,J1877)
    * _xlfn.XLOOKUP(B1877, Dim_Hotel!$A$2:$A$11, Dim_Hotel!$J$2:$J$11))</f>
        <v>190</v>
      </c>
    </row>
    <row r="1878" spans="1:13" x14ac:dyDescent="0.25">
      <c r="A1878" s="1">
        <f t="shared" si="232"/>
        <v>46210</v>
      </c>
      <c r="B1878" t="str" cm="1">
        <f t="array" ref="B1878">INDEX(HotelList,MOD(ROW()-2,10)+1)</f>
        <v>H007</v>
      </c>
      <c r="C1878">
        <f>_xlfn.XLOOKUP(B1878,Dim_Hotel!$A$2:$A$11,Dim_Hotel!$F$2:$F$11)</f>
        <v>132</v>
      </c>
      <c r="D1878">
        <f t="shared" si="233"/>
        <v>73</v>
      </c>
      <c r="E1878">
        <f t="shared" si="234"/>
        <v>0.55303030303030298</v>
      </c>
      <c r="F1878">
        <f t="shared" si="235"/>
        <v>165</v>
      </c>
      <c r="G1878">
        <f t="shared" si="236"/>
        <v>91.249999999999986</v>
      </c>
      <c r="H1878" t="str">
        <f>_xlfn.XLOOKUP(A1878,Fact_Events!$D$2:$D$20,Fact_Events!$A$2:$A$20, "")</f>
        <v/>
      </c>
      <c r="I1878">
        <f t="shared" si="237"/>
        <v>0</v>
      </c>
      <c r="J1878" t="str">
        <f>_xlfn.XLOOKUP(H1878, Fact_Events!$A$2:$A$20, Fact_Events!$F$2:$F$20, "")</f>
        <v/>
      </c>
      <c r="K1878" t="str">
        <f t="shared" si="238"/>
        <v>Low</v>
      </c>
      <c r="L1878">
        <f t="shared" si="239"/>
        <v>0.55000000000000004</v>
      </c>
      <c r="M1878">
        <f>_xlfn.XLOOKUP(B1878, Dim_Hotel!$A$2:$A$11, Dim_Hotel!$I$2:$I$11)
 + (IF(J1878="",0,J1878)
    * _xlfn.XLOOKUP(B1878, Dim_Hotel!$A$2:$A$11, Dim_Hotel!$J$2:$J$11))</f>
        <v>165</v>
      </c>
    </row>
    <row r="1879" spans="1:13" x14ac:dyDescent="0.25">
      <c r="A1879" s="1">
        <f t="shared" si="232"/>
        <v>46210</v>
      </c>
      <c r="B1879" t="str" cm="1">
        <f t="array" ref="B1879">INDEX(HotelList,MOD(ROW()-2,10)+1)</f>
        <v>H008</v>
      </c>
      <c r="C1879">
        <f>_xlfn.XLOOKUP(B1879,Dim_Hotel!$A$2:$A$11,Dim_Hotel!$F$2:$F$11)</f>
        <v>103</v>
      </c>
      <c r="D1879">
        <f t="shared" si="233"/>
        <v>57</v>
      </c>
      <c r="E1879">
        <f t="shared" si="234"/>
        <v>0.55339805825242716</v>
      </c>
      <c r="F1879">
        <f t="shared" si="235"/>
        <v>140</v>
      </c>
      <c r="G1879">
        <f t="shared" si="236"/>
        <v>77.475728155339809</v>
      </c>
      <c r="H1879" t="str">
        <f>_xlfn.XLOOKUP(A1879,Fact_Events!$D$2:$D$20,Fact_Events!$A$2:$A$20, "")</f>
        <v/>
      </c>
      <c r="I1879">
        <f t="shared" si="237"/>
        <v>0</v>
      </c>
      <c r="J1879" t="str">
        <f>_xlfn.XLOOKUP(H1879, Fact_Events!$A$2:$A$20, Fact_Events!$F$2:$F$20, "")</f>
        <v/>
      </c>
      <c r="K1879" t="str">
        <f t="shared" si="238"/>
        <v>Low</v>
      </c>
      <c r="L1879">
        <f t="shared" si="239"/>
        <v>0.55000000000000004</v>
      </c>
      <c r="M1879">
        <f>_xlfn.XLOOKUP(B1879, Dim_Hotel!$A$2:$A$11, Dim_Hotel!$I$2:$I$11)
 + (IF(J1879="",0,J1879)
    * _xlfn.XLOOKUP(B1879, Dim_Hotel!$A$2:$A$11, Dim_Hotel!$J$2:$J$11))</f>
        <v>140</v>
      </c>
    </row>
    <row r="1880" spans="1:13" x14ac:dyDescent="0.25">
      <c r="A1880" s="1">
        <f t="shared" si="232"/>
        <v>46210</v>
      </c>
      <c r="B1880" t="str" cm="1">
        <f t="array" ref="B1880">INDEX(HotelList,MOD(ROW()-2,10)+1)</f>
        <v>H009</v>
      </c>
      <c r="C1880">
        <f>_xlfn.XLOOKUP(B1880,Dim_Hotel!$A$2:$A$11,Dim_Hotel!$F$2:$F$11)</f>
        <v>114</v>
      </c>
      <c r="D1880">
        <f t="shared" si="233"/>
        <v>63</v>
      </c>
      <c r="E1880">
        <f t="shared" si="234"/>
        <v>0.55263157894736847</v>
      </c>
      <c r="F1880">
        <f t="shared" si="235"/>
        <v>185</v>
      </c>
      <c r="G1880">
        <f t="shared" si="236"/>
        <v>102.23684210526316</v>
      </c>
      <c r="H1880" t="str">
        <f>_xlfn.XLOOKUP(A1880,Fact_Events!$D$2:$D$20,Fact_Events!$A$2:$A$20, "")</f>
        <v/>
      </c>
      <c r="I1880">
        <f t="shared" si="237"/>
        <v>0</v>
      </c>
      <c r="J1880" t="str">
        <f>_xlfn.XLOOKUP(H1880, Fact_Events!$A$2:$A$20, Fact_Events!$F$2:$F$20, "")</f>
        <v/>
      </c>
      <c r="K1880" t="str">
        <f t="shared" si="238"/>
        <v>Low</v>
      </c>
      <c r="L1880">
        <f t="shared" si="239"/>
        <v>0.55000000000000004</v>
      </c>
      <c r="M1880">
        <f>_xlfn.XLOOKUP(B1880, Dim_Hotel!$A$2:$A$11, Dim_Hotel!$I$2:$I$11)
 + (IF(J1880="",0,J1880)
    * _xlfn.XLOOKUP(B1880, Dim_Hotel!$A$2:$A$11, Dim_Hotel!$J$2:$J$11))</f>
        <v>185</v>
      </c>
    </row>
    <row r="1881" spans="1:13" x14ac:dyDescent="0.25">
      <c r="A1881" s="1">
        <f t="shared" si="232"/>
        <v>46210</v>
      </c>
      <c r="B1881" t="str" cm="1">
        <f t="array" ref="B1881">INDEX(HotelList,MOD(ROW()-2,10)+1)</f>
        <v>H010</v>
      </c>
      <c r="C1881">
        <f>_xlfn.XLOOKUP(B1881,Dim_Hotel!$A$2:$A$11,Dim_Hotel!$F$2:$F$11)</f>
        <v>89</v>
      </c>
      <c r="D1881">
        <f t="shared" si="233"/>
        <v>49</v>
      </c>
      <c r="E1881">
        <f t="shared" si="234"/>
        <v>0.550561797752809</v>
      </c>
      <c r="F1881">
        <f t="shared" si="235"/>
        <v>150</v>
      </c>
      <c r="G1881">
        <f t="shared" si="236"/>
        <v>82.584269662921344</v>
      </c>
      <c r="H1881" t="str">
        <f>_xlfn.XLOOKUP(A1881,Fact_Events!$D$2:$D$20,Fact_Events!$A$2:$A$20, "")</f>
        <v/>
      </c>
      <c r="I1881">
        <f t="shared" si="237"/>
        <v>0</v>
      </c>
      <c r="J1881" t="str">
        <f>_xlfn.XLOOKUP(H1881, Fact_Events!$A$2:$A$20, Fact_Events!$F$2:$F$20, "")</f>
        <v/>
      </c>
      <c r="K1881" t="str">
        <f t="shared" si="238"/>
        <v>Low</v>
      </c>
      <c r="L1881">
        <f t="shared" si="239"/>
        <v>0.55000000000000004</v>
      </c>
      <c r="M1881">
        <f>_xlfn.XLOOKUP(B1881, Dim_Hotel!$A$2:$A$11, Dim_Hotel!$I$2:$I$11)
 + (IF(J1881="",0,J1881)
    * _xlfn.XLOOKUP(B1881, Dim_Hotel!$A$2:$A$11, Dim_Hotel!$J$2:$J$11))</f>
        <v>150</v>
      </c>
    </row>
    <row r="1882" spans="1:13" x14ac:dyDescent="0.25">
      <c r="A1882" s="1">
        <f t="shared" si="232"/>
        <v>46211</v>
      </c>
      <c r="B1882" t="str" cm="1">
        <f t="array" ref="B1882">INDEX(HotelList,MOD(ROW()-2,10)+1)</f>
        <v>H001</v>
      </c>
      <c r="C1882">
        <f>_xlfn.XLOOKUP(B1882,Dim_Hotel!$A$2:$A$11,Dim_Hotel!$F$2:$F$11)</f>
        <v>888</v>
      </c>
      <c r="D1882">
        <f t="shared" si="233"/>
        <v>488</v>
      </c>
      <c r="E1882">
        <f t="shared" si="234"/>
        <v>0.5495495495495496</v>
      </c>
      <c r="F1882">
        <f t="shared" si="235"/>
        <v>260</v>
      </c>
      <c r="G1882">
        <f t="shared" si="236"/>
        <v>142.88288288288288</v>
      </c>
      <c r="H1882" t="str">
        <f>_xlfn.XLOOKUP(A1882,Fact_Events!$D$2:$D$20,Fact_Events!$A$2:$A$20, "")</f>
        <v/>
      </c>
      <c r="I1882">
        <f t="shared" si="237"/>
        <v>0</v>
      </c>
      <c r="J1882" t="str">
        <f>_xlfn.XLOOKUP(H1882, Fact_Events!$A$2:$A$20, Fact_Events!$F$2:$F$20, "")</f>
        <v/>
      </c>
      <c r="K1882" t="str">
        <f t="shared" si="238"/>
        <v>Low</v>
      </c>
      <c r="L1882">
        <f t="shared" si="239"/>
        <v>0.55000000000000004</v>
      </c>
      <c r="M1882">
        <f>_xlfn.XLOOKUP(B1882, Dim_Hotel!$A$2:$A$11, Dim_Hotel!$I$2:$I$11)
 + (IF(J1882="",0,J1882)
    * _xlfn.XLOOKUP(B1882, Dim_Hotel!$A$2:$A$11, Dim_Hotel!$J$2:$J$11))</f>
        <v>260</v>
      </c>
    </row>
    <row r="1883" spans="1:13" x14ac:dyDescent="0.25">
      <c r="A1883" s="1">
        <f t="shared" si="232"/>
        <v>46211</v>
      </c>
      <c r="B1883" t="str" cm="1">
        <f t="array" ref="B1883">INDEX(HotelList,MOD(ROW()-2,10)+1)</f>
        <v>H002</v>
      </c>
      <c r="C1883">
        <f>_xlfn.XLOOKUP(B1883,Dim_Hotel!$A$2:$A$11,Dim_Hotel!$F$2:$F$11)</f>
        <v>147</v>
      </c>
      <c r="D1883">
        <f t="shared" si="233"/>
        <v>81</v>
      </c>
      <c r="E1883">
        <f t="shared" si="234"/>
        <v>0.55102040816326525</v>
      </c>
      <c r="F1883">
        <f t="shared" si="235"/>
        <v>175</v>
      </c>
      <c r="G1883">
        <f t="shared" si="236"/>
        <v>96.428571428571416</v>
      </c>
      <c r="H1883" t="str">
        <f>_xlfn.XLOOKUP(A1883,Fact_Events!$D$2:$D$20,Fact_Events!$A$2:$A$20, "")</f>
        <v/>
      </c>
      <c r="I1883">
        <f t="shared" si="237"/>
        <v>0</v>
      </c>
      <c r="J1883" t="str">
        <f>_xlfn.XLOOKUP(H1883, Fact_Events!$A$2:$A$20, Fact_Events!$F$2:$F$20, "")</f>
        <v/>
      </c>
      <c r="K1883" t="str">
        <f t="shared" si="238"/>
        <v>Low</v>
      </c>
      <c r="L1883">
        <f t="shared" si="239"/>
        <v>0.55000000000000004</v>
      </c>
      <c r="M1883">
        <f>_xlfn.XLOOKUP(B1883, Dim_Hotel!$A$2:$A$11, Dim_Hotel!$I$2:$I$11)
 + (IF(J1883="",0,J1883)
    * _xlfn.XLOOKUP(B1883, Dim_Hotel!$A$2:$A$11, Dim_Hotel!$J$2:$J$11))</f>
        <v>175</v>
      </c>
    </row>
    <row r="1884" spans="1:13" x14ac:dyDescent="0.25">
      <c r="A1884" s="1">
        <f t="shared" si="232"/>
        <v>46211</v>
      </c>
      <c r="B1884" t="str" cm="1">
        <f t="array" ref="B1884">INDEX(HotelList,MOD(ROW()-2,10)+1)</f>
        <v>H003</v>
      </c>
      <c r="C1884">
        <f>_xlfn.XLOOKUP(B1884,Dim_Hotel!$A$2:$A$11,Dim_Hotel!$F$2:$F$11)</f>
        <v>121</v>
      </c>
      <c r="D1884">
        <f t="shared" si="233"/>
        <v>67</v>
      </c>
      <c r="E1884">
        <f t="shared" si="234"/>
        <v>0.55371900826446285</v>
      </c>
      <c r="F1884">
        <f t="shared" si="235"/>
        <v>145</v>
      </c>
      <c r="G1884">
        <f t="shared" si="236"/>
        <v>80.289256198347118</v>
      </c>
      <c r="H1884" t="str">
        <f>_xlfn.XLOOKUP(A1884,Fact_Events!$D$2:$D$20,Fact_Events!$A$2:$A$20, "")</f>
        <v/>
      </c>
      <c r="I1884">
        <f t="shared" si="237"/>
        <v>0</v>
      </c>
      <c r="J1884" t="str">
        <f>_xlfn.XLOOKUP(H1884, Fact_Events!$A$2:$A$20, Fact_Events!$F$2:$F$20, "")</f>
        <v/>
      </c>
      <c r="K1884" t="str">
        <f t="shared" si="238"/>
        <v>Low</v>
      </c>
      <c r="L1884">
        <f t="shared" si="239"/>
        <v>0.55000000000000004</v>
      </c>
      <c r="M1884">
        <f>_xlfn.XLOOKUP(B1884, Dim_Hotel!$A$2:$A$11, Dim_Hotel!$I$2:$I$11)
 + (IF(J1884="",0,J1884)
    * _xlfn.XLOOKUP(B1884, Dim_Hotel!$A$2:$A$11, Dim_Hotel!$J$2:$J$11))</f>
        <v>145</v>
      </c>
    </row>
    <row r="1885" spans="1:13" x14ac:dyDescent="0.25">
      <c r="A1885" s="1">
        <f t="shared" si="232"/>
        <v>46211</v>
      </c>
      <c r="B1885" t="str" cm="1">
        <f t="array" ref="B1885">INDEX(HotelList,MOD(ROW()-2,10)+1)</f>
        <v>H004</v>
      </c>
      <c r="C1885">
        <f>_xlfn.XLOOKUP(B1885,Dim_Hotel!$A$2:$A$11,Dim_Hotel!$F$2:$F$11)</f>
        <v>108</v>
      </c>
      <c r="D1885">
        <f t="shared" si="233"/>
        <v>59</v>
      </c>
      <c r="E1885">
        <f t="shared" si="234"/>
        <v>0.54629629629629628</v>
      </c>
      <c r="F1885">
        <f t="shared" si="235"/>
        <v>135</v>
      </c>
      <c r="G1885">
        <f t="shared" si="236"/>
        <v>73.75</v>
      </c>
      <c r="H1885" t="str">
        <f>_xlfn.XLOOKUP(A1885,Fact_Events!$D$2:$D$20,Fact_Events!$A$2:$A$20, "")</f>
        <v/>
      </c>
      <c r="I1885">
        <f t="shared" si="237"/>
        <v>0</v>
      </c>
      <c r="J1885" t="str">
        <f>_xlfn.XLOOKUP(H1885, Fact_Events!$A$2:$A$20, Fact_Events!$F$2:$F$20, "")</f>
        <v/>
      </c>
      <c r="K1885" t="str">
        <f t="shared" si="238"/>
        <v>Low</v>
      </c>
      <c r="L1885">
        <f t="shared" si="239"/>
        <v>0.55000000000000004</v>
      </c>
      <c r="M1885">
        <f>_xlfn.XLOOKUP(B1885, Dim_Hotel!$A$2:$A$11, Dim_Hotel!$I$2:$I$11)
 + (IF(J1885="",0,J1885)
    * _xlfn.XLOOKUP(B1885, Dim_Hotel!$A$2:$A$11, Dim_Hotel!$J$2:$J$11))</f>
        <v>135</v>
      </c>
    </row>
    <row r="1886" spans="1:13" x14ac:dyDescent="0.25">
      <c r="A1886" s="1">
        <f t="shared" si="232"/>
        <v>46211</v>
      </c>
      <c r="B1886" t="str" cm="1">
        <f t="array" ref="B1886">INDEX(HotelList,MOD(ROW()-2,10)+1)</f>
        <v>H005</v>
      </c>
      <c r="C1886">
        <f>_xlfn.XLOOKUP(B1886,Dim_Hotel!$A$2:$A$11,Dim_Hotel!$F$2:$F$11)</f>
        <v>66</v>
      </c>
      <c r="D1886">
        <f t="shared" si="233"/>
        <v>36</v>
      </c>
      <c r="E1886">
        <f t="shared" si="234"/>
        <v>0.54545454545454541</v>
      </c>
      <c r="F1886">
        <f t="shared" si="235"/>
        <v>82</v>
      </c>
      <c r="G1886">
        <f t="shared" si="236"/>
        <v>44.727272727272727</v>
      </c>
      <c r="H1886" t="str">
        <f>_xlfn.XLOOKUP(A1886,Fact_Events!$D$2:$D$20,Fact_Events!$A$2:$A$20, "")</f>
        <v/>
      </c>
      <c r="I1886">
        <f t="shared" si="237"/>
        <v>0</v>
      </c>
      <c r="J1886" t="str">
        <f>_xlfn.XLOOKUP(H1886, Fact_Events!$A$2:$A$20, Fact_Events!$F$2:$F$20, "")</f>
        <v/>
      </c>
      <c r="K1886" t="str">
        <f t="shared" si="238"/>
        <v>Low</v>
      </c>
      <c r="L1886">
        <f t="shared" si="239"/>
        <v>0.55000000000000004</v>
      </c>
      <c r="M1886">
        <f>_xlfn.XLOOKUP(B1886, Dim_Hotel!$A$2:$A$11, Dim_Hotel!$I$2:$I$11)
 + (IF(J1886="",0,J1886)
    * _xlfn.XLOOKUP(B1886, Dim_Hotel!$A$2:$A$11, Dim_Hotel!$J$2:$J$11))</f>
        <v>82</v>
      </c>
    </row>
    <row r="1887" spans="1:13" x14ac:dyDescent="0.25">
      <c r="A1887" s="1">
        <f t="shared" si="232"/>
        <v>46211</v>
      </c>
      <c r="B1887" t="str" cm="1">
        <f t="array" ref="B1887">INDEX(HotelList,MOD(ROW()-2,10)+1)</f>
        <v>H006</v>
      </c>
      <c r="C1887">
        <f>_xlfn.XLOOKUP(B1887,Dim_Hotel!$A$2:$A$11,Dim_Hotel!$F$2:$F$11)</f>
        <v>311</v>
      </c>
      <c r="D1887">
        <f t="shared" si="233"/>
        <v>171</v>
      </c>
      <c r="E1887">
        <f t="shared" si="234"/>
        <v>0.54983922829581988</v>
      </c>
      <c r="F1887">
        <f t="shared" si="235"/>
        <v>190</v>
      </c>
      <c r="G1887">
        <f t="shared" si="236"/>
        <v>104.46945337620578</v>
      </c>
      <c r="H1887" t="str">
        <f>_xlfn.XLOOKUP(A1887,Fact_Events!$D$2:$D$20,Fact_Events!$A$2:$A$20, "")</f>
        <v/>
      </c>
      <c r="I1887">
        <f t="shared" si="237"/>
        <v>0</v>
      </c>
      <c r="J1887" t="str">
        <f>_xlfn.XLOOKUP(H1887, Fact_Events!$A$2:$A$20, Fact_Events!$F$2:$F$20, "")</f>
        <v/>
      </c>
      <c r="K1887" t="str">
        <f t="shared" si="238"/>
        <v>Low</v>
      </c>
      <c r="L1887">
        <f t="shared" si="239"/>
        <v>0.55000000000000004</v>
      </c>
      <c r="M1887">
        <f>_xlfn.XLOOKUP(B1887, Dim_Hotel!$A$2:$A$11, Dim_Hotel!$I$2:$I$11)
 + (IF(J1887="",0,J1887)
    * _xlfn.XLOOKUP(B1887, Dim_Hotel!$A$2:$A$11, Dim_Hotel!$J$2:$J$11))</f>
        <v>190</v>
      </c>
    </row>
    <row r="1888" spans="1:13" x14ac:dyDescent="0.25">
      <c r="A1888" s="1">
        <f t="shared" si="232"/>
        <v>46211</v>
      </c>
      <c r="B1888" t="str" cm="1">
        <f t="array" ref="B1888">INDEX(HotelList,MOD(ROW()-2,10)+1)</f>
        <v>H007</v>
      </c>
      <c r="C1888">
        <f>_xlfn.XLOOKUP(B1888,Dim_Hotel!$A$2:$A$11,Dim_Hotel!$F$2:$F$11)</f>
        <v>132</v>
      </c>
      <c r="D1888">
        <f t="shared" si="233"/>
        <v>73</v>
      </c>
      <c r="E1888">
        <f t="shared" si="234"/>
        <v>0.55303030303030298</v>
      </c>
      <c r="F1888">
        <f t="shared" si="235"/>
        <v>165</v>
      </c>
      <c r="G1888">
        <f t="shared" si="236"/>
        <v>91.249999999999986</v>
      </c>
      <c r="H1888" t="str">
        <f>_xlfn.XLOOKUP(A1888,Fact_Events!$D$2:$D$20,Fact_Events!$A$2:$A$20, "")</f>
        <v/>
      </c>
      <c r="I1888">
        <f t="shared" si="237"/>
        <v>0</v>
      </c>
      <c r="J1888" t="str">
        <f>_xlfn.XLOOKUP(H1888, Fact_Events!$A$2:$A$20, Fact_Events!$F$2:$F$20, "")</f>
        <v/>
      </c>
      <c r="K1888" t="str">
        <f t="shared" si="238"/>
        <v>Low</v>
      </c>
      <c r="L1888">
        <f t="shared" si="239"/>
        <v>0.55000000000000004</v>
      </c>
      <c r="M1888">
        <f>_xlfn.XLOOKUP(B1888, Dim_Hotel!$A$2:$A$11, Dim_Hotel!$I$2:$I$11)
 + (IF(J1888="",0,J1888)
    * _xlfn.XLOOKUP(B1888, Dim_Hotel!$A$2:$A$11, Dim_Hotel!$J$2:$J$11))</f>
        <v>165</v>
      </c>
    </row>
    <row r="1889" spans="1:13" x14ac:dyDescent="0.25">
      <c r="A1889" s="1">
        <f t="shared" si="232"/>
        <v>46211</v>
      </c>
      <c r="B1889" t="str" cm="1">
        <f t="array" ref="B1889">INDEX(HotelList,MOD(ROW()-2,10)+1)</f>
        <v>H008</v>
      </c>
      <c r="C1889">
        <f>_xlfn.XLOOKUP(B1889,Dim_Hotel!$A$2:$A$11,Dim_Hotel!$F$2:$F$11)</f>
        <v>103</v>
      </c>
      <c r="D1889">
        <f t="shared" si="233"/>
        <v>57</v>
      </c>
      <c r="E1889">
        <f t="shared" si="234"/>
        <v>0.55339805825242716</v>
      </c>
      <c r="F1889">
        <f t="shared" si="235"/>
        <v>140</v>
      </c>
      <c r="G1889">
        <f t="shared" si="236"/>
        <v>77.475728155339809</v>
      </c>
      <c r="H1889" t="str">
        <f>_xlfn.XLOOKUP(A1889,Fact_Events!$D$2:$D$20,Fact_Events!$A$2:$A$20, "")</f>
        <v/>
      </c>
      <c r="I1889">
        <f t="shared" si="237"/>
        <v>0</v>
      </c>
      <c r="J1889" t="str">
        <f>_xlfn.XLOOKUP(H1889, Fact_Events!$A$2:$A$20, Fact_Events!$F$2:$F$20, "")</f>
        <v/>
      </c>
      <c r="K1889" t="str">
        <f t="shared" si="238"/>
        <v>Low</v>
      </c>
      <c r="L1889">
        <f t="shared" si="239"/>
        <v>0.55000000000000004</v>
      </c>
      <c r="M1889">
        <f>_xlfn.XLOOKUP(B1889, Dim_Hotel!$A$2:$A$11, Dim_Hotel!$I$2:$I$11)
 + (IF(J1889="",0,J1889)
    * _xlfn.XLOOKUP(B1889, Dim_Hotel!$A$2:$A$11, Dim_Hotel!$J$2:$J$11))</f>
        <v>140</v>
      </c>
    </row>
    <row r="1890" spans="1:13" x14ac:dyDescent="0.25">
      <c r="A1890" s="1">
        <f t="shared" si="232"/>
        <v>46211</v>
      </c>
      <c r="B1890" t="str" cm="1">
        <f t="array" ref="B1890">INDEX(HotelList,MOD(ROW()-2,10)+1)</f>
        <v>H009</v>
      </c>
      <c r="C1890">
        <f>_xlfn.XLOOKUP(B1890,Dim_Hotel!$A$2:$A$11,Dim_Hotel!$F$2:$F$11)</f>
        <v>114</v>
      </c>
      <c r="D1890">
        <f t="shared" si="233"/>
        <v>63</v>
      </c>
      <c r="E1890">
        <f t="shared" si="234"/>
        <v>0.55263157894736847</v>
      </c>
      <c r="F1890">
        <f t="shared" si="235"/>
        <v>185</v>
      </c>
      <c r="G1890">
        <f t="shared" si="236"/>
        <v>102.23684210526316</v>
      </c>
      <c r="H1890" t="str">
        <f>_xlfn.XLOOKUP(A1890,Fact_Events!$D$2:$D$20,Fact_Events!$A$2:$A$20, "")</f>
        <v/>
      </c>
      <c r="I1890">
        <f t="shared" si="237"/>
        <v>0</v>
      </c>
      <c r="J1890" t="str">
        <f>_xlfn.XLOOKUP(H1890, Fact_Events!$A$2:$A$20, Fact_Events!$F$2:$F$20, "")</f>
        <v/>
      </c>
      <c r="K1890" t="str">
        <f t="shared" si="238"/>
        <v>Low</v>
      </c>
      <c r="L1890">
        <f t="shared" si="239"/>
        <v>0.55000000000000004</v>
      </c>
      <c r="M1890">
        <f>_xlfn.XLOOKUP(B1890, Dim_Hotel!$A$2:$A$11, Dim_Hotel!$I$2:$I$11)
 + (IF(J1890="",0,J1890)
    * _xlfn.XLOOKUP(B1890, Dim_Hotel!$A$2:$A$11, Dim_Hotel!$J$2:$J$11))</f>
        <v>185</v>
      </c>
    </row>
    <row r="1891" spans="1:13" x14ac:dyDescent="0.25">
      <c r="A1891" s="1">
        <f t="shared" si="232"/>
        <v>46211</v>
      </c>
      <c r="B1891" t="str" cm="1">
        <f t="array" ref="B1891">INDEX(HotelList,MOD(ROW()-2,10)+1)</f>
        <v>H010</v>
      </c>
      <c r="C1891">
        <f>_xlfn.XLOOKUP(B1891,Dim_Hotel!$A$2:$A$11,Dim_Hotel!$F$2:$F$11)</f>
        <v>89</v>
      </c>
      <c r="D1891">
        <f t="shared" si="233"/>
        <v>49</v>
      </c>
      <c r="E1891">
        <f t="shared" si="234"/>
        <v>0.550561797752809</v>
      </c>
      <c r="F1891">
        <f t="shared" si="235"/>
        <v>150</v>
      </c>
      <c r="G1891">
        <f t="shared" si="236"/>
        <v>82.584269662921344</v>
      </c>
      <c r="H1891" t="str">
        <f>_xlfn.XLOOKUP(A1891,Fact_Events!$D$2:$D$20,Fact_Events!$A$2:$A$20, "")</f>
        <v/>
      </c>
      <c r="I1891">
        <f t="shared" si="237"/>
        <v>0</v>
      </c>
      <c r="J1891" t="str">
        <f>_xlfn.XLOOKUP(H1891, Fact_Events!$A$2:$A$20, Fact_Events!$F$2:$F$20, "")</f>
        <v/>
      </c>
      <c r="K1891" t="str">
        <f t="shared" si="238"/>
        <v>Low</v>
      </c>
      <c r="L1891">
        <f t="shared" si="239"/>
        <v>0.55000000000000004</v>
      </c>
      <c r="M1891">
        <f>_xlfn.XLOOKUP(B1891, Dim_Hotel!$A$2:$A$11, Dim_Hotel!$I$2:$I$11)
 + (IF(J1891="",0,J1891)
    * _xlfn.XLOOKUP(B1891, Dim_Hotel!$A$2:$A$11, Dim_Hotel!$J$2:$J$11))</f>
        <v>150</v>
      </c>
    </row>
    <row r="1892" spans="1:13" x14ac:dyDescent="0.25">
      <c r="A1892" s="1">
        <f t="shared" si="232"/>
        <v>46212</v>
      </c>
      <c r="B1892" t="str" cm="1">
        <f t="array" ref="B1892">INDEX(HotelList,MOD(ROW()-2,10)+1)</f>
        <v>H001</v>
      </c>
      <c r="C1892">
        <f>_xlfn.XLOOKUP(B1892,Dim_Hotel!$A$2:$A$11,Dim_Hotel!$F$2:$F$11)</f>
        <v>888</v>
      </c>
      <c r="D1892">
        <f t="shared" si="233"/>
        <v>488</v>
      </c>
      <c r="E1892">
        <f t="shared" si="234"/>
        <v>0.5495495495495496</v>
      </c>
      <c r="F1892">
        <f t="shared" si="235"/>
        <v>260</v>
      </c>
      <c r="G1892">
        <f t="shared" si="236"/>
        <v>142.88288288288288</v>
      </c>
      <c r="H1892" t="str">
        <f>_xlfn.XLOOKUP(A1892,Fact_Events!$D$2:$D$20,Fact_Events!$A$2:$A$20, "")</f>
        <v/>
      </c>
      <c r="I1892">
        <f t="shared" si="237"/>
        <v>0</v>
      </c>
      <c r="J1892" t="str">
        <f>_xlfn.XLOOKUP(H1892, Fact_Events!$A$2:$A$20, Fact_Events!$F$2:$F$20, "")</f>
        <v/>
      </c>
      <c r="K1892" t="str">
        <f t="shared" si="238"/>
        <v>Low</v>
      </c>
      <c r="L1892">
        <f t="shared" si="239"/>
        <v>0.55000000000000004</v>
      </c>
      <c r="M1892">
        <f>_xlfn.XLOOKUP(B1892, Dim_Hotel!$A$2:$A$11, Dim_Hotel!$I$2:$I$11)
 + (IF(J1892="",0,J1892)
    * _xlfn.XLOOKUP(B1892, Dim_Hotel!$A$2:$A$11, Dim_Hotel!$J$2:$J$11))</f>
        <v>260</v>
      </c>
    </row>
    <row r="1893" spans="1:13" x14ac:dyDescent="0.25">
      <c r="A1893" s="1">
        <f t="shared" si="232"/>
        <v>46212</v>
      </c>
      <c r="B1893" t="str" cm="1">
        <f t="array" ref="B1893">INDEX(HotelList,MOD(ROW()-2,10)+1)</f>
        <v>H002</v>
      </c>
      <c r="C1893">
        <f>_xlfn.XLOOKUP(B1893,Dim_Hotel!$A$2:$A$11,Dim_Hotel!$F$2:$F$11)</f>
        <v>147</v>
      </c>
      <c r="D1893">
        <f t="shared" si="233"/>
        <v>81</v>
      </c>
      <c r="E1893">
        <f t="shared" si="234"/>
        <v>0.55102040816326525</v>
      </c>
      <c r="F1893">
        <f t="shared" si="235"/>
        <v>175</v>
      </c>
      <c r="G1893">
        <f t="shared" si="236"/>
        <v>96.428571428571416</v>
      </c>
      <c r="H1893" t="str">
        <f>_xlfn.XLOOKUP(A1893,Fact_Events!$D$2:$D$20,Fact_Events!$A$2:$A$20, "")</f>
        <v/>
      </c>
      <c r="I1893">
        <f t="shared" si="237"/>
        <v>0</v>
      </c>
      <c r="J1893" t="str">
        <f>_xlfn.XLOOKUP(H1893, Fact_Events!$A$2:$A$20, Fact_Events!$F$2:$F$20, "")</f>
        <v/>
      </c>
      <c r="K1893" t="str">
        <f t="shared" si="238"/>
        <v>Low</v>
      </c>
      <c r="L1893">
        <f t="shared" si="239"/>
        <v>0.55000000000000004</v>
      </c>
      <c r="M1893">
        <f>_xlfn.XLOOKUP(B1893, Dim_Hotel!$A$2:$A$11, Dim_Hotel!$I$2:$I$11)
 + (IF(J1893="",0,J1893)
    * _xlfn.XLOOKUP(B1893, Dim_Hotel!$A$2:$A$11, Dim_Hotel!$J$2:$J$11))</f>
        <v>175</v>
      </c>
    </row>
    <row r="1894" spans="1:13" x14ac:dyDescent="0.25">
      <c r="A1894" s="1">
        <f t="shared" si="232"/>
        <v>46212</v>
      </c>
      <c r="B1894" t="str" cm="1">
        <f t="array" ref="B1894">INDEX(HotelList,MOD(ROW()-2,10)+1)</f>
        <v>H003</v>
      </c>
      <c r="C1894">
        <f>_xlfn.XLOOKUP(B1894,Dim_Hotel!$A$2:$A$11,Dim_Hotel!$F$2:$F$11)</f>
        <v>121</v>
      </c>
      <c r="D1894">
        <f t="shared" si="233"/>
        <v>67</v>
      </c>
      <c r="E1894">
        <f t="shared" si="234"/>
        <v>0.55371900826446285</v>
      </c>
      <c r="F1894">
        <f t="shared" si="235"/>
        <v>145</v>
      </c>
      <c r="G1894">
        <f t="shared" si="236"/>
        <v>80.289256198347118</v>
      </c>
      <c r="H1894" t="str">
        <f>_xlfn.XLOOKUP(A1894,Fact_Events!$D$2:$D$20,Fact_Events!$A$2:$A$20, "")</f>
        <v/>
      </c>
      <c r="I1894">
        <f t="shared" si="237"/>
        <v>0</v>
      </c>
      <c r="J1894" t="str">
        <f>_xlfn.XLOOKUP(H1894, Fact_Events!$A$2:$A$20, Fact_Events!$F$2:$F$20, "")</f>
        <v/>
      </c>
      <c r="K1894" t="str">
        <f t="shared" si="238"/>
        <v>Low</v>
      </c>
      <c r="L1894">
        <f t="shared" si="239"/>
        <v>0.55000000000000004</v>
      </c>
      <c r="M1894">
        <f>_xlfn.XLOOKUP(B1894, Dim_Hotel!$A$2:$A$11, Dim_Hotel!$I$2:$I$11)
 + (IF(J1894="",0,J1894)
    * _xlfn.XLOOKUP(B1894, Dim_Hotel!$A$2:$A$11, Dim_Hotel!$J$2:$J$11))</f>
        <v>145</v>
      </c>
    </row>
    <row r="1895" spans="1:13" x14ac:dyDescent="0.25">
      <c r="A1895" s="1">
        <f t="shared" si="232"/>
        <v>46212</v>
      </c>
      <c r="B1895" t="str" cm="1">
        <f t="array" ref="B1895">INDEX(HotelList,MOD(ROW()-2,10)+1)</f>
        <v>H004</v>
      </c>
      <c r="C1895">
        <f>_xlfn.XLOOKUP(B1895,Dim_Hotel!$A$2:$A$11,Dim_Hotel!$F$2:$F$11)</f>
        <v>108</v>
      </c>
      <c r="D1895">
        <f t="shared" si="233"/>
        <v>59</v>
      </c>
      <c r="E1895">
        <f t="shared" si="234"/>
        <v>0.54629629629629628</v>
      </c>
      <c r="F1895">
        <f t="shared" si="235"/>
        <v>135</v>
      </c>
      <c r="G1895">
        <f t="shared" si="236"/>
        <v>73.75</v>
      </c>
      <c r="H1895" t="str">
        <f>_xlfn.XLOOKUP(A1895,Fact_Events!$D$2:$D$20,Fact_Events!$A$2:$A$20, "")</f>
        <v/>
      </c>
      <c r="I1895">
        <f t="shared" si="237"/>
        <v>0</v>
      </c>
      <c r="J1895" t="str">
        <f>_xlfn.XLOOKUP(H1895, Fact_Events!$A$2:$A$20, Fact_Events!$F$2:$F$20, "")</f>
        <v/>
      </c>
      <c r="K1895" t="str">
        <f t="shared" si="238"/>
        <v>Low</v>
      </c>
      <c r="L1895">
        <f t="shared" si="239"/>
        <v>0.55000000000000004</v>
      </c>
      <c r="M1895">
        <f>_xlfn.XLOOKUP(B1895, Dim_Hotel!$A$2:$A$11, Dim_Hotel!$I$2:$I$11)
 + (IF(J1895="",0,J1895)
    * _xlfn.XLOOKUP(B1895, Dim_Hotel!$A$2:$A$11, Dim_Hotel!$J$2:$J$11))</f>
        <v>135</v>
      </c>
    </row>
    <row r="1896" spans="1:13" x14ac:dyDescent="0.25">
      <c r="A1896" s="1">
        <f t="shared" si="232"/>
        <v>46212</v>
      </c>
      <c r="B1896" t="str" cm="1">
        <f t="array" ref="B1896">INDEX(HotelList,MOD(ROW()-2,10)+1)</f>
        <v>H005</v>
      </c>
      <c r="C1896">
        <f>_xlfn.XLOOKUP(B1896,Dim_Hotel!$A$2:$A$11,Dim_Hotel!$F$2:$F$11)</f>
        <v>66</v>
      </c>
      <c r="D1896">
        <f t="shared" si="233"/>
        <v>36</v>
      </c>
      <c r="E1896">
        <f t="shared" si="234"/>
        <v>0.54545454545454541</v>
      </c>
      <c r="F1896">
        <f t="shared" si="235"/>
        <v>82</v>
      </c>
      <c r="G1896">
        <f t="shared" si="236"/>
        <v>44.727272727272727</v>
      </c>
      <c r="H1896" t="str">
        <f>_xlfn.XLOOKUP(A1896,Fact_Events!$D$2:$D$20,Fact_Events!$A$2:$A$20, "")</f>
        <v/>
      </c>
      <c r="I1896">
        <f t="shared" si="237"/>
        <v>0</v>
      </c>
      <c r="J1896" t="str">
        <f>_xlfn.XLOOKUP(H1896, Fact_Events!$A$2:$A$20, Fact_Events!$F$2:$F$20, "")</f>
        <v/>
      </c>
      <c r="K1896" t="str">
        <f t="shared" si="238"/>
        <v>Low</v>
      </c>
      <c r="L1896">
        <f t="shared" si="239"/>
        <v>0.55000000000000004</v>
      </c>
      <c r="M1896">
        <f>_xlfn.XLOOKUP(B1896, Dim_Hotel!$A$2:$A$11, Dim_Hotel!$I$2:$I$11)
 + (IF(J1896="",0,J1896)
    * _xlfn.XLOOKUP(B1896, Dim_Hotel!$A$2:$A$11, Dim_Hotel!$J$2:$J$11))</f>
        <v>82</v>
      </c>
    </row>
    <row r="1897" spans="1:13" x14ac:dyDescent="0.25">
      <c r="A1897" s="1">
        <f t="shared" si="232"/>
        <v>46212</v>
      </c>
      <c r="B1897" t="str" cm="1">
        <f t="array" ref="B1897">INDEX(HotelList,MOD(ROW()-2,10)+1)</f>
        <v>H006</v>
      </c>
      <c r="C1897">
        <f>_xlfn.XLOOKUP(B1897,Dim_Hotel!$A$2:$A$11,Dim_Hotel!$F$2:$F$11)</f>
        <v>311</v>
      </c>
      <c r="D1897">
        <f t="shared" si="233"/>
        <v>171</v>
      </c>
      <c r="E1897">
        <f t="shared" si="234"/>
        <v>0.54983922829581988</v>
      </c>
      <c r="F1897">
        <f t="shared" si="235"/>
        <v>190</v>
      </c>
      <c r="G1897">
        <f t="shared" si="236"/>
        <v>104.46945337620578</v>
      </c>
      <c r="H1897" t="str">
        <f>_xlfn.XLOOKUP(A1897,Fact_Events!$D$2:$D$20,Fact_Events!$A$2:$A$20, "")</f>
        <v/>
      </c>
      <c r="I1897">
        <f t="shared" si="237"/>
        <v>0</v>
      </c>
      <c r="J1897" t="str">
        <f>_xlfn.XLOOKUP(H1897, Fact_Events!$A$2:$A$20, Fact_Events!$F$2:$F$20, "")</f>
        <v/>
      </c>
      <c r="K1897" t="str">
        <f t="shared" si="238"/>
        <v>Low</v>
      </c>
      <c r="L1897">
        <f t="shared" si="239"/>
        <v>0.55000000000000004</v>
      </c>
      <c r="M1897">
        <f>_xlfn.XLOOKUP(B1897, Dim_Hotel!$A$2:$A$11, Dim_Hotel!$I$2:$I$11)
 + (IF(J1897="",0,J1897)
    * _xlfn.XLOOKUP(B1897, Dim_Hotel!$A$2:$A$11, Dim_Hotel!$J$2:$J$11))</f>
        <v>190</v>
      </c>
    </row>
    <row r="1898" spans="1:13" x14ac:dyDescent="0.25">
      <c r="A1898" s="1">
        <f t="shared" si="232"/>
        <v>46212</v>
      </c>
      <c r="B1898" t="str" cm="1">
        <f t="array" ref="B1898">INDEX(HotelList,MOD(ROW()-2,10)+1)</f>
        <v>H007</v>
      </c>
      <c r="C1898">
        <f>_xlfn.XLOOKUP(B1898,Dim_Hotel!$A$2:$A$11,Dim_Hotel!$F$2:$F$11)</f>
        <v>132</v>
      </c>
      <c r="D1898">
        <f t="shared" si="233"/>
        <v>73</v>
      </c>
      <c r="E1898">
        <f t="shared" si="234"/>
        <v>0.55303030303030298</v>
      </c>
      <c r="F1898">
        <f t="shared" si="235"/>
        <v>165</v>
      </c>
      <c r="G1898">
        <f t="shared" si="236"/>
        <v>91.249999999999986</v>
      </c>
      <c r="H1898" t="str">
        <f>_xlfn.XLOOKUP(A1898,Fact_Events!$D$2:$D$20,Fact_Events!$A$2:$A$20, "")</f>
        <v/>
      </c>
      <c r="I1898">
        <f t="shared" si="237"/>
        <v>0</v>
      </c>
      <c r="J1898" t="str">
        <f>_xlfn.XLOOKUP(H1898, Fact_Events!$A$2:$A$20, Fact_Events!$F$2:$F$20, "")</f>
        <v/>
      </c>
      <c r="K1898" t="str">
        <f t="shared" si="238"/>
        <v>Low</v>
      </c>
      <c r="L1898">
        <f t="shared" si="239"/>
        <v>0.55000000000000004</v>
      </c>
      <c r="M1898">
        <f>_xlfn.XLOOKUP(B1898, Dim_Hotel!$A$2:$A$11, Dim_Hotel!$I$2:$I$11)
 + (IF(J1898="",0,J1898)
    * _xlfn.XLOOKUP(B1898, Dim_Hotel!$A$2:$A$11, Dim_Hotel!$J$2:$J$11))</f>
        <v>165</v>
      </c>
    </row>
    <row r="1899" spans="1:13" x14ac:dyDescent="0.25">
      <c r="A1899" s="1">
        <f t="shared" si="232"/>
        <v>46212</v>
      </c>
      <c r="B1899" t="str" cm="1">
        <f t="array" ref="B1899">INDEX(HotelList,MOD(ROW()-2,10)+1)</f>
        <v>H008</v>
      </c>
      <c r="C1899">
        <f>_xlfn.XLOOKUP(B1899,Dim_Hotel!$A$2:$A$11,Dim_Hotel!$F$2:$F$11)</f>
        <v>103</v>
      </c>
      <c r="D1899">
        <f t="shared" si="233"/>
        <v>57</v>
      </c>
      <c r="E1899">
        <f t="shared" si="234"/>
        <v>0.55339805825242716</v>
      </c>
      <c r="F1899">
        <f t="shared" si="235"/>
        <v>140</v>
      </c>
      <c r="G1899">
        <f t="shared" si="236"/>
        <v>77.475728155339809</v>
      </c>
      <c r="H1899" t="str">
        <f>_xlfn.XLOOKUP(A1899,Fact_Events!$D$2:$D$20,Fact_Events!$A$2:$A$20, "")</f>
        <v/>
      </c>
      <c r="I1899">
        <f t="shared" si="237"/>
        <v>0</v>
      </c>
      <c r="J1899" t="str">
        <f>_xlfn.XLOOKUP(H1899, Fact_Events!$A$2:$A$20, Fact_Events!$F$2:$F$20, "")</f>
        <v/>
      </c>
      <c r="K1899" t="str">
        <f t="shared" si="238"/>
        <v>Low</v>
      </c>
      <c r="L1899">
        <f t="shared" si="239"/>
        <v>0.55000000000000004</v>
      </c>
      <c r="M1899">
        <f>_xlfn.XLOOKUP(B1899, Dim_Hotel!$A$2:$A$11, Dim_Hotel!$I$2:$I$11)
 + (IF(J1899="",0,J1899)
    * _xlfn.XLOOKUP(B1899, Dim_Hotel!$A$2:$A$11, Dim_Hotel!$J$2:$J$11))</f>
        <v>140</v>
      </c>
    </row>
    <row r="1900" spans="1:13" x14ac:dyDescent="0.25">
      <c r="A1900" s="1">
        <f t="shared" si="232"/>
        <v>46212</v>
      </c>
      <c r="B1900" t="str" cm="1">
        <f t="array" ref="B1900">INDEX(HotelList,MOD(ROW()-2,10)+1)</f>
        <v>H009</v>
      </c>
      <c r="C1900">
        <f>_xlfn.XLOOKUP(B1900,Dim_Hotel!$A$2:$A$11,Dim_Hotel!$F$2:$F$11)</f>
        <v>114</v>
      </c>
      <c r="D1900">
        <f t="shared" si="233"/>
        <v>63</v>
      </c>
      <c r="E1900">
        <f t="shared" si="234"/>
        <v>0.55263157894736847</v>
      </c>
      <c r="F1900">
        <f t="shared" si="235"/>
        <v>185</v>
      </c>
      <c r="G1900">
        <f t="shared" si="236"/>
        <v>102.23684210526316</v>
      </c>
      <c r="H1900" t="str">
        <f>_xlfn.XLOOKUP(A1900,Fact_Events!$D$2:$D$20,Fact_Events!$A$2:$A$20, "")</f>
        <v/>
      </c>
      <c r="I1900">
        <f t="shared" si="237"/>
        <v>0</v>
      </c>
      <c r="J1900" t="str">
        <f>_xlfn.XLOOKUP(H1900, Fact_Events!$A$2:$A$20, Fact_Events!$F$2:$F$20, "")</f>
        <v/>
      </c>
      <c r="K1900" t="str">
        <f t="shared" si="238"/>
        <v>Low</v>
      </c>
      <c r="L1900">
        <f t="shared" si="239"/>
        <v>0.55000000000000004</v>
      </c>
      <c r="M1900">
        <f>_xlfn.XLOOKUP(B1900, Dim_Hotel!$A$2:$A$11, Dim_Hotel!$I$2:$I$11)
 + (IF(J1900="",0,J1900)
    * _xlfn.XLOOKUP(B1900, Dim_Hotel!$A$2:$A$11, Dim_Hotel!$J$2:$J$11))</f>
        <v>185</v>
      </c>
    </row>
    <row r="1901" spans="1:13" x14ac:dyDescent="0.25">
      <c r="A1901" s="1">
        <f t="shared" si="232"/>
        <v>46212</v>
      </c>
      <c r="B1901" t="str" cm="1">
        <f t="array" ref="B1901">INDEX(HotelList,MOD(ROW()-2,10)+1)</f>
        <v>H010</v>
      </c>
      <c r="C1901">
        <f>_xlfn.XLOOKUP(B1901,Dim_Hotel!$A$2:$A$11,Dim_Hotel!$F$2:$F$11)</f>
        <v>89</v>
      </c>
      <c r="D1901">
        <f t="shared" si="233"/>
        <v>49</v>
      </c>
      <c r="E1901">
        <f t="shared" si="234"/>
        <v>0.550561797752809</v>
      </c>
      <c r="F1901">
        <f t="shared" si="235"/>
        <v>150</v>
      </c>
      <c r="G1901">
        <f t="shared" si="236"/>
        <v>82.584269662921344</v>
      </c>
      <c r="H1901" t="str">
        <f>_xlfn.XLOOKUP(A1901,Fact_Events!$D$2:$D$20,Fact_Events!$A$2:$A$20, "")</f>
        <v/>
      </c>
      <c r="I1901">
        <f t="shared" si="237"/>
        <v>0</v>
      </c>
      <c r="J1901" t="str">
        <f>_xlfn.XLOOKUP(H1901, Fact_Events!$A$2:$A$20, Fact_Events!$F$2:$F$20, "")</f>
        <v/>
      </c>
      <c r="K1901" t="str">
        <f t="shared" si="238"/>
        <v>Low</v>
      </c>
      <c r="L1901">
        <f t="shared" si="239"/>
        <v>0.55000000000000004</v>
      </c>
      <c r="M1901">
        <f>_xlfn.XLOOKUP(B1901, Dim_Hotel!$A$2:$A$11, Dim_Hotel!$I$2:$I$11)
 + (IF(J1901="",0,J1901)
    * _xlfn.XLOOKUP(B1901, Dim_Hotel!$A$2:$A$11, Dim_Hotel!$J$2:$J$11))</f>
        <v>150</v>
      </c>
    </row>
    <row r="1902" spans="1:13" x14ac:dyDescent="0.25">
      <c r="A1902" s="1">
        <f t="shared" si="232"/>
        <v>46213</v>
      </c>
      <c r="B1902" t="str" cm="1">
        <f t="array" ref="B1902">INDEX(HotelList,MOD(ROW()-2,10)+1)</f>
        <v>H001</v>
      </c>
      <c r="C1902">
        <f>_xlfn.XLOOKUP(B1902,Dim_Hotel!$A$2:$A$11,Dim_Hotel!$F$2:$F$11)</f>
        <v>888</v>
      </c>
      <c r="D1902">
        <f t="shared" si="233"/>
        <v>488</v>
      </c>
      <c r="E1902">
        <f t="shared" si="234"/>
        <v>0.5495495495495496</v>
      </c>
      <c r="F1902">
        <f t="shared" si="235"/>
        <v>260</v>
      </c>
      <c r="G1902">
        <f t="shared" si="236"/>
        <v>142.88288288288288</v>
      </c>
      <c r="H1902" t="str">
        <f>_xlfn.XLOOKUP(A1902,Fact_Events!$D$2:$D$20,Fact_Events!$A$2:$A$20, "")</f>
        <v/>
      </c>
      <c r="I1902">
        <f t="shared" si="237"/>
        <v>0</v>
      </c>
      <c r="J1902" t="str">
        <f>_xlfn.XLOOKUP(H1902, Fact_Events!$A$2:$A$20, Fact_Events!$F$2:$F$20, "")</f>
        <v/>
      </c>
      <c r="K1902" t="str">
        <f t="shared" si="238"/>
        <v>Low</v>
      </c>
      <c r="L1902">
        <f t="shared" si="239"/>
        <v>0.55000000000000004</v>
      </c>
      <c r="M1902">
        <f>_xlfn.XLOOKUP(B1902, Dim_Hotel!$A$2:$A$11, Dim_Hotel!$I$2:$I$11)
 + (IF(J1902="",0,J1902)
    * _xlfn.XLOOKUP(B1902, Dim_Hotel!$A$2:$A$11, Dim_Hotel!$J$2:$J$11))</f>
        <v>260</v>
      </c>
    </row>
    <row r="1903" spans="1:13" x14ac:dyDescent="0.25">
      <c r="A1903" s="1">
        <f t="shared" si="232"/>
        <v>46213</v>
      </c>
      <c r="B1903" t="str" cm="1">
        <f t="array" ref="B1903">INDEX(HotelList,MOD(ROW()-2,10)+1)</f>
        <v>H002</v>
      </c>
      <c r="C1903">
        <f>_xlfn.XLOOKUP(B1903,Dim_Hotel!$A$2:$A$11,Dim_Hotel!$F$2:$F$11)</f>
        <v>147</v>
      </c>
      <c r="D1903">
        <f t="shared" si="233"/>
        <v>81</v>
      </c>
      <c r="E1903">
        <f t="shared" si="234"/>
        <v>0.55102040816326525</v>
      </c>
      <c r="F1903">
        <f t="shared" si="235"/>
        <v>175</v>
      </c>
      <c r="G1903">
        <f t="shared" si="236"/>
        <v>96.428571428571416</v>
      </c>
      <c r="H1903" t="str">
        <f>_xlfn.XLOOKUP(A1903,Fact_Events!$D$2:$D$20,Fact_Events!$A$2:$A$20, "")</f>
        <v/>
      </c>
      <c r="I1903">
        <f t="shared" si="237"/>
        <v>0</v>
      </c>
      <c r="J1903" t="str">
        <f>_xlfn.XLOOKUP(H1903, Fact_Events!$A$2:$A$20, Fact_Events!$F$2:$F$20, "")</f>
        <v/>
      </c>
      <c r="K1903" t="str">
        <f t="shared" si="238"/>
        <v>Low</v>
      </c>
      <c r="L1903">
        <f t="shared" si="239"/>
        <v>0.55000000000000004</v>
      </c>
      <c r="M1903">
        <f>_xlfn.XLOOKUP(B1903, Dim_Hotel!$A$2:$A$11, Dim_Hotel!$I$2:$I$11)
 + (IF(J1903="",0,J1903)
    * _xlfn.XLOOKUP(B1903, Dim_Hotel!$A$2:$A$11, Dim_Hotel!$J$2:$J$11))</f>
        <v>175</v>
      </c>
    </row>
    <row r="1904" spans="1:13" x14ac:dyDescent="0.25">
      <c r="A1904" s="1">
        <f t="shared" si="232"/>
        <v>46213</v>
      </c>
      <c r="B1904" t="str" cm="1">
        <f t="array" ref="B1904">INDEX(HotelList,MOD(ROW()-2,10)+1)</f>
        <v>H003</v>
      </c>
      <c r="C1904">
        <f>_xlfn.XLOOKUP(B1904,Dim_Hotel!$A$2:$A$11,Dim_Hotel!$F$2:$F$11)</f>
        <v>121</v>
      </c>
      <c r="D1904">
        <f t="shared" si="233"/>
        <v>67</v>
      </c>
      <c r="E1904">
        <f t="shared" si="234"/>
        <v>0.55371900826446285</v>
      </c>
      <c r="F1904">
        <f t="shared" si="235"/>
        <v>145</v>
      </c>
      <c r="G1904">
        <f t="shared" si="236"/>
        <v>80.289256198347118</v>
      </c>
      <c r="H1904" t="str">
        <f>_xlfn.XLOOKUP(A1904,Fact_Events!$D$2:$D$20,Fact_Events!$A$2:$A$20, "")</f>
        <v/>
      </c>
      <c r="I1904">
        <f t="shared" si="237"/>
        <v>0</v>
      </c>
      <c r="J1904" t="str">
        <f>_xlfn.XLOOKUP(H1904, Fact_Events!$A$2:$A$20, Fact_Events!$F$2:$F$20, "")</f>
        <v/>
      </c>
      <c r="K1904" t="str">
        <f t="shared" si="238"/>
        <v>Low</v>
      </c>
      <c r="L1904">
        <f t="shared" si="239"/>
        <v>0.55000000000000004</v>
      </c>
      <c r="M1904">
        <f>_xlfn.XLOOKUP(B1904, Dim_Hotel!$A$2:$A$11, Dim_Hotel!$I$2:$I$11)
 + (IF(J1904="",0,J1904)
    * _xlfn.XLOOKUP(B1904, Dim_Hotel!$A$2:$A$11, Dim_Hotel!$J$2:$J$11))</f>
        <v>145</v>
      </c>
    </row>
    <row r="1905" spans="1:13" x14ac:dyDescent="0.25">
      <c r="A1905" s="1">
        <f t="shared" si="232"/>
        <v>46213</v>
      </c>
      <c r="B1905" t="str" cm="1">
        <f t="array" ref="B1905">INDEX(HotelList,MOD(ROW()-2,10)+1)</f>
        <v>H004</v>
      </c>
      <c r="C1905">
        <f>_xlfn.XLOOKUP(B1905,Dim_Hotel!$A$2:$A$11,Dim_Hotel!$F$2:$F$11)</f>
        <v>108</v>
      </c>
      <c r="D1905">
        <f t="shared" si="233"/>
        <v>59</v>
      </c>
      <c r="E1905">
        <f t="shared" si="234"/>
        <v>0.54629629629629628</v>
      </c>
      <c r="F1905">
        <f t="shared" si="235"/>
        <v>135</v>
      </c>
      <c r="G1905">
        <f t="shared" si="236"/>
        <v>73.75</v>
      </c>
      <c r="H1905" t="str">
        <f>_xlfn.XLOOKUP(A1905,Fact_Events!$D$2:$D$20,Fact_Events!$A$2:$A$20, "")</f>
        <v/>
      </c>
      <c r="I1905">
        <f t="shared" si="237"/>
        <v>0</v>
      </c>
      <c r="J1905" t="str">
        <f>_xlfn.XLOOKUP(H1905, Fact_Events!$A$2:$A$20, Fact_Events!$F$2:$F$20, "")</f>
        <v/>
      </c>
      <c r="K1905" t="str">
        <f t="shared" si="238"/>
        <v>Low</v>
      </c>
      <c r="L1905">
        <f t="shared" si="239"/>
        <v>0.55000000000000004</v>
      </c>
      <c r="M1905">
        <f>_xlfn.XLOOKUP(B1905, Dim_Hotel!$A$2:$A$11, Dim_Hotel!$I$2:$I$11)
 + (IF(J1905="",0,J1905)
    * _xlfn.XLOOKUP(B1905, Dim_Hotel!$A$2:$A$11, Dim_Hotel!$J$2:$J$11))</f>
        <v>135</v>
      </c>
    </row>
    <row r="1906" spans="1:13" x14ac:dyDescent="0.25">
      <c r="A1906" s="1">
        <f t="shared" si="232"/>
        <v>46213</v>
      </c>
      <c r="B1906" t="str" cm="1">
        <f t="array" ref="B1906">INDEX(HotelList,MOD(ROW()-2,10)+1)</f>
        <v>H005</v>
      </c>
      <c r="C1906">
        <f>_xlfn.XLOOKUP(B1906,Dim_Hotel!$A$2:$A$11,Dim_Hotel!$F$2:$F$11)</f>
        <v>66</v>
      </c>
      <c r="D1906">
        <f t="shared" si="233"/>
        <v>36</v>
      </c>
      <c r="E1906">
        <f t="shared" si="234"/>
        <v>0.54545454545454541</v>
      </c>
      <c r="F1906">
        <f t="shared" si="235"/>
        <v>82</v>
      </c>
      <c r="G1906">
        <f t="shared" si="236"/>
        <v>44.727272727272727</v>
      </c>
      <c r="H1906" t="str">
        <f>_xlfn.XLOOKUP(A1906,Fact_Events!$D$2:$D$20,Fact_Events!$A$2:$A$20, "")</f>
        <v/>
      </c>
      <c r="I1906">
        <f t="shared" si="237"/>
        <v>0</v>
      </c>
      <c r="J1906" t="str">
        <f>_xlfn.XLOOKUP(H1906, Fact_Events!$A$2:$A$20, Fact_Events!$F$2:$F$20, "")</f>
        <v/>
      </c>
      <c r="K1906" t="str">
        <f t="shared" si="238"/>
        <v>Low</v>
      </c>
      <c r="L1906">
        <f t="shared" si="239"/>
        <v>0.55000000000000004</v>
      </c>
      <c r="M1906">
        <f>_xlfn.XLOOKUP(B1906, Dim_Hotel!$A$2:$A$11, Dim_Hotel!$I$2:$I$11)
 + (IF(J1906="",0,J1906)
    * _xlfn.XLOOKUP(B1906, Dim_Hotel!$A$2:$A$11, Dim_Hotel!$J$2:$J$11))</f>
        <v>82</v>
      </c>
    </row>
    <row r="1907" spans="1:13" x14ac:dyDescent="0.25">
      <c r="A1907" s="1">
        <f t="shared" si="232"/>
        <v>46213</v>
      </c>
      <c r="B1907" t="str" cm="1">
        <f t="array" ref="B1907">INDEX(HotelList,MOD(ROW()-2,10)+1)</f>
        <v>H006</v>
      </c>
      <c r="C1907">
        <f>_xlfn.XLOOKUP(B1907,Dim_Hotel!$A$2:$A$11,Dim_Hotel!$F$2:$F$11)</f>
        <v>311</v>
      </c>
      <c r="D1907">
        <f t="shared" si="233"/>
        <v>171</v>
      </c>
      <c r="E1907">
        <f t="shared" si="234"/>
        <v>0.54983922829581988</v>
      </c>
      <c r="F1907">
        <f t="shared" si="235"/>
        <v>190</v>
      </c>
      <c r="G1907">
        <f t="shared" si="236"/>
        <v>104.46945337620578</v>
      </c>
      <c r="H1907" t="str">
        <f>_xlfn.XLOOKUP(A1907,Fact_Events!$D$2:$D$20,Fact_Events!$A$2:$A$20, "")</f>
        <v/>
      </c>
      <c r="I1907">
        <f t="shared" si="237"/>
        <v>0</v>
      </c>
      <c r="J1907" t="str">
        <f>_xlfn.XLOOKUP(H1907, Fact_Events!$A$2:$A$20, Fact_Events!$F$2:$F$20, "")</f>
        <v/>
      </c>
      <c r="K1907" t="str">
        <f t="shared" si="238"/>
        <v>Low</v>
      </c>
      <c r="L1907">
        <f t="shared" si="239"/>
        <v>0.55000000000000004</v>
      </c>
      <c r="M1907">
        <f>_xlfn.XLOOKUP(B1907, Dim_Hotel!$A$2:$A$11, Dim_Hotel!$I$2:$I$11)
 + (IF(J1907="",0,J1907)
    * _xlfn.XLOOKUP(B1907, Dim_Hotel!$A$2:$A$11, Dim_Hotel!$J$2:$J$11))</f>
        <v>190</v>
      </c>
    </row>
    <row r="1908" spans="1:13" x14ac:dyDescent="0.25">
      <c r="A1908" s="1">
        <f t="shared" si="232"/>
        <v>46213</v>
      </c>
      <c r="B1908" t="str" cm="1">
        <f t="array" ref="B1908">INDEX(HotelList,MOD(ROW()-2,10)+1)</f>
        <v>H007</v>
      </c>
      <c r="C1908">
        <f>_xlfn.XLOOKUP(B1908,Dim_Hotel!$A$2:$A$11,Dim_Hotel!$F$2:$F$11)</f>
        <v>132</v>
      </c>
      <c r="D1908">
        <f t="shared" si="233"/>
        <v>73</v>
      </c>
      <c r="E1908">
        <f t="shared" si="234"/>
        <v>0.55303030303030298</v>
      </c>
      <c r="F1908">
        <f t="shared" si="235"/>
        <v>165</v>
      </c>
      <c r="G1908">
        <f t="shared" si="236"/>
        <v>91.249999999999986</v>
      </c>
      <c r="H1908" t="str">
        <f>_xlfn.XLOOKUP(A1908,Fact_Events!$D$2:$D$20,Fact_Events!$A$2:$A$20, "")</f>
        <v/>
      </c>
      <c r="I1908">
        <f t="shared" si="237"/>
        <v>0</v>
      </c>
      <c r="J1908" t="str">
        <f>_xlfn.XLOOKUP(H1908, Fact_Events!$A$2:$A$20, Fact_Events!$F$2:$F$20, "")</f>
        <v/>
      </c>
      <c r="K1908" t="str">
        <f t="shared" si="238"/>
        <v>Low</v>
      </c>
      <c r="L1908">
        <f t="shared" si="239"/>
        <v>0.55000000000000004</v>
      </c>
      <c r="M1908">
        <f>_xlfn.XLOOKUP(B1908, Dim_Hotel!$A$2:$A$11, Dim_Hotel!$I$2:$I$11)
 + (IF(J1908="",0,J1908)
    * _xlfn.XLOOKUP(B1908, Dim_Hotel!$A$2:$A$11, Dim_Hotel!$J$2:$J$11))</f>
        <v>165</v>
      </c>
    </row>
    <row r="1909" spans="1:13" x14ac:dyDescent="0.25">
      <c r="A1909" s="1">
        <f t="shared" si="232"/>
        <v>46213</v>
      </c>
      <c r="B1909" t="str" cm="1">
        <f t="array" ref="B1909">INDEX(HotelList,MOD(ROW()-2,10)+1)</f>
        <v>H008</v>
      </c>
      <c r="C1909">
        <f>_xlfn.XLOOKUP(B1909,Dim_Hotel!$A$2:$A$11,Dim_Hotel!$F$2:$F$11)</f>
        <v>103</v>
      </c>
      <c r="D1909">
        <f t="shared" si="233"/>
        <v>57</v>
      </c>
      <c r="E1909">
        <f t="shared" si="234"/>
        <v>0.55339805825242716</v>
      </c>
      <c r="F1909">
        <f t="shared" si="235"/>
        <v>140</v>
      </c>
      <c r="G1909">
        <f t="shared" si="236"/>
        <v>77.475728155339809</v>
      </c>
      <c r="H1909" t="str">
        <f>_xlfn.XLOOKUP(A1909,Fact_Events!$D$2:$D$20,Fact_Events!$A$2:$A$20, "")</f>
        <v/>
      </c>
      <c r="I1909">
        <f t="shared" si="237"/>
        <v>0</v>
      </c>
      <c r="J1909" t="str">
        <f>_xlfn.XLOOKUP(H1909, Fact_Events!$A$2:$A$20, Fact_Events!$F$2:$F$20, "")</f>
        <v/>
      </c>
      <c r="K1909" t="str">
        <f t="shared" si="238"/>
        <v>Low</v>
      </c>
      <c r="L1909">
        <f t="shared" si="239"/>
        <v>0.55000000000000004</v>
      </c>
      <c r="M1909">
        <f>_xlfn.XLOOKUP(B1909, Dim_Hotel!$A$2:$A$11, Dim_Hotel!$I$2:$I$11)
 + (IF(J1909="",0,J1909)
    * _xlfn.XLOOKUP(B1909, Dim_Hotel!$A$2:$A$11, Dim_Hotel!$J$2:$J$11))</f>
        <v>140</v>
      </c>
    </row>
    <row r="1910" spans="1:13" x14ac:dyDescent="0.25">
      <c r="A1910" s="1">
        <f t="shared" si="232"/>
        <v>46213</v>
      </c>
      <c r="B1910" t="str" cm="1">
        <f t="array" ref="B1910">INDEX(HotelList,MOD(ROW()-2,10)+1)</f>
        <v>H009</v>
      </c>
      <c r="C1910">
        <f>_xlfn.XLOOKUP(B1910,Dim_Hotel!$A$2:$A$11,Dim_Hotel!$F$2:$F$11)</f>
        <v>114</v>
      </c>
      <c r="D1910">
        <f t="shared" si="233"/>
        <v>63</v>
      </c>
      <c r="E1910">
        <f t="shared" si="234"/>
        <v>0.55263157894736847</v>
      </c>
      <c r="F1910">
        <f t="shared" si="235"/>
        <v>185</v>
      </c>
      <c r="G1910">
        <f t="shared" si="236"/>
        <v>102.23684210526316</v>
      </c>
      <c r="H1910" t="str">
        <f>_xlfn.XLOOKUP(A1910,Fact_Events!$D$2:$D$20,Fact_Events!$A$2:$A$20, "")</f>
        <v/>
      </c>
      <c r="I1910">
        <f t="shared" si="237"/>
        <v>0</v>
      </c>
      <c r="J1910" t="str">
        <f>_xlfn.XLOOKUP(H1910, Fact_Events!$A$2:$A$20, Fact_Events!$F$2:$F$20, "")</f>
        <v/>
      </c>
      <c r="K1910" t="str">
        <f t="shared" si="238"/>
        <v>Low</v>
      </c>
      <c r="L1910">
        <f t="shared" si="239"/>
        <v>0.55000000000000004</v>
      </c>
      <c r="M1910">
        <f>_xlfn.XLOOKUP(B1910, Dim_Hotel!$A$2:$A$11, Dim_Hotel!$I$2:$I$11)
 + (IF(J1910="",0,J1910)
    * _xlfn.XLOOKUP(B1910, Dim_Hotel!$A$2:$A$11, Dim_Hotel!$J$2:$J$11))</f>
        <v>185</v>
      </c>
    </row>
    <row r="1911" spans="1:13" x14ac:dyDescent="0.25">
      <c r="A1911" s="1">
        <f t="shared" si="232"/>
        <v>46213</v>
      </c>
      <c r="B1911" t="str" cm="1">
        <f t="array" ref="B1911">INDEX(HotelList,MOD(ROW()-2,10)+1)</f>
        <v>H010</v>
      </c>
      <c r="C1911">
        <f>_xlfn.XLOOKUP(B1911,Dim_Hotel!$A$2:$A$11,Dim_Hotel!$F$2:$F$11)</f>
        <v>89</v>
      </c>
      <c r="D1911">
        <f t="shared" si="233"/>
        <v>49</v>
      </c>
      <c r="E1911">
        <f t="shared" si="234"/>
        <v>0.550561797752809</v>
      </c>
      <c r="F1911">
        <f t="shared" si="235"/>
        <v>150</v>
      </c>
      <c r="G1911">
        <f t="shared" si="236"/>
        <v>82.584269662921344</v>
      </c>
      <c r="H1911" t="str">
        <f>_xlfn.XLOOKUP(A1911,Fact_Events!$D$2:$D$20,Fact_Events!$A$2:$A$20, "")</f>
        <v/>
      </c>
      <c r="I1911">
        <f t="shared" si="237"/>
        <v>0</v>
      </c>
      <c r="J1911" t="str">
        <f>_xlfn.XLOOKUP(H1911, Fact_Events!$A$2:$A$20, Fact_Events!$F$2:$F$20, "")</f>
        <v/>
      </c>
      <c r="K1911" t="str">
        <f t="shared" si="238"/>
        <v>Low</v>
      </c>
      <c r="L1911">
        <f t="shared" si="239"/>
        <v>0.55000000000000004</v>
      </c>
      <c r="M1911">
        <f>_xlfn.XLOOKUP(B1911, Dim_Hotel!$A$2:$A$11, Dim_Hotel!$I$2:$I$11)
 + (IF(J1911="",0,J1911)
    * _xlfn.XLOOKUP(B1911, Dim_Hotel!$A$2:$A$11, Dim_Hotel!$J$2:$J$11))</f>
        <v>150</v>
      </c>
    </row>
    <row r="1912" spans="1:13" x14ac:dyDescent="0.25">
      <c r="A1912" s="1">
        <f t="shared" si="232"/>
        <v>46214</v>
      </c>
      <c r="B1912" t="str" cm="1">
        <f t="array" ref="B1912">INDEX(HotelList,MOD(ROW()-2,10)+1)</f>
        <v>H001</v>
      </c>
      <c r="C1912">
        <f>_xlfn.XLOOKUP(B1912,Dim_Hotel!$A$2:$A$11,Dim_Hotel!$F$2:$F$11)</f>
        <v>888</v>
      </c>
      <c r="D1912">
        <f t="shared" si="233"/>
        <v>488</v>
      </c>
      <c r="E1912">
        <f t="shared" si="234"/>
        <v>0.5495495495495496</v>
      </c>
      <c r="F1912">
        <f t="shared" si="235"/>
        <v>260</v>
      </c>
      <c r="G1912">
        <f t="shared" si="236"/>
        <v>142.88288288288288</v>
      </c>
      <c r="H1912" t="str">
        <f>_xlfn.XLOOKUP(A1912,Fact_Events!$D$2:$D$20,Fact_Events!$A$2:$A$20, "")</f>
        <v/>
      </c>
      <c r="I1912">
        <f t="shared" si="237"/>
        <v>0</v>
      </c>
      <c r="J1912" t="str">
        <f>_xlfn.XLOOKUP(H1912, Fact_Events!$A$2:$A$20, Fact_Events!$F$2:$F$20, "")</f>
        <v/>
      </c>
      <c r="K1912" t="str">
        <f t="shared" si="238"/>
        <v>Low</v>
      </c>
      <c r="L1912">
        <f t="shared" si="239"/>
        <v>0.55000000000000004</v>
      </c>
      <c r="M1912">
        <f>_xlfn.XLOOKUP(B1912, Dim_Hotel!$A$2:$A$11, Dim_Hotel!$I$2:$I$11)
 + (IF(J1912="",0,J1912)
    * _xlfn.XLOOKUP(B1912, Dim_Hotel!$A$2:$A$11, Dim_Hotel!$J$2:$J$11))</f>
        <v>260</v>
      </c>
    </row>
    <row r="1913" spans="1:13" x14ac:dyDescent="0.25">
      <c r="A1913" s="1">
        <f t="shared" si="232"/>
        <v>46214</v>
      </c>
      <c r="B1913" t="str" cm="1">
        <f t="array" ref="B1913">INDEX(HotelList,MOD(ROW()-2,10)+1)</f>
        <v>H002</v>
      </c>
      <c r="C1913">
        <f>_xlfn.XLOOKUP(B1913,Dim_Hotel!$A$2:$A$11,Dim_Hotel!$F$2:$F$11)</f>
        <v>147</v>
      </c>
      <c r="D1913">
        <f t="shared" si="233"/>
        <v>81</v>
      </c>
      <c r="E1913">
        <f t="shared" si="234"/>
        <v>0.55102040816326525</v>
      </c>
      <c r="F1913">
        <f t="shared" si="235"/>
        <v>175</v>
      </c>
      <c r="G1913">
        <f t="shared" si="236"/>
        <v>96.428571428571416</v>
      </c>
      <c r="H1913" t="str">
        <f>_xlfn.XLOOKUP(A1913,Fact_Events!$D$2:$D$20,Fact_Events!$A$2:$A$20, "")</f>
        <v/>
      </c>
      <c r="I1913">
        <f t="shared" si="237"/>
        <v>0</v>
      </c>
      <c r="J1913" t="str">
        <f>_xlfn.XLOOKUP(H1913, Fact_Events!$A$2:$A$20, Fact_Events!$F$2:$F$20, "")</f>
        <v/>
      </c>
      <c r="K1913" t="str">
        <f t="shared" si="238"/>
        <v>Low</v>
      </c>
      <c r="L1913">
        <f t="shared" si="239"/>
        <v>0.55000000000000004</v>
      </c>
      <c r="M1913">
        <f>_xlfn.XLOOKUP(B1913, Dim_Hotel!$A$2:$A$11, Dim_Hotel!$I$2:$I$11)
 + (IF(J1913="",0,J1913)
    * _xlfn.XLOOKUP(B1913, Dim_Hotel!$A$2:$A$11, Dim_Hotel!$J$2:$J$11))</f>
        <v>175</v>
      </c>
    </row>
    <row r="1914" spans="1:13" x14ac:dyDescent="0.25">
      <c r="A1914" s="1">
        <f t="shared" si="232"/>
        <v>46214</v>
      </c>
      <c r="B1914" t="str" cm="1">
        <f t="array" ref="B1914">INDEX(HotelList,MOD(ROW()-2,10)+1)</f>
        <v>H003</v>
      </c>
      <c r="C1914">
        <f>_xlfn.XLOOKUP(B1914,Dim_Hotel!$A$2:$A$11,Dim_Hotel!$F$2:$F$11)</f>
        <v>121</v>
      </c>
      <c r="D1914">
        <f t="shared" si="233"/>
        <v>67</v>
      </c>
      <c r="E1914">
        <f t="shared" si="234"/>
        <v>0.55371900826446285</v>
      </c>
      <c r="F1914">
        <f t="shared" si="235"/>
        <v>145</v>
      </c>
      <c r="G1914">
        <f t="shared" si="236"/>
        <v>80.289256198347118</v>
      </c>
      <c r="H1914" t="str">
        <f>_xlfn.XLOOKUP(A1914,Fact_Events!$D$2:$D$20,Fact_Events!$A$2:$A$20, "")</f>
        <v/>
      </c>
      <c r="I1914">
        <f t="shared" si="237"/>
        <v>0</v>
      </c>
      <c r="J1914" t="str">
        <f>_xlfn.XLOOKUP(H1914, Fact_Events!$A$2:$A$20, Fact_Events!$F$2:$F$20, "")</f>
        <v/>
      </c>
      <c r="K1914" t="str">
        <f t="shared" si="238"/>
        <v>Low</v>
      </c>
      <c r="L1914">
        <f t="shared" si="239"/>
        <v>0.55000000000000004</v>
      </c>
      <c r="M1914">
        <f>_xlfn.XLOOKUP(B1914, Dim_Hotel!$A$2:$A$11, Dim_Hotel!$I$2:$I$11)
 + (IF(J1914="",0,J1914)
    * _xlfn.XLOOKUP(B1914, Dim_Hotel!$A$2:$A$11, Dim_Hotel!$J$2:$J$11))</f>
        <v>145</v>
      </c>
    </row>
    <row r="1915" spans="1:13" x14ac:dyDescent="0.25">
      <c r="A1915" s="1">
        <f t="shared" si="232"/>
        <v>46214</v>
      </c>
      <c r="B1915" t="str" cm="1">
        <f t="array" ref="B1915">INDEX(HotelList,MOD(ROW()-2,10)+1)</f>
        <v>H004</v>
      </c>
      <c r="C1915">
        <f>_xlfn.XLOOKUP(B1915,Dim_Hotel!$A$2:$A$11,Dim_Hotel!$F$2:$F$11)</f>
        <v>108</v>
      </c>
      <c r="D1915">
        <f t="shared" si="233"/>
        <v>59</v>
      </c>
      <c r="E1915">
        <f t="shared" si="234"/>
        <v>0.54629629629629628</v>
      </c>
      <c r="F1915">
        <f t="shared" si="235"/>
        <v>135</v>
      </c>
      <c r="G1915">
        <f t="shared" si="236"/>
        <v>73.75</v>
      </c>
      <c r="H1915" t="str">
        <f>_xlfn.XLOOKUP(A1915,Fact_Events!$D$2:$D$20,Fact_Events!$A$2:$A$20, "")</f>
        <v/>
      </c>
      <c r="I1915">
        <f t="shared" si="237"/>
        <v>0</v>
      </c>
      <c r="J1915" t="str">
        <f>_xlfn.XLOOKUP(H1915, Fact_Events!$A$2:$A$20, Fact_Events!$F$2:$F$20, "")</f>
        <v/>
      </c>
      <c r="K1915" t="str">
        <f t="shared" si="238"/>
        <v>Low</v>
      </c>
      <c r="L1915">
        <f t="shared" si="239"/>
        <v>0.55000000000000004</v>
      </c>
      <c r="M1915">
        <f>_xlfn.XLOOKUP(B1915, Dim_Hotel!$A$2:$A$11, Dim_Hotel!$I$2:$I$11)
 + (IF(J1915="",0,J1915)
    * _xlfn.XLOOKUP(B1915, Dim_Hotel!$A$2:$A$11, Dim_Hotel!$J$2:$J$11))</f>
        <v>135</v>
      </c>
    </row>
    <row r="1916" spans="1:13" x14ac:dyDescent="0.25">
      <c r="A1916" s="1">
        <f t="shared" si="232"/>
        <v>46214</v>
      </c>
      <c r="B1916" t="str" cm="1">
        <f t="array" ref="B1916">INDEX(HotelList,MOD(ROW()-2,10)+1)</f>
        <v>H005</v>
      </c>
      <c r="C1916">
        <f>_xlfn.XLOOKUP(B1916,Dim_Hotel!$A$2:$A$11,Dim_Hotel!$F$2:$F$11)</f>
        <v>66</v>
      </c>
      <c r="D1916">
        <f t="shared" si="233"/>
        <v>36</v>
      </c>
      <c r="E1916">
        <f t="shared" si="234"/>
        <v>0.54545454545454541</v>
      </c>
      <c r="F1916">
        <f t="shared" si="235"/>
        <v>82</v>
      </c>
      <c r="G1916">
        <f t="shared" si="236"/>
        <v>44.727272727272727</v>
      </c>
      <c r="H1916" t="str">
        <f>_xlfn.XLOOKUP(A1916,Fact_Events!$D$2:$D$20,Fact_Events!$A$2:$A$20, "")</f>
        <v/>
      </c>
      <c r="I1916">
        <f t="shared" si="237"/>
        <v>0</v>
      </c>
      <c r="J1916" t="str">
        <f>_xlfn.XLOOKUP(H1916, Fact_Events!$A$2:$A$20, Fact_Events!$F$2:$F$20, "")</f>
        <v/>
      </c>
      <c r="K1916" t="str">
        <f t="shared" si="238"/>
        <v>Low</v>
      </c>
      <c r="L1916">
        <f t="shared" si="239"/>
        <v>0.55000000000000004</v>
      </c>
      <c r="M1916">
        <f>_xlfn.XLOOKUP(B1916, Dim_Hotel!$A$2:$A$11, Dim_Hotel!$I$2:$I$11)
 + (IF(J1916="",0,J1916)
    * _xlfn.XLOOKUP(B1916, Dim_Hotel!$A$2:$A$11, Dim_Hotel!$J$2:$J$11))</f>
        <v>82</v>
      </c>
    </row>
    <row r="1917" spans="1:13" x14ac:dyDescent="0.25">
      <c r="A1917" s="1">
        <f t="shared" si="232"/>
        <v>46214</v>
      </c>
      <c r="B1917" t="str" cm="1">
        <f t="array" ref="B1917">INDEX(HotelList,MOD(ROW()-2,10)+1)</f>
        <v>H006</v>
      </c>
      <c r="C1917">
        <f>_xlfn.XLOOKUP(B1917,Dim_Hotel!$A$2:$A$11,Dim_Hotel!$F$2:$F$11)</f>
        <v>311</v>
      </c>
      <c r="D1917">
        <f t="shared" si="233"/>
        <v>171</v>
      </c>
      <c r="E1917">
        <f t="shared" si="234"/>
        <v>0.54983922829581988</v>
      </c>
      <c r="F1917">
        <f t="shared" si="235"/>
        <v>190</v>
      </c>
      <c r="G1917">
        <f t="shared" si="236"/>
        <v>104.46945337620578</v>
      </c>
      <c r="H1917" t="str">
        <f>_xlfn.XLOOKUP(A1917,Fact_Events!$D$2:$D$20,Fact_Events!$A$2:$A$20, "")</f>
        <v/>
      </c>
      <c r="I1917">
        <f t="shared" si="237"/>
        <v>0</v>
      </c>
      <c r="J1917" t="str">
        <f>_xlfn.XLOOKUP(H1917, Fact_Events!$A$2:$A$20, Fact_Events!$F$2:$F$20, "")</f>
        <v/>
      </c>
      <c r="K1917" t="str">
        <f t="shared" si="238"/>
        <v>Low</v>
      </c>
      <c r="L1917">
        <f t="shared" si="239"/>
        <v>0.55000000000000004</v>
      </c>
      <c r="M1917">
        <f>_xlfn.XLOOKUP(B1917, Dim_Hotel!$A$2:$A$11, Dim_Hotel!$I$2:$I$11)
 + (IF(J1917="",0,J1917)
    * _xlfn.XLOOKUP(B1917, Dim_Hotel!$A$2:$A$11, Dim_Hotel!$J$2:$J$11))</f>
        <v>190</v>
      </c>
    </row>
    <row r="1918" spans="1:13" x14ac:dyDescent="0.25">
      <c r="A1918" s="1">
        <f t="shared" si="232"/>
        <v>46214</v>
      </c>
      <c r="B1918" t="str" cm="1">
        <f t="array" ref="B1918">INDEX(HotelList,MOD(ROW()-2,10)+1)</f>
        <v>H007</v>
      </c>
      <c r="C1918">
        <f>_xlfn.XLOOKUP(B1918,Dim_Hotel!$A$2:$A$11,Dim_Hotel!$F$2:$F$11)</f>
        <v>132</v>
      </c>
      <c r="D1918">
        <f t="shared" si="233"/>
        <v>73</v>
      </c>
      <c r="E1918">
        <f t="shared" si="234"/>
        <v>0.55303030303030298</v>
      </c>
      <c r="F1918">
        <f t="shared" si="235"/>
        <v>165</v>
      </c>
      <c r="G1918">
        <f t="shared" si="236"/>
        <v>91.249999999999986</v>
      </c>
      <c r="H1918" t="str">
        <f>_xlfn.XLOOKUP(A1918,Fact_Events!$D$2:$D$20,Fact_Events!$A$2:$A$20, "")</f>
        <v/>
      </c>
      <c r="I1918">
        <f t="shared" si="237"/>
        <v>0</v>
      </c>
      <c r="J1918" t="str">
        <f>_xlfn.XLOOKUP(H1918, Fact_Events!$A$2:$A$20, Fact_Events!$F$2:$F$20, "")</f>
        <v/>
      </c>
      <c r="K1918" t="str">
        <f t="shared" si="238"/>
        <v>Low</v>
      </c>
      <c r="L1918">
        <f t="shared" si="239"/>
        <v>0.55000000000000004</v>
      </c>
      <c r="M1918">
        <f>_xlfn.XLOOKUP(B1918, Dim_Hotel!$A$2:$A$11, Dim_Hotel!$I$2:$I$11)
 + (IF(J1918="",0,J1918)
    * _xlfn.XLOOKUP(B1918, Dim_Hotel!$A$2:$A$11, Dim_Hotel!$J$2:$J$11))</f>
        <v>165</v>
      </c>
    </row>
    <row r="1919" spans="1:13" x14ac:dyDescent="0.25">
      <c r="A1919" s="1">
        <f t="shared" si="232"/>
        <v>46214</v>
      </c>
      <c r="B1919" t="str" cm="1">
        <f t="array" ref="B1919">INDEX(HotelList,MOD(ROW()-2,10)+1)</f>
        <v>H008</v>
      </c>
      <c r="C1919">
        <f>_xlfn.XLOOKUP(B1919,Dim_Hotel!$A$2:$A$11,Dim_Hotel!$F$2:$F$11)</f>
        <v>103</v>
      </c>
      <c r="D1919">
        <f t="shared" si="233"/>
        <v>57</v>
      </c>
      <c r="E1919">
        <f t="shared" si="234"/>
        <v>0.55339805825242716</v>
      </c>
      <c r="F1919">
        <f t="shared" si="235"/>
        <v>140</v>
      </c>
      <c r="G1919">
        <f t="shared" si="236"/>
        <v>77.475728155339809</v>
      </c>
      <c r="H1919" t="str">
        <f>_xlfn.XLOOKUP(A1919,Fact_Events!$D$2:$D$20,Fact_Events!$A$2:$A$20, "")</f>
        <v/>
      </c>
      <c r="I1919">
        <f t="shared" si="237"/>
        <v>0</v>
      </c>
      <c r="J1919" t="str">
        <f>_xlfn.XLOOKUP(H1919, Fact_Events!$A$2:$A$20, Fact_Events!$F$2:$F$20, "")</f>
        <v/>
      </c>
      <c r="K1919" t="str">
        <f t="shared" si="238"/>
        <v>Low</v>
      </c>
      <c r="L1919">
        <f t="shared" si="239"/>
        <v>0.55000000000000004</v>
      </c>
      <c r="M1919">
        <f>_xlfn.XLOOKUP(B1919, Dim_Hotel!$A$2:$A$11, Dim_Hotel!$I$2:$I$11)
 + (IF(J1919="",0,J1919)
    * _xlfn.XLOOKUP(B1919, Dim_Hotel!$A$2:$A$11, Dim_Hotel!$J$2:$J$11))</f>
        <v>140</v>
      </c>
    </row>
    <row r="1920" spans="1:13" x14ac:dyDescent="0.25">
      <c r="A1920" s="1">
        <f t="shared" si="232"/>
        <v>46214</v>
      </c>
      <c r="B1920" t="str" cm="1">
        <f t="array" ref="B1920">INDEX(HotelList,MOD(ROW()-2,10)+1)</f>
        <v>H009</v>
      </c>
      <c r="C1920">
        <f>_xlfn.XLOOKUP(B1920,Dim_Hotel!$A$2:$A$11,Dim_Hotel!$F$2:$F$11)</f>
        <v>114</v>
      </c>
      <c r="D1920">
        <f t="shared" si="233"/>
        <v>63</v>
      </c>
      <c r="E1920">
        <f t="shared" si="234"/>
        <v>0.55263157894736847</v>
      </c>
      <c r="F1920">
        <f t="shared" si="235"/>
        <v>185</v>
      </c>
      <c r="G1920">
        <f t="shared" si="236"/>
        <v>102.23684210526316</v>
      </c>
      <c r="H1920" t="str">
        <f>_xlfn.XLOOKUP(A1920,Fact_Events!$D$2:$D$20,Fact_Events!$A$2:$A$20, "")</f>
        <v/>
      </c>
      <c r="I1920">
        <f t="shared" si="237"/>
        <v>0</v>
      </c>
      <c r="J1920" t="str">
        <f>_xlfn.XLOOKUP(H1920, Fact_Events!$A$2:$A$20, Fact_Events!$F$2:$F$20, "")</f>
        <v/>
      </c>
      <c r="K1920" t="str">
        <f t="shared" si="238"/>
        <v>Low</v>
      </c>
      <c r="L1920">
        <f t="shared" si="239"/>
        <v>0.55000000000000004</v>
      </c>
      <c r="M1920">
        <f>_xlfn.XLOOKUP(B1920, Dim_Hotel!$A$2:$A$11, Dim_Hotel!$I$2:$I$11)
 + (IF(J1920="",0,J1920)
    * _xlfn.XLOOKUP(B1920, Dim_Hotel!$A$2:$A$11, Dim_Hotel!$J$2:$J$11))</f>
        <v>185</v>
      </c>
    </row>
    <row r="1921" spans="1:13" x14ac:dyDescent="0.25">
      <c r="A1921" s="1">
        <f t="shared" si="232"/>
        <v>46214</v>
      </c>
      <c r="B1921" t="str" cm="1">
        <f t="array" ref="B1921">INDEX(HotelList,MOD(ROW()-2,10)+1)</f>
        <v>H010</v>
      </c>
      <c r="C1921">
        <f>_xlfn.XLOOKUP(B1921,Dim_Hotel!$A$2:$A$11,Dim_Hotel!$F$2:$F$11)</f>
        <v>89</v>
      </c>
      <c r="D1921">
        <f t="shared" si="233"/>
        <v>49</v>
      </c>
      <c r="E1921">
        <f t="shared" si="234"/>
        <v>0.550561797752809</v>
      </c>
      <c r="F1921">
        <f t="shared" si="235"/>
        <v>150</v>
      </c>
      <c r="G1921">
        <f t="shared" si="236"/>
        <v>82.584269662921344</v>
      </c>
      <c r="H1921" t="str">
        <f>_xlfn.XLOOKUP(A1921,Fact_Events!$D$2:$D$20,Fact_Events!$A$2:$A$20, "")</f>
        <v/>
      </c>
      <c r="I1921">
        <f t="shared" si="237"/>
        <v>0</v>
      </c>
      <c r="J1921" t="str">
        <f>_xlfn.XLOOKUP(H1921, Fact_Events!$A$2:$A$20, Fact_Events!$F$2:$F$20, "")</f>
        <v/>
      </c>
      <c r="K1921" t="str">
        <f t="shared" si="238"/>
        <v>Low</v>
      </c>
      <c r="L1921">
        <f t="shared" si="239"/>
        <v>0.55000000000000004</v>
      </c>
      <c r="M1921">
        <f>_xlfn.XLOOKUP(B1921, Dim_Hotel!$A$2:$A$11, Dim_Hotel!$I$2:$I$11)
 + (IF(J1921="",0,J1921)
    * _xlfn.XLOOKUP(B1921, Dim_Hotel!$A$2:$A$11, Dim_Hotel!$J$2:$J$11))</f>
        <v>150</v>
      </c>
    </row>
    <row r="1922" spans="1:13" x14ac:dyDescent="0.25">
      <c r="A1922" s="1">
        <f t="shared" si="232"/>
        <v>46215</v>
      </c>
      <c r="B1922" t="str" cm="1">
        <f t="array" ref="B1922">INDEX(HotelList,MOD(ROW()-2,10)+1)</f>
        <v>H001</v>
      </c>
      <c r="C1922">
        <f>_xlfn.XLOOKUP(B1922,Dim_Hotel!$A$2:$A$11,Dim_Hotel!$F$2:$F$11)</f>
        <v>888</v>
      </c>
      <c r="D1922">
        <f t="shared" si="233"/>
        <v>488</v>
      </c>
      <c r="E1922">
        <f t="shared" si="234"/>
        <v>0.5495495495495496</v>
      </c>
      <c r="F1922">
        <f t="shared" si="235"/>
        <v>260</v>
      </c>
      <c r="G1922">
        <f t="shared" si="236"/>
        <v>142.88288288288288</v>
      </c>
      <c r="H1922" t="str">
        <f>_xlfn.XLOOKUP(A1922,Fact_Events!$D$2:$D$20,Fact_Events!$A$2:$A$20, "")</f>
        <v/>
      </c>
      <c r="I1922">
        <f t="shared" si="237"/>
        <v>0</v>
      </c>
      <c r="J1922" t="str">
        <f>_xlfn.XLOOKUP(H1922, Fact_Events!$A$2:$A$20, Fact_Events!$F$2:$F$20, "")</f>
        <v/>
      </c>
      <c r="K1922" t="str">
        <f t="shared" si="238"/>
        <v>Low</v>
      </c>
      <c r="L1922">
        <f t="shared" si="239"/>
        <v>0.55000000000000004</v>
      </c>
      <c r="M1922">
        <f>_xlfn.XLOOKUP(B1922, Dim_Hotel!$A$2:$A$11, Dim_Hotel!$I$2:$I$11)
 + (IF(J1922="",0,J1922)
    * _xlfn.XLOOKUP(B1922, Dim_Hotel!$A$2:$A$11, Dim_Hotel!$J$2:$J$11))</f>
        <v>260</v>
      </c>
    </row>
    <row r="1923" spans="1:13" x14ac:dyDescent="0.25">
      <c r="A1923" s="1">
        <f t="shared" ref="A1923:A1986" si="240">DATE(2026,1,1) + INT((ROW()-2)/10)</f>
        <v>46215</v>
      </c>
      <c r="B1923" t="str" cm="1">
        <f t="array" ref="B1923">INDEX(HotelList,MOD(ROW()-2,10)+1)</f>
        <v>H002</v>
      </c>
      <c r="C1923">
        <f>_xlfn.XLOOKUP(B1923,Dim_Hotel!$A$2:$A$11,Dim_Hotel!$F$2:$F$11)</f>
        <v>147</v>
      </c>
      <c r="D1923">
        <f t="shared" ref="D1923:D1986" si="241">ROUND(L1923 * C1923, 0)</f>
        <v>81</v>
      </c>
      <c r="E1923">
        <f t="shared" ref="E1923:E1986" si="242">D1923/C1923</f>
        <v>0.55102040816326525</v>
      </c>
      <c r="F1923">
        <f t="shared" ref="F1923:F1986" si="243">M1923</f>
        <v>175</v>
      </c>
      <c r="G1923">
        <f t="shared" ref="G1923:G1986" si="244">E1923*F1923</f>
        <v>96.428571428571416</v>
      </c>
      <c r="H1923" t="str">
        <f>_xlfn.XLOOKUP(A1923,Fact_Events!$D$2:$D$20,Fact_Events!$A$2:$A$20, "")</f>
        <v/>
      </c>
      <c r="I1923">
        <f t="shared" ref="I1923:I1986" si="245">IF(H1923="",0,1)</f>
        <v>0</v>
      </c>
      <c r="J1923" t="str">
        <f>_xlfn.XLOOKUP(H1923, Fact_Events!$A$2:$A$20, Fact_Events!$F$2:$F$20, "")</f>
        <v/>
      </c>
      <c r="K1923" t="str">
        <f t="shared" ref="K1923:K1986" si="246">IF(I1923=0,"Low",
   IF(J1923&gt;=9,"High","Medium"))</f>
        <v>Low</v>
      </c>
      <c r="L1923">
        <f t="shared" ref="L1923:L1986" si="247">MIN(1,
  0.55
  + (I1923 * 0.25)
  + (IF(J1923="",0,J1923) / 100)
)</f>
        <v>0.55000000000000004</v>
      </c>
      <c r="M1923">
        <f>_xlfn.XLOOKUP(B1923, Dim_Hotel!$A$2:$A$11, Dim_Hotel!$I$2:$I$11)
 + (IF(J1923="",0,J1923)
    * _xlfn.XLOOKUP(B1923, Dim_Hotel!$A$2:$A$11, Dim_Hotel!$J$2:$J$11))</f>
        <v>175</v>
      </c>
    </row>
    <row r="1924" spans="1:13" x14ac:dyDescent="0.25">
      <c r="A1924" s="1">
        <f t="shared" si="240"/>
        <v>46215</v>
      </c>
      <c r="B1924" t="str" cm="1">
        <f t="array" ref="B1924">INDEX(HotelList,MOD(ROW()-2,10)+1)</f>
        <v>H003</v>
      </c>
      <c r="C1924">
        <f>_xlfn.XLOOKUP(B1924,Dim_Hotel!$A$2:$A$11,Dim_Hotel!$F$2:$F$11)</f>
        <v>121</v>
      </c>
      <c r="D1924">
        <f t="shared" si="241"/>
        <v>67</v>
      </c>
      <c r="E1924">
        <f t="shared" si="242"/>
        <v>0.55371900826446285</v>
      </c>
      <c r="F1924">
        <f t="shared" si="243"/>
        <v>145</v>
      </c>
      <c r="G1924">
        <f t="shared" si="244"/>
        <v>80.289256198347118</v>
      </c>
      <c r="H1924" t="str">
        <f>_xlfn.XLOOKUP(A1924,Fact_Events!$D$2:$D$20,Fact_Events!$A$2:$A$20, "")</f>
        <v/>
      </c>
      <c r="I1924">
        <f t="shared" si="245"/>
        <v>0</v>
      </c>
      <c r="J1924" t="str">
        <f>_xlfn.XLOOKUP(H1924, Fact_Events!$A$2:$A$20, Fact_Events!$F$2:$F$20, "")</f>
        <v/>
      </c>
      <c r="K1924" t="str">
        <f t="shared" si="246"/>
        <v>Low</v>
      </c>
      <c r="L1924">
        <f t="shared" si="247"/>
        <v>0.55000000000000004</v>
      </c>
      <c r="M1924">
        <f>_xlfn.XLOOKUP(B1924, Dim_Hotel!$A$2:$A$11, Dim_Hotel!$I$2:$I$11)
 + (IF(J1924="",0,J1924)
    * _xlfn.XLOOKUP(B1924, Dim_Hotel!$A$2:$A$11, Dim_Hotel!$J$2:$J$11))</f>
        <v>145</v>
      </c>
    </row>
    <row r="1925" spans="1:13" x14ac:dyDescent="0.25">
      <c r="A1925" s="1">
        <f t="shared" si="240"/>
        <v>46215</v>
      </c>
      <c r="B1925" t="str" cm="1">
        <f t="array" ref="B1925">INDEX(HotelList,MOD(ROW()-2,10)+1)</f>
        <v>H004</v>
      </c>
      <c r="C1925">
        <f>_xlfn.XLOOKUP(B1925,Dim_Hotel!$A$2:$A$11,Dim_Hotel!$F$2:$F$11)</f>
        <v>108</v>
      </c>
      <c r="D1925">
        <f t="shared" si="241"/>
        <v>59</v>
      </c>
      <c r="E1925">
        <f t="shared" si="242"/>
        <v>0.54629629629629628</v>
      </c>
      <c r="F1925">
        <f t="shared" si="243"/>
        <v>135</v>
      </c>
      <c r="G1925">
        <f t="shared" si="244"/>
        <v>73.75</v>
      </c>
      <c r="H1925" t="str">
        <f>_xlfn.XLOOKUP(A1925,Fact_Events!$D$2:$D$20,Fact_Events!$A$2:$A$20, "")</f>
        <v/>
      </c>
      <c r="I1925">
        <f t="shared" si="245"/>
        <v>0</v>
      </c>
      <c r="J1925" t="str">
        <f>_xlfn.XLOOKUP(H1925, Fact_Events!$A$2:$A$20, Fact_Events!$F$2:$F$20, "")</f>
        <v/>
      </c>
      <c r="K1925" t="str">
        <f t="shared" si="246"/>
        <v>Low</v>
      </c>
      <c r="L1925">
        <f t="shared" si="247"/>
        <v>0.55000000000000004</v>
      </c>
      <c r="M1925">
        <f>_xlfn.XLOOKUP(B1925, Dim_Hotel!$A$2:$A$11, Dim_Hotel!$I$2:$I$11)
 + (IF(J1925="",0,J1925)
    * _xlfn.XLOOKUP(B1925, Dim_Hotel!$A$2:$A$11, Dim_Hotel!$J$2:$J$11))</f>
        <v>135</v>
      </c>
    </row>
    <row r="1926" spans="1:13" x14ac:dyDescent="0.25">
      <c r="A1926" s="1">
        <f t="shared" si="240"/>
        <v>46215</v>
      </c>
      <c r="B1926" t="str" cm="1">
        <f t="array" ref="B1926">INDEX(HotelList,MOD(ROW()-2,10)+1)</f>
        <v>H005</v>
      </c>
      <c r="C1926">
        <f>_xlfn.XLOOKUP(B1926,Dim_Hotel!$A$2:$A$11,Dim_Hotel!$F$2:$F$11)</f>
        <v>66</v>
      </c>
      <c r="D1926">
        <f t="shared" si="241"/>
        <v>36</v>
      </c>
      <c r="E1926">
        <f t="shared" si="242"/>
        <v>0.54545454545454541</v>
      </c>
      <c r="F1926">
        <f t="shared" si="243"/>
        <v>82</v>
      </c>
      <c r="G1926">
        <f t="shared" si="244"/>
        <v>44.727272727272727</v>
      </c>
      <c r="H1926" t="str">
        <f>_xlfn.XLOOKUP(A1926,Fact_Events!$D$2:$D$20,Fact_Events!$A$2:$A$20, "")</f>
        <v/>
      </c>
      <c r="I1926">
        <f t="shared" si="245"/>
        <v>0</v>
      </c>
      <c r="J1926" t="str">
        <f>_xlfn.XLOOKUP(H1926, Fact_Events!$A$2:$A$20, Fact_Events!$F$2:$F$20, "")</f>
        <v/>
      </c>
      <c r="K1926" t="str">
        <f t="shared" si="246"/>
        <v>Low</v>
      </c>
      <c r="L1926">
        <f t="shared" si="247"/>
        <v>0.55000000000000004</v>
      </c>
      <c r="M1926">
        <f>_xlfn.XLOOKUP(B1926, Dim_Hotel!$A$2:$A$11, Dim_Hotel!$I$2:$I$11)
 + (IF(J1926="",0,J1926)
    * _xlfn.XLOOKUP(B1926, Dim_Hotel!$A$2:$A$11, Dim_Hotel!$J$2:$J$11))</f>
        <v>82</v>
      </c>
    </row>
    <row r="1927" spans="1:13" x14ac:dyDescent="0.25">
      <c r="A1927" s="1">
        <f t="shared" si="240"/>
        <v>46215</v>
      </c>
      <c r="B1927" t="str" cm="1">
        <f t="array" ref="B1927">INDEX(HotelList,MOD(ROW()-2,10)+1)</f>
        <v>H006</v>
      </c>
      <c r="C1927">
        <f>_xlfn.XLOOKUP(B1927,Dim_Hotel!$A$2:$A$11,Dim_Hotel!$F$2:$F$11)</f>
        <v>311</v>
      </c>
      <c r="D1927">
        <f t="shared" si="241"/>
        <v>171</v>
      </c>
      <c r="E1927">
        <f t="shared" si="242"/>
        <v>0.54983922829581988</v>
      </c>
      <c r="F1927">
        <f t="shared" si="243"/>
        <v>190</v>
      </c>
      <c r="G1927">
        <f t="shared" si="244"/>
        <v>104.46945337620578</v>
      </c>
      <c r="H1927" t="str">
        <f>_xlfn.XLOOKUP(A1927,Fact_Events!$D$2:$D$20,Fact_Events!$A$2:$A$20, "")</f>
        <v/>
      </c>
      <c r="I1927">
        <f t="shared" si="245"/>
        <v>0</v>
      </c>
      <c r="J1927" t="str">
        <f>_xlfn.XLOOKUP(H1927, Fact_Events!$A$2:$A$20, Fact_Events!$F$2:$F$20, "")</f>
        <v/>
      </c>
      <c r="K1927" t="str">
        <f t="shared" si="246"/>
        <v>Low</v>
      </c>
      <c r="L1927">
        <f t="shared" si="247"/>
        <v>0.55000000000000004</v>
      </c>
      <c r="M1927">
        <f>_xlfn.XLOOKUP(B1927, Dim_Hotel!$A$2:$A$11, Dim_Hotel!$I$2:$I$11)
 + (IF(J1927="",0,J1927)
    * _xlfn.XLOOKUP(B1927, Dim_Hotel!$A$2:$A$11, Dim_Hotel!$J$2:$J$11))</f>
        <v>190</v>
      </c>
    </row>
    <row r="1928" spans="1:13" x14ac:dyDescent="0.25">
      <c r="A1928" s="1">
        <f t="shared" si="240"/>
        <v>46215</v>
      </c>
      <c r="B1928" t="str" cm="1">
        <f t="array" ref="B1928">INDEX(HotelList,MOD(ROW()-2,10)+1)</f>
        <v>H007</v>
      </c>
      <c r="C1928">
        <f>_xlfn.XLOOKUP(B1928,Dim_Hotel!$A$2:$A$11,Dim_Hotel!$F$2:$F$11)</f>
        <v>132</v>
      </c>
      <c r="D1928">
        <f t="shared" si="241"/>
        <v>73</v>
      </c>
      <c r="E1928">
        <f t="shared" si="242"/>
        <v>0.55303030303030298</v>
      </c>
      <c r="F1928">
        <f t="shared" si="243"/>
        <v>165</v>
      </c>
      <c r="G1928">
        <f t="shared" si="244"/>
        <v>91.249999999999986</v>
      </c>
      <c r="H1928" t="str">
        <f>_xlfn.XLOOKUP(A1928,Fact_Events!$D$2:$D$20,Fact_Events!$A$2:$A$20, "")</f>
        <v/>
      </c>
      <c r="I1928">
        <f t="shared" si="245"/>
        <v>0</v>
      </c>
      <c r="J1928" t="str">
        <f>_xlfn.XLOOKUP(H1928, Fact_Events!$A$2:$A$20, Fact_Events!$F$2:$F$20, "")</f>
        <v/>
      </c>
      <c r="K1928" t="str">
        <f t="shared" si="246"/>
        <v>Low</v>
      </c>
      <c r="L1928">
        <f t="shared" si="247"/>
        <v>0.55000000000000004</v>
      </c>
      <c r="M1928">
        <f>_xlfn.XLOOKUP(B1928, Dim_Hotel!$A$2:$A$11, Dim_Hotel!$I$2:$I$11)
 + (IF(J1928="",0,J1928)
    * _xlfn.XLOOKUP(B1928, Dim_Hotel!$A$2:$A$11, Dim_Hotel!$J$2:$J$11))</f>
        <v>165</v>
      </c>
    </row>
    <row r="1929" spans="1:13" x14ac:dyDescent="0.25">
      <c r="A1929" s="1">
        <f t="shared" si="240"/>
        <v>46215</v>
      </c>
      <c r="B1929" t="str" cm="1">
        <f t="array" ref="B1929">INDEX(HotelList,MOD(ROW()-2,10)+1)</f>
        <v>H008</v>
      </c>
      <c r="C1929">
        <f>_xlfn.XLOOKUP(B1929,Dim_Hotel!$A$2:$A$11,Dim_Hotel!$F$2:$F$11)</f>
        <v>103</v>
      </c>
      <c r="D1929">
        <f t="shared" si="241"/>
        <v>57</v>
      </c>
      <c r="E1929">
        <f t="shared" si="242"/>
        <v>0.55339805825242716</v>
      </c>
      <c r="F1929">
        <f t="shared" si="243"/>
        <v>140</v>
      </c>
      <c r="G1929">
        <f t="shared" si="244"/>
        <v>77.475728155339809</v>
      </c>
      <c r="H1929" t="str">
        <f>_xlfn.XLOOKUP(A1929,Fact_Events!$D$2:$D$20,Fact_Events!$A$2:$A$20, "")</f>
        <v/>
      </c>
      <c r="I1929">
        <f t="shared" si="245"/>
        <v>0</v>
      </c>
      <c r="J1929" t="str">
        <f>_xlfn.XLOOKUP(H1929, Fact_Events!$A$2:$A$20, Fact_Events!$F$2:$F$20, "")</f>
        <v/>
      </c>
      <c r="K1929" t="str">
        <f t="shared" si="246"/>
        <v>Low</v>
      </c>
      <c r="L1929">
        <f t="shared" si="247"/>
        <v>0.55000000000000004</v>
      </c>
      <c r="M1929">
        <f>_xlfn.XLOOKUP(B1929, Dim_Hotel!$A$2:$A$11, Dim_Hotel!$I$2:$I$11)
 + (IF(J1929="",0,J1929)
    * _xlfn.XLOOKUP(B1929, Dim_Hotel!$A$2:$A$11, Dim_Hotel!$J$2:$J$11))</f>
        <v>140</v>
      </c>
    </row>
    <row r="1930" spans="1:13" x14ac:dyDescent="0.25">
      <c r="A1930" s="1">
        <f t="shared" si="240"/>
        <v>46215</v>
      </c>
      <c r="B1930" t="str" cm="1">
        <f t="array" ref="B1930">INDEX(HotelList,MOD(ROW()-2,10)+1)</f>
        <v>H009</v>
      </c>
      <c r="C1930">
        <f>_xlfn.XLOOKUP(B1930,Dim_Hotel!$A$2:$A$11,Dim_Hotel!$F$2:$F$11)</f>
        <v>114</v>
      </c>
      <c r="D1930">
        <f t="shared" si="241"/>
        <v>63</v>
      </c>
      <c r="E1930">
        <f t="shared" si="242"/>
        <v>0.55263157894736847</v>
      </c>
      <c r="F1930">
        <f t="shared" si="243"/>
        <v>185</v>
      </c>
      <c r="G1930">
        <f t="shared" si="244"/>
        <v>102.23684210526316</v>
      </c>
      <c r="H1930" t="str">
        <f>_xlfn.XLOOKUP(A1930,Fact_Events!$D$2:$D$20,Fact_Events!$A$2:$A$20, "")</f>
        <v/>
      </c>
      <c r="I1930">
        <f t="shared" si="245"/>
        <v>0</v>
      </c>
      <c r="J1930" t="str">
        <f>_xlfn.XLOOKUP(H1930, Fact_Events!$A$2:$A$20, Fact_Events!$F$2:$F$20, "")</f>
        <v/>
      </c>
      <c r="K1930" t="str">
        <f t="shared" si="246"/>
        <v>Low</v>
      </c>
      <c r="L1930">
        <f t="shared" si="247"/>
        <v>0.55000000000000004</v>
      </c>
      <c r="M1930">
        <f>_xlfn.XLOOKUP(B1930, Dim_Hotel!$A$2:$A$11, Dim_Hotel!$I$2:$I$11)
 + (IF(J1930="",0,J1930)
    * _xlfn.XLOOKUP(B1930, Dim_Hotel!$A$2:$A$11, Dim_Hotel!$J$2:$J$11))</f>
        <v>185</v>
      </c>
    </row>
    <row r="1931" spans="1:13" x14ac:dyDescent="0.25">
      <c r="A1931" s="1">
        <f t="shared" si="240"/>
        <v>46215</v>
      </c>
      <c r="B1931" t="str" cm="1">
        <f t="array" ref="B1931">INDEX(HotelList,MOD(ROW()-2,10)+1)</f>
        <v>H010</v>
      </c>
      <c r="C1931">
        <f>_xlfn.XLOOKUP(B1931,Dim_Hotel!$A$2:$A$11,Dim_Hotel!$F$2:$F$11)</f>
        <v>89</v>
      </c>
      <c r="D1931">
        <f t="shared" si="241"/>
        <v>49</v>
      </c>
      <c r="E1931">
        <f t="shared" si="242"/>
        <v>0.550561797752809</v>
      </c>
      <c r="F1931">
        <f t="shared" si="243"/>
        <v>150</v>
      </c>
      <c r="G1931">
        <f t="shared" si="244"/>
        <v>82.584269662921344</v>
      </c>
      <c r="H1931" t="str">
        <f>_xlfn.XLOOKUP(A1931,Fact_Events!$D$2:$D$20,Fact_Events!$A$2:$A$20, "")</f>
        <v/>
      </c>
      <c r="I1931">
        <f t="shared" si="245"/>
        <v>0</v>
      </c>
      <c r="J1931" t="str">
        <f>_xlfn.XLOOKUP(H1931, Fact_Events!$A$2:$A$20, Fact_Events!$F$2:$F$20, "")</f>
        <v/>
      </c>
      <c r="K1931" t="str">
        <f t="shared" si="246"/>
        <v>Low</v>
      </c>
      <c r="L1931">
        <f t="shared" si="247"/>
        <v>0.55000000000000004</v>
      </c>
      <c r="M1931">
        <f>_xlfn.XLOOKUP(B1931, Dim_Hotel!$A$2:$A$11, Dim_Hotel!$I$2:$I$11)
 + (IF(J1931="",0,J1931)
    * _xlfn.XLOOKUP(B1931, Dim_Hotel!$A$2:$A$11, Dim_Hotel!$J$2:$J$11))</f>
        <v>150</v>
      </c>
    </row>
    <row r="1932" spans="1:13" x14ac:dyDescent="0.25">
      <c r="A1932" s="1">
        <f t="shared" si="240"/>
        <v>46216</v>
      </c>
      <c r="B1932" t="str" cm="1">
        <f t="array" ref="B1932">INDEX(HotelList,MOD(ROW()-2,10)+1)</f>
        <v>H001</v>
      </c>
      <c r="C1932">
        <f>_xlfn.XLOOKUP(B1932,Dim_Hotel!$A$2:$A$11,Dim_Hotel!$F$2:$F$11)</f>
        <v>888</v>
      </c>
      <c r="D1932">
        <f t="shared" si="241"/>
        <v>488</v>
      </c>
      <c r="E1932">
        <f t="shared" si="242"/>
        <v>0.5495495495495496</v>
      </c>
      <c r="F1932">
        <f t="shared" si="243"/>
        <v>260</v>
      </c>
      <c r="G1932">
        <f t="shared" si="244"/>
        <v>142.88288288288288</v>
      </c>
      <c r="H1932" t="str">
        <f>_xlfn.XLOOKUP(A1932,Fact_Events!$D$2:$D$20,Fact_Events!$A$2:$A$20, "")</f>
        <v/>
      </c>
      <c r="I1932">
        <f t="shared" si="245"/>
        <v>0</v>
      </c>
      <c r="J1932" t="str">
        <f>_xlfn.XLOOKUP(H1932, Fact_Events!$A$2:$A$20, Fact_Events!$F$2:$F$20, "")</f>
        <v/>
      </c>
      <c r="K1932" t="str">
        <f t="shared" si="246"/>
        <v>Low</v>
      </c>
      <c r="L1932">
        <f t="shared" si="247"/>
        <v>0.55000000000000004</v>
      </c>
      <c r="M1932">
        <f>_xlfn.XLOOKUP(B1932, Dim_Hotel!$A$2:$A$11, Dim_Hotel!$I$2:$I$11)
 + (IF(J1932="",0,J1932)
    * _xlfn.XLOOKUP(B1932, Dim_Hotel!$A$2:$A$11, Dim_Hotel!$J$2:$J$11))</f>
        <v>260</v>
      </c>
    </row>
    <row r="1933" spans="1:13" x14ac:dyDescent="0.25">
      <c r="A1933" s="1">
        <f t="shared" si="240"/>
        <v>46216</v>
      </c>
      <c r="B1933" t="str" cm="1">
        <f t="array" ref="B1933">INDEX(HotelList,MOD(ROW()-2,10)+1)</f>
        <v>H002</v>
      </c>
      <c r="C1933">
        <f>_xlfn.XLOOKUP(B1933,Dim_Hotel!$A$2:$A$11,Dim_Hotel!$F$2:$F$11)</f>
        <v>147</v>
      </c>
      <c r="D1933">
        <f t="shared" si="241"/>
        <v>81</v>
      </c>
      <c r="E1933">
        <f t="shared" si="242"/>
        <v>0.55102040816326525</v>
      </c>
      <c r="F1933">
        <f t="shared" si="243"/>
        <v>175</v>
      </c>
      <c r="G1933">
        <f t="shared" si="244"/>
        <v>96.428571428571416</v>
      </c>
      <c r="H1933" t="str">
        <f>_xlfn.XLOOKUP(A1933,Fact_Events!$D$2:$D$20,Fact_Events!$A$2:$A$20, "")</f>
        <v/>
      </c>
      <c r="I1933">
        <f t="shared" si="245"/>
        <v>0</v>
      </c>
      <c r="J1933" t="str">
        <f>_xlfn.XLOOKUP(H1933, Fact_Events!$A$2:$A$20, Fact_Events!$F$2:$F$20, "")</f>
        <v/>
      </c>
      <c r="K1933" t="str">
        <f t="shared" si="246"/>
        <v>Low</v>
      </c>
      <c r="L1933">
        <f t="shared" si="247"/>
        <v>0.55000000000000004</v>
      </c>
      <c r="M1933">
        <f>_xlfn.XLOOKUP(B1933, Dim_Hotel!$A$2:$A$11, Dim_Hotel!$I$2:$I$11)
 + (IF(J1933="",0,J1933)
    * _xlfn.XLOOKUP(B1933, Dim_Hotel!$A$2:$A$11, Dim_Hotel!$J$2:$J$11))</f>
        <v>175</v>
      </c>
    </row>
    <row r="1934" spans="1:13" x14ac:dyDescent="0.25">
      <c r="A1934" s="1">
        <f t="shared" si="240"/>
        <v>46216</v>
      </c>
      <c r="B1934" t="str" cm="1">
        <f t="array" ref="B1934">INDEX(HotelList,MOD(ROW()-2,10)+1)</f>
        <v>H003</v>
      </c>
      <c r="C1934">
        <f>_xlfn.XLOOKUP(B1934,Dim_Hotel!$A$2:$A$11,Dim_Hotel!$F$2:$F$11)</f>
        <v>121</v>
      </c>
      <c r="D1934">
        <f t="shared" si="241"/>
        <v>67</v>
      </c>
      <c r="E1934">
        <f t="shared" si="242"/>
        <v>0.55371900826446285</v>
      </c>
      <c r="F1934">
        <f t="shared" si="243"/>
        <v>145</v>
      </c>
      <c r="G1934">
        <f t="shared" si="244"/>
        <v>80.289256198347118</v>
      </c>
      <c r="H1934" t="str">
        <f>_xlfn.XLOOKUP(A1934,Fact_Events!$D$2:$D$20,Fact_Events!$A$2:$A$20, "")</f>
        <v/>
      </c>
      <c r="I1934">
        <f t="shared" si="245"/>
        <v>0</v>
      </c>
      <c r="J1934" t="str">
        <f>_xlfn.XLOOKUP(H1934, Fact_Events!$A$2:$A$20, Fact_Events!$F$2:$F$20, "")</f>
        <v/>
      </c>
      <c r="K1934" t="str">
        <f t="shared" si="246"/>
        <v>Low</v>
      </c>
      <c r="L1934">
        <f t="shared" si="247"/>
        <v>0.55000000000000004</v>
      </c>
      <c r="M1934">
        <f>_xlfn.XLOOKUP(B1934, Dim_Hotel!$A$2:$A$11, Dim_Hotel!$I$2:$I$11)
 + (IF(J1934="",0,J1934)
    * _xlfn.XLOOKUP(B1934, Dim_Hotel!$A$2:$A$11, Dim_Hotel!$J$2:$J$11))</f>
        <v>145</v>
      </c>
    </row>
    <row r="1935" spans="1:13" x14ac:dyDescent="0.25">
      <c r="A1935" s="1">
        <f t="shared" si="240"/>
        <v>46216</v>
      </c>
      <c r="B1935" t="str" cm="1">
        <f t="array" ref="B1935">INDEX(HotelList,MOD(ROW()-2,10)+1)</f>
        <v>H004</v>
      </c>
      <c r="C1935">
        <f>_xlfn.XLOOKUP(B1935,Dim_Hotel!$A$2:$A$11,Dim_Hotel!$F$2:$F$11)</f>
        <v>108</v>
      </c>
      <c r="D1935">
        <f t="shared" si="241"/>
        <v>59</v>
      </c>
      <c r="E1935">
        <f t="shared" si="242"/>
        <v>0.54629629629629628</v>
      </c>
      <c r="F1935">
        <f t="shared" si="243"/>
        <v>135</v>
      </c>
      <c r="G1935">
        <f t="shared" si="244"/>
        <v>73.75</v>
      </c>
      <c r="H1935" t="str">
        <f>_xlfn.XLOOKUP(A1935,Fact_Events!$D$2:$D$20,Fact_Events!$A$2:$A$20, "")</f>
        <v/>
      </c>
      <c r="I1935">
        <f t="shared" si="245"/>
        <v>0</v>
      </c>
      <c r="J1935" t="str">
        <f>_xlfn.XLOOKUP(H1935, Fact_Events!$A$2:$A$20, Fact_Events!$F$2:$F$20, "")</f>
        <v/>
      </c>
      <c r="K1935" t="str">
        <f t="shared" si="246"/>
        <v>Low</v>
      </c>
      <c r="L1935">
        <f t="shared" si="247"/>
        <v>0.55000000000000004</v>
      </c>
      <c r="M1935">
        <f>_xlfn.XLOOKUP(B1935, Dim_Hotel!$A$2:$A$11, Dim_Hotel!$I$2:$I$11)
 + (IF(J1935="",0,J1935)
    * _xlfn.XLOOKUP(B1935, Dim_Hotel!$A$2:$A$11, Dim_Hotel!$J$2:$J$11))</f>
        <v>135</v>
      </c>
    </row>
    <row r="1936" spans="1:13" x14ac:dyDescent="0.25">
      <c r="A1936" s="1">
        <f t="shared" si="240"/>
        <v>46216</v>
      </c>
      <c r="B1936" t="str" cm="1">
        <f t="array" ref="B1936">INDEX(HotelList,MOD(ROW()-2,10)+1)</f>
        <v>H005</v>
      </c>
      <c r="C1936">
        <f>_xlfn.XLOOKUP(B1936,Dim_Hotel!$A$2:$A$11,Dim_Hotel!$F$2:$F$11)</f>
        <v>66</v>
      </c>
      <c r="D1936">
        <f t="shared" si="241"/>
        <v>36</v>
      </c>
      <c r="E1936">
        <f t="shared" si="242"/>
        <v>0.54545454545454541</v>
      </c>
      <c r="F1936">
        <f t="shared" si="243"/>
        <v>82</v>
      </c>
      <c r="G1936">
        <f t="shared" si="244"/>
        <v>44.727272727272727</v>
      </c>
      <c r="H1936" t="str">
        <f>_xlfn.XLOOKUP(A1936,Fact_Events!$D$2:$D$20,Fact_Events!$A$2:$A$20, "")</f>
        <v/>
      </c>
      <c r="I1936">
        <f t="shared" si="245"/>
        <v>0</v>
      </c>
      <c r="J1936" t="str">
        <f>_xlfn.XLOOKUP(H1936, Fact_Events!$A$2:$A$20, Fact_Events!$F$2:$F$20, "")</f>
        <v/>
      </c>
      <c r="K1936" t="str">
        <f t="shared" si="246"/>
        <v>Low</v>
      </c>
      <c r="L1936">
        <f t="shared" si="247"/>
        <v>0.55000000000000004</v>
      </c>
      <c r="M1936">
        <f>_xlfn.XLOOKUP(B1936, Dim_Hotel!$A$2:$A$11, Dim_Hotel!$I$2:$I$11)
 + (IF(J1936="",0,J1936)
    * _xlfn.XLOOKUP(B1936, Dim_Hotel!$A$2:$A$11, Dim_Hotel!$J$2:$J$11))</f>
        <v>82</v>
      </c>
    </row>
    <row r="1937" spans="1:13" x14ac:dyDescent="0.25">
      <c r="A1937" s="1">
        <f t="shared" si="240"/>
        <v>46216</v>
      </c>
      <c r="B1937" t="str" cm="1">
        <f t="array" ref="B1937">INDEX(HotelList,MOD(ROW()-2,10)+1)</f>
        <v>H006</v>
      </c>
      <c r="C1937">
        <f>_xlfn.XLOOKUP(B1937,Dim_Hotel!$A$2:$A$11,Dim_Hotel!$F$2:$F$11)</f>
        <v>311</v>
      </c>
      <c r="D1937">
        <f t="shared" si="241"/>
        <v>171</v>
      </c>
      <c r="E1937">
        <f t="shared" si="242"/>
        <v>0.54983922829581988</v>
      </c>
      <c r="F1937">
        <f t="shared" si="243"/>
        <v>190</v>
      </c>
      <c r="G1937">
        <f t="shared" si="244"/>
        <v>104.46945337620578</v>
      </c>
      <c r="H1937" t="str">
        <f>_xlfn.XLOOKUP(A1937,Fact_Events!$D$2:$D$20,Fact_Events!$A$2:$A$20, "")</f>
        <v/>
      </c>
      <c r="I1937">
        <f t="shared" si="245"/>
        <v>0</v>
      </c>
      <c r="J1937" t="str">
        <f>_xlfn.XLOOKUP(H1937, Fact_Events!$A$2:$A$20, Fact_Events!$F$2:$F$20, "")</f>
        <v/>
      </c>
      <c r="K1937" t="str">
        <f t="shared" si="246"/>
        <v>Low</v>
      </c>
      <c r="L1937">
        <f t="shared" si="247"/>
        <v>0.55000000000000004</v>
      </c>
      <c r="M1937">
        <f>_xlfn.XLOOKUP(B1937, Dim_Hotel!$A$2:$A$11, Dim_Hotel!$I$2:$I$11)
 + (IF(J1937="",0,J1937)
    * _xlfn.XLOOKUP(B1937, Dim_Hotel!$A$2:$A$11, Dim_Hotel!$J$2:$J$11))</f>
        <v>190</v>
      </c>
    </row>
    <row r="1938" spans="1:13" x14ac:dyDescent="0.25">
      <c r="A1938" s="1">
        <f t="shared" si="240"/>
        <v>46216</v>
      </c>
      <c r="B1938" t="str" cm="1">
        <f t="array" ref="B1938">INDEX(HotelList,MOD(ROW()-2,10)+1)</f>
        <v>H007</v>
      </c>
      <c r="C1938">
        <f>_xlfn.XLOOKUP(B1938,Dim_Hotel!$A$2:$A$11,Dim_Hotel!$F$2:$F$11)</f>
        <v>132</v>
      </c>
      <c r="D1938">
        <f t="shared" si="241"/>
        <v>73</v>
      </c>
      <c r="E1938">
        <f t="shared" si="242"/>
        <v>0.55303030303030298</v>
      </c>
      <c r="F1938">
        <f t="shared" si="243"/>
        <v>165</v>
      </c>
      <c r="G1938">
        <f t="shared" si="244"/>
        <v>91.249999999999986</v>
      </c>
      <c r="H1938" t="str">
        <f>_xlfn.XLOOKUP(A1938,Fact_Events!$D$2:$D$20,Fact_Events!$A$2:$A$20, "")</f>
        <v/>
      </c>
      <c r="I1938">
        <f t="shared" si="245"/>
        <v>0</v>
      </c>
      <c r="J1938" t="str">
        <f>_xlfn.XLOOKUP(H1938, Fact_Events!$A$2:$A$20, Fact_Events!$F$2:$F$20, "")</f>
        <v/>
      </c>
      <c r="K1938" t="str">
        <f t="shared" si="246"/>
        <v>Low</v>
      </c>
      <c r="L1938">
        <f t="shared" si="247"/>
        <v>0.55000000000000004</v>
      </c>
      <c r="M1938">
        <f>_xlfn.XLOOKUP(B1938, Dim_Hotel!$A$2:$A$11, Dim_Hotel!$I$2:$I$11)
 + (IF(J1938="",0,J1938)
    * _xlfn.XLOOKUP(B1938, Dim_Hotel!$A$2:$A$11, Dim_Hotel!$J$2:$J$11))</f>
        <v>165</v>
      </c>
    </row>
    <row r="1939" spans="1:13" x14ac:dyDescent="0.25">
      <c r="A1939" s="1">
        <f t="shared" si="240"/>
        <v>46216</v>
      </c>
      <c r="B1939" t="str" cm="1">
        <f t="array" ref="B1939">INDEX(HotelList,MOD(ROW()-2,10)+1)</f>
        <v>H008</v>
      </c>
      <c r="C1939">
        <f>_xlfn.XLOOKUP(B1939,Dim_Hotel!$A$2:$A$11,Dim_Hotel!$F$2:$F$11)</f>
        <v>103</v>
      </c>
      <c r="D1939">
        <f t="shared" si="241"/>
        <v>57</v>
      </c>
      <c r="E1939">
        <f t="shared" si="242"/>
        <v>0.55339805825242716</v>
      </c>
      <c r="F1939">
        <f t="shared" si="243"/>
        <v>140</v>
      </c>
      <c r="G1939">
        <f t="shared" si="244"/>
        <v>77.475728155339809</v>
      </c>
      <c r="H1939" t="str">
        <f>_xlfn.XLOOKUP(A1939,Fact_Events!$D$2:$D$20,Fact_Events!$A$2:$A$20, "")</f>
        <v/>
      </c>
      <c r="I1939">
        <f t="shared" si="245"/>
        <v>0</v>
      </c>
      <c r="J1939" t="str">
        <f>_xlfn.XLOOKUP(H1939, Fact_Events!$A$2:$A$20, Fact_Events!$F$2:$F$20, "")</f>
        <v/>
      </c>
      <c r="K1939" t="str">
        <f t="shared" si="246"/>
        <v>Low</v>
      </c>
      <c r="L1939">
        <f t="shared" si="247"/>
        <v>0.55000000000000004</v>
      </c>
      <c r="M1939">
        <f>_xlfn.XLOOKUP(B1939, Dim_Hotel!$A$2:$A$11, Dim_Hotel!$I$2:$I$11)
 + (IF(J1939="",0,J1939)
    * _xlfn.XLOOKUP(B1939, Dim_Hotel!$A$2:$A$11, Dim_Hotel!$J$2:$J$11))</f>
        <v>140</v>
      </c>
    </row>
    <row r="1940" spans="1:13" x14ac:dyDescent="0.25">
      <c r="A1940" s="1">
        <f t="shared" si="240"/>
        <v>46216</v>
      </c>
      <c r="B1940" t="str" cm="1">
        <f t="array" ref="B1940">INDEX(HotelList,MOD(ROW()-2,10)+1)</f>
        <v>H009</v>
      </c>
      <c r="C1940">
        <f>_xlfn.XLOOKUP(B1940,Dim_Hotel!$A$2:$A$11,Dim_Hotel!$F$2:$F$11)</f>
        <v>114</v>
      </c>
      <c r="D1940">
        <f t="shared" si="241"/>
        <v>63</v>
      </c>
      <c r="E1940">
        <f t="shared" si="242"/>
        <v>0.55263157894736847</v>
      </c>
      <c r="F1940">
        <f t="shared" si="243"/>
        <v>185</v>
      </c>
      <c r="G1940">
        <f t="shared" si="244"/>
        <v>102.23684210526316</v>
      </c>
      <c r="H1940" t="str">
        <f>_xlfn.XLOOKUP(A1940,Fact_Events!$D$2:$D$20,Fact_Events!$A$2:$A$20, "")</f>
        <v/>
      </c>
      <c r="I1940">
        <f t="shared" si="245"/>
        <v>0</v>
      </c>
      <c r="J1940" t="str">
        <f>_xlfn.XLOOKUP(H1940, Fact_Events!$A$2:$A$20, Fact_Events!$F$2:$F$20, "")</f>
        <v/>
      </c>
      <c r="K1940" t="str">
        <f t="shared" si="246"/>
        <v>Low</v>
      </c>
      <c r="L1940">
        <f t="shared" si="247"/>
        <v>0.55000000000000004</v>
      </c>
      <c r="M1940">
        <f>_xlfn.XLOOKUP(B1940, Dim_Hotel!$A$2:$A$11, Dim_Hotel!$I$2:$I$11)
 + (IF(J1940="",0,J1940)
    * _xlfn.XLOOKUP(B1940, Dim_Hotel!$A$2:$A$11, Dim_Hotel!$J$2:$J$11))</f>
        <v>185</v>
      </c>
    </row>
    <row r="1941" spans="1:13" x14ac:dyDescent="0.25">
      <c r="A1941" s="1">
        <f t="shared" si="240"/>
        <v>46216</v>
      </c>
      <c r="B1941" t="str" cm="1">
        <f t="array" ref="B1941">INDEX(HotelList,MOD(ROW()-2,10)+1)</f>
        <v>H010</v>
      </c>
      <c r="C1941">
        <f>_xlfn.XLOOKUP(B1941,Dim_Hotel!$A$2:$A$11,Dim_Hotel!$F$2:$F$11)</f>
        <v>89</v>
      </c>
      <c r="D1941">
        <f t="shared" si="241"/>
        <v>49</v>
      </c>
      <c r="E1941">
        <f t="shared" si="242"/>
        <v>0.550561797752809</v>
      </c>
      <c r="F1941">
        <f t="shared" si="243"/>
        <v>150</v>
      </c>
      <c r="G1941">
        <f t="shared" si="244"/>
        <v>82.584269662921344</v>
      </c>
      <c r="H1941" t="str">
        <f>_xlfn.XLOOKUP(A1941,Fact_Events!$D$2:$D$20,Fact_Events!$A$2:$A$20, "")</f>
        <v/>
      </c>
      <c r="I1941">
        <f t="shared" si="245"/>
        <v>0</v>
      </c>
      <c r="J1941" t="str">
        <f>_xlfn.XLOOKUP(H1941, Fact_Events!$A$2:$A$20, Fact_Events!$F$2:$F$20, "")</f>
        <v/>
      </c>
      <c r="K1941" t="str">
        <f t="shared" si="246"/>
        <v>Low</v>
      </c>
      <c r="L1941">
        <f t="shared" si="247"/>
        <v>0.55000000000000004</v>
      </c>
      <c r="M1941">
        <f>_xlfn.XLOOKUP(B1941, Dim_Hotel!$A$2:$A$11, Dim_Hotel!$I$2:$I$11)
 + (IF(J1941="",0,J1941)
    * _xlfn.XLOOKUP(B1941, Dim_Hotel!$A$2:$A$11, Dim_Hotel!$J$2:$J$11))</f>
        <v>150</v>
      </c>
    </row>
    <row r="1942" spans="1:13" x14ac:dyDescent="0.25">
      <c r="A1942" s="1">
        <f t="shared" si="240"/>
        <v>46217</v>
      </c>
      <c r="B1942" t="str" cm="1">
        <f t="array" ref="B1942">INDEX(HotelList,MOD(ROW()-2,10)+1)</f>
        <v>H001</v>
      </c>
      <c r="C1942">
        <f>_xlfn.XLOOKUP(B1942,Dim_Hotel!$A$2:$A$11,Dim_Hotel!$F$2:$F$11)</f>
        <v>888</v>
      </c>
      <c r="D1942">
        <f t="shared" si="241"/>
        <v>799</v>
      </c>
      <c r="E1942">
        <f t="shared" si="242"/>
        <v>0.89977477477477474</v>
      </c>
      <c r="F1942">
        <f t="shared" si="243"/>
        <v>440</v>
      </c>
      <c r="G1942">
        <f t="shared" si="244"/>
        <v>395.90090090090087</v>
      </c>
      <c r="H1942" t="str">
        <f>_xlfn.XLOOKUP(A1942,Fact_Events!$D$2:$D$20,Fact_Events!$A$2:$A$20, "")</f>
        <v>E017</v>
      </c>
      <c r="I1942">
        <f t="shared" si="245"/>
        <v>1</v>
      </c>
      <c r="J1942">
        <f>_xlfn.XLOOKUP(H1942, Fact_Events!$A$2:$A$20, Fact_Events!$F$2:$F$20, "")</f>
        <v>10</v>
      </c>
      <c r="K1942" t="str">
        <f t="shared" si="246"/>
        <v>High</v>
      </c>
      <c r="L1942">
        <f t="shared" si="247"/>
        <v>0.9</v>
      </c>
      <c r="M1942">
        <f>_xlfn.XLOOKUP(B1942, Dim_Hotel!$A$2:$A$11, Dim_Hotel!$I$2:$I$11)
 + (IF(J1942="",0,J1942)
    * _xlfn.XLOOKUP(B1942, Dim_Hotel!$A$2:$A$11, Dim_Hotel!$J$2:$J$11))</f>
        <v>440</v>
      </c>
    </row>
    <row r="1943" spans="1:13" x14ac:dyDescent="0.25">
      <c r="A1943" s="1">
        <f t="shared" si="240"/>
        <v>46217</v>
      </c>
      <c r="B1943" t="str" cm="1">
        <f t="array" ref="B1943">INDEX(HotelList,MOD(ROW()-2,10)+1)</f>
        <v>H002</v>
      </c>
      <c r="C1943">
        <f>_xlfn.XLOOKUP(B1943,Dim_Hotel!$A$2:$A$11,Dim_Hotel!$F$2:$F$11)</f>
        <v>147</v>
      </c>
      <c r="D1943">
        <f t="shared" si="241"/>
        <v>132</v>
      </c>
      <c r="E1943">
        <f t="shared" si="242"/>
        <v>0.89795918367346939</v>
      </c>
      <c r="F1943">
        <f t="shared" si="243"/>
        <v>315</v>
      </c>
      <c r="G1943">
        <f t="shared" si="244"/>
        <v>282.85714285714283</v>
      </c>
      <c r="H1943" t="str">
        <f>_xlfn.XLOOKUP(A1943,Fact_Events!$D$2:$D$20,Fact_Events!$A$2:$A$20, "")</f>
        <v>E017</v>
      </c>
      <c r="I1943">
        <f t="shared" si="245"/>
        <v>1</v>
      </c>
      <c r="J1943">
        <f>_xlfn.XLOOKUP(H1943, Fact_Events!$A$2:$A$20, Fact_Events!$F$2:$F$20, "")</f>
        <v>10</v>
      </c>
      <c r="K1943" t="str">
        <f t="shared" si="246"/>
        <v>High</v>
      </c>
      <c r="L1943">
        <f t="shared" si="247"/>
        <v>0.9</v>
      </c>
      <c r="M1943">
        <f>_xlfn.XLOOKUP(B1943, Dim_Hotel!$A$2:$A$11, Dim_Hotel!$I$2:$I$11)
 + (IF(J1943="",0,J1943)
    * _xlfn.XLOOKUP(B1943, Dim_Hotel!$A$2:$A$11, Dim_Hotel!$J$2:$J$11))</f>
        <v>315</v>
      </c>
    </row>
    <row r="1944" spans="1:13" x14ac:dyDescent="0.25">
      <c r="A1944" s="1">
        <f t="shared" si="240"/>
        <v>46217</v>
      </c>
      <c r="B1944" t="str" cm="1">
        <f t="array" ref="B1944">INDEX(HotelList,MOD(ROW()-2,10)+1)</f>
        <v>H003</v>
      </c>
      <c r="C1944">
        <f>_xlfn.XLOOKUP(B1944,Dim_Hotel!$A$2:$A$11,Dim_Hotel!$F$2:$F$11)</f>
        <v>121</v>
      </c>
      <c r="D1944">
        <f t="shared" si="241"/>
        <v>109</v>
      </c>
      <c r="E1944">
        <f t="shared" si="242"/>
        <v>0.90082644628099173</v>
      </c>
      <c r="F1944">
        <f t="shared" si="243"/>
        <v>265</v>
      </c>
      <c r="G1944">
        <f t="shared" si="244"/>
        <v>238.71900826446281</v>
      </c>
      <c r="H1944" t="str">
        <f>_xlfn.XLOOKUP(A1944,Fact_Events!$D$2:$D$20,Fact_Events!$A$2:$A$20, "")</f>
        <v>E017</v>
      </c>
      <c r="I1944">
        <f t="shared" si="245"/>
        <v>1</v>
      </c>
      <c r="J1944">
        <f>_xlfn.XLOOKUP(H1944, Fact_Events!$A$2:$A$20, Fact_Events!$F$2:$F$20, "")</f>
        <v>10</v>
      </c>
      <c r="K1944" t="str">
        <f t="shared" si="246"/>
        <v>High</v>
      </c>
      <c r="L1944">
        <f t="shared" si="247"/>
        <v>0.9</v>
      </c>
      <c r="M1944">
        <f>_xlfn.XLOOKUP(B1944, Dim_Hotel!$A$2:$A$11, Dim_Hotel!$I$2:$I$11)
 + (IF(J1944="",0,J1944)
    * _xlfn.XLOOKUP(B1944, Dim_Hotel!$A$2:$A$11, Dim_Hotel!$J$2:$J$11))</f>
        <v>265</v>
      </c>
    </row>
    <row r="1945" spans="1:13" x14ac:dyDescent="0.25">
      <c r="A1945" s="1">
        <f t="shared" si="240"/>
        <v>46217</v>
      </c>
      <c r="B1945" t="str" cm="1">
        <f t="array" ref="B1945">INDEX(HotelList,MOD(ROW()-2,10)+1)</f>
        <v>H004</v>
      </c>
      <c r="C1945">
        <f>_xlfn.XLOOKUP(B1945,Dim_Hotel!$A$2:$A$11,Dim_Hotel!$F$2:$F$11)</f>
        <v>108</v>
      </c>
      <c r="D1945">
        <f t="shared" si="241"/>
        <v>97</v>
      </c>
      <c r="E1945">
        <f t="shared" si="242"/>
        <v>0.89814814814814814</v>
      </c>
      <c r="F1945">
        <f t="shared" si="243"/>
        <v>255</v>
      </c>
      <c r="G1945">
        <f t="shared" si="244"/>
        <v>229.02777777777777</v>
      </c>
      <c r="H1945" t="str">
        <f>_xlfn.XLOOKUP(A1945,Fact_Events!$D$2:$D$20,Fact_Events!$A$2:$A$20, "")</f>
        <v>E017</v>
      </c>
      <c r="I1945">
        <f t="shared" si="245"/>
        <v>1</v>
      </c>
      <c r="J1945">
        <f>_xlfn.XLOOKUP(H1945, Fact_Events!$A$2:$A$20, Fact_Events!$F$2:$F$20, "")</f>
        <v>10</v>
      </c>
      <c r="K1945" t="str">
        <f t="shared" si="246"/>
        <v>High</v>
      </c>
      <c r="L1945">
        <f t="shared" si="247"/>
        <v>0.9</v>
      </c>
      <c r="M1945">
        <f>_xlfn.XLOOKUP(B1945, Dim_Hotel!$A$2:$A$11, Dim_Hotel!$I$2:$I$11)
 + (IF(J1945="",0,J1945)
    * _xlfn.XLOOKUP(B1945, Dim_Hotel!$A$2:$A$11, Dim_Hotel!$J$2:$J$11))</f>
        <v>255</v>
      </c>
    </row>
    <row r="1946" spans="1:13" x14ac:dyDescent="0.25">
      <c r="A1946" s="1">
        <f t="shared" si="240"/>
        <v>46217</v>
      </c>
      <c r="B1946" t="str" cm="1">
        <f t="array" ref="B1946">INDEX(HotelList,MOD(ROW()-2,10)+1)</f>
        <v>H005</v>
      </c>
      <c r="C1946">
        <f>_xlfn.XLOOKUP(B1946,Dim_Hotel!$A$2:$A$11,Dim_Hotel!$F$2:$F$11)</f>
        <v>66</v>
      </c>
      <c r="D1946">
        <f t="shared" si="241"/>
        <v>59</v>
      </c>
      <c r="E1946">
        <f t="shared" si="242"/>
        <v>0.89393939393939392</v>
      </c>
      <c r="F1946">
        <f t="shared" si="243"/>
        <v>162</v>
      </c>
      <c r="G1946">
        <f t="shared" si="244"/>
        <v>144.81818181818181</v>
      </c>
      <c r="H1946" t="str">
        <f>_xlfn.XLOOKUP(A1946,Fact_Events!$D$2:$D$20,Fact_Events!$A$2:$A$20, "")</f>
        <v>E017</v>
      </c>
      <c r="I1946">
        <f t="shared" si="245"/>
        <v>1</v>
      </c>
      <c r="J1946">
        <f>_xlfn.XLOOKUP(H1946, Fact_Events!$A$2:$A$20, Fact_Events!$F$2:$F$20, "")</f>
        <v>10</v>
      </c>
      <c r="K1946" t="str">
        <f t="shared" si="246"/>
        <v>High</v>
      </c>
      <c r="L1946">
        <f t="shared" si="247"/>
        <v>0.9</v>
      </c>
      <c r="M1946">
        <f>_xlfn.XLOOKUP(B1946, Dim_Hotel!$A$2:$A$11, Dim_Hotel!$I$2:$I$11)
 + (IF(J1946="",0,J1946)
    * _xlfn.XLOOKUP(B1946, Dim_Hotel!$A$2:$A$11, Dim_Hotel!$J$2:$J$11))</f>
        <v>162</v>
      </c>
    </row>
    <row r="1947" spans="1:13" x14ac:dyDescent="0.25">
      <c r="A1947" s="1">
        <f t="shared" si="240"/>
        <v>46217</v>
      </c>
      <c r="B1947" t="str" cm="1">
        <f t="array" ref="B1947">INDEX(HotelList,MOD(ROW()-2,10)+1)</f>
        <v>H006</v>
      </c>
      <c r="C1947">
        <f>_xlfn.XLOOKUP(B1947,Dim_Hotel!$A$2:$A$11,Dim_Hotel!$F$2:$F$11)</f>
        <v>311</v>
      </c>
      <c r="D1947">
        <f t="shared" si="241"/>
        <v>280</v>
      </c>
      <c r="E1947">
        <f t="shared" si="242"/>
        <v>0.90032154340836013</v>
      </c>
      <c r="F1947">
        <f t="shared" si="243"/>
        <v>340</v>
      </c>
      <c r="G1947">
        <f t="shared" si="244"/>
        <v>306.10932475884243</v>
      </c>
      <c r="H1947" t="str">
        <f>_xlfn.XLOOKUP(A1947,Fact_Events!$D$2:$D$20,Fact_Events!$A$2:$A$20, "")</f>
        <v>E017</v>
      </c>
      <c r="I1947">
        <f t="shared" si="245"/>
        <v>1</v>
      </c>
      <c r="J1947">
        <f>_xlfn.XLOOKUP(H1947, Fact_Events!$A$2:$A$20, Fact_Events!$F$2:$F$20, "")</f>
        <v>10</v>
      </c>
      <c r="K1947" t="str">
        <f t="shared" si="246"/>
        <v>High</v>
      </c>
      <c r="L1947">
        <f t="shared" si="247"/>
        <v>0.9</v>
      </c>
      <c r="M1947">
        <f>_xlfn.XLOOKUP(B1947, Dim_Hotel!$A$2:$A$11, Dim_Hotel!$I$2:$I$11)
 + (IF(J1947="",0,J1947)
    * _xlfn.XLOOKUP(B1947, Dim_Hotel!$A$2:$A$11, Dim_Hotel!$J$2:$J$11))</f>
        <v>340</v>
      </c>
    </row>
    <row r="1948" spans="1:13" x14ac:dyDescent="0.25">
      <c r="A1948" s="1">
        <f t="shared" si="240"/>
        <v>46217</v>
      </c>
      <c r="B1948" t="str" cm="1">
        <f t="array" ref="B1948">INDEX(HotelList,MOD(ROW()-2,10)+1)</f>
        <v>H007</v>
      </c>
      <c r="C1948">
        <f>_xlfn.XLOOKUP(B1948,Dim_Hotel!$A$2:$A$11,Dim_Hotel!$F$2:$F$11)</f>
        <v>132</v>
      </c>
      <c r="D1948">
        <f t="shared" si="241"/>
        <v>119</v>
      </c>
      <c r="E1948">
        <f t="shared" si="242"/>
        <v>0.90151515151515149</v>
      </c>
      <c r="F1948">
        <f t="shared" si="243"/>
        <v>295</v>
      </c>
      <c r="G1948">
        <f t="shared" si="244"/>
        <v>265.94696969696969</v>
      </c>
      <c r="H1948" t="str">
        <f>_xlfn.XLOOKUP(A1948,Fact_Events!$D$2:$D$20,Fact_Events!$A$2:$A$20, "")</f>
        <v>E017</v>
      </c>
      <c r="I1948">
        <f t="shared" si="245"/>
        <v>1</v>
      </c>
      <c r="J1948">
        <f>_xlfn.XLOOKUP(H1948, Fact_Events!$A$2:$A$20, Fact_Events!$F$2:$F$20, "")</f>
        <v>10</v>
      </c>
      <c r="K1948" t="str">
        <f t="shared" si="246"/>
        <v>High</v>
      </c>
      <c r="L1948">
        <f t="shared" si="247"/>
        <v>0.9</v>
      </c>
      <c r="M1948">
        <f>_xlfn.XLOOKUP(B1948, Dim_Hotel!$A$2:$A$11, Dim_Hotel!$I$2:$I$11)
 + (IF(J1948="",0,J1948)
    * _xlfn.XLOOKUP(B1948, Dim_Hotel!$A$2:$A$11, Dim_Hotel!$J$2:$J$11))</f>
        <v>295</v>
      </c>
    </row>
    <row r="1949" spans="1:13" x14ac:dyDescent="0.25">
      <c r="A1949" s="1">
        <f t="shared" si="240"/>
        <v>46217</v>
      </c>
      <c r="B1949" t="str" cm="1">
        <f t="array" ref="B1949">INDEX(HotelList,MOD(ROW()-2,10)+1)</f>
        <v>H008</v>
      </c>
      <c r="C1949">
        <f>_xlfn.XLOOKUP(B1949,Dim_Hotel!$A$2:$A$11,Dim_Hotel!$F$2:$F$11)</f>
        <v>103</v>
      </c>
      <c r="D1949">
        <f t="shared" si="241"/>
        <v>93</v>
      </c>
      <c r="E1949">
        <f t="shared" si="242"/>
        <v>0.90291262135922334</v>
      </c>
      <c r="F1949">
        <f t="shared" si="243"/>
        <v>260</v>
      </c>
      <c r="G1949">
        <f t="shared" si="244"/>
        <v>234.75728155339806</v>
      </c>
      <c r="H1949" t="str">
        <f>_xlfn.XLOOKUP(A1949,Fact_Events!$D$2:$D$20,Fact_Events!$A$2:$A$20, "")</f>
        <v>E017</v>
      </c>
      <c r="I1949">
        <f t="shared" si="245"/>
        <v>1</v>
      </c>
      <c r="J1949">
        <f>_xlfn.XLOOKUP(H1949, Fact_Events!$A$2:$A$20, Fact_Events!$F$2:$F$20, "")</f>
        <v>10</v>
      </c>
      <c r="K1949" t="str">
        <f t="shared" si="246"/>
        <v>High</v>
      </c>
      <c r="L1949">
        <f t="shared" si="247"/>
        <v>0.9</v>
      </c>
      <c r="M1949">
        <f>_xlfn.XLOOKUP(B1949, Dim_Hotel!$A$2:$A$11, Dim_Hotel!$I$2:$I$11)
 + (IF(J1949="",0,J1949)
    * _xlfn.XLOOKUP(B1949, Dim_Hotel!$A$2:$A$11, Dim_Hotel!$J$2:$J$11))</f>
        <v>260</v>
      </c>
    </row>
    <row r="1950" spans="1:13" x14ac:dyDescent="0.25">
      <c r="A1950" s="1">
        <f t="shared" si="240"/>
        <v>46217</v>
      </c>
      <c r="B1950" t="str" cm="1">
        <f t="array" ref="B1950">INDEX(HotelList,MOD(ROW()-2,10)+1)</f>
        <v>H009</v>
      </c>
      <c r="C1950">
        <f>_xlfn.XLOOKUP(B1950,Dim_Hotel!$A$2:$A$11,Dim_Hotel!$F$2:$F$11)</f>
        <v>114</v>
      </c>
      <c r="D1950">
        <f t="shared" si="241"/>
        <v>103</v>
      </c>
      <c r="E1950">
        <f t="shared" si="242"/>
        <v>0.90350877192982459</v>
      </c>
      <c r="F1950">
        <f t="shared" si="243"/>
        <v>285</v>
      </c>
      <c r="G1950">
        <f t="shared" si="244"/>
        <v>257.5</v>
      </c>
      <c r="H1950" t="str">
        <f>_xlfn.XLOOKUP(A1950,Fact_Events!$D$2:$D$20,Fact_Events!$A$2:$A$20, "")</f>
        <v>E017</v>
      </c>
      <c r="I1950">
        <f t="shared" si="245"/>
        <v>1</v>
      </c>
      <c r="J1950">
        <f>_xlfn.XLOOKUP(H1950, Fact_Events!$A$2:$A$20, Fact_Events!$F$2:$F$20, "")</f>
        <v>10</v>
      </c>
      <c r="K1950" t="str">
        <f t="shared" si="246"/>
        <v>High</v>
      </c>
      <c r="L1950">
        <f t="shared" si="247"/>
        <v>0.9</v>
      </c>
      <c r="M1950">
        <f>_xlfn.XLOOKUP(B1950, Dim_Hotel!$A$2:$A$11, Dim_Hotel!$I$2:$I$11)
 + (IF(J1950="",0,J1950)
    * _xlfn.XLOOKUP(B1950, Dim_Hotel!$A$2:$A$11, Dim_Hotel!$J$2:$J$11))</f>
        <v>285</v>
      </c>
    </row>
    <row r="1951" spans="1:13" x14ac:dyDescent="0.25">
      <c r="A1951" s="1">
        <f t="shared" si="240"/>
        <v>46217</v>
      </c>
      <c r="B1951" t="str" cm="1">
        <f t="array" ref="B1951">INDEX(HotelList,MOD(ROW()-2,10)+1)</f>
        <v>H010</v>
      </c>
      <c r="C1951">
        <f>_xlfn.XLOOKUP(B1951,Dim_Hotel!$A$2:$A$11,Dim_Hotel!$F$2:$F$11)</f>
        <v>89</v>
      </c>
      <c r="D1951">
        <f t="shared" si="241"/>
        <v>80</v>
      </c>
      <c r="E1951">
        <f t="shared" si="242"/>
        <v>0.898876404494382</v>
      </c>
      <c r="F1951">
        <f t="shared" si="243"/>
        <v>250</v>
      </c>
      <c r="G1951">
        <f t="shared" si="244"/>
        <v>224.71910112359549</v>
      </c>
      <c r="H1951" t="str">
        <f>_xlfn.XLOOKUP(A1951,Fact_Events!$D$2:$D$20,Fact_Events!$A$2:$A$20, "")</f>
        <v>E017</v>
      </c>
      <c r="I1951">
        <f t="shared" si="245"/>
        <v>1</v>
      </c>
      <c r="J1951">
        <f>_xlfn.XLOOKUP(H1951, Fact_Events!$A$2:$A$20, Fact_Events!$F$2:$F$20, "")</f>
        <v>10</v>
      </c>
      <c r="K1951" t="str">
        <f t="shared" si="246"/>
        <v>High</v>
      </c>
      <c r="L1951">
        <f t="shared" si="247"/>
        <v>0.9</v>
      </c>
      <c r="M1951">
        <f>_xlfn.XLOOKUP(B1951, Dim_Hotel!$A$2:$A$11, Dim_Hotel!$I$2:$I$11)
 + (IF(J1951="",0,J1951)
    * _xlfn.XLOOKUP(B1951, Dim_Hotel!$A$2:$A$11, Dim_Hotel!$J$2:$J$11))</f>
        <v>250</v>
      </c>
    </row>
    <row r="1952" spans="1:13" x14ac:dyDescent="0.25">
      <c r="A1952" s="1">
        <f t="shared" si="240"/>
        <v>46218</v>
      </c>
      <c r="B1952" t="str" cm="1">
        <f t="array" ref="B1952">INDEX(HotelList,MOD(ROW()-2,10)+1)</f>
        <v>H001</v>
      </c>
      <c r="C1952">
        <f>_xlfn.XLOOKUP(B1952,Dim_Hotel!$A$2:$A$11,Dim_Hotel!$F$2:$F$11)</f>
        <v>888</v>
      </c>
      <c r="D1952">
        <f t="shared" si="241"/>
        <v>488</v>
      </c>
      <c r="E1952">
        <f t="shared" si="242"/>
        <v>0.5495495495495496</v>
      </c>
      <c r="F1952">
        <f t="shared" si="243"/>
        <v>260</v>
      </c>
      <c r="G1952">
        <f t="shared" si="244"/>
        <v>142.88288288288288</v>
      </c>
      <c r="H1952" t="str">
        <f>_xlfn.XLOOKUP(A1952,Fact_Events!$D$2:$D$20,Fact_Events!$A$2:$A$20, "")</f>
        <v/>
      </c>
      <c r="I1952">
        <f t="shared" si="245"/>
        <v>0</v>
      </c>
      <c r="J1952" t="str">
        <f>_xlfn.XLOOKUP(H1952, Fact_Events!$A$2:$A$20, Fact_Events!$F$2:$F$20, "")</f>
        <v/>
      </c>
      <c r="K1952" t="str">
        <f t="shared" si="246"/>
        <v>Low</v>
      </c>
      <c r="L1952">
        <f t="shared" si="247"/>
        <v>0.55000000000000004</v>
      </c>
      <c r="M1952">
        <f>_xlfn.XLOOKUP(B1952, Dim_Hotel!$A$2:$A$11, Dim_Hotel!$I$2:$I$11)
 + (IF(J1952="",0,J1952)
    * _xlfn.XLOOKUP(B1952, Dim_Hotel!$A$2:$A$11, Dim_Hotel!$J$2:$J$11))</f>
        <v>260</v>
      </c>
    </row>
    <row r="1953" spans="1:13" x14ac:dyDescent="0.25">
      <c r="A1953" s="1">
        <f t="shared" si="240"/>
        <v>46218</v>
      </c>
      <c r="B1953" t="str" cm="1">
        <f t="array" ref="B1953">INDEX(HotelList,MOD(ROW()-2,10)+1)</f>
        <v>H002</v>
      </c>
      <c r="C1953">
        <f>_xlfn.XLOOKUP(B1953,Dim_Hotel!$A$2:$A$11,Dim_Hotel!$F$2:$F$11)</f>
        <v>147</v>
      </c>
      <c r="D1953">
        <f t="shared" si="241"/>
        <v>81</v>
      </c>
      <c r="E1953">
        <f t="shared" si="242"/>
        <v>0.55102040816326525</v>
      </c>
      <c r="F1953">
        <f t="shared" si="243"/>
        <v>175</v>
      </c>
      <c r="G1953">
        <f t="shared" si="244"/>
        <v>96.428571428571416</v>
      </c>
      <c r="H1953" t="str">
        <f>_xlfn.XLOOKUP(A1953,Fact_Events!$D$2:$D$20,Fact_Events!$A$2:$A$20, "")</f>
        <v/>
      </c>
      <c r="I1953">
        <f t="shared" si="245"/>
        <v>0</v>
      </c>
      <c r="J1953" t="str">
        <f>_xlfn.XLOOKUP(H1953, Fact_Events!$A$2:$A$20, Fact_Events!$F$2:$F$20, "")</f>
        <v/>
      </c>
      <c r="K1953" t="str">
        <f t="shared" si="246"/>
        <v>Low</v>
      </c>
      <c r="L1953">
        <f t="shared" si="247"/>
        <v>0.55000000000000004</v>
      </c>
      <c r="M1953">
        <f>_xlfn.XLOOKUP(B1953, Dim_Hotel!$A$2:$A$11, Dim_Hotel!$I$2:$I$11)
 + (IF(J1953="",0,J1953)
    * _xlfn.XLOOKUP(B1953, Dim_Hotel!$A$2:$A$11, Dim_Hotel!$J$2:$J$11))</f>
        <v>175</v>
      </c>
    </row>
    <row r="1954" spans="1:13" x14ac:dyDescent="0.25">
      <c r="A1954" s="1">
        <f t="shared" si="240"/>
        <v>46218</v>
      </c>
      <c r="B1954" t="str" cm="1">
        <f t="array" ref="B1954">INDEX(HotelList,MOD(ROW()-2,10)+1)</f>
        <v>H003</v>
      </c>
      <c r="C1954">
        <f>_xlfn.XLOOKUP(B1954,Dim_Hotel!$A$2:$A$11,Dim_Hotel!$F$2:$F$11)</f>
        <v>121</v>
      </c>
      <c r="D1954">
        <f t="shared" si="241"/>
        <v>67</v>
      </c>
      <c r="E1954">
        <f t="shared" si="242"/>
        <v>0.55371900826446285</v>
      </c>
      <c r="F1954">
        <f t="shared" si="243"/>
        <v>145</v>
      </c>
      <c r="G1954">
        <f t="shared" si="244"/>
        <v>80.289256198347118</v>
      </c>
      <c r="H1954" t="str">
        <f>_xlfn.XLOOKUP(A1954,Fact_Events!$D$2:$D$20,Fact_Events!$A$2:$A$20, "")</f>
        <v/>
      </c>
      <c r="I1954">
        <f t="shared" si="245"/>
        <v>0</v>
      </c>
      <c r="J1954" t="str">
        <f>_xlfn.XLOOKUP(H1954, Fact_Events!$A$2:$A$20, Fact_Events!$F$2:$F$20, "")</f>
        <v/>
      </c>
      <c r="K1954" t="str">
        <f t="shared" si="246"/>
        <v>Low</v>
      </c>
      <c r="L1954">
        <f t="shared" si="247"/>
        <v>0.55000000000000004</v>
      </c>
      <c r="M1954">
        <f>_xlfn.XLOOKUP(B1954, Dim_Hotel!$A$2:$A$11, Dim_Hotel!$I$2:$I$11)
 + (IF(J1954="",0,J1954)
    * _xlfn.XLOOKUP(B1954, Dim_Hotel!$A$2:$A$11, Dim_Hotel!$J$2:$J$11))</f>
        <v>145</v>
      </c>
    </row>
    <row r="1955" spans="1:13" x14ac:dyDescent="0.25">
      <c r="A1955" s="1">
        <f t="shared" si="240"/>
        <v>46218</v>
      </c>
      <c r="B1955" t="str" cm="1">
        <f t="array" ref="B1955">INDEX(HotelList,MOD(ROW()-2,10)+1)</f>
        <v>H004</v>
      </c>
      <c r="C1955">
        <f>_xlfn.XLOOKUP(B1955,Dim_Hotel!$A$2:$A$11,Dim_Hotel!$F$2:$F$11)</f>
        <v>108</v>
      </c>
      <c r="D1955">
        <f t="shared" si="241"/>
        <v>59</v>
      </c>
      <c r="E1955">
        <f t="shared" si="242"/>
        <v>0.54629629629629628</v>
      </c>
      <c r="F1955">
        <f t="shared" si="243"/>
        <v>135</v>
      </c>
      <c r="G1955">
        <f t="shared" si="244"/>
        <v>73.75</v>
      </c>
      <c r="H1955" t="str">
        <f>_xlfn.XLOOKUP(A1955,Fact_Events!$D$2:$D$20,Fact_Events!$A$2:$A$20, "")</f>
        <v/>
      </c>
      <c r="I1955">
        <f t="shared" si="245"/>
        <v>0</v>
      </c>
      <c r="J1955" t="str">
        <f>_xlfn.XLOOKUP(H1955, Fact_Events!$A$2:$A$20, Fact_Events!$F$2:$F$20, "")</f>
        <v/>
      </c>
      <c r="K1955" t="str">
        <f t="shared" si="246"/>
        <v>Low</v>
      </c>
      <c r="L1955">
        <f t="shared" si="247"/>
        <v>0.55000000000000004</v>
      </c>
      <c r="M1955">
        <f>_xlfn.XLOOKUP(B1955, Dim_Hotel!$A$2:$A$11, Dim_Hotel!$I$2:$I$11)
 + (IF(J1955="",0,J1955)
    * _xlfn.XLOOKUP(B1955, Dim_Hotel!$A$2:$A$11, Dim_Hotel!$J$2:$J$11))</f>
        <v>135</v>
      </c>
    </row>
    <row r="1956" spans="1:13" x14ac:dyDescent="0.25">
      <c r="A1956" s="1">
        <f t="shared" si="240"/>
        <v>46218</v>
      </c>
      <c r="B1956" t="str" cm="1">
        <f t="array" ref="B1956">INDEX(HotelList,MOD(ROW()-2,10)+1)</f>
        <v>H005</v>
      </c>
      <c r="C1956">
        <f>_xlfn.XLOOKUP(B1956,Dim_Hotel!$A$2:$A$11,Dim_Hotel!$F$2:$F$11)</f>
        <v>66</v>
      </c>
      <c r="D1956">
        <f t="shared" si="241"/>
        <v>36</v>
      </c>
      <c r="E1956">
        <f t="shared" si="242"/>
        <v>0.54545454545454541</v>
      </c>
      <c r="F1956">
        <f t="shared" si="243"/>
        <v>82</v>
      </c>
      <c r="G1956">
        <f t="shared" si="244"/>
        <v>44.727272727272727</v>
      </c>
      <c r="H1956" t="str">
        <f>_xlfn.XLOOKUP(A1956,Fact_Events!$D$2:$D$20,Fact_Events!$A$2:$A$20, "")</f>
        <v/>
      </c>
      <c r="I1956">
        <f t="shared" si="245"/>
        <v>0</v>
      </c>
      <c r="J1956" t="str">
        <f>_xlfn.XLOOKUP(H1956, Fact_Events!$A$2:$A$20, Fact_Events!$F$2:$F$20, "")</f>
        <v/>
      </c>
      <c r="K1956" t="str">
        <f t="shared" si="246"/>
        <v>Low</v>
      </c>
      <c r="L1956">
        <f t="shared" si="247"/>
        <v>0.55000000000000004</v>
      </c>
      <c r="M1956">
        <f>_xlfn.XLOOKUP(B1956, Dim_Hotel!$A$2:$A$11, Dim_Hotel!$I$2:$I$11)
 + (IF(J1956="",0,J1956)
    * _xlfn.XLOOKUP(B1956, Dim_Hotel!$A$2:$A$11, Dim_Hotel!$J$2:$J$11))</f>
        <v>82</v>
      </c>
    </row>
    <row r="1957" spans="1:13" x14ac:dyDescent="0.25">
      <c r="A1957" s="1">
        <f t="shared" si="240"/>
        <v>46218</v>
      </c>
      <c r="B1957" t="str" cm="1">
        <f t="array" ref="B1957">INDEX(HotelList,MOD(ROW()-2,10)+1)</f>
        <v>H006</v>
      </c>
      <c r="C1957">
        <f>_xlfn.XLOOKUP(B1957,Dim_Hotel!$A$2:$A$11,Dim_Hotel!$F$2:$F$11)</f>
        <v>311</v>
      </c>
      <c r="D1957">
        <f t="shared" si="241"/>
        <v>171</v>
      </c>
      <c r="E1957">
        <f t="shared" si="242"/>
        <v>0.54983922829581988</v>
      </c>
      <c r="F1957">
        <f t="shared" si="243"/>
        <v>190</v>
      </c>
      <c r="G1957">
        <f t="shared" si="244"/>
        <v>104.46945337620578</v>
      </c>
      <c r="H1957" t="str">
        <f>_xlfn.XLOOKUP(A1957,Fact_Events!$D$2:$D$20,Fact_Events!$A$2:$A$20, "")</f>
        <v/>
      </c>
      <c r="I1957">
        <f t="shared" si="245"/>
        <v>0</v>
      </c>
      <c r="J1957" t="str">
        <f>_xlfn.XLOOKUP(H1957, Fact_Events!$A$2:$A$20, Fact_Events!$F$2:$F$20, "")</f>
        <v/>
      </c>
      <c r="K1957" t="str">
        <f t="shared" si="246"/>
        <v>Low</v>
      </c>
      <c r="L1957">
        <f t="shared" si="247"/>
        <v>0.55000000000000004</v>
      </c>
      <c r="M1957">
        <f>_xlfn.XLOOKUP(B1957, Dim_Hotel!$A$2:$A$11, Dim_Hotel!$I$2:$I$11)
 + (IF(J1957="",0,J1957)
    * _xlfn.XLOOKUP(B1957, Dim_Hotel!$A$2:$A$11, Dim_Hotel!$J$2:$J$11))</f>
        <v>190</v>
      </c>
    </row>
    <row r="1958" spans="1:13" x14ac:dyDescent="0.25">
      <c r="A1958" s="1">
        <f t="shared" si="240"/>
        <v>46218</v>
      </c>
      <c r="B1958" t="str" cm="1">
        <f t="array" ref="B1958">INDEX(HotelList,MOD(ROW()-2,10)+1)</f>
        <v>H007</v>
      </c>
      <c r="C1958">
        <f>_xlfn.XLOOKUP(B1958,Dim_Hotel!$A$2:$A$11,Dim_Hotel!$F$2:$F$11)</f>
        <v>132</v>
      </c>
      <c r="D1958">
        <f t="shared" si="241"/>
        <v>73</v>
      </c>
      <c r="E1958">
        <f t="shared" si="242"/>
        <v>0.55303030303030298</v>
      </c>
      <c r="F1958">
        <f t="shared" si="243"/>
        <v>165</v>
      </c>
      <c r="G1958">
        <f t="shared" si="244"/>
        <v>91.249999999999986</v>
      </c>
      <c r="H1958" t="str">
        <f>_xlfn.XLOOKUP(A1958,Fact_Events!$D$2:$D$20,Fact_Events!$A$2:$A$20, "")</f>
        <v/>
      </c>
      <c r="I1958">
        <f t="shared" si="245"/>
        <v>0</v>
      </c>
      <c r="J1958" t="str">
        <f>_xlfn.XLOOKUP(H1958, Fact_Events!$A$2:$A$20, Fact_Events!$F$2:$F$20, "")</f>
        <v/>
      </c>
      <c r="K1958" t="str">
        <f t="shared" si="246"/>
        <v>Low</v>
      </c>
      <c r="L1958">
        <f t="shared" si="247"/>
        <v>0.55000000000000004</v>
      </c>
      <c r="M1958">
        <f>_xlfn.XLOOKUP(B1958, Dim_Hotel!$A$2:$A$11, Dim_Hotel!$I$2:$I$11)
 + (IF(J1958="",0,J1958)
    * _xlfn.XLOOKUP(B1958, Dim_Hotel!$A$2:$A$11, Dim_Hotel!$J$2:$J$11))</f>
        <v>165</v>
      </c>
    </row>
    <row r="1959" spans="1:13" x14ac:dyDescent="0.25">
      <c r="A1959" s="1">
        <f t="shared" si="240"/>
        <v>46218</v>
      </c>
      <c r="B1959" t="str" cm="1">
        <f t="array" ref="B1959">INDEX(HotelList,MOD(ROW()-2,10)+1)</f>
        <v>H008</v>
      </c>
      <c r="C1959">
        <f>_xlfn.XLOOKUP(B1959,Dim_Hotel!$A$2:$A$11,Dim_Hotel!$F$2:$F$11)</f>
        <v>103</v>
      </c>
      <c r="D1959">
        <f t="shared" si="241"/>
        <v>57</v>
      </c>
      <c r="E1959">
        <f t="shared" si="242"/>
        <v>0.55339805825242716</v>
      </c>
      <c r="F1959">
        <f t="shared" si="243"/>
        <v>140</v>
      </c>
      <c r="G1959">
        <f t="shared" si="244"/>
        <v>77.475728155339809</v>
      </c>
      <c r="H1959" t="str">
        <f>_xlfn.XLOOKUP(A1959,Fact_Events!$D$2:$D$20,Fact_Events!$A$2:$A$20, "")</f>
        <v/>
      </c>
      <c r="I1959">
        <f t="shared" si="245"/>
        <v>0</v>
      </c>
      <c r="J1959" t="str">
        <f>_xlfn.XLOOKUP(H1959, Fact_Events!$A$2:$A$20, Fact_Events!$F$2:$F$20, "")</f>
        <v/>
      </c>
      <c r="K1959" t="str">
        <f t="shared" si="246"/>
        <v>Low</v>
      </c>
      <c r="L1959">
        <f t="shared" si="247"/>
        <v>0.55000000000000004</v>
      </c>
      <c r="M1959">
        <f>_xlfn.XLOOKUP(B1959, Dim_Hotel!$A$2:$A$11, Dim_Hotel!$I$2:$I$11)
 + (IF(J1959="",0,J1959)
    * _xlfn.XLOOKUP(B1959, Dim_Hotel!$A$2:$A$11, Dim_Hotel!$J$2:$J$11))</f>
        <v>140</v>
      </c>
    </row>
    <row r="1960" spans="1:13" x14ac:dyDescent="0.25">
      <c r="A1960" s="1">
        <f t="shared" si="240"/>
        <v>46218</v>
      </c>
      <c r="B1960" t="str" cm="1">
        <f t="array" ref="B1960">INDEX(HotelList,MOD(ROW()-2,10)+1)</f>
        <v>H009</v>
      </c>
      <c r="C1960">
        <f>_xlfn.XLOOKUP(B1960,Dim_Hotel!$A$2:$A$11,Dim_Hotel!$F$2:$F$11)</f>
        <v>114</v>
      </c>
      <c r="D1960">
        <f t="shared" si="241"/>
        <v>63</v>
      </c>
      <c r="E1960">
        <f t="shared" si="242"/>
        <v>0.55263157894736847</v>
      </c>
      <c r="F1960">
        <f t="shared" si="243"/>
        <v>185</v>
      </c>
      <c r="G1960">
        <f t="shared" si="244"/>
        <v>102.23684210526316</v>
      </c>
      <c r="H1960" t="str">
        <f>_xlfn.XLOOKUP(A1960,Fact_Events!$D$2:$D$20,Fact_Events!$A$2:$A$20, "")</f>
        <v/>
      </c>
      <c r="I1960">
        <f t="shared" si="245"/>
        <v>0</v>
      </c>
      <c r="J1960" t="str">
        <f>_xlfn.XLOOKUP(H1960, Fact_Events!$A$2:$A$20, Fact_Events!$F$2:$F$20, "")</f>
        <v/>
      </c>
      <c r="K1960" t="str">
        <f t="shared" si="246"/>
        <v>Low</v>
      </c>
      <c r="L1960">
        <f t="shared" si="247"/>
        <v>0.55000000000000004</v>
      </c>
      <c r="M1960">
        <f>_xlfn.XLOOKUP(B1960, Dim_Hotel!$A$2:$A$11, Dim_Hotel!$I$2:$I$11)
 + (IF(J1960="",0,J1960)
    * _xlfn.XLOOKUP(B1960, Dim_Hotel!$A$2:$A$11, Dim_Hotel!$J$2:$J$11))</f>
        <v>185</v>
      </c>
    </row>
    <row r="1961" spans="1:13" x14ac:dyDescent="0.25">
      <c r="A1961" s="1">
        <f t="shared" si="240"/>
        <v>46218</v>
      </c>
      <c r="B1961" t="str" cm="1">
        <f t="array" ref="B1961">INDEX(HotelList,MOD(ROW()-2,10)+1)</f>
        <v>H010</v>
      </c>
      <c r="C1961">
        <f>_xlfn.XLOOKUP(B1961,Dim_Hotel!$A$2:$A$11,Dim_Hotel!$F$2:$F$11)</f>
        <v>89</v>
      </c>
      <c r="D1961">
        <f t="shared" si="241"/>
        <v>49</v>
      </c>
      <c r="E1961">
        <f t="shared" si="242"/>
        <v>0.550561797752809</v>
      </c>
      <c r="F1961">
        <f t="shared" si="243"/>
        <v>150</v>
      </c>
      <c r="G1961">
        <f t="shared" si="244"/>
        <v>82.584269662921344</v>
      </c>
      <c r="H1961" t="str">
        <f>_xlfn.XLOOKUP(A1961,Fact_Events!$D$2:$D$20,Fact_Events!$A$2:$A$20, "")</f>
        <v/>
      </c>
      <c r="I1961">
        <f t="shared" si="245"/>
        <v>0</v>
      </c>
      <c r="J1961" t="str">
        <f>_xlfn.XLOOKUP(H1961, Fact_Events!$A$2:$A$20, Fact_Events!$F$2:$F$20, "")</f>
        <v/>
      </c>
      <c r="K1961" t="str">
        <f t="shared" si="246"/>
        <v>Low</v>
      </c>
      <c r="L1961">
        <f t="shared" si="247"/>
        <v>0.55000000000000004</v>
      </c>
      <c r="M1961">
        <f>_xlfn.XLOOKUP(B1961, Dim_Hotel!$A$2:$A$11, Dim_Hotel!$I$2:$I$11)
 + (IF(J1961="",0,J1961)
    * _xlfn.XLOOKUP(B1961, Dim_Hotel!$A$2:$A$11, Dim_Hotel!$J$2:$J$11))</f>
        <v>150</v>
      </c>
    </row>
    <row r="1962" spans="1:13" x14ac:dyDescent="0.25">
      <c r="A1962" s="1">
        <f t="shared" si="240"/>
        <v>46219</v>
      </c>
      <c r="B1962" t="str" cm="1">
        <f t="array" ref="B1962">INDEX(HotelList,MOD(ROW()-2,10)+1)</f>
        <v>H001</v>
      </c>
      <c r="C1962">
        <f>_xlfn.XLOOKUP(B1962,Dim_Hotel!$A$2:$A$11,Dim_Hotel!$F$2:$F$11)</f>
        <v>888</v>
      </c>
      <c r="D1962">
        <f t="shared" si="241"/>
        <v>488</v>
      </c>
      <c r="E1962">
        <f t="shared" si="242"/>
        <v>0.5495495495495496</v>
      </c>
      <c r="F1962">
        <f t="shared" si="243"/>
        <v>260</v>
      </c>
      <c r="G1962">
        <f t="shared" si="244"/>
        <v>142.88288288288288</v>
      </c>
      <c r="H1962" t="str">
        <f>_xlfn.XLOOKUP(A1962,Fact_Events!$D$2:$D$20,Fact_Events!$A$2:$A$20, "")</f>
        <v/>
      </c>
      <c r="I1962">
        <f t="shared" si="245"/>
        <v>0</v>
      </c>
      <c r="J1962" t="str">
        <f>_xlfn.XLOOKUP(H1962, Fact_Events!$A$2:$A$20, Fact_Events!$F$2:$F$20, "")</f>
        <v/>
      </c>
      <c r="K1962" t="str">
        <f t="shared" si="246"/>
        <v>Low</v>
      </c>
      <c r="L1962">
        <f t="shared" si="247"/>
        <v>0.55000000000000004</v>
      </c>
      <c r="M1962">
        <f>_xlfn.XLOOKUP(B1962, Dim_Hotel!$A$2:$A$11, Dim_Hotel!$I$2:$I$11)
 + (IF(J1962="",0,J1962)
    * _xlfn.XLOOKUP(B1962, Dim_Hotel!$A$2:$A$11, Dim_Hotel!$J$2:$J$11))</f>
        <v>260</v>
      </c>
    </row>
    <row r="1963" spans="1:13" x14ac:dyDescent="0.25">
      <c r="A1963" s="1">
        <f t="shared" si="240"/>
        <v>46219</v>
      </c>
      <c r="B1963" t="str" cm="1">
        <f t="array" ref="B1963">INDEX(HotelList,MOD(ROW()-2,10)+1)</f>
        <v>H002</v>
      </c>
      <c r="C1963">
        <f>_xlfn.XLOOKUP(B1963,Dim_Hotel!$A$2:$A$11,Dim_Hotel!$F$2:$F$11)</f>
        <v>147</v>
      </c>
      <c r="D1963">
        <f t="shared" si="241"/>
        <v>81</v>
      </c>
      <c r="E1963">
        <f t="shared" si="242"/>
        <v>0.55102040816326525</v>
      </c>
      <c r="F1963">
        <f t="shared" si="243"/>
        <v>175</v>
      </c>
      <c r="G1963">
        <f t="shared" si="244"/>
        <v>96.428571428571416</v>
      </c>
      <c r="H1963" t="str">
        <f>_xlfn.XLOOKUP(A1963,Fact_Events!$D$2:$D$20,Fact_Events!$A$2:$A$20, "")</f>
        <v/>
      </c>
      <c r="I1963">
        <f t="shared" si="245"/>
        <v>0</v>
      </c>
      <c r="J1963" t="str">
        <f>_xlfn.XLOOKUP(H1963, Fact_Events!$A$2:$A$20, Fact_Events!$F$2:$F$20, "")</f>
        <v/>
      </c>
      <c r="K1963" t="str">
        <f t="shared" si="246"/>
        <v>Low</v>
      </c>
      <c r="L1963">
        <f t="shared" si="247"/>
        <v>0.55000000000000004</v>
      </c>
      <c r="M1963">
        <f>_xlfn.XLOOKUP(B1963, Dim_Hotel!$A$2:$A$11, Dim_Hotel!$I$2:$I$11)
 + (IF(J1963="",0,J1963)
    * _xlfn.XLOOKUP(B1963, Dim_Hotel!$A$2:$A$11, Dim_Hotel!$J$2:$J$11))</f>
        <v>175</v>
      </c>
    </row>
    <row r="1964" spans="1:13" x14ac:dyDescent="0.25">
      <c r="A1964" s="1">
        <f t="shared" si="240"/>
        <v>46219</v>
      </c>
      <c r="B1964" t="str" cm="1">
        <f t="array" ref="B1964">INDEX(HotelList,MOD(ROW()-2,10)+1)</f>
        <v>H003</v>
      </c>
      <c r="C1964">
        <f>_xlfn.XLOOKUP(B1964,Dim_Hotel!$A$2:$A$11,Dim_Hotel!$F$2:$F$11)</f>
        <v>121</v>
      </c>
      <c r="D1964">
        <f t="shared" si="241"/>
        <v>67</v>
      </c>
      <c r="E1964">
        <f t="shared" si="242"/>
        <v>0.55371900826446285</v>
      </c>
      <c r="F1964">
        <f t="shared" si="243"/>
        <v>145</v>
      </c>
      <c r="G1964">
        <f t="shared" si="244"/>
        <v>80.289256198347118</v>
      </c>
      <c r="H1964" t="str">
        <f>_xlfn.XLOOKUP(A1964,Fact_Events!$D$2:$D$20,Fact_Events!$A$2:$A$20, "")</f>
        <v/>
      </c>
      <c r="I1964">
        <f t="shared" si="245"/>
        <v>0</v>
      </c>
      <c r="J1964" t="str">
        <f>_xlfn.XLOOKUP(H1964, Fact_Events!$A$2:$A$20, Fact_Events!$F$2:$F$20, "")</f>
        <v/>
      </c>
      <c r="K1964" t="str">
        <f t="shared" si="246"/>
        <v>Low</v>
      </c>
      <c r="L1964">
        <f t="shared" si="247"/>
        <v>0.55000000000000004</v>
      </c>
      <c r="M1964">
        <f>_xlfn.XLOOKUP(B1964, Dim_Hotel!$A$2:$A$11, Dim_Hotel!$I$2:$I$11)
 + (IF(J1964="",0,J1964)
    * _xlfn.XLOOKUP(B1964, Dim_Hotel!$A$2:$A$11, Dim_Hotel!$J$2:$J$11))</f>
        <v>145</v>
      </c>
    </row>
    <row r="1965" spans="1:13" x14ac:dyDescent="0.25">
      <c r="A1965" s="1">
        <f t="shared" si="240"/>
        <v>46219</v>
      </c>
      <c r="B1965" t="str" cm="1">
        <f t="array" ref="B1965">INDEX(HotelList,MOD(ROW()-2,10)+1)</f>
        <v>H004</v>
      </c>
      <c r="C1965">
        <f>_xlfn.XLOOKUP(B1965,Dim_Hotel!$A$2:$A$11,Dim_Hotel!$F$2:$F$11)</f>
        <v>108</v>
      </c>
      <c r="D1965">
        <f t="shared" si="241"/>
        <v>59</v>
      </c>
      <c r="E1965">
        <f t="shared" si="242"/>
        <v>0.54629629629629628</v>
      </c>
      <c r="F1965">
        <f t="shared" si="243"/>
        <v>135</v>
      </c>
      <c r="G1965">
        <f t="shared" si="244"/>
        <v>73.75</v>
      </c>
      <c r="H1965" t="str">
        <f>_xlfn.XLOOKUP(A1965,Fact_Events!$D$2:$D$20,Fact_Events!$A$2:$A$20, "")</f>
        <v/>
      </c>
      <c r="I1965">
        <f t="shared" si="245"/>
        <v>0</v>
      </c>
      <c r="J1965" t="str">
        <f>_xlfn.XLOOKUP(H1965, Fact_Events!$A$2:$A$20, Fact_Events!$F$2:$F$20, "")</f>
        <v/>
      </c>
      <c r="K1965" t="str">
        <f t="shared" si="246"/>
        <v>Low</v>
      </c>
      <c r="L1965">
        <f t="shared" si="247"/>
        <v>0.55000000000000004</v>
      </c>
      <c r="M1965">
        <f>_xlfn.XLOOKUP(B1965, Dim_Hotel!$A$2:$A$11, Dim_Hotel!$I$2:$I$11)
 + (IF(J1965="",0,J1965)
    * _xlfn.XLOOKUP(B1965, Dim_Hotel!$A$2:$A$11, Dim_Hotel!$J$2:$J$11))</f>
        <v>135</v>
      </c>
    </row>
    <row r="1966" spans="1:13" x14ac:dyDescent="0.25">
      <c r="A1966" s="1">
        <f t="shared" si="240"/>
        <v>46219</v>
      </c>
      <c r="B1966" t="str" cm="1">
        <f t="array" ref="B1966">INDEX(HotelList,MOD(ROW()-2,10)+1)</f>
        <v>H005</v>
      </c>
      <c r="C1966">
        <f>_xlfn.XLOOKUP(B1966,Dim_Hotel!$A$2:$A$11,Dim_Hotel!$F$2:$F$11)</f>
        <v>66</v>
      </c>
      <c r="D1966">
        <f t="shared" si="241"/>
        <v>36</v>
      </c>
      <c r="E1966">
        <f t="shared" si="242"/>
        <v>0.54545454545454541</v>
      </c>
      <c r="F1966">
        <f t="shared" si="243"/>
        <v>82</v>
      </c>
      <c r="G1966">
        <f t="shared" si="244"/>
        <v>44.727272727272727</v>
      </c>
      <c r="H1966" t="str">
        <f>_xlfn.XLOOKUP(A1966,Fact_Events!$D$2:$D$20,Fact_Events!$A$2:$A$20, "")</f>
        <v/>
      </c>
      <c r="I1966">
        <f t="shared" si="245"/>
        <v>0</v>
      </c>
      <c r="J1966" t="str">
        <f>_xlfn.XLOOKUP(H1966, Fact_Events!$A$2:$A$20, Fact_Events!$F$2:$F$20, "")</f>
        <v/>
      </c>
      <c r="K1966" t="str">
        <f t="shared" si="246"/>
        <v>Low</v>
      </c>
      <c r="L1966">
        <f t="shared" si="247"/>
        <v>0.55000000000000004</v>
      </c>
      <c r="M1966">
        <f>_xlfn.XLOOKUP(B1966, Dim_Hotel!$A$2:$A$11, Dim_Hotel!$I$2:$I$11)
 + (IF(J1966="",0,J1966)
    * _xlfn.XLOOKUP(B1966, Dim_Hotel!$A$2:$A$11, Dim_Hotel!$J$2:$J$11))</f>
        <v>82</v>
      </c>
    </row>
    <row r="1967" spans="1:13" x14ac:dyDescent="0.25">
      <c r="A1967" s="1">
        <f t="shared" si="240"/>
        <v>46219</v>
      </c>
      <c r="B1967" t="str" cm="1">
        <f t="array" ref="B1967">INDEX(HotelList,MOD(ROW()-2,10)+1)</f>
        <v>H006</v>
      </c>
      <c r="C1967">
        <f>_xlfn.XLOOKUP(B1967,Dim_Hotel!$A$2:$A$11,Dim_Hotel!$F$2:$F$11)</f>
        <v>311</v>
      </c>
      <c r="D1967">
        <f t="shared" si="241"/>
        <v>171</v>
      </c>
      <c r="E1967">
        <f t="shared" si="242"/>
        <v>0.54983922829581988</v>
      </c>
      <c r="F1967">
        <f t="shared" si="243"/>
        <v>190</v>
      </c>
      <c r="G1967">
        <f t="shared" si="244"/>
        <v>104.46945337620578</v>
      </c>
      <c r="H1967" t="str">
        <f>_xlfn.XLOOKUP(A1967,Fact_Events!$D$2:$D$20,Fact_Events!$A$2:$A$20, "")</f>
        <v/>
      </c>
      <c r="I1967">
        <f t="shared" si="245"/>
        <v>0</v>
      </c>
      <c r="J1967" t="str">
        <f>_xlfn.XLOOKUP(H1967, Fact_Events!$A$2:$A$20, Fact_Events!$F$2:$F$20, "")</f>
        <v/>
      </c>
      <c r="K1967" t="str">
        <f t="shared" si="246"/>
        <v>Low</v>
      </c>
      <c r="L1967">
        <f t="shared" si="247"/>
        <v>0.55000000000000004</v>
      </c>
      <c r="M1967">
        <f>_xlfn.XLOOKUP(B1967, Dim_Hotel!$A$2:$A$11, Dim_Hotel!$I$2:$I$11)
 + (IF(J1967="",0,J1967)
    * _xlfn.XLOOKUP(B1967, Dim_Hotel!$A$2:$A$11, Dim_Hotel!$J$2:$J$11))</f>
        <v>190</v>
      </c>
    </row>
    <row r="1968" spans="1:13" x14ac:dyDescent="0.25">
      <c r="A1968" s="1">
        <f t="shared" si="240"/>
        <v>46219</v>
      </c>
      <c r="B1968" t="str" cm="1">
        <f t="array" ref="B1968">INDEX(HotelList,MOD(ROW()-2,10)+1)</f>
        <v>H007</v>
      </c>
      <c r="C1968">
        <f>_xlfn.XLOOKUP(B1968,Dim_Hotel!$A$2:$A$11,Dim_Hotel!$F$2:$F$11)</f>
        <v>132</v>
      </c>
      <c r="D1968">
        <f t="shared" si="241"/>
        <v>73</v>
      </c>
      <c r="E1968">
        <f t="shared" si="242"/>
        <v>0.55303030303030298</v>
      </c>
      <c r="F1968">
        <f t="shared" si="243"/>
        <v>165</v>
      </c>
      <c r="G1968">
        <f t="shared" si="244"/>
        <v>91.249999999999986</v>
      </c>
      <c r="H1968" t="str">
        <f>_xlfn.XLOOKUP(A1968,Fact_Events!$D$2:$D$20,Fact_Events!$A$2:$A$20, "")</f>
        <v/>
      </c>
      <c r="I1968">
        <f t="shared" si="245"/>
        <v>0</v>
      </c>
      <c r="J1968" t="str">
        <f>_xlfn.XLOOKUP(H1968, Fact_Events!$A$2:$A$20, Fact_Events!$F$2:$F$20, "")</f>
        <v/>
      </c>
      <c r="K1968" t="str">
        <f t="shared" si="246"/>
        <v>Low</v>
      </c>
      <c r="L1968">
        <f t="shared" si="247"/>
        <v>0.55000000000000004</v>
      </c>
      <c r="M1968">
        <f>_xlfn.XLOOKUP(B1968, Dim_Hotel!$A$2:$A$11, Dim_Hotel!$I$2:$I$11)
 + (IF(J1968="",0,J1968)
    * _xlfn.XLOOKUP(B1968, Dim_Hotel!$A$2:$A$11, Dim_Hotel!$J$2:$J$11))</f>
        <v>165</v>
      </c>
    </row>
    <row r="1969" spans="1:13" x14ac:dyDescent="0.25">
      <c r="A1969" s="1">
        <f t="shared" si="240"/>
        <v>46219</v>
      </c>
      <c r="B1969" t="str" cm="1">
        <f t="array" ref="B1969">INDEX(HotelList,MOD(ROW()-2,10)+1)</f>
        <v>H008</v>
      </c>
      <c r="C1969">
        <f>_xlfn.XLOOKUP(B1969,Dim_Hotel!$A$2:$A$11,Dim_Hotel!$F$2:$F$11)</f>
        <v>103</v>
      </c>
      <c r="D1969">
        <f t="shared" si="241"/>
        <v>57</v>
      </c>
      <c r="E1969">
        <f t="shared" si="242"/>
        <v>0.55339805825242716</v>
      </c>
      <c r="F1969">
        <f t="shared" si="243"/>
        <v>140</v>
      </c>
      <c r="G1969">
        <f t="shared" si="244"/>
        <v>77.475728155339809</v>
      </c>
      <c r="H1969" t="str">
        <f>_xlfn.XLOOKUP(A1969,Fact_Events!$D$2:$D$20,Fact_Events!$A$2:$A$20, "")</f>
        <v/>
      </c>
      <c r="I1969">
        <f t="shared" si="245"/>
        <v>0</v>
      </c>
      <c r="J1969" t="str">
        <f>_xlfn.XLOOKUP(H1969, Fact_Events!$A$2:$A$20, Fact_Events!$F$2:$F$20, "")</f>
        <v/>
      </c>
      <c r="K1969" t="str">
        <f t="shared" si="246"/>
        <v>Low</v>
      </c>
      <c r="L1969">
        <f t="shared" si="247"/>
        <v>0.55000000000000004</v>
      </c>
      <c r="M1969">
        <f>_xlfn.XLOOKUP(B1969, Dim_Hotel!$A$2:$A$11, Dim_Hotel!$I$2:$I$11)
 + (IF(J1969="",0,J1969)
    * _xlfn.XLOOKUP(B1969, Dim_Hotel!$A$2:$A$11, Dim_Hotel!$J$2:$J$11))</f>
        <v>140</v>
      </c>
    </row>
    <row r="1970" spans="1:13" x14ac:dyDescent="0.25">
      <c r="A1970" s="1">
        <f t="shared" si="240"/>
        <v>46219</v>
      </c>
      <c r="B1970" t="str" cm="1">
        <f t="array" ref="B1970">INDEX(HotelList,MOD(ROW()-2,10)+1)</f>
        <v>H009</v>
      </c>
      <c r="C1970">
        <f>_xlfn.XLOOKUP(B1970,Dim_Hotel!$A$2:$A$11,Dim_Hotel!$F$2:$F$11)</f>
        <v>114</v>
      </c>
      <c r="D1970">
        <f t="shared" si="241"/>
        <v>63</v>
      </c>
      <c r="E1970">
        <f t="shared" si="242"/>
        <v>0.55263157894736847</v>
      </c>
      <c r="F1970">
        <f t="shared" si="243"/>
        <v>185</v>
      </c>
      <c r="G1970">
        <f t="shared" si="244"/>
        <v>102.23684210526316</v>
      </c>
      <c r="H1970" t="str">
        <f>_xlfn.XLOOKUP(A1970,Fact_Events!$D$2:$D$20,Fact_Events!$A$2:$A$20, "")</f>
        <v/>
      </c>
      <c r="I1970">
        <f t="shared" si="245"/>
        <v>0</v>
      </c>
      <c r="J1970" t="str">
        <f>_xlfn.XLOOKUP(H1970, Fact_Events!$A$2:$A$20, Fact_Events!$F$2:$F$20, "")</f>
        <v/>
      </c>
      <c r="K1970" t="str">
        <f t="shared" si="246"/>
        <v>Low</v>
      </c>
      <c r="L1970">
        <f t="shared" si="247"/>
        <v>0.55000000000000004</v>
      </c>
      <c r="M1970">
        <f>_xlfn.XLOOKUP(B1970, Dim_Hotel!$A$2:$A$11, Dim_Hotel!$I$2:$I$11)
 + (IF(J1970="",0,J1970)
    * _xlfn.XLOOKUP(B1970, Dim_Hotel!$A$2:$A$11, Dim_Hotel!$J$2:$J$11))</f>
        <v>185</v>
      </c>
    </row>
    <row r="1971" spans="1:13" x14ac:dyDescent="0.25">
      <c r="A1971" s="1">
        <f t="shared" si="240"/>
        <v>46219</v>
      </c>
      <c r="B1971" t="str" cm="1">
        <f t="array" ref="B1971">INDEX(HotelList,MOD(ROW()-2,10)+1)</f>
        <v>H010</v>
      </c>
      <c r="C1971">
        <f>_xlfn.XLOOKUP(B1971,Dim_Hotel!$A$2:$A$11,Dim_Hotel!$F$2:$F$11)</f>
        <v>89</v>
      </c>
      <c r="D1971">
        <f t="shared" si="241"/>
        <v>49</v>
      </c>
      <c r="E1971">
        <f t="shared" si="242"/>
        <v>0.550561797752809</v>
      </c>
      <c r="F1971">
        <f t="shared" si="243"/>
        <v>150</v>
      </c>
      <c r="G1971">
        <f t="shared" si="244"/>
        <v>82.584269662921344</v>
      </c>
      <c r="H1971" t="str">
        <f>_xlfn.XLOOKUP(A1971,Fact_Events!$D$2:$D$20,Fact_Events!$A$2:$A$20, "")</f>
        <v/>
      </c>
      <c r="I1971">
        <f t="shared" si="245"/>
        <v>0</v>
      </c>
      <c r="J1971" t="str">
        <f>_xlfn.XLOOKUP(H1971, Fact_Events!$A$2:$A$20, Fact_Events!$F$2:$F$20, "")</f>
        <v/>
      </c>
      <c r="K1971" t="str">
        <f t="shared" si="246"/>
        <v>Low</v>
      </c>
      <c r="L1971">
        <f t="shared" si="247"/>
        <v>0.55000000000000004</v>
      </c>
      <c r="M1971">
        <f>_xlfn.XLOOKUP(B1971, Dim_Hotel!$A$2:$A$11, Dim_Hotel!$I$2:$I$11)
 + (IF(J1971="",0,J1971)
    * _xlfn.XLOOKUP(B1971, Dim_Hotel!$A$2:$A$11, Dim_Hotel!$J$2:$J$11))</f>
        <v>150</v>
      </c>
    </row>
    <row r="1972" spans="1:13" x14ac:dyDescent="0.25">
      <c r="A1972" s="1">
        <f t="shared" si="240"/>
        <v>46220</v>
      </c>
      <c r="B1972" t="str" cm="1">
        <f t="array" ref="B1972">INDEX(HotelList,MOD(ROW()-2,10)+1)</f>
        <v>H001</v>
      </c>
      <c r="C1972">
        <f>_xlfn.XLOOKUP(B1972,Dim_Hotel!$A$2:$A$11,Dim_Hotel!$F$2:$F$11)</f>
        <v>888</v>
      </c>
      <c r="D1972">
        <f t="shared" si="241"/>
        <v>488</v>
      </c>
      <c r="E1972">
        <f t="shared" si="242"/>
        <v>0.5495495495495496</v>
      </c>
      <c r="F1972">
        <f t="shared" si="243"/>
        <v>260</v>
      </c>
      <c r="G1972">
        <f t="shared" si="244"/>
        <v>142.88288288288288</v>
      </c>
      <c r="H1972" t="str">
        <f>_xlfn.XLOOKUP(A1972,Fact_Events!$D$2:$D$20,Fact_Events!$A$2:$A$20, "")</f>
        <v/>
      </c>
      <c r="I1972">
        <f t="shared" si="245"/>
        <v>0</v>
      </c>
      <c r="J1972" t="str">
        <f>_xlfn.XLOOKUP(H1972, Fact_Events!$A$2:$A$20, Fact_Events!$F$2:$F$20, "")</f>
        <v/>
      </c>
      <c r="K1972" t="str">
        <f t="shared" si="246"/>
        <v>Low</v>
      </c>
      <c r="L1972">
        <f t="shared" si="247"/>
        <v>0.55000000000000004</v>
      </c>
      <c r="M1972">
        <f>_xlfn.XLOOKUP(B1972, Dim_Hotel!$A$2:$A$11, Dim_Hotel!$I$2:$I$11)
 + (IF(J1972="",0,J1972)
    * _xlfn.XLOOKUP(B1972, Dim_Hotel!$A$2:$A$11, Dim_Hotel!$J$2:$J$11))</f>
        <v>260</v>
      </c>
    </row>
    <row r="1973" spans="1:13" x14ac:dyDescent="0.25">
      <c r="A1973" s="1">
        <f t="shared" si="240"/>
        <v>46220</v>
      </c>
      <c r="B1973" t="str" cm="1">
        <f t="array" ref="B1973">INDEX(HotelList,MOD(ROW()-2,10)+1)</f>
        <v>H002</v>
      </c>
      <c r="C1973">
        <f>_xlfn.XLOOKUP(B1973,Dim_Hotel!$A$2:$A$11,Dim_Hotel!$F$2:$F$11)</f>
        <v>147</v>
      </c>
      <c r="D1973">
        <f t="shared" si="241"/>
        <v>81</v>
      </c>
      <c r="E1973">
        <f t="shared" si="242"/>
        <v>0.55102040816326525</v>
      </c>
      <c r="F1973">
        <f t="shared" si="243"/>
        <v>175</v>
      </c>
      <c r="G1973">
        <f t="shared" si="244"/>
        <v>96.428571428571416</v>
      </c>
      <c r="H1973" t="str">
        <f>_xlfn.XLOOKUP(A1973,Fact_Events!$D$2:$D$20,Fact_Events!$A$2:$A$20, "")</f>
        <v/>
      </c>
      <c r="I1973">
        <f t="shared" si="245"/>
        <v>0</v>
      </c>
      <c r="J1973" t="str">
        <f>_xlfn.XLOOKUP(H1973, Fact_Events!$A$2:$A$20, Fact_Events!$F$2:$F$20, "")</f>
        <v/>
      </c>
      <c r="K1973" t="str">
        <f t="shared" si="246"/>
        <v>Low</v>
      </c>
      <c r="L1973">
        <f t="shared" si="247"/>
        <v>0.55000000000000004</v>
      </c>
      <c r="M1973">
        <f>_xlfn.XLOOKUP(B1973, Dim_Hotel!$A$2:$A$11, Dim_Hotel!$I$2:$I$11)
 + (IF(J1973="",0,J1973)
    * _xlfn.XLOOKUP(B1973, Dim_Hotel!$A$2:$A$11, Dim_Hotel!$J$2:$J$11))</f>
        <v>175</v>
      </c>
    </row>
    <row r="1974" spans="1:13" x14ac:dyDescent="0.25">
      <c r="A1974" s="1">
        <f t="shared" si="240"/>
        <v>46220</v>
      </c>
      <c r="B1974" t="str" cm="1">
        <f t="array" ref="B1974">INDEX(HotelList,MOD(ROW()-2,10)+1)</f>
        <v>H003</v>
      </c>
      <c r="C1974">
        <f>_xlfn.XLOOKUP(B1974,Dim_Hotel!$A$2:$A$11,Dim_Hotel!$F$2:$F$11)</f>
        <v>121</v>
      </c>
      <c r="D1974">
        <f t="shared" si="241"/>
        <v>67</v>
      </c>
      <c r="E1974">
        <f t="shared" si="242"/>
        <v>0.55371900826446285</v>
      </c>
      <c r="F1974">
        <f t="shared" si="243"/>
        <v>145</v>
      </c>
      <c r="G1974">
        <f t="shared" si="244"/>
        <v>80.289256198347118</v>
      </c>
      <c r="H1974" t="str">
        <f>_xlfn.XLOOKUP(A1974,Fact_Events!$D$2:$D$20,Fact_Events!$A$2:$A$20, "")</f>
        <v/>
      </c>
      <c r="I1974">
        <f t="shared" si="245"/>
        <v>0</v>
      </c>
      <c r="J1974" t="str">
        <f>_xlfn.XLOOKUP(H1974, Fact_Events!$A$2:$A$20, Fact_Events!$F$2:$F$20, "")</f>
        <v/>
      </c>
      <c r="K1974" t="str">
        <f t="shared" si="246"/>
        <v>Low</v>
      </c>
      <c r="L1974">
        <f t="shared" si="247"/>
        <v>0.55000000000000004</v>
      </c>
      <c r="M1974">
        <f>_xlfn.XLOOKUP(B1974, Dim_Hotel!$A$2:$A$11, Dim_Hotel!$I$2:$I$11)
 + (IF(J1974="",0,J1974)
    * _xlfn.XLOOKUP(B1974, Dim_Hotel!$A$2:$A$11, Dim_Hotel!$J$2:$J$11))</f>
        <v>145</v>
      </c>
    </row>
    <row r="1975" spans="1:13" x14ac:dyDescent="0.25">
      <c r="A1975" s="1">
        <f t="shared" si="240"/>
        <v>46220</v>
      </c>
      <c r="B1975" t="str" cm="1">
        <f t="array" ref="B1975">INDEX(HotelList,MOD(ROW()-2,10)+1)</f>
        <v>H004</v>
      </c>
      <c r="C1975">
        <f>_xlfn.XLOOKUP(B1975,Dim_Hotel!$A$2:$A$11,Dim_Hotel!$F$2:$F$11)</f>
        <v>108</v>
      </c>
      <c r="D1975">
        <f t="shared" si="241"/>
        <v>59</v>
      </c>
      <c r="E1975">
        <f t="shared" si="242"/>
        <v>0.54629629629629628</v>
      </c>
      <c r="F1975">
        <f t="shared" si="243"/>
        <v>135</v>
      </c>
      <c r="G1975">
        <f t="shared" si="244"/>
        <v>73.75</v>
      </c>
      <c r="H1975" t="str">
        <f>_xlfn.XLOOKUP(A1975,Fact_Events!$D$2:$D$20,Fact_Events!$A$2:$A$20, "")</f>
        <v/>
      </c>
      <c r="I1975">
        <f t="shared" si="245"/>
        <v>0</v>
      </c>
      <c r="J1975" t="str">
        <f>_xlfn.XLOOKUP(H1975, Fact_Events!$A$2:$A$20, Fact_Events!$F$2:$F$20, "")</f>
        <v/>
      </c>
      <c r="K1975" t="str">
        <f t="shared" si="246"/>
        <v>Low</v>
      </c>
      <c r="L1975">
        <f t="shared" si="247"/>
        <v>0.55000000000000004</v>
      </c>
      <c r="M1975">
        <f>_xlfn.XLOOKUP(B1975, Dim_Hotel!$A$2:$A$11, Dim_Hotel!$I$2:$I$11)
 + (IF(J1975="",0,J1975)
    * _xlfn.XLOOKUP(B1975, Dim_Hotel!$A$2:$A$11, Dim_Hotel!$J$2:$J$11))</f>
        <v>135</v>
      </c>
    </row>
    <row r="1976" spans="1:13" x14ac:dyDescent="0.25">
      <c r="A1976" s="1">
        <f t="shared" si="240"/>
        <v>46220</v>
      </c>
      <c r="B1976" t="str" cm="1">
        <f t="array" ref="B1976">INDEX(HotelList,MOD(ROW()-2,10)+1)</f>
        <v>H005</v>
      </c>
      <c r="C1976">
        <f>_xlfn.XLOOKUP(B1976,Dim_Hotel!$A$2:$A$11,Dim_Hotel!$F$2:$F$11)</f>
        <v>66</v>
      </c>
      <c r="D1976">
        <f t="shared" si="241"/>
        <v>36</v>
      </c>
      <c r="E1976">
        <f t="shared" si="242"/>
        <v>0.54545454545454541</v>
      </c>
      <c r="F1976">
        <f t="shared" si="243"/>
        <v>82</v>
      </c>
      <c r="G1976">
        <f t="shared" si="244"/>
        <v>44.727272727272727</v>
      </c>
      <c r="H1976" t="str">
        <f>_xlfn.XLOOKUP(A1976,Fact_Events!$D$2:$D$20,Fact_Events!$A$2:$A$20, "")</f>
        <v/>
      </c>
      <c r="I1976">
        <f t="shared" si="245"/>
        <v>0</v>
      </c>
      <c r="J1976" t="str">
        <f>_xlfn.XLOOKUP(H1976, Fact_Events!$A$2:$A$20, Fact_Events!$F$2:$F$20, "")</f>
        <v/>
      </c>
      <c r="K1976" t="str">
        <f t="shared" si="246"/>
        <v>Low</v>
      </c>
      <c r="L1976">
        <f t="shared" si="247"/>
        <v>0.55000000000000004</v>
      </c>
      <c r="M1976">
        <f>_xlfn.XLOOKUP(B1976, Dim_Hotel!$A$2:$A$11, Dim_Hotel!$I$2:$I$11)
 + (IF(J1976="",0,J1976)
    * _xlfn.XLOOKUP(B1976, Dim_Hotel!$A$2:$A$11, Dim_Hotel!$J$2:$J$11))</f>
        <v>82</v>
      </c>
    </row>
    <row r="1977" spans="1:13" x14ac:dyDescent="0.25">
      <c r="A1977" s="1">
        <f t="shared" si="240"/>
        <v>46220</v>
      </c>
      <c r="B1977" t="str" cm="1">
        <f t="array" ref="B1977">INDEX(HotelList,MOD(ROW()-2,10)+1)</f>
        <v>H006</v>
      </c>
      <c r="C1977">
        <f>_xlfn.XLOOKUP(B1977,Dim_Hotel!$A$2:$A$11,Dim_Hotel!$F$2:$F$11)</f>
        <v>311</v>
      </c>
      <c r="D1977">
        <f t="shared" si="241"/>
        <v>171</v>
      </c>
      <c r="E1977">
        <f t="shared" si="242"/>
        <v>0.54983922829581988</v>
      </c>
      <c r="F1977">
        <f t="shared" si="243"/>
        <v>190</v>
      </c>
      <c r="G1977">
        <f t="shared" si="244"/>
        <v>104.46945337620578</v>
      </c>
      <c r="H1977" t="str">
        <f>_xlfn.XLOOKUP(A1977,Fact_Events!$D$2:$D$20,Fact_Events!$A$2:$A$20, "")</f>
        <v/>
      </c>
      <c r="I1977">
        <f t="shared" si="245"/>
        <v>0</v>
      </c>
      <c r="J1977" t="str">
        <f>_xlfn.XLOOKUP(H1977, Fact_Events!$A$2:$A$20, Fact_Events!$F$2:$F$20, "")</f>
        <v/>
      </c>
      <c r="K1977" t="str">
        <f t="shared" si="246"/>
        <v>Low</v>
      </c>
      <c r="L1977">
        <f t="shared" si="247"/>
        <v>0.55000000000000004</v>
      </c>
      <c r="M1977">
        <f>_xlfn.XLOOKUP(B1977, Dim_Hotel!$A$2:$A$11, Dim_Hotel!$I$2:$I$11)
 + (IF(J1977="",0,J1977)
    * _xlfn.XLOOKUP(B1977, Dim_Hotel!$A$2:$A$11, Dim_Hotel!$J$2:$J$11))</f>
        <v>190</v>
      </c>
    </row>
    <row r="1978" spans="1:13" x14ac:dyDescent="0.25">
      <c r="A1978" s="1">
        <f t="shared" si="240"/>
        <v>46220</v>
      </c>
      <c r="B1978" t="str" cm="1">
        <f t="array" ref="B1978">INDEX(HotelList,MOD(ROW()-2,10)+1)</f>
        <v>H007</v>
      </c>
      <c r="C1978">
        <f>_xlfn.XLOOKUP(B1978,Dim_Hotel!$A$2:$A$11,Dim_Hotel!$F$2:$F$11)</f>
        <v>132</v>
      </c>
      <c r="D1978">
        <f t="shared" si="241"/>
        <v>73</v>
      </c>
      <c r="E1978">
        <f t="shared" si="242"/>
        <v>0.55303030303030298</v>
      </c>
      <c r="F1978">
        <f t="shared" si="243"/>
        <v>165</v>
      </c>
      <c r="G1978">
        <f t="shared" si="244"/>
        <v>91.249999999999986</v>
      </c>
      <c r="H1978" t="str">
        <f>_xlfn.XLOOKUP(A1978,Fact_Events!$D$2:$D$20,Fact_Events!$A$2:$A$20, "")</f>
        <v/>
      </c>
      <c r="I1978">
        <f t="shared" si="245"/>
        <v>0</v>
      </c>
      <c r="J1978" t="str">
        <f>_xlfn.XLOOKUP(H1978, Fact_Events!$A$2:$A$20, Fact_Events!$F$2:$F$20, "")</f>
        <v/>
      </c>
      <c r="K1978" t="str">
        <f t="shared" si="246"/>
        <v>Low</v>
      </c>
      <c r="L1978">
        <f t="shared" si="247"/>
        <v>0.55000000000000004</v>
      </c>
      <c r="M1978">
        <f>_xlfn.XLOOKUP(B1978, Dim_Hotel!$A$2:$A$11, Dim_Hotel!$I$2:$I$11)
 + (IF(J1978="",0,J1978)
    * _xlfn.XLOOKUP(B1978, Dim_Hotel!$A$2:$A$11, Dim_Hotel!$J$2:$J$11))</f>
        <v>165</v>
      </c>
    </row>
    <row r="1979" spans="1:13" x14ac:dyDescent="0.25">
      <c r="A1979" s="1">
        <f t="shared" si="240"/>
        <v>46220</v>
      </c>
      <c r="B1979" t="str" cm="1">
        <f t="array" ref="B1979">INDEX(HotelList,MOD(ROW()-2,10)+1)</f>
        <v>H008</v>
      </c>
      <c r="C1979">
        <f>_xlfn.XLOOKUP(B1979,Dim_Hotel!$A$2:$A$11,Dim_Hotel!$F$2:$F$11)</f>
        <v>103</v>
      </c>
      <c r="D1979">
        <f t="shared" si="241"/>
        <v>57</v>
      </c>
      <c r="E1979">
        <f t="shared" si="242"/>
        <v>0.55339805825242716</v>
      </c>
      <c r="F1979">
        <f t="shared" si="243"/>
        <v>140</v>
      </c>
      <c r="G1979">
        <f t="shared" si="244"/>
        <v>77.475728155339809</v>
      </c>
      <c r="H1979" t="str">
        <f>_xlfn.XLOOKUP(A1979,Fact_Events!$D$2:$D$20,Fact_Events!$A$2:$A$20, "")</f>
        <v/>
      </c>
      <c r="I1979">
        <f t="shared" si="245"/>
        <v>0</v>
      </c>
      <c r="J1979" t="str">
        <f>_xlfn.XLOOKUP(H1979, Fact_Events!$A$2:$A$20, Fact_Events!$F$2:$F$20, "")</f>
        <v/>
      </c>
      <c r="K1979" t="str">
        <f t="shared" si="246"/>
        <v>Low</v>
      </c>
      <c r="L1979">
        <f t="shared" si="247"/>
        <v>0.55000000000000004</v>
      </c>
      <c r="M1979">
        <f>_xlfn.XLOOKUP(B1979, Dim_Hotel!$A$2:$A$11, Dim_Hotel!$I$2:$I$11)
 + (IF(J1979="",0,J1979)
    * _xlfn.XLOOKUP(B1979, Dim_Hotel!$A$2:$A$11, Dim_Hotel!$J$2:$J$11))</f>
        <v>140</v>
      </c>
    </row>
    <row r="1980" spans="1:13" x14ac:dyDescent="0.25">
      <c r="A1980" s="1">
        <f t="shared" si="240"/>
        <v>46220</v>
      </c>
      <c r="B1980" t="str" cm="1">
        <f t="array" ref="B1980">INDEX(HotelList,MOD(ROW()-2,10)+1)</f>
        <v>H009</v>
      </c>
      <c r="C1980">
        <f>_xlfn.XLOOKUP(B1980,Dim_Hotel!$A$2:$A$11,Dim_Hotel!$F$2:$F$11)</f>
        <v>114</v>
      </c>
      <c r="D1980">
        <f t="shared" si="241"/>
        <v>63</v>
      </c>
      <c r="E1980">
        <f t="shared" si="242"/>
        <v>0.55263157894736847</v>
      </c>
      <c r="F1980">
        <f t="shared" si="243"/>
        <v>185</v>
      </c>
      <c r="G1980">
        <f t="shared" si="244"/>
        <v>102.23684210526316</v>
      </c>
      <c r="H1980" t="str">
        <f>_xlfn.XLOOKUP(A1980,Fact_Events!$D$2:$D$20,Fact_Events!$A$2:$A$20, "")</f>
        <v/>
      </c>
      <c r="I1980">
        <f t="shared" si="245"/>
        <v>0</v>
      </c>
      <c r="J1980" t="str">
        <f>_xlfn.XLOOKUP(H1980, Fact_Events!$A$2:$A$20, Fact_Events!$F$2:$F$20, "")</f>
        <v/>
      </c>
      <c r="K1980" t="str">
        <f t="shared" si="246"/>
        <v>Low</v>
      </c>
      <c r="L1980">
        <f t="shared" si="247"/>
        <v>0.55000000000000004</v>
      </c>
      <c r="M1980">
        <f>_xlfn.XLOOKUP(B1980, Dim_Hotel!$A$2:$A$11, Dim_Hotel!$I$2:$I$11)
 + (IF(J1980="",0,J1980)
    * _xlfn.XLOOKUP(B1980, Dim_Hotel!$A$2:$A$11, Dim_Hotel!$J$2:$J$11))</f>
        <v>185</v>
      </c>
    </row>
    <row r="1981" spans="1:13" x14ac:dyDescent="0.25">
      <c r="A1981" s="1">
        <f t="shared" si="240"/>
        <v>46220</v>
      </c>
      <c r="B1981" t="str" cm="1">
        <f t="array" ref="B1981">INDEX(HotelList,MOD(ROW()-2,10)+1)</f>
        <v>H010</v>
      </c>
      <c r="C1981">
        <f>_xlfn.XLOOKUP(B1981,Dim_Hotel!$A$2:$A$11,Dim_Hotel!$F$2:$F$11)</f>
        <v>89</v>
      </c>
      <c r="D1981">
        <f t="shared" si="241"/>
        <v>49</v>
      </c>
      <c r="E1981">
        <f t="shared" si="242"/>
        <v>0.550561797752809</v>
      </c>
      <c r="F1981">
        <f t="shared" si="243"/>
        <v>150</v>
      </c>
      <c r="G1981">
        <f t="shared" si="244"/>
        <v>82.584269662921344</v>
      </c>
      <c r="H1981" t="str">
        <f>_xlfn.XLOOKUP(A1981,Fact_Events!$D$2:$D$20,Fact_Events!$A$2:$A$20, "")</f>
        <v/>
      </c>
      <c r="I1981">
        <f t="shared" si="245"/>
        <v>0</v>
      </c>
      <c r="J1981" t="str">
        <f>_xlfn.XLOOKUP(H1981, Fact_Events!$A$2:$A$20, Fact_Events!$F$2:$F$20, "")</f>
        <v/>
      </c>
      <c r="K1981" t="str">
        <f t="shared" si="246"/>
        <v>Low</v>
      </c>
      <c r="L1981">
        <f t="shared" si="247"/>
        <v>0.55000000000000004</v>
      </c>
      <c r="M1981">
        <f>_xlfn.XLOOKUP(B1981, Dim_Hotel!$A$2:$A$11, Dim_Hotel!$I$2:$I$11)
 + (IF(J1981="",0,J1981)
    * _xlfn.XLOOKUP(B1981, Dim_Hotel!$A$2:$A$11, Dim_Hotel!$J$2:$J$11))</f>
        <v>150</v>
      </c>
    </row>
    <row r="1982" spans="1:13" x14ac:dyDescent="0.25">
      <c r="A1982" s="1">
        <f t="shared" si="240"/>
        <v>46221</v>
      </c>
      <c r="B1982" t="str" cm="1">
        <f t="array" ref="B1982">INDEX(HotelList,MOD(ROW()-2,10)+1)</f>
        <v>H001</v>
      </c>
      <c r="C1982">
        <f>_xlfn.XLOOKUP(B1982,Dim_Hotel!$A$2:$A$11,Dim_Hotel!$F$2:$F$11)</f>
        <v>888</v>
      </c>
      <c r="D1982">
        <f t="shared" si="241"/>
        <v>488</v>
      </c>
      <c r="E1982">
        <f t="shared" si="242"/>
        <v>0.5495495495495496</v>
      </c>
      <c r="F1982">
        <f t="shared" si="243"/>
        <v>260</v>
      </c>
      <c r="G1982">
        <f t="shared" si="244"/>
        <v>142.88288288288288</v>
      </c>
      <c r="H1982" t="str">
        <f>_xlfn.XLOOKUP(A1982,Fact_Events!$D$2:$D$20,Fact_Events!$A$2:$A$20, "")</f>
        <v/>
      </c>
      <c r="I1982">
        <f t="shared" si="245"/>
        <v>0</v>
      </c>
      <c r="J1982" t="str">
        <f>_xlfn.XLOOKUP(H1982, Fact_Events!$A$2:$A$20, Fact_Events!$F$2:$F$20, "")</f>
        <v/>
      </c>
      <c r="K1982" t="str">
        <f t="shared" si="246"/>
        <v>Low</v>
      </c>
      <c r="L1982">
        <f t="shared" si="247"/>
        <v>0.55000000000000004</v>
      </c>
      <c r="M1982">
        <f>_xlfn.XLOOKUP(B1982, Dim_Hotel!$A$2:$A$11, Dim_Hotel!$I$2:$I$11)
 + (IF(J1982="",0,J1982)
    * _xlfn.XLOOKUP(B1982, Dim_Hotel!$A$2:$A$11, Dim_Hotel!$J$2:$J$11))</f>
        <v>260</v>
      </c>
    </row>
    <row r="1983" spans="1:13" x14ac:dyDescent="0.25">
      <c r="A1983" s="1">
        <f t="shared" si="240"/>
        <v>46221</v>
      </c>
      <c r="B1983" t="str" cm="1">
        <f t="array" ref="B1983">INDEX(HotelList,MOD(ROW()-2,10)+1)</f>
        <v>H002</v>
      </c>
      <c r="C1983">
        <f>_xlfn.XLOOKUP(B1983,Dim_Hotel!$A$2:$A$11,Dim_Hotel!$F$2:$F$11)</f>
        <v>147</v>
      </c>
      <c r="D1983">
        <f t="shared" si="241"/>
        <v>81</v>
      </c>
      <c r="E1983">
        <f t="shared" si="242"/>
        <v>0.55102040816326525</v>
      </c>
      <c r="F1983">
        <f t="shared" si="243"/>
        <v>175</v>
      </c>
      <c r="G1983">
        <f t="shared" si="244"/>
        <v>96.428571428571416</v>
      </c>
      <c r="H1983" t="str">
        <f>_xlfn.XLOOKUP(A1983,Fact_Events!$D$2:$D$20,Fact_Events!$A$2:$A$20, "")</f>
        <v/>
      </c>
      <c r="I1983">
        <f t="shared" si="245"/>
        <v>0</v>
      </c>
      <c r="J1983" t="str">
        <f>_xlfn.XLOOKUP(H1983, Fact_Events!$A$2:$A$20, Fact_Events!$F$2:$F$20, "")</f>
        <v/>
      </c>
      <c r="K1983" t="str">
        <f t="shared" si="246"/>
        <v>Low</v>
      </c>
      <c r="L1983">
        <f t="shared" si="247"/>
        <v>0.55000000000000004</v>
      </c>
      <c r="M1983">
        <f>_xlfn.XLOOKUP(B1983, Dim_Hotel!$A$2:$A$11, Dim_Hotel!$I$2:$I$11)
 + (IF(J1983="",0,J1983)
    * _xlfn.XLOOKUP(B1983, Dim_Hotel!$A$2:$A$11, Dim_Hotel!$J$2:$J$11))</f>
        <v>175</v>
      </c>
    </row>
    <row r="1984" spans="1:13" x14ac:dyDescent="0.25">
      <c r="A1984" s="1">
        <f t="shared" si="240"/>
        <v>46221</v>
      </c>
      <c r="B1984" t="str" cm="1">
        <f t="array" ref="B1984">INDEX(HotelList,MOD(ROW()-2,10)+1)</f>
        <v>H003</v>
      </c>
      <c r="C1984">
        <f>_xlfn.XLOOKUP(B1984,Dim_Hotel!$A$2:$A$11,Dim_Hotel!$F$2:$F$11)</f>
        <v>121</v>
      </c>
      <c r="D1984">
        <f t="shared" si="241"/>
        <v>67</v>
      </c>
      <c r="E1984">
        <f t="shared" si="242"/>
        <v>0.55371900826446285</v>
      </c>
      <c r="F1984">
        <f t="shared" si="243"/>
        <v>145</v>
      </c>
      <c r="G1984">
        <f t="shared" si="244"/>
        <v>80.289256198347118</v>
      </c>
      <c r="H1984" t="str">
        <f>_xlfn.XLOOKUP(A1984,Fact_Events!$D$2:$D$20,Fact_Events!$A$2:$A$20, "")</f>
        <v/>
      </c>
      <c r="I1984">
        <f t="shared" si="245"/>
        <v>0</v>
      </c>
      <c r="J1984" t="str">
        <f>_xlfn.XLOOKUP(H1984, Fact_Events!$A$2:$A$20, Fact_Events!$F$2:$F$20, "")</f>
        <v/>
      </c>
      <c r="K1984" t="str">
        <f t="shared" si="246"/>
        <v>Low</v>
      </c>
      <c r="L1984">
        <f t="shared" si="247"/>
        <v>0.55000000000000004</v>
      </c>
      <c r="M1984">
        <f>_xlfn.XLOOKUP(B1984, Dim_Hotel!$A$2:$A$11, Dim_Hotel!$I$2:$I$11)
 + (IF(J1984="",0,J1984)
    * _xlfn.XLOOKUP(B1984, Dim_Hotel!$A$2:$A$11, Dim_Hotel!$J$2:$J$11))</f>
        <v>145</v>
      </c>
    </row>
    <row r="1985" spans="1:13" x14ac:dyDescent="0.25">
      <c r="A1985" s="1">
        <f t="shared" si="240"/>
        <v>46221</v>
      </c>
      <c r="B1985" t="str" cm="1">
        <f t="array" ref="B1985">INDEX(HotelList,MOD(ROW()-2,10)+1)</f>
        <v>H004</v>
      </c>
      <c r="C1985">
        <f>_xlfn.XLOOKUP(B1985,Dim_Hotel!$A$2:$A$11,Dim_Hotel!$F$2:$F$11)</f>
        <v>108</v>
      </c>
      <c r="D1985">
        <f t="shared" si="241"/>
        <v>59</v>
      </c>
      <c r="E1985">
        <f t="shared" si="242"/>
        <v>0.54629629629629628</v>
      </c>
      <c r="F1985">
        <f t="shared" si="243"/>
        <v>135</v>
      </c>
      <c r="G1985">
        <f t="shared" si="244"/>
        <v>73.75</v>
      </c>
      <c r="H1985" t="str">
        <f>_xlfn.XLOOKUP(A1985,Fact_Events!$D$2:$D$20,Fact_Events!$A$2:$A$20, "")</f>
        <v/>
      </c>
      <c r="I1985">
        <f t="shared" si="245"/>
        <v>0</v>
      </c>
      <c r="J1985" t="str">
        <f>_xlfn.XLOOKUP(H1985, Fact_Events!$A$2:$A$20, Fact_Events!$F$2:$F$20, "")</f>
        <v/>
      </c>
      <c r="K1985" t="str">
        <f t="shared" si="246"/>
        <v>Low</v>
      </c>
      <c r="L1985">
        <f t="shared" si="247"/>
        <v>0.55000000000000004</v>
      </c>
      <c r="M1985">
        <f>_xlfn.XLOOKUP(B1985, Dim_Hotel!$A$2:$A$11, Dim_Hotel!$I$2:$I$11)
 + (IF(J1985="",0,J1985)
    * _xlfn.XLOOKUP(B1985, Dim_Hotel!$A$2:$A$11, Dim_Hotel!$J$2:$J$11))</f>
        <v>135</v>
      </c>
    </row>
    <row r="1986" spans="1:13" x14ac:dyDescent="0.25">
      <c r="A1986" s="1">
        <f t="shared" si="240"/>
        <v>46221</v>
      </c>
      <c r="B1986" t="str" cm="1">
        <f t="array" ref="B1986">INDEX(HotelList,MOD(ROW()-2,10)+1)</f>
        <v>H005</v>
      </c>
      <c r="C1986">
        <f>_xlfn.XLOOKUP(B1986,Dim_Hotel!$A$2:$A$11,Dim_Hotel!$F$2:$F$11)</f>
        <v>66</v>
      </c>
      <c r="D1986">
        <f t="shared" si="241"/>
        <v>36</v>
      </c>
      <c r="E1986">
        <f t="shared" si="242"/>
        <v>0.54545454545454541</v>
      </c>
      <c r="F1986">
        <f t="shared" si="243"/>
        <v>82</v>
      </c>
      <c r="G1986">
        <f t="shared" si="244"/>
        <v>44.727272727272727</v>
      </c>
      <c r="H1986" t="str">
        <f>_xlfn.XLOOKUP(A1986,Fact_Events!$D$2:$D$20,Fact_Events!$A$2:$A$20, "")</f>
        <v/>
      </c>
      <c r="I1986">
        <f t="shared" si="245"/>
        <v>0</v>
      </c>
      <c r="J1986" t="str">
        <f>_xlfn.XLOOKUP(H1986, Fact_Events!$A$2:$A$20, Fact_Events!$F$2:$F$20, "")</f>
        <v/>
      </c>
      <c r="K1986" t="str">
        <f t="shared" si="246"/>
        <v>Low</v>
      </c>
      <c r="L1986">
        <f t="shared" si="247"/>
        <v>0.55000000000000004</v>
      </c>
      <c r="M1986">
        <f>_xlfn.XLOOKUP(B1986, Dim_Hotel!$A$2:$A$11, Dim_Hotel!$I$2:$I$11)
 + (IF(J1986="",0,J1986)
    * _xlfn.XLOOKUP(B1986, Dim_Hotel!$A$2:$A$11, Dim_Hotel!$J$2:$J$11))</f>
        <v>82</v>
      </c>
    </row>
    <row r="1987" spans="1:13" x14ac:dyDescent="0.25">
      <c r="A1987" s="1">
        <f t="shared" ref="A1987:A2050" si="248">DATE(2026,1,1) + INT((ROW()-2)/10)</f>
        <v>46221</v>
      </c>
      <c r="B1987" t="str" cm="1">
        <f t="array" ref="B1987">INDEX(HotelList,MOD(ROW()-2,10)+1)</f>
        <v>H006</v>
      </c>
      <c r="C1987">
        <f>_xlfn.XLOOKUP(B1987,Dim_Hotel!$A$2:$A$11,Dim_Hotel!$F$2:$F$11)</f>
        <v>311</v>
      </c>
      <c r="D1987">
        <f t="shared" ref="D1987:D2050" si="249">ROUND(L1987 * C1987, 0)</f>
        <v>171</v>
      </c>
      <c r="E1987">
        <f t="shared" ref="E1987:E2050" si="250">D1987/C1987</f>
        <v>0.54983922829581988</v>
      </c>
      <c r="F1987">
        <f t="shared" ref="F1987:F2050" si="251">M1987</f>
        <v>190</v>
      </c>
      <c r="G1987">
        <f t="shared" ref="G1987:G2050" si="252">E1987*F1987</f>
        <v>104.46945337620578</v>
      </c>
      <c r="H1987" t="str">
        <f>_xlfn.XLOOKUP(A1987,Fact_Events!$D$2:$D$20,Fact_Events!$A$2:$A$20, "")</f>
        <v/>
      </c>
      <c r="I1987">
        <f t="shared" ref="I1987:I2050" si="253">IF(H1987="",0,1)</f>
        <v>0</v>
      </c>
      <c r="J1987" t="str">
        <f>_xlfn.XLOOKUP(H1987, Fact_Events!$A$2:$A$20, Fact_Events!$F$2:$F$20, "")</f>
        <v/>
      </c>
      <c r="K1987" t="str">
        <f t="shared" ref="K1987:K2050" si="254">IF(I1987=0,"Low",
   IF(J1987&gt;=9,"High","Medium"))</f>
        <v>Low</v>
      </c>
      <c r="L1987">
        <f t="shared" ref="L1987:L2050" si="255">MIN(1,
  0.55
  + (I1987 * 0.25)
  + (IF(J1987="",0,J1987) / 100)
)</f>
        <v>0.55000000000000004</v>
      </c>
      <c r="M1987">
        <f>_xlfn.XLOOKUP(B1987, Dim_Hotel!$A$2:$A$11, Dim_Hotel!$I$2:$I$11)
 + (IF(J1987="",0,J1987)
    * _xlfn.XLOOKUP(B1987, Dim_Hotel!$A$2:$A$11, Dim_Hotel!$J$2:$J$11))</f>
        <v>190</v>
      </c>
    </row>
    <row r="1988" spans="1:13" x14ac:dyDescent="0.25">
      <c r="A1988" s="1">
        <f t="shared" si="248"/>
        <v>46221</v>
      </c>
      <c r="B1988" t="str" cm="1">
        <f t="array" ref="B1988">INDEX(HotelList,MOD(ROW()-2,10)+1)</f>
        <v>H007</v>
      </c>
      <c r="C1988">
        <f>_xlfn.XLOOKUP(B1988,Dim_Hotel!$A$2:$A$11,Dim_Hotel!$F$2:$F$11)</f>
        <v>132</v>
      </c>
      <c r="D1988">
        <f t="shared" si="249"/>
        <v>73</v>
      </c>
      <c r="E1988">
        <f t="shared" si="250"/>
        <v>0.55303030303030298</v>
      </c>
      <c r="F1988">
        <f t="shared" si="251"/>
        <v>165</v>
      </c>
      <c r="G1988">
        <f t="shared" si="252"/>
        <v>91.249999999999986</v>
      </c>
      <c r="H1988" t="str">
        <f>_xlfn.XLOOKUP(A1988,Fact_Events!$D$2:$D$20,Fact_Events!$A$2:$A$20, "")</f>
        <v/>
      </c>
      <c r="I1988">
        <f t="shared" si="253"/>
        <v>0</v>
      </c>
      <c r="J1988" t="str">
        <f>_xlfn.XLOOKUP(H1988, Fact_Events!$A$2:$A$20, Fact_Events!$F$2:$F$20, "")</f>
        <v/>
      </c>
      <c r="K1988" t="str">
        <f t="shared" si="254"/>
        <v>Low</v>
      </c>
      <c r="L1988">
        <f t="shared" si="255"/>
        <v>0.55000000000000004</v>
      </c>
      <c r="M1988">
        <f>_xlfn.XLOOKUP(B1988, Dim_Hotel!$A$2:$A$11, Dim_Hotel!$I$2:$I$11)
 + (IF(J1988="",0,J1988)
    * _xlfn.XLOOKUP(B1988, Dim_Hotel!$A$2:$A$11, Dim_Hotel!$J$2:$J$11))</f>
        <v>165</v>
      </c>
    </row>
    <row r="1989" spans="1:13" x14ac:dyDescent="0.25">
      <c r="A1989" s="1">
        <f t="shared" si="248"/>
        <v>46221</v>
      </c>
      <c r="B1989" t="str" cm="1">
        <f t="array" ref="B1989">INDEX(HotelList,MOD(ROW()-2,10)+1)</f>
        <v>H008</v>
      </c>
      <c r="C1989">
        <f>_xlfn.XLOOKUP(B1989,Dim_Hotel!$A$2:$A$11,Dim_Hotel!$F$2:$F$11)</f>
        <v>103</v>
      </c>
      <c r="D1989">
        <f t="shared" si="249"/>
        <v>57</v>
      </c>
      <c r="E1989">
        <f t="shared" si="250"/>
        <v>0.55339805825242716</v>
      </c>
      <c r="F1989">
        <f t="shared" si="251"/>
        <v>140</v>
      </c>
      <c r="G1989">
        <f t="shared" si="252"/>
        <v>77.475728155339809</v>
      </c>
      <c r="H1989" t="str">
        <f>_xlfn.XLOOKUP(A1989,Fact_Events!$D$2:$D$20,Fact_Events!$A$2:$A$20, "")</f>
        <v/>
      </c>
      <c r="I1989">
        <f t="shared" si="253"/>
        <v>0</v>
      </c>
      <c r="J1989" t="str">
        <f>_xlfn.XLOOKUP(H1989, Fact_Events!$A$2:$A$20, Fact_Events!$F$2:$F$20, "")</f>
        <v/>
      </c>
      <c r="K1989" t="str">
        <f t="shared" si="254"/>
        <v>Low</v>
      </c>
      <c r="L1989">
        <f t="shared" si="255"/>
        <v>0.55000000000000004</v>
      </c>
      <c r="M1989">
        <f>_xlfn.XLOOKUP(B1989, Dim_Hotel!$A$2:$A$11, Dim_Hotel!$I$2:$I$11)
 + (IF(J1989="",0,J1989)
    * _xlfn.XLOOKUP(B1989, Dim_Hotel!$A$2:$A$11, Dim_Hotel!$J$2:$J$11))</f>
        <v>140</v>
      </c>
    </row>
    <row r="1990" spans="1:13" x14ac:dyDescent="0.25">
      <c r="A1990" s="1">
        <f t="shared" si="248"/>
        <v>46221</v>
      </c>
      <c r="B1990" t="str" cm="1">
        <f t="array" ref="B1990">INDEX(HotelList,MOD(ROW()-2,10)+1)</f>
        <v>H009</v>
      </c>
      <c r="C1990">
        <f>_xlfn.XLOOKUP(B1990,Dim_Hotel!$A$2:$A$11,Dim_Hotel!$F$2:$F$11)</f>
        <v>114</v>
      </c>
      <c r="D1990">
        <f t="shared" si="249"/>
        <v>63</v>
      </c>
      <c r="E1990">
        <f t="shared" si="250"/>
        <v>0.55263157894736847</v>
      </c>
      <c r="F1990">
        <f t="shared" si="251"/>
        <v>185</v>
      </c>
      <c r="G1990">
        <f t="shared" si="252"/>
        <v>102.23684210526316</v>
      </c>
      <c r="H1990" t="str">
        <f>_xlfn.XLOOKUP(A1990,Fact_Events!$D$2:$D$20,Fact_Events!$A$2:$A$20, "")</f>
        <v/>
      </c>
      <c r="I1990">
        <f t="shared" si="253"/>
        <v>0</v>
      </c>
      <c r="J1990" t="str">
        <f>_xlfn.XLOOKUP(H1990, Fact_Events!$A$2:$A$20, Fact_Events!$F$2:$F$20, "")</f>
        <v/>
      </c>
      <c r="K1990" t="str">
        <f t="shared" si="254"/>
        <v>Low</v>
      </c>
      <c r="L1990">
        <f t="shared" si="255"/>
        <v>0.55000000000000004</v>
      </c>
      <c r="M1990">
        <f>_xlfn.XLOOKUP(B1990, Dim_Hotel!$A$2:$A$11, Dim_Hotel!$I$2:$I$11)
 + (IF(J1990="",0,J1990)
    * _xlfn.XLOOKUP(B1990, Dim_Hotel!$A$2:$A$11, Dim_Hotel!$J$2:$J$11))</f>
        <v>185</v>
      </c>
    </row>
    <row r="1991" spans="1:13" x14ac:dyDescent="0.25">
      <c r="A1991" s="1">
        <f t="shared" si="248"/>
        <v>46221</v>
      </c>
      <c r="B1991" t="str" cm="1">
        <f t="array" ref="B1991">INDEX(HotelList,MOD(ROW()-2,10)+1)</f>
        <v>H010</v>
      </c>
      <c r="C1991">
        <f>_xlfn.XLOOKUP(B1991,Dim_Hotel!$A$2:$A$11,Dim_Hotel!$F$2:$F$11)</f>
        <v>89</v>
      </c>
      <c r="D1991">
        <f t="shared" si="249"/>
        <v>49</v>
      </c>
      <c r="E1991">
        <f t="shared" si="250"/>
        <v>0.550561797752809</v>
      </c>
      <c r="F1991">
        <f t="shared" si="251"/>
        <v>150</v>
      </c>
      <c r="G1991">
        <f t="shared" si="252"/>
        <v>82.584269662921344</v>
      </c>
      <c r="H1991" t="str">
        <f>_xlfn.XLOOKUP(A1991,Fact_Events!$D$2:$D$20,Fact_Events!$A$2:$A$20, "")</f>
        <v/>
      </c>
      <c r="I1991">
        <f t="shared" si="253"/>
        <v>0</v>
      </c>
      <c r="J1991" t="str">
        <f>_xlfn.XLOOKUP(H1991, Fact_Events!$A$2:$A$20, Fact_Events!$F$2:$F$20, "")</f>
        <v/>
      </c>
      <c r="K1991" t="str">
        <f t="shared" si="254"/>
        <v>Low</v>
      </c>
      <c r="L1991">
        <f t="shared" si="255"/>
        <v>0.55000000000000004</v>
      </c>
      <c r="M1991">
        <f>_xlfn.XLOOKUP(B1991, Dim_Hotel!$A$2:$A$11, Dim_Hotel!$I$2:$I$11)
 + (IF(J1991="",0,J1991)
    * _xlfn.XLOOKUP(B1991, Dim_Hotel!$A$2:$A$11, Dim_Hotel!$J$2:$J$11))</f>
        <v>150</v>
      </c>
    </row>
    <row r="1992" spans="1:13" x14ac:dyDescent="0.25">
      <c r="A1992" s="1">
        <f t="shared" si="248"/>
        <v>46222</v>
      </c>
      <c r="B1992" t="str" cm="1">
        <f t="array" ref="B1992">INDEX(HotelList,MOD(ROW()-2,10)+1)</f>
        <v>H001</v>
      </c>
      <c r="C1992">
        <f>_xlfn.XLOOKUP(B1992,Dim_Hotel!$A$2:$A$11,Dim_Hotel!$F$2:$F$11)</f>
        <v>888</v>
      </c>
      <c r="D1992">
        <f t="shared" si="249"/>
        <v>488</v>
      </c>
      <c r="E1992">
        <f t="shared" si="250"/>
        <v>0.5495495495495496</v>
      </c>
      <c r="F1992">
        <f t="shared" si="251"/>
        <v>260</v>
      </c>
      <c r="G1992">
        <f t="shared" si="252"/>
        <v>142.88288288288288</v>
      </c>
      <c r="H1992" t="str">
        <f>_xlfn.XLOOKUP(A1992,Fact_Events!$D$2:$D$20,Fact_Events!$A$2:$A$20, "")</f>
        <v/>
      </c>
      <c r="I1992">
        <f t="shared" si="253"/>
        <v>0</v>
      </c>
      <c r="J1992" t="str">
        <f>_xlfn.XLOOKUP(H1992, Fact_Events!$A$2:$A$20, Fact_Events!$F$2:$F$20, "")</f>
        <v/>
      </c>
      <c r="K1992" t="str">
        <f t="shared" si="254"/>
        <v>Low</v>
      </c>
      <c r="L1992">
        <f t="shared" si="255"/>
        <v>0.55000000000000004</v>
      </c>
      <c r="M1992">
        <f>_xlfn.XLOOKUP(B1992, Dim_Hotel!$A$2:$A$11, Dim_Hotel!$I$2:$I$11)
 + (IF(J1992="",0,J1992)
    * _xlfn.XLOOKUP(B1992, Dim_Hotel!$A$2:$A$11, Dim_Hotel!$J$2:$J$11))</f>
        <v>260</v>
      </c>
    </row>
    <row r="1993" spans="1:13" x14ac:dyDescent="0.25">
      <c r="A1993" s="1">
        <f t="shared" si="248"/>
        <v>46222</v>
      </c>
      <c r="B1993" t="str" cm="1">
        <f t="array" ref="B1993">INDEX(HotelList,MOD(ROW()-2,10)+1)</f>
        <v>H002</v>
      </c>
      <c r="C1993">
        <f>_xlfn.XLOOKUP(B1993,Dim_Hotel!$A$2:$A$11,Dim_Hotel!$F$2:$F$11)</f>
        <v>147</v>
      </c>
      <c r="D1993">
        <f t="shared" si="249"/>
        <v>81</v>
      </c>
      <c r="E1993">
        <f t="shared" si="250"/>
        <v>0.55102040816326525</v>
      </c>
      <c r="F1993">
        <f t="shared" si="251"/>
        <v>175</v>
      </c>
      <c r="G1993">
        <f t="shared" si="252"/>
        <v>96.428571428571416</v>
      </c>
      <c r="H1993" t="str">
        <f>_xlfn.XLOOKUP(A1993,Fact_Events!$D$2:$D$20,Fact_Events!$A$2:$A$20, "")</f>
        <v/>
      </c>
      <c r="I1993">
        <f t="shared" si="253"/>
        <v>0</v>
      </c>
      <c r="J1993" t="str">
        <f>_xlfn.XLOOKUP(H1993, Fact_Events!$A$2:$A$20, Fact_Events!$F$2:$F$20, "")</f>
        <v/>
      </c>
      <c r="K1993" t="str">
        <f t="shared" si="254"/>
        <v>Low</v>
      </c>
      <c r="L1993">
        <f t="shared" si="255"/>
        <v>0.55000000000000004</v>
      </c>
      <c r="M1993">
        <f>_xlfn.XLOOKUP(B1993, Dim_Hotel!$A$2:$A$11, Dim_Hotel!$I$2:$I$11)
 + (IF(J1993="",0,J1993)
    * _xlfn.XLOOKUP(B1993, Dim_Hotel!$A$2:$A$11, Dim_Hotel!$J$2:$J$11))</f>
        <v>175</v>
      </c>
    </row>
    <row r="1994" spans="1:13" x14ac:dyDescent="0.25">
      <c r="A1994" s="1">
        <f t="shared" si="248"/>
        <v>46222</v>
      </c>
      <c r="B1994" t="str" cm="1">
        <f t="array" ref="B1994">INDEX(HotelList,MOD(ROW()-2,10)+1)</f>
        <v>H003</v>
      </c>
      <c r="C1994">
        <f>_xlfn.XLOOKUP(B1994,Dim_Hotel!$A$2:$A$11,Dim_Hotel!$F$2:$F$11)</f>
        <v>121</v>
      </c>
      <c r="D1994">
        <f t="shared" si="249"/>
        <v>67</v>
      </c>
      <c r="E1994">
        <f t="shared" si="250"/>
        <v>0.55371900826446285</v>
      </c>
      <c r="F1994">
        <f t="shared" si="251"/>
        <v>145</v>
      </c>
      <c r="G1994">
        <f t="shared" si="252"/>
        <v>80.289256198347118</v>
      </c>
      <c r="H1994" t="str">
        <f>_xlfn.XLOOKUP(A1994,Fact_Events!$D$2:$D$20,Fact_Events!$A$2:$A$20, "")</f>
        <v/>
      </c>
      <c r="I1994">
        <f t="shared" si="253"/>
        <v>0</v>
      </c>
      <c r="J1994" t="str">
        <f>_xlfn.XLOOKUP(H1994, Fact_Events!$A$2:$A$20, Fact_Events!$F$2:$F$20, "")</f>
        <v/>
      </c>
      <c r="K1994" t="str">
        <f t="shared" si="254"/>
        <v>Low</v>
      </c>
      <c r="L1994">
        <f t="shared" si="255"/>
        <v>0.55000000000000004</v>
      </c>
      <c r="M1994">
        <f>_xlfn.XLOOKUP(B1994, Dim_Hotel!$A$2:$A$11, Dim_Hotel!$I$2:$I$11)
 + (IF(J1994="",0,J1994)
    * _xlfn.XLOOKUP(B1994, Dim_Hotel!$A$2:$A$11, Dim_Hotel!$J$2:$J$11))</f>
        <v>145</v>
      </c>
    </row>
    <row r="1995" spans="1:13" x14ac:dyDescent="0.25">
      <c r="A1995" s="1">
        <f t="shared" si="248"/>
        <v>46222</v>
      </c>
      <c r="B1995" t="str" cm="1">
        <f t="array" ref="B1995">INDEX(HotelList,MOD(ROW()-2,10)+1)</f>
        <v>H004</v>
      </c>
      <c r="C1995">
        <f>_xlfn.XLOOKUP(B1995,Dim_Hotel!$A$2:$A$11,Dim_Hotel!$F$2:$F$11)</f>
        <v>108</v>
      </c>
      <c r="D1995">
        <f t="shared" si="249"/>
        <v>59</v>
      </c>
      <c r="E1995">
        <f t="shared" si="250"/>
        <v>0.54629629629629628</v>
      </c>
      <c r="F1995">
        <f t="shared" si="251"/>
        <v>135</v>
      </c>
      <c r="G1995">
        <f t="shared" si="252"/>
        <v>73.75</v>
      </c>
      <c r="H1995" t="str">
        <f>_xlfn.XLOOKUP(A1995,Fact_Events!$D$2:$D$20,Fact_Events!$A$2:$A$20, "")</f>
        <v/>
      </c>
      <c r="I1995">
        <f t="shared" si="253"/>
        <v>0</v>
      </c>
      <c r="J1995" t="str">
        <f>_xlfn.XLOOKUP(H1995, Fact_Events!$A$2:$A$20, Fact_Events!$F$2:$F$20, "")</f>
        <v/>
      </c>
      <c r="K1995" t="str">
        <f t="shared" si="254"/>
        <v>Low</v>
      </c>
      <c r="L1995">
        <f t="shared" si="255"/>
        <v>0.55000000000000004</v>
      </c>
      <c r="M1995">
        <f>_xlfn.XLOOKUP(B1995, Dim_Hotel!$A$2:$A$11, Dim_Hotel!$I$2:$I$11)
 + (IF(J1995="",0,J1995)
    * _xlfn.XLOOKUP(B1995, Dim_Hotel!$A$2:$A$11, Dim_Hotel!$J$2:$J$11))</f>
        <v>135</v>
      </c>
    </row>
    <row r="1996" spans="1:13" x14ac:dyDescent="0.25">
      <c r="A1996" s="1">
        <f t="shared" si="248"/>
        <v>46222</v>
      </c>
      <c r="B1996" t="str" cm="1">
        <f t="array" ref="B1996">INDEX(HotelList,MOD(ROW()-2,10)+1)</f>
        <v>H005</v>
      </c>
      <c r="C1996">
        <f>_xlfn.XLOOKUP(B1996,Dim_Hotel!$A$2:$A$11,Dim_Hotel!$F$2:$F$11)</f>
        <v>66</v>
      </c>
      <c r="D1996">
        <f t="shared" si="249"/>
        <v>36</v>
      </c>
      <c r="E1996">
        <f t="shared" si="250"/>
        <v>0.54545454545454541</v>
      </c>
      <c r="F1996">
        <f t="shared" si="251"/>
        <v>82</v>
      </c>
      <c r="G1996">
        <f t="shared" si="252"/>
        <v>44.727272727272727</v>
      </c>
      <c r="H1996" t="str">
        <f>_xlfn.XLOOKUP(A1996,Fact_Events!$D$2:$D$20,Fact_Events!$A$2:$A$20, "")</f>
        <v/>
      </c>
      <c r="I1996">
        <f t="shared" si="253"/>
        <v>0</v>
      </c>
      <c r="J1996" t="str">
        <f>_xlfn.XLOOKUP(H1996, Fact_Events!$A$2:$A$20, Fact_Events!$F$2:$F$20, "")</f>
        <v/>
      </c>
      <c r="K1996" t="str">
        <f t="shared" si="254"/>
        <v>Low</v>
      </c>
      <c r="L1996">
        <f t="shared" si="255"/>
        <v>0.55000000000000004</v>
      </c>
      <c r="M1996">
        <f>_xlfn.XLOOKUP(B1996, Dim_Hotel!$A$2:$A$11, Dim_Hotel!$I$2:$I$11)
 + (IF(J1996="",0,J1996)
    * _xlfn.XLOOKUP(B1996, Dim_Hotel!$A$2:$A$11, Dim_Hotel!$J$2:$J$11))</f>
        <v>82</v>
      </c>
    </row>
    <row r="1997" spans="1:13" x14ac:dyDescent="0.25">
      <c r="A1997" s="1">
        <f t="shared" si="248"/>
        <v>46222</v>
      </c>
      <c r="B1997" t="str" cm="1">
        <f t="array" ref="B1997">INDEX(HotelList,MOD(ROW()-2,10)+1)</f>
        <v>H006</v>
      </c>
      <c r="C1997">
        <f>_xlfn.XLOOKUP(B1997,Dim_Hotel!$A$2:$A$11,Dim_Hotel!$F$2:$F$11)</f>
        <v>311</v>
      </c>
      <c r="D1997">
        <f t="shared" si="249"/>
        <v>171</v>
      </c>
      <c r="E1997">
        <f t="shared" si="250"/>
        <v>0.54983922829581988</v>
      </c>
      <c r="F1997">
        <f t="shared" si="251"/>
        <v>190</v>
      </c>
      <c r="G1997">
        <f t="shared" si="252"/>
        <v>104.46945337620578</v>
      </c>
      <c r="H1997" t="str">
        <f>_xlfn.XLOOKUP(A1997,Fact_Events!$D$2:$D$20,Fact_Events!$A$2:$A$20, "")</f>
        <v/>
      </c>
      <c r="I1997">
        <f t="shared" si="253"/>
        <v>0</v>
      </c>
      <c r="J1997" t="str">
        <f>_xlfn.XLOOKUP(H1997, Fact_Events!$A$2:$A$20, Fact_Events!$F$2:$F$20, "")</f>
        <v/>
      </c>
      <c r="K1997" t="str">
        <f t="shared" si="254"/>
        <v>Low</v>
      </c>
      <c r="L1997">
        <f t="shared" si="255"/>
        <v>0.55000000000000004</v>
      </c>
      <c r="M1997">
        <f>_xlfn.XLOOKUP(B1997, Dim_Hotel!$A$2:$A$11, Dim_Hotel!$I$2:$I$11)
 + (IF(J1997="",0,J1997)
    * _xlfn.XLOOKUP(B1997, Dim_Hotel!$A$2:$A$11, Dim_Hotel!$J$2:$J$11))</f>
        <v>190</v>
      </c>
    </row>
    <row r="1998" spans="1:13" x14ac:dyDescent="0.25">
      <c r="A1998" s="1">
        <f t="shared" si="248"/>
        <v>46222</v>
      </c>
      <c r="B1998" t="str" cm="1">
        <f t="array" ref="B1998">INDEX(HotelList,MOD(ROW()-2,10)+1)</f>
        <v>H007</v>
      </c>
      <c r="C1998">
        <f>_xlfn.XLOOKUP(B1998,Dim_Hotel!$A$2:$A$11,Dim_Hotel!$F$2:$F$11)</f>
        <v>132</v>
      </c>
      <c r="D1998">
        <f t="shared" si="249"/>
        <v>73</v>
      </c>
      <c r="E1998">
        <f t="shared" si="250"/>
        <v>0.55303030303030298</v>
      </c>
      <c r="F1998">
        <f t="shared" si="251"/>
        <v>165</v>
      </c>
      <c r="G1998">
        <f t="shared" si="252"/>
        <v>91.249999999999986</v>
      </c>
      <c r="H1998" t="str">
        <f>_xlfn.XLOOKUP(A1998,Fact_Events!$D$2:$D$20,Fact_Events!$A$2:$A$20, "")</f>
        <v/>
      </c>
      <c r="I1998">
        <f t="shared" si="253"/>
        <v>0</v>
      </c>
      <c r="J1998" t="str">
        <f>_xlfn.XLOOKUP(H1998, Fact_Events!$A$2:$A$20, Fact_Events!$F$2:$F$20, "")</f>
        <v/>
      </c>
      <c r="K1998" t="str">
        <f t="shared" si="254"/>
        <v>Low</v>
      </c>
      <c r="L1998">
        <f t="shared" si="255"/>
        <v>0.55000000000000004</v>
      </c>
      <c r="M1998">
        <f>_xlfn.XLOOKUP(B1998, Dim_Hotel!$A$2:$A$11, Dim_Hotel!$I$2:$I$11)
 + (IF(J1998="",0,J1998)
    * _xlfn.XLOOKUP(B1998, Dim_Hotel!$A$2:$A$11, Dim_Hotel!$J$2:$J$11))</f>
        <v>165</v>
      </c>
    </row>
    <row r="1999" spans="1:13" x14ac:dyDescent="0.25">
      <c r="A1999" s="1">
        <f t="shared" si="248"/>
        <v>46222</v>
      </c>
      <c r="B1999" t="str" cm="1">
        <f t="array" ref="B1999">INDEX(HotelList,MOD(ROW()-2,10)+1)</f>
        <v>H008</v>
      </c>
      <c r="C1999">
        <f>_xlfn.XLOOKUP(B1999,Dim_Hotel!$A$2:$A$11,Dim_Hotel!$F$2:$F$11)</f>
        <v>103</v>
      </c>
      <c r="D1999">
        <f t="shared" si="249"/>
        <v>57</v>
      </c>
      <c r="E1999">
        <f t="shared" si="250"/>
        <v>0.55339805825242716</v>
      </c>
      <c r="F1999">
        <f t="shared" si="251"/>
        <v>140</v>
      </c>
      <c r="G1999">
        <f t="shared" si="252"/>
        <v>77.475728155339809</v>
      </c>
      <c r="H1999" t="str">
        <f>_xlfn.XLOOKUP(A1999,Fact_Events!$D$2:$D$20,Fact_Events!$A$2:$A$20, "")</f>
        <v/>
      </c>
      <c r="I1999">
        <f t="shared" si="253"/>
        <v>0</v>
      </c>
      <c r="J1999" t="str">
        <f>_xlfn.XLOOKUP(H1999, Fact_Events!$A$2:$A$20, Fact_Events!$F$2:$F$20, "")</f>
        <v/>
      </c>
      <c r="K1999" t="str">
        <f t="shared" si="254"/>
        <v>Low</v>
      </c>
      <c r="L1999">
        <f t="shared" si="255"/>
        <v>0.55000000000000004</v>
      </c>
      <c r="M1999">
        <f>_xlfn.XLOOKUP(B1999, Dim_Hotel!$A$2:$A$11, Dim_Hotel!$I$2:$I$11)
 + (IF(J1999="",0,J1999)
    * _xlfn.XLOOKUP(B1999, Dim_Hotel!$A$2:$A$11, Dim_Hotel!$J$2:$J$11))</f>
        <v>140</v>
      </c>
    </row>
    <row r="2000" spans="1:13" x14ac:dyDescent="0.25">
      <c r="A2000" s="1">
        <f t="shared" si="248"/>
        <v>46222</v>
      </c>
      <c r="B2000" t="str" cm="1">
        <f t="array" ref="B2000">INDEX(HotelList,MOD(ROW()-2,10)+1)</f>
        <v>H009</v>
      </c>
      <c r="C2000">
        <f>_xlfn.XLOOKUP(B2000,Dim_Hotel!$A$2:$A$11,Dim_Hotel!$F$2:$F$11)</f>
        <v>114</v>
      </c>
      <c r="D2000">
        <f t="shared" si="249"/>
        <v>63</v>
      </c>
      <c r="E2000">
        <f t="shared" si="250"/>
        <v>0.55263157894736847</v>
      </c>
      <c r="F2000">
        <f t="shared" si="251"/>
        <v>185</v>
      </c>
      <c r="G2000">
        <f t="shared" si="252"/>
        <v>102.23684210526316</v>
      </c>
      <c r="H2000" t="str">
        <f>_xlfn.XLOOKUP(A2000,Fact_Events!$D$2:$D$20,Fact_Events!$A$2:$A$20, "")</f>
        <v/>
      </c>
      <c r="I2000">
        <f t="shared" si="253"/>
        <v>0</v>
      </c>
      <c r="J2000" t="str">
        <f>_xlfn.XLOOKUP(H2000, Fact_Events!$A$2:$A$20, Fact_Events!$F$2:$F$20, "")</f>
        <v/>
      </c>
      <c r="K2000" t="str">
        <f t="shared" si="254"/>
        <v>Low</v>
      </c>
      <c r="L2000">
        <f t="shared" si="255"/>
        <v>0.55000000000000004</v>
      </c>
      <c r="M2000">
        <f>_xlfn.XLOOKUP(B2000, Dim_Hotel!$A$2:$A$11, Dim_Hotel!$I$2:$I$11)
 + (IF(J2000="",0,J2000)
    * _xlfn.XLOOKUP(B2000, Dim_Hotel!$A$2:$A$11, Dim_Hotel!$J$2:$J$11))</f>
        <v>185</v>
      </c>
    </row>
    <row r="2001" spans="1:13" x14ac:dyDescent="0.25">
      <c r="A2001" s="1">
        <f t="shared" si="248"/>
        <v>46222</v>
      </c>
      <c r="B2001" t="str" cm="1">
        <f t="array" ref="B2001">INDEX(HotelList,MOD(ROW()-2,10)+1)</f>
        <v>H010</v>
      </c>
      <c r="C2001">
        <f>_xlfn.XLOOKUP(B2001,Dim_Hotel!$A$2:$A$11,Dim_Hotel!$F$2:$F$11)</f>
        <v>89</v>
      </c>
      <c r="D2001">
        <f t="shared" si="249"/>
        <v>49</v>
      </c>
      <c r="E2001">
        <f t="shared" si="250"/>
        <v>0.550561797752809</v>
      </c>
      <c r="F2001">
        <f t="shared" si="251"/>
        <v>150</v>
      </c>
      <c r="G2001">
        <f t="shared" si="252"/>
        <v>82.584269662921344</v>
      </c>
      <c r="H2001" t="str">
        <f>_xlfn.XLOOKUP(A2001,Fact_Events!$D$2:$D$20,Fact_Events!$A$2:$A$20, "")</f>
        <v/>
      </c>
      <c r="I2001">
        <f t="shared" si="253"/>
        <v>0</v>
      </c>
      <c r="J2001" t="str">
        <f>_xlfn.XLOOKUP(H2001, Fact_Events!$A$2:$A$20, Fact_Events!$F$2:$F$20, "")</f>
        <v/>
      </c>
      <c r="K2001" t="str">
        <f t="shared" si="254"/>
        <v>Low</v>
      </c>
      <c r="L2001">
        <f t="shared" si="255"/>
        <v>0.55000000000000004</v>
      </c>
      <c r="M2001">
        <f>_xlfn.XLOOKUP(B2001, Dim_Hotel!$A$2:$A$11, Dim_Hotel!$I$2:$I$11)
 + (IF(J2001="",0,J2001)
    * _xlfn.XLOOKUP(B2001, Dim_Hotel!$A$2:$A$11, Dim_Hotel!$J$2:$J$11))</f>
        <v>150</v>
      </c>
    </row>
    <row r="2002" spans="1:13" x14ac:dyDescent="0.25">
      <c r="A2002" s="1">
        <f t="shared" si="248"/>
        <v>46223</v>
      </c>
      <c r="B2002" t="str" cm="1">
        <f t="array" ref="B2002">INDEX(HotelList,MOD(ROW()-2,10)+1)</f>
        <v>H001</v>
      </c>
      <c r="C2002">
        <f>_xlfn.XLOOKUP(B2002,Dim_Hotel!$A$2:$A$11,Dim_Hotel!$F$2:$F$11)</f>
        <v>888</v>
      </c>
      <c r="D2002">
        <f t="shared" si="249"/>
        <v>488</v>
      </c>
      <c r="E2002">
        <f t="shared" si="250"/>
        <v>0.5495495495495496</v>
      </c>
      <c r="F2002">
        <f t="shared" si="251"/>
        <v>260</v>
      </c>
      <c r="G2002">
        <f t="shared" si="252"/>
        <v>142.88288288288288</v>
      </c>
      <c r="H2002" t="str">
        <f>_xlfn.XLOOKUP(A2002,Fact_Events!$D$2:$D$20,Fact_Events!$A$2:$A$20, "")</f>
        <v/>
      </c>
      <c r="I2002">
        <f t="shared" si="253"/>
        <v>0</v>
      </c>
      <c r="J2002" t="str">
        <f>_xlfn.XLOOKUP(H2002, Fact_Events!$A$2:$A$20, Fact_Events!$F$2:$F$20, "")</f>
        <v/>
      </c>
      <c r="K2002" t="str">
        <f t="shared" si="254"/>
        <v>Low</v>
      </c>
      <c r="L2002">
        <f t="shared" si="255"/>
        <v>0.55000000000000004</v>
      </c>
      <c r="M2002">
        <f>_xlfn.XLOOKUP(B2002, Dim_Hotel!$A$2:$A$11, Dim_Hotel!$I$2:$I$11)
 + (IF(J2002="",0,J2002)
    * _xlfn.XLOOKUP(B2002, Dim_Hotel!$A$2:$A$11, Dim_Hotel!$J$2:$J$11))</f>
        <v>260</v>
      </c>
    </row>
    <row r="2003" spans="1:13" x14ac:dyDescent="0.25">
      <c r="A2003" s="1">
        <f t="shared" si="248"/>
        <v>46223</v>
      </c>
      <c r="B2003" t="str" cm="1">
        <f t="array" ref="B2003">INDEX(HotelList,MOD(ROW()-2,10)+1)</f>
        <v>H002</v>
      </c>
      <c r="C2003">
        <f>_xlfn.XLOOKUP(B2003,Dim_Hotel!$A$2:$A$11,Dim_Hotel!$F$2:$F$11)</f>
        <v>147</v>
      </c>
      <c r="D2003">
        <f t="shared" si="249"/>
        <v>81</v>
      </c>
      <c r="E2003">
        <f t="shared" si="250"/>
        <v>0.55102040816326525</v>
      </c>
      <c r="F2003">
        <f t="shared" si="251"/>
        <v>175</v>
      </c>
      <c r="G2003">
        <f t="shared" si="252"/>
        <v>96.428571428571416</v>
      </c>
      <c r="H2003" t="str">
        <f>_xlfn.XLOOKUP(A2003,Fact_Events!$D$2:$D$20,Fact_Events!$A$2:$A$20, "")</f>
        <v/>
      </c>
      <c r="I2003">
        <f t="shared" si="253"/>
        <v>0</v>
      </c>
      <c r="J2003" t="str">
        <f>_xlfn.XLOOKUP(H2003, Fact_Events!$A$2:$A$20, Fact_Events!$F$2:$F$20, "")</f>
        <v/>
      </c>
      <c r="K2003" t="str">
        <f t="shared" si="254"/>
        <v>Low</v>
      </c>
      <c r="L2003">
        <f t="shared" si="255"/>
        <v>0.55000000000000004</v>
      </c>
      <c r="M2003">
        <f>_xlfn.XLOOKUP(B2003, Dim_Hotel!$A$2:$A$11, Dim_Hotel!$I$2:$I$11)
 + (IF(J2003="",0,J2003)
    * _xlfn.XLOOKUP(B2003, Dim_Hotel!$A$2:$A$11, Dim_Hotel!$J$2:$J$11))</f>
        <v>175</v>
      </c>
    </row>
    <row r="2004" spans="1:13" x14ac:dyDescent="0.25">
      <c r="A2004" s="1">
        <f t="shared" si="248"/>
        <v>46223</v>
      </c>
      <c r="B2004" t="str" cm="1">
        <f t="array" ref="B2004">INDEX(HotelList,MOD(ROW()-2,10)+1)</f>
        <v>H003</v>
      </c>
      <c r="C2004">
        <f>_xlfn.XLOOKUP(B2004,Dim_Hotel!$A$2:$A$11,Dim_Hotel!$F$2:$F$11)</f>
        <v>121</v>
      </c>
      <c r="D2004">
        <f t="shared" si="249"/>
        <v>67</v>
      </c>
      <c r="E2004">
        <f t="shared" si="250"/>
        <v>0.55371900826446285</v>
      </c>
      <c r="F2004">
        <f t="shared" si="251"/>
        <v>145</v>
      </c>
      <c r="G2004">
        <f t="shared" si="252"/>
        <v>80.289256198347118</v>
      </c>
      <c r="H2004" t="str">
        <f>_xlfn.XLOOKUP(A2004,Fact_Events!$D$2:$D$20,Fact_Events!$A$2:$A$20, "")</f>
        <v/>
      </c>
      <c r="I2004">
        <f t="shared" si="253"/>
        <v>0</v>
      </c>
      <c r="J2004" t="str">
        <f>_xlfn.XLOOKUP(H2004, Fact_Events!$A$2:$A$20, Fact_Events!$F$2:$F$20, "")</f>
        <v/>
      </c>
      <c r="K2004" t="str">
        <f t="shared" si="254"/>
        <v>Low</v>
      </c>
      <c r="L2004">
        <f t="shared" si="255"/>
        <v>0.55000000000000004</v>
      </c>
      <c r="M2004">
        <f>_xlfn.XLOOKUP(B2004, Dim_Hotel!$A$2:$A$11, Dim_Hotel!$I$2:$I$11)
 + (IF(J2004="",0,J2004)
    * _xlfn.XLOOKUP(B2004, Dim_Hotel!$A$2:$A$11, Dim_Hotel!$J$2:$J$11))</f>
        <v>145</v>
      </c>
    </row>
    <row r="2005" spans="1:13" x14ac:dyDescent="0.25">
      <c r="A2005" s="1">
        <f t="shared" si="248"/>
        <v>46223</v>
      </c>
      <c r="B2005" t="str" cm="1">
        <f t="array" ref="B2005">INDEX(HotelList,MOD(ROW()-2,10)+1)</f>
        <v>H004</v>
      </c>
      <c r="C2005">
        <f>_xlfn.XLOOKUP(B2005,Dim_Hotel!$A$2:$A$11,Dim_Hotel!$F$2:$F$11)</f>
        <v>108</v>
      </c>
      <c r="D2005">
        <f t="shared" si="249"/>
        <v>59</v>
      </c>
      <c r="E2005">
        <f t="shared" si="250"/>
        <v>0.54629629629629628</v>
      </c>
      <c r="F2005">
        <f t="shared" si="251"/>
        <v>135</v>
      </c>
      <c r="G2005">
        <f t="shared" si="252"/>
        <v>73.75</v>
      </c>
      <c r="H2005" t="str">
        <f>_xlfn.XLOOKUP(A2005,Fact_Events!$D$2:$D$20,Fact_Events!$A$2:$A$20, "")</f>
        <v/>
      </c>
      <c r="I2005">
        <f t="shared" si="253"/>
        <v>0</v>
      </c>
      <c r="J2005" t="str">
        <f>_xlfn.XLOOKUP(H2005, Fact_Events!$A$2:$A$20, Fact_Events!$F$2:$F$20, "")</f>
        <v/>
      </c>
      <c r="K2005" t="str">
        <f t="shared" si="254"/>
        <v>Low</v>
      </c>
      <c r="L2005">
        <f t="shared" si="255"/>
        <v>0.55000000000000004</v>
      </c>
      <c r="M2005">
        <f>_xlfn.XLOOKUP(B2005, Dim_Hotel!$A$2:$A$11, Dim_Hotel!$I$2:$I$11)
 + (IF(J2005="",0,J2005)
    * _xlfn.XLOOKUP(B2005, Dim_Hotel!$A$2:$A$11, Dim_Hotel!$J$2:$J$11))</f>
        <v>135</v>
      </c>
    </row>
    <row r="2006" spans="1:13" x14ac:dyDescent="0.25">
      <c r="A2006" s="1">
        <f t="shared" si="248"/>
        <v>46223</v>
      </c>
      <c r="B2006" t="str" cm="1">
        <f t="array" ref="B2006">INDEX(HotelList,MOD(ROW()-2,10)+1)</f>
        <v>H005</v>
      </c>
      <c r="C2006">
        <f>_xlfn.XLOOKUP(B2006,Dim_Hotel!$A$2:$A$11,Dim_Hotel!$F$2:$F$11)</f>
        <v>66</v>
      </c>
      <c r="D2006">
        <f t="shared" si="249"/>
        <v>36</v>
      </c>
      <c r="E2006">
        <f t="shared" si="250"/>
        <v>0.54545454545454541</v>
      </c>
      <c r="F2006">
        <f t="shared" si="251"/>
        <v>82</v>
      </c>
      <c r="G2006">
        <f t="shared" si="252"/>
        <v>44.727272727272727</v>
      </c>
      <c r="H2006" t="str">
        <f>_xlfn.XLOOKUP(A2006,Fact_Events!$D$2:$D$20,Fact_Events!$A$2:$A$20, "")</f>
        <v/>
      </c>
      <c r="I2006">
        <f t="shared" si="253"/>
        <v>0</v>
      </c>
      <c r="J2006" t="str">
        <f>_xlfn.XLOOKUP(H2006, Fact_Events!$A$2:$A$20, Fact_Events!$F$2:$F$20, "")</f>
        <v/>
      </c>
      <c r="K2006" t="str">
        <f t="shared" si="254"/>
        <v>Low</v>
      </c>
      <c r="L2006">
        <f t="shared" si="255"/>
        <v>0.55000000000000004</v>
      </c>
      <c r="M2006">
        <f>_xlfn.XLOOKUP(B2006, Dim_Hotel!$A$2:$A$11, Dim_Hotel!$I$2:$I$11)
 + (IF(J2006="",0,J2006)
    * _xlfn.XLOOKUP(B2006, Dim_Hotel!$A$2:$A$11, Dim_Hotel!$J$2:$J$11))</f>
        <v>82</v>
      </c>
    </row>
    <row r="2007" spans="1:13" x14ac:dyDescent="0.25">
      <c r="A2007" s="1">
        <f t="shared" si="248"/>
        <v>46223</v>
      </c>
      <c r="B2007" t="str" cm="1">
        <f t="array" ref="B2007">INDEX(HotelList,MOD(ROW()-2,10)+1)</f>
        <v>H006</v>
      </c>
      <c r="C2007">
        <f>_xlfn.XLOOKUP(B2007,Dim_Hotel!$A$2:$A$11,Dim_Hotel!$F$2:$F$11)</f>
        <v>311</v>
      </c>
      <c r="D2007">
        <f t="shared" si="249"/>
        <v>171</v>
      </c>
      <c r="E2007">
        <f t="shared" si="250"/>
        <v>0.54983922829581988</v>
      </c>
      <c r="F2007">
        <f t="shared" si="251"/>
        <v>190</v>
      </c>
      <c r="G2007">
        <f t="shared" si="252"/>
        <v>104.46945337620578</v>
      </c>
      <c r="H2007" t="str">
        <f>_xlfn.XLOOKUP(A2007,Fact_Events!$D$2:$D$20,Fact_Events!$A$2:$A$20, "")</f>
        <v/>
      </c>
      <c r="I2007">
        <f t="shared" si="253"/>
        <v>0</v>
      </c>
      <c r="J2007" t="str">
        <f>_xlfn.XLOOKUP(H2007, Fact_Events!$A$2:$A$20, Fact_Events!$F$2:$F$20, "")</f>
        <v/>
      </c>
      <c r="K2007" t="str">
        <f t="shared" si="254"/>
        <v>Low</v>
      </c>
      <c r="L2007">
        <f t="shared" si="255"/>
        <v>0.55000000000000004</v>
      </c>
      <c r="M2007">
        <f>_xlfn.XLOOKUP(B2007, Dim_Hotel!$A$2:$A$11, Dim_Hotel!$I$2:$I$11)
 + (IF(J2007="",0,J2007)
    * _xlfn.XLOOKUP(B2007, Dim_Hotel!$A$2:$A$11, Dim_Hotel!$J$2:$J$11))</f>
        <v>190</v>
      </c>
    </row>
    <row r="2008" spans="1:13" x14ac:dyDescent="0.25">
      <c r="A2008" s="1">
        <f t="shared" si="248"/>
        <v>46223</v>
      </c>
      <c r="B2008" t="str" cm="1">
        <f t="array" ref="B2008">INDEX(HotelList,MOD(ROW()-2,10)+1)</f>
        <v>H007</v>
      </c>
      <c r="C2008">
        <f>_xlfn.XLOOKUP(B2008,Dim_Hotel!$A$2:$A$11,Dim_Hotel!$F$2:$F$11)</f>
        <v>132</v>
      </c>
      <c r="D2008">
        <f t="shared" si="249"/>
        <v>73</v>
      </c>
      <c r="E2008">
        <f t="shared" si="250"/>
        <v>0.55303030303030298</v>
      </c>
      <c r="F2008">
        <f t="shared" si="251"/>
        <v>165</v>
      </c>
      <c r="G2008">
        <f t="shared" si="252"/>
        <v>91.249999999999986</v>
      </c>
      <c r="H2008" t="str">
        <f>_xlfn.XLOOKUP(A2008,Fact_Events!$D$2:$D$20,Fact_Events!$A$2:$A$20, "")</f>
        <v/>
      </c>
      <c r="I2008">
        <f t="shared" si="253"/>
        <v>0</v>
      </c>
      <c r="J2008" t="str">
        <f>_xlfn.XLOOKUP(H2008, Fact_Events!$A$2:$A$20, Fact_Events!$F$2:$F$20, "")</f>
        <v/>
      </c>
      <c r="K2008" t="str">
        <f t="shared" si="254"/>
        <v>Low</v>
      </c>
      <c r="L2008">
        <f t="shared" si="255"/>
        <v>0.55000000000000004</v>
      </c>
      <c r="M2008">
        <f>_xlfn.XLOOKUP(B2008, Dim_Hotel!$A$2:$A$11, Dim_Hotel!$I$2:$I$11)
 + (IF(J2008="",0,J2008)
    * _xlfn.XLOOKUP(B2008, Dim_Hotel!$A$2:$A$11, Dim_Hotel!$J$2:$J$11))</f>
        <v>165</v>
      </c>
    </row>
    <row r="2009" spans="1:13" x14ac:dyDescent="0.25">
      <c r="A2009" s="1">
        <f t="shared" si="248"/>
        <v>46223</v>
      </c>
      <c r="B2009" t="str" cm="1">
        <f t="array" ref="B2009">INDEX(HotelList,MOD(ROW()-2,10)+1)</f>
        <v>H008</v>
      </c>
      <c r="C2009">
        <f>_xlfn.XLOOKUP(B2009,Dim_Hotel!$A$2:$A$11,Dim_Hotel!$F$2:$F$11)</f>
        <v>103</v>
      </c>
      <c r="D2009">
        <f t="shared" si="249"/>
        <v>57</v>
      </c>
      <c r="E2009">
        <f t="shared" si="250"/>
        <v>0.55339805825242716</v>
      </c>
      <c r="F2009">
        <f t="shared" si="251"/>
        <v>140</v>
      </c>
      <c r="G2009">
        <f t="shared" si="252"/>
        <v>77.475728155339809</v>
      </c>
      <c r="H2009" t="str">
        <f>_xlfn.XLOOKUP(A2009,Fact_Events!$D$2:$D$20,Fact_Events!$A$2:$A$20, "")</f>
        <v/>
      </c>
      <c r="I2009">
        <f t="shared" si="253"/>
        <v>0</v>
      </c>
      <c r="J2009" t="str">
        <f>_xlfn.XLOOKUP(H2009, Fact_Events!$A$2:$A$20, Fact_Events!$F$2:$F$20, "")</f>
        <v/>
      </c>
      <c r="K2009" t="str">
        <f t="shared" si="254"/>
        <v>Low</v>
      </c>
      <c r="L2009">
        <f t="shared" si="255"/>
        <v>0.55000000000000004</v>
      </c>
      <c r="M2009">
        <f>_xlfn.XLOOKUP(B2009, Dim_Hotel!$A$2:$A$11, Dim_Hotel!$I$2:$I$11)
 + (IF(J2009="",0,J2009)
    * _xlfn.XLOOKUP(B2009, Dim_Hotel!$A$2:$A$11, Dim_Hotel!$J$2:$J$11))</f>
        <v>140</v>
      </c>
    </row>
    <row r="2010" spans="1:13" x14ac:dyDescent="0.25">
      <c r="A2010" s="1">
        <f t="shared" si="248"/>
        <v>46223</v>
      </c>
      <c r="B2010" t="str" cm="1">
        <f t="array" ref="B2010">INDEX(HotelList,MOD(ROW()-2,10)+1)</f>
        <v>H009</v>
      </c>
      <c r="C2010">
        <f>_xlfn.XLOOKUP(B2010,Dim_Hotel!$A$2:$A$11,Dim_Hotel!$F$2:$F$11)</f>
        <v>114</v>
      </c>
      <c r="D2010">
        <f t="shared" si="249"/>
        <v>63</v>
      </c>
      <c r="E2010">
        <f t="shared" si="250"/>
        <v>0.55263157894736847</v>
      </c>
      <c r="F2010">
        <f t="shared" si="251"/>
        <v>185</v>
      </c>
      <c r="G2010">
        <f t="shared" si="252"/>
        <v>102.23684210526316</v>
      </c>
      <c r="H2010" t="str">
        <f>_xlfn.XLOOKUP(A2010,Fact_Events!$D$2:$D$20,Fact_Events!$A$2:$A$20, "")</f>
        <v/>
      </c>
      <c r="I2010">
        <f t="shared" si="253"/>
        <v>0</v>
      </c>
      <c r="J2010" t="str">
        <f>_xlfn.XLOOKUP(H2010, Fact_Events!$A$2:$A$20, Fact_Events!$F$2:$F$20, "")</f>
        <v/>
      </c>
      <c r="K2010" t="str">
        <f t="shared" si="254"/>
        <v>Low</v>
      </c>
      <c r="L2010">
        <f t="shared" si="255"/>
        <v>0.55000000000000004</v>
      </c>
      <c r="M2010">
        <f>_xlfn.XLOOKUP(B2010, Dim_Hotel!$A$2:$A$11, Dim_Hotel!$I$2:$I$11)
 + (IF(J2010="",0,J2010)
    * _xlfn.XLOOKUP(B2010, Dim_Hotel!$A$2:$A$11, Dim_Hotel!$J$2:$J$11))</f>
        <v>185</v>
      </c>
    </row>
    <row r="2011" spans="1:13" x14ac:dyDescent="0.25">
      <c r="A2011" s="1">
        <f t="shared" si="248"/>
        <v>46223</v>
      </c>
      <c r="B2011" t="str" cm="1">
        <f t="array" ref="B2011">INDEX(HotelList,MOD(ROW()-2,10)+1)</f>
        <v>H010</v>
      </c>
      <c r="C2011">
        <f>_xlfn.XLOOKUP(B2011,Dim_Hotel!$A$2:$A$11,Dim_Hotel!$F$2:$F$11)</f>
        <v>89</v>
      </c>
      <c r="D2011">
        <f t="shared" si="249"/>
        <v>49</v>
      </c>
      <c r="E2011">
        <f t="shared" si="250"/>
        <v>0.550561797752809</v>
      </c>
      <c r="F2011">
        <f t="shared" si="251"/>
        <v>150</v>
      </c>
      <c r="G2011">
        <f t="shared" si="252"/>
        <v>82.584269662921344</v>
      </c>
      <c r="H2011" t="str">
        <f>_xlfn.XLOOKUP(A2011,Fact_Events!$D$2:$D$20,Fact_Events!$A$2:$A$20, "")</f>
        <v/>
      </c>
      <c r="I2011">
        <f t="shared" si="253"/>
        <v>0</v>
      </c>
      <c r="J2011" t="str">
        <f>_xlfn.XLOOKUP(H2011, Fact_Events!$A$2:$A$20, Fact_Events!$F$2:$F$20, "")</f>
        <v/>
      </c>
      <c r="K2011" t="str">
        <f t="shared" si="254"/>
        <v>Low</v>
      </c>
      <c r="L2011">
        <f t="shared" si="255"/>
        <v>0.55000000000000004</v>
      </c>
      <c r="M2011">
        <f>_xlfn.XLOOKUP(B2011, Dim_Hotel!$A$2:$A$11, Dim_Hotel!$I$2:$I$11)
 + (IF(J2011="",0,J2011)
    * _xlfn.XLOOKUP(B2011, Dim_Hotel!$A$2:$A$11, Dim_Hotel!$J$2:$J$11))</f>
        <v>150</v>
      </c>
    </row>
    <row r="2012" spans="1:13" x14ac:dyDescent="0.25">
      <c r="A2012" s="1">
        <f t="shared" si="248"/>
        <v>46224</v>
      </c>
      <c r="B2012" t="str" cm="1">
        <f t="array" ref="B2012">INDEX(HotelList,MOD(ROW()-2,10)+1)</f>
        <v>H001</v>
      </c>
      <c r="C2012">
        <f>_xlfn.XLOOKUP(B2012,Dim_Hotel!$A$2:$A$11,Dim_Hotel!$F$2:$F$11)</f>
        <v>888</v>
      </c>
      <c r="D2012">
        <f t="shared" si="249"/>
        <v>488</v>
      </c>
      <c r="E2012">
        <f t="shared" si="250"/>
        <v>0.5495495495495496</v>
      </c>
      <c r="F2012">
        <f t="shared" si="251"/>
        <v>260</v>
      </c>
      <c r="G2012">
        <f t="shared" si="252"/>
        <v>142.88288288288288</v>
      </c>
      <c r="H2012" t="str">
        <f>_xlfn.XLOOKUP(A2012,Fact_Events!$D$2:$D$20,Fact_Events!$A$2:$A$20, "")</f>
        <v/>
      </c>
      <c r="I2012">
        <f t="shared" si="253"/>
        <v>0</v>
      </c>
      <c r="J2012" t="str">
        <f>_xlfn.XLOOKUP(H2012, Fact_Events!$A$2:$A$20, Fact_Events!$F$2:$F$20, "")</f>
        <v/>
      </c>
      <c r="K2012" t="str">
        <f t="shared" si="254"/>
        <v>Low</v>
      </c>
      <c r="L2012">
        <f t="shared" si="255"/>
        <v>0.55000000000000004</v>
      </c>
      <c r="M2012">
        <f>_xlfn.XLOOKUP(B2012, Dim_Hotel!$A$2:$A$11, Dim_Hotel!$I$2:$I$11)
 + (IF(J2012="",0,J2012)
    * _xlfn.XLOOKUP(B2012, Dim_Hotel!$A$2:$A$11, Dim_Hotel!$J$2:$J$11))</f>
        <v>260</v>
      </c>
    </row>
    <row r="2013" spans="1:13" x14ac:dyDescent="0.25">
      <c r="A2013" s="1">
        <f t="shared" si="248"/>
        <v>46224</v>
      </c>
      <c r="B2013" t="str" cm="1">
        <f t="array" ref="B2013">INDEX(HotelList,MOD(ROW()-2,10)+1)</f>
        <v>H002</v>
      </c>
      <c r="C2013">
        <f>_xlfn.XLOOKUP(B2013,Dim_Hotel!$A$2:$A$11,Dim_Hotel!$F$2:$F$11)</f>
        <v>147</v>
      </c>
      <c r="D2013">
        <f t="shared" si="249"/>
        <v>81</v>
      </c>
      <c r="E2013">
        <f t="shared" si="250"/>
        <v>0.55102040816326525</v>
      </c>
      <c r="F2013">
        <f t="shared" si="251"/>
        <v>175</v>
      </c>
      <c r="G2013">
        <f t="shared" si="252"/>
        <v>96.428571428571416</v>
      </c>
      <c r="H2013" t="str">
        <f>_xlfn.XLOOKUP(A2013,Fact_Events!$D$2:$D$20,Fact_Events!$A$2:$A$20, "")</f>
        <v/>
      </c>
      <c r="I2013">
        <f t="shared" si="253"/>
        <v>0</v>
      </c>
      <c r="J2013" t="str">
        <f>_xlfn.XLOOKUP(H2013, Fact_Events!$A$2:$A$20, Fact_Events!$F$2:$F$20, "")</f>
        <v/>
      </c>
      <c r="K2013" t="str">
        <f t="shared" si="254"/>
        <v>Low</v>
      </c>
      <c r="L2013">
        <f t="shared" si="255"/>
        <v>0.55000000000000004</v>
      </c>
      <c r="M2013">
        <f>_xlfn.XLOOKUP(B2013, Dim_Hotel!$A$2:$A$11, Dim_Hotel!$I$2:$I$11)
 + (IF(J2013="",0,J2013)
    * _xlfn.XLOOKUP(B2013, Dim_Hotel!$A$2:$A$11, Dim_Hotel!$J$2:$J$11))</f>
        <v>175</v>
      </c>
    </row>
    <row r="2014" spans="1:13" x14ac:dyDescent="0.25">
      <c r="A2014" s="1">
        <f t="shared" si="248"/>
        <v>46224</v>
      </c>
      <c r="B2014" t="str" cm="1">
        <f t="array" ref="B2014">INDEX(HotelList,MOD(ROW()-2,10)+1)</f>
        <v>H003</v>
      </c>
      <c r="C2014">
        <f>_xlfn.XLOOKUP(B2014,Dim_Hotel!$A$2:$A$11,Dim_Hotel!$F$2:$F$11)</f>
        <v>121</v>
      </c>
      <c r="D2014">
        <f t="shared" si="249"/>
        <v>67</v>
      </c>
      <c r="E2014">
        <f t="shared" si="250"/>
        <v>0.55371900826446285</v>
      </c>
      <c r="F2014">
        <f t="shared" si="251"/>
        <v>145</v>
      </c>
      <c r="G2014">
        <f t="shared" si="252"/>
        <v>80.289256198347118</v>
      </c>
      <c r="H2014" t="str">
        <f>_xlfn.XLOOKUP(A2014,Fact_Events!$D$2:$D$20,Fact_Events!$A$2:$A$20, "")</f>
        <v/>
      </c>
      <c r="I2014">
        <f t="shared" si="253"/>
        <v>0</v>
      </c>
      <c r="J2014" t="str">
        <f>_xlfn.XLOOKUP(H2014, Fact_Events!$A$2:$A$20, Fact_Events!$F$2:$F$20, "")</f>
        <v/>
      </c>
      <c r="K2014" t="str">
        <f t="shared" si="254"/>
        <v>Low</v>
      </c>
      <c r="L2014">
        <f t="shared" si="255"/>
        <v>0.55000000000000004</v>
      </c>
      <c r="M2014">
        <f>_xlfn.XLOOKUP(B2014, Dim_Hotel!$A$2:$A$11, Dim_Hotel!$I$2:$I$11)
 + (IF(J2014="",0,J2014)
    * _xlfn.XLOOKUP(B2014, Dim_Hotel!$A$2:$A$11, Dim_Hotel!$J$2:$J$11))</f>
        <v>145</v>
      </c>
    </row>
    <row r="2015" spans="1:13" x14ac:dyDescent="0.25">
      <c r="A2015" s="1">
        <f t="shared" si="248"/>
        <v>46224</v>
      </c>
      <c r="B2015" t="str" cm="1">
        <f t="array" ref="B2015">INDEX(HotelList,MOD(ROW()-2,10)+1)</f>
        <v>H004</v>
      </c>
      <c r="C2015">
        <f>_xlfn.XLOOKUP(B2015,Dim_Hotel!$A$2:$A$11,Dim_Hotel!$F$2:$F$11)</f>
        <v>108</v>
      </c>
      <c r="D2015">
        <f t="shared" si="249"/>
        <v>59</v>
      </c>
      <c r="E2015">
        <f t="shared" si="250"/>
        <v>0.54629629629629628</v>
      </c>
      <c r="F2015">
        <f t="shared" si="251"/>
        <v>135</v>
      </c>
      <c r="G2015">
        <f t="shared" si="252"/>
        <v>73.75</v>
      </c>
      <c r="H2015" t="str">
        <f>_xlfn.XLOOKUP(A2015,Fact_Events!$D$2:$D$20,Fact_Events!$A$2:$A$20, "")</f>
        <v/>
      </c>
      <c r="I2015">
        <f t="shared" si="253"/>
        <v>0</v>
      </c>
      <c r="J2015" t="str">
        <f>_xlfn.XLOOKUP(H2015, Fact_Events!$A$2:$A$20, Fact_Events!$F$2:$F$20, "")</f>
        <v/>
      </c>
      <c r="K2015" t="str">
        <f t="shared" si="254"/>
        <v>Low</v>
      </c>
      <c r="L2015">
        <f t="shared" si="255"/>
        <v>0.55000000000000004</v>
      </c>
      <c r="M2015">
        <f>_xlfn.XLOOKUP(B2015, Dim_Hotel!$A$2:$A$11, Dim_Hotel!$I$2:$I$11)
 + (IF(J2015="",0,J2015)
    * _xlfn.XLOOKUP(B2015, Dim_Hotel!$A$2:$A$11, Dim_Hotel!$J$2:$J$11))</f>
        <v>135</v>
      </c>
    </row>
    <row r="2016" spans="1:13" x14ac:dyDescent="0.25">
      <c r="A2016" s="1">
        <f t="shared" si="248"/>
        <v>46224</v>
      </c>
      <c r="B2016" t="str" cm="1">
        <f t="array" ref="B2016">INDEX(HotelList,MOD(ROW()-2,10)+1)</f>
        <v>H005</v>
      </c>
      <c r="C2016">
        <f>_xlfn.XLOOKUP(B2016,Dim_Hotel!$A$2:$A$11,Dim_Hotel!$F$2:$F$11)</f>
        <v>66</v>
      </c>
      <c r="D2016">
        <f t="shared" si="249"/>
        <v>36</v>
      </c>
      <c r="E2016">
        <f t="shared" si="250"/>
        <v>0.54545454545454541</v>
      </c>
      <c r="F2016">
        <f t="shared" si="251"/>
        <v>82</v>
      </c>
      <c r="G2016">
        <f t="shared" si="252"/>
        <v>44.727272727272727</v>
      </c>
      <c r="H2016" t="str">
        <f>_xlfn.XLOOKUP(A2016,Fact_Events!$D$2:$D$20,Fact_Events!$A$2:$A$20, "")</f>
        <v/>
      </c>
      <c r="I2016">
        <f t="shared" si="253"/>
        <v>0</v>
      </c>
      <c r="J2016" t="str">
        <f>_xlfn.XLOOKUP(H2016, Fact_Events!$A$2:$A$20, Fact_Events!$F$2:$F$20, "")</f>
        <v/>
      </c>
      <c r="K2016" t="str">
        <f t="shared" si="254"/>
        <v>Low</v>
      </c>
      <c r="L2016">
        <f t="shared" si="255"/>
        <v>0.55000000000000004</v>
      </c>
      <c r="M2016">
        <f>_xlfn.XLOOKUP(B2016, Dim_Hotel!$A$2:$A$11, Dim_Hotel!$I$2:$I$11)
 + (IF(J2016="",0,J2016)
    * _xlfn.XLOOKUP(B2016, Dim_Hotel!$A$2:$A$11, Dim_Hotel!$J$2:$J$11))</f>
        <v>82</v>
      </c>
    </row>
    <row r="2017" spans="1:13" x14ac:dyDescent="0.25">
      <c r="A2017" s="1">
        <f t="shared" si="248"/>
        <v>46224</v>
      </c>
      <c r="B2017" t="str" cm="1">
        <f t="array" ref="B2017">INDEX(HotelList,MOD(ROW()-2,10)+1)</f>
        <v>H006</v>
      </c>
      <c r="C2017">
        <f>_xlfn.XLOOKUP(B2017,Dim_Hotel!$A$2:$A$11,Dim_Hotel!$F$2:$F$11)</f>
        <v>311</v>
      </c>
      <c r="D2017">
        <f t="shared" si="249"/>
        <v>171</v>
      </c>
      <c r="E2017">
        <f t="shared" si="250"/>
        <v>0.54983922829581988</v>
      </c>
      <c r="F2017">
        <f t="shared" si="251"/>
        <v>190</v>
      </c>
      <c r="G2017">
        <f t="shared" si="252"/>
        <v>104.46945337620578</v>
      </c>
      <c r="H2017" t="str">
        <f>_xlfn.XLOOKUP(A2017,Fact_Events!$D$2:$D$20,Fact_Events!$A$2:$A$20, "")</f>
        <v/>
      </c>
      <c r="I2017">
        <f t="shared" si="253"/>
        <v>0</v>
      </c>
      <c r="J2017" t="str">
        <f>_xlfn.XLOOKUP(H2017, Fact_Events!$A$2:$A$20, Fact_Events!$F$2:$F$20, "")</f>
        <v/>
      </c>
      <c r="K2017" t="str">
        <f t="shared" si="254"/>
        <v>Low</v>
      </c>
      <c r="L2017">
        <f t="shared" si="255"/>
        <v>0.55000000000000004</v>
      </c>
      <c r="M2017">
        <f>_xlfn.XLOOKUP(B2017, Dim_Hotel!$A$2:$A$11, Dim_Hotel!$I$2:$I$11)
 + (IF(J2017="",0,J2017)
    * _xlfn.XLOOKUP(B2017, Dim_Hotel!$A$2:$A$11, Dim_Hotel!$J$2:$J$11))</f>
        <v>190</v>
      </c>
    </row>
    <row r="2018" spans="1:13" x14ac:dyDescent="0.25">
      <c r="A2018" s="1">
        <f t="shared" si="248"/>
        <v>46224</v>
      </c>
      <c r="B2018" t="str" cm="1">
        <f t="array" ref="B2018">INDEX(HotelList,MOD(ROW()-2,10)+1)</f>
        <v>H007</v>
      </c>
      <c r="C2018">
        <f>_xlfn.XLOOKUP(B2018,Dim_Hotel!$A$2:$A$11,Dim_Hotel!$F$2:$F$11)</f>
        <v>132</v>
      </c>
      <c r="D2018">
        <f t="shared" si="249"/>
        <v>73</v>
      </c>
      <c r="E2018">
        <f t="shared" si="250"/>
        <v>0.55303030303030298</v>
      </c>
      <c r="F2018">
        <f t="shared" si="251"/>
        <v>165</v>
      </c>
      <c r="G2018">
        <f t="shared" si="252"/>
        <v>91.249999999999986</v>
      </c>
      <c r="H2018" t="str">
        <f>_xlfn.XLOOKUP(A2018,Fact_Events!$D$2:$D$20,Fact_Events!$A$2:$A$20, "")</f>
        <v/>
      </c>
      <c r="I2018">
        <f t="shared" si="253"/>
        <v>0</v>
      </c>
      <c r="J2018" t="str">
        <f>_xlfn.XLOOKUP(H2018, Fact_Events!$A$2:$A$20, Fact_Events!$F$2:$F$20, "")</f>
        <v/>
      </c>
      <c r="K2018" t="str">
        <f t="shared" si="254"/>
        <v>Low</v>
      </c>
      <c r="L2018">
        <f t="shared" si="255"/>
        <v>0.55000000000000004</v>
      </c>
      <c r="M2018">
        <f>_xlfn.XLOOKUP(B2018, Dim_Hotel!$A$2:$A$11, Dim_Hotel!$I$2:$I$11)
 + (IF(J2018="",0,J2018)
    * _xlfn.XLOOKUP(B2018, Dim_Hotel!$A$2:$A$11, Dim_Hotel!$J$2:$J$11))</f>
        <v>165</v>
      </c>
    </row>
    <row r="2019" spans="1:13" x14ac:dyDescent="0.25">
      <c r="A2019" s="1">
        <f t="shared" si="248"/>
        <v>46224</v>
      </c>
      <c r="B2019" t="str" cm="1">
        <f t="array" ref="B2019">INDEX(HotelList,MOD(ROW()-2,10)+1)</f>
        <v>H008</v>
      </c>
      <c r="C2019">
        <f>_xlfn.XLOOKUP(B2019,Dim_Hotel!$A$2:$A$11,Dim_Hotel!$F$2:$F$11)</f>
        <v>103</v>
      </c>
      <c r="D2019">
        <f t="shared" si="249"/>
        <v>57</v>
      </c>
      <c r="E2019">
        <f t="shared" si="250"/>
        <v>0.55339805825242716</v>
      </c>
      <c r="F2019">
        <f t="shared" si="251"/>
        <v>140</v>
      </c>
      <c r="G2019">
        <f t="shared" si="252"/>
        <v>77.475728155339809</v>
      </c>
      <c r="H2019" t="str">
        <f>_xlfn.XLOOKUP(A2019,Fact_Events!$D$2:$D$20,Fact_Events!$A$2:$A$20, "")</f>
        <v/>
      </c>
      <c r="I2019">
        <f t="shared" si="253"/>
        <v>0</v>
      </c>
      <c r="J2019" t="str">
        <f>_xlfn.XLOOKUP(H2019, Fact_Events!$A$2:$A$20, Fact_Events!$F$2:$F$20, "")</f>
        <v/>
      </c>
      <c r="K2019" t="str">
        <f t="shared" si="254"/>
        <v>Low</v>
      </c>
      <c r="L2019">
        <f t="shared" si="255"/>
        <v>0.55000000000000004</v>
      </c>
      <c r="M2019">
        <f>_xlfn.XLOOKUP(B2019, Dim_Hotel!$A$2:$A$11, Dim_Hotel!$I$2:$I$11)
 + (IF(J2019="",0,J2019)
    * _xlfn.XLOOKUP(B2019, Dim_Hotel!$A$2:$A$11, Dim_Hotel!$J$2:$J$11))</f>
        <v>140</v>
      </c>
    </row>
    <row r="2020" spans="1:13" x14ac:dyDescent="0.25">
      <c r="A2020" s="1">
        <f t="shared" si="248"/>
        <v>46224</v>
      </c>
      <c r="B2020" t="str" cm="1">
        <f t="array" ref="B2020">INDEX(HotelList,MOD(ROW()-2,10)+1)</f>
        <v>H009</v>
      </c>
      <c r="C2020">
        <f>_xlfn.XLOOKUP(B2020,Dim_Hotel!$A$2:$A$11,Dim_Hotel!$F$2:$F$11)</f>
        <v>114</v>
      </c>
      <c r="D2020">
        <f t="shared" si="249"/>
        <v>63</v>
      </c>
      <c r="E2020">
        <f t="shared" si="250"/>
        <v>0.55263157894736847</v>
      </c>
      <c r="F2020">
        <f t="shared" si="251"/>
        <v>185</v>
      </c>
      <c r="G2020">
        <f t="shared" si="252"/>
        <v>102.23684210526316</v>
      </c>
      <c r="H2020" t="str">
        <f>_xlfn.XLOOKUP(A2020,Fact_Events!$D$2:$D$20,Fact_Events!$A$2:$A$20, "")</f>
        <v/>
      </c>
      <c r="I2020">
        <f t="shared" si="253"/>
        <v>0</v>
      </c>
      <c r="J2020" t="str">
        <f>_xlfn.XLOOKUP(H2020, Fact_Events!$A$2:$A$20, Fact_Events!$F$2:$F$20, "")</f>
        <v/>
      </c>
      <c r="K2020" t="str">
        <f t="shared" si="254"/>
        <v>Low</v>
      </c>
      <c r="L2020">
        <f t="shared" si="255"/>
        <v>0.55000000000000004</v>
      </c>
      <c r="M2020">
        <f>_xlfn.XLOOKUP(B2020, Dim_Hotel!$A$2:$A$11, Dim_Hotel!$I$2:$I$11)
 + (IF(J2020="",0,J2020)
    * _xlfn.XLOOKUP(B2020, Dim_Hotel!$A$2:$A$11, Dim_Hotel!$J$2:$J$11))</f>
        <v>185</v>
      </c>
    </row>
    <row r="2021" spans="1:13" x14ac:dyDescent="0.25">
      <c r="A2021" s="1">
        <f t="shared" si="248"/>
        <v>46224</v>
      </c>
      <c r="B2021" t="str" cm="1">
        <f t="array" ref="B2021">INDEX(HotelList,MOD(ROW()-2,10)+1)</f>
        <v>H010</v>
      </c>
      <c r="C2021">
        <f>_xlfn.XLOOKUP(B2021,Dim_Hotel!$A$2:$A$11,Dim_Hotel!$F$2:$F$11)</f>
        <v>89</v>
      </c>
      <c r="D2021">
        <f t="shared" si="249"/>
        <v>49</v>
      </c>
      <c r="E2021">
        <f t="shared" si="250"/>
        <v>0.550561797752809</v>
      </c>
      <c r="F2021">
        <f t="shared" si="251"/>
        <v>150</v>
      </c>
      <c r="G2021">
        <f t="shared" si="252"/>
        <v>82.584269662921344</v>
      </c>
      <c r="H2021" t="str">
        <f>_xlfn.XLOOKUP(A2021,Fact_Events!$D$2:$D$20,Fact_Events!$A$2:$A$20, "")</f>
        <v/>
      </c>
      <c r="I2021">
        <f t="shared" si="253"/>
        <v>0</v>
      </c>
      <c r="J2021" t="str">
        <f>_xlfn.XLOOKUP(H2021, Fact_Events!$A$2:$A$20, Fact_Events!$F$2:$F$20, "")</f>
        <v/>
      </c>
      <c r="K2021" t="str">
        <f t="shared" si="254"/>
        <v>Low</v>
      </c>
      <c r="L2021">
        <f t="shared" si="255"/>
        <v>0.55000000000000004</v>
      </c>
      <c r="M2021">
        <f>_xlfn.XLOOKUP(B2021, Dim_Hotel!$A$2:$A$11, Dim_Hotel!$I$2:$I$11)
 + (IF(J2021="",0,J2021)
    * _xlfn.XLOOKUP(B2021, Dim_Hotel!$A$2:$A$11, Dim_Hotel!$J$2:$J$11))</f>
        <v>150</v>
      </c>
    </row>
    <row r="2022" spans="1:13" x14ac:dyDescent="0.25">
      <c r="A2022" s="1">
        <f t="shared" si="248"/>
        <v>46225</v>
      </c>
      <c r="B2022" t="str" cm="1">
        <f t="array" ref="B2022">INDEX(HotelList,MOD(ROW()-2,10)+1)</f>
        <v>H001</v>
      </c>
      <c r="C2022">
        <f>_xlfn.XLOOKUP(B2022,Dim_Hotel!$A$2:$A$11,Dim_Hotel!$F$2:$F$11)</f>
        <v>888</v>
      </c>
      <c r="D2022">
        <f t="shared" si="249"/>
        <v>488</v>
      </c>
      <c r="E2022">
        <f t="shared" si="250"/>
        <v>0.5495495495495496</v>
      </c>
      <c r="F2022">
        <f t="shared" si="251"/>
        <v>260</v>
      </c>
      <c r="G2022">
        <f t="shared" si="252"/>
        <v>142.88288288288288</v>
      </c>
      <c r="H2022" t="str">
        <f>_xlfn.XLOOKUP(A2022,Fact_Events!$D$2:$D$20,Fact_Events!$A$2:$A$20, "")</f>
        <v/>
      </c>
      <c r="I2022">
        <f t="shared" si="253"/>
        <v>0</v>
      </c>
      <c r="J2022" t="str">
        <f>_xlfn.XLOOKUP(H2022, Fact_Events!$A$2:$A$20, Fact_Events!$F$2:$F$20, "")</f>
        <v/>
      </c>
      <c r="K2022" t="str">
        <f t="shared" si="254"/>
        <v>Low</v>
      </c>
      <c r="L2022">
        <f t="shared" si="255"/>
        <v>0.55000000000000004</v>
      </c>
      <c r="M2022">
        <f>_xlfn.XLOOKUP(B2022, Dim_Hotel!$A$2:$A$11, Dim_Hotel!$I$2:$I$11)
 + (IF(J2022="",0,J2022)
    * _xlfn.XLOOKUP(B2022, Dim_Hotel!$A$2:$A$11, Dim_Hotel!$J$2:$J$11))</f>
        <v>260</v>
      </c>
    </row>
    <row r="2023" spans="1:13" x14ac:dyDescent="0.25">
      <c r="A2023" s="1">
        <f t="shared" si="248"/>
        <v>46225</v>
      </c>
      <c r="B2023" t="str" cm="1">
        <f t="array" ref="B2023">INDEX(HotelList,MOD(ROW()-2,10)+1)</f>
        <v>H002</v>
      </c>
      <c r="C2023">
        <f>_xlfn.XLOOKUP(B2023,Dim_Hotel!$A$2:$A$11,Dim_Hotel!$F$2:$F$11)</f>
        <v>147</v>
      </c>
      <c r="D2023">
        <f t="shared" si="249"/>
        <v>81</v>
      </c>
      <c r="E2023">
        <f t="shared" si="250"/>
        <v>0.55102040816326525</v>
      </c>
      <c r="F2023">
        <f t="shared" si="251"/>
        <v>175</v>
      </c>
      <c r="G2023">
        <f t="shared" si="252"/>
        <v>96.428571428571416</v>
      </c>
      <c r="H2023" t="str">
        <f>_xlfn.XLOOKUP(A2023,Fact_Events!$D$2:$D$20,Fact_Events!$A$2:$A$20, "")</f>
        <v/>
      </c>
      <c r="I2023">
        <f t="shared" si="253"/>
        <v>0</v>
      </c>
      <c r="J2023" t="str">
        <f>_xlfn.XLOOKUP(H2023, Fact_Events!$A$2:$A$20, Fact_Events!$F$2:$F$20, "")</f>
        <v/>
      </c>
      <c r="K2023" t="str">
        <f t="shared" si="254"/>
        <v>Low</v>
      </c>
      <c r="L2023">
        <f t="shared" si="255"/>
        <v>0.55000000000000004</v>
      </c>
      <c r="M2023">
        <f>_xlfn.XLOOKUP(B2023, Dim_Hotel!$A$2:$A$11, Dim_Hotel!$I$2:$I$11)
 + (IF(J2023="",0,J2023)
    * _xlfn.XLOOKUP(B2023, Dim_Hotel!$A$2:$A$11, Dim_Hotel!$J$2:$J$11))</f>
        <v>175</v>
      </c>
    </row>
    <row r="2024" spans="1:13" x14ac:dyDescent="0.25">
      <c r="A2024" s="1">
        <f t="shared" si="248"/>
        <v>46225</v>
      </c>
      <c r="B2024" t="str" cm="1">
        <f t="array" ref="B2024">INDEX(HotelList,MOD(ROW()-2,10)+1)</f>
        <v>H003</v>
      </c>
      <c r="C2024">
        <f>_xlfn.XLOOKUP(B2024,Dim_Hotel!$A$2:$A$11,Dim_Hotel!$F$2:$F$11)</f>
        <v>121</v>
      </c>
      <c r="D2024">
        <f t="shared" si="249"/>
        <v>67</v>
      </c>
      <c r="E2024">
        <f t="shared" si="250"/>
        <v>0.55371900826446285</v>
      </c>
      <c r="F2024">
        <f t="shared" si="251"/>
        <v>145</v>
      </c>
      <c r="G2024">
        <f t="shared" si="252"/>
        <v>80.289256198347118</v>
      </c>
      <c r="H2024" t="str">
        <f>_xlfn.XLOOKUP(A2024,Fact_Events!$D$2:$D$20,Fact_Events!$A$2:$A$20, "")</f>
        <v/>
      </c>
      <c r="I2024">
        <f t="shared" si="253"/>
        <v>0</v>
      </c>
      <c r="J2024" t="str">
        <f>_xlfn.XLOOKUP(H2024, Fact_Events!$A$2:$A$20, Fact_Events!$F$2:$F$20, "")</f>
        <v/>
      </c>
      <c r="K2024" t="str">
        <f t="shared" si="254"/>
        <v>Low</v>
      </c>
      <c r="L2024">
        <f t="shared" si="255"/>
        <v>0.55000000000000004</v>
      </c>
      <c r="M2024">
        <f>_xlfn.XLOOKUP(B2024, Dim_Hotel!$A$2:$A$11, Dim_Hotel!$I$2:$I$11)
 + (IF(J2024="",0,J2024)
    * _xlfn.XLOOKUP(B2024, Dim_Hotel!$A$2:$A$11, Dim_Hotel!$J$2:$J$11))</f>
        <v>145</v>
      </c>
    </row>
    <row r="2025" spans="1:13" x14ac:dyDescent="0.25">
      <c r="A2025" s="1">
        <f t="shared" si="248"/>
        <v>46225</v>
      </c>
      <c r="B2025" t="str" cm="1">
        <f t="array" ref="B2025">INDEX(HotelList,MOD(ROW()-2,10)+1)</f>
        <v>H004</v>
      </c>
      <c r="C2025">
        <f>_xlfn.XLOOKUP(B2025,Dim_Hotel!$A$2:$A$11,Dim_Hotel!$F$2:$F$11)</f>
        <v>108</v>
      </c>
      <c r="D2025">
        <f t="shared" si="249"/>
        <v>59</v>
      </c>
      <c r="E2025">
        <f t="shared" si="250"/>
        <v>0.54629629629629628</v>
      </c>
      <c r="F2025">
        <f t="shared" si="251"/>
        <v>135</v>
      </c>
      <c r="G2025">
        <f t="shared" si="252"/>
        <v>73.75</v>
      </c>
      <c r="H2025" t="str">
        <f>_xlfn.XLOOKUP(A2025,Fact_Events!$D$2:$D$20,Fact_Events!$A$2:$A$20, "")</f>
        <v/>
      </c>
      <c r="I2025">
        <f t="shared" si="253"/>
        <v>0</v>
      </c>
      <c r="J2025" t="str">
        <f>_xlfn.XLOOKUP(H2025, Fact_Events!$A$2:$A$20, Fact_Events!$F$2:$F$20, "")</f>
        <v/>
      </c>
      <c r="K2025" t="str">
        <f t="shared" si="254"/>
        <v>Low</v>
      </c>
      <c r="L2025">
        <f t="shared" si="255"/>
        <v>0.55000000000000004</v>
      </c>
      <c r="M2025">
        <f>_xlfn.XLOOKUP(B2025, Dim_Hotel!$A$2:$A$11, Dim_Hotel!$I$2:$I$11)
 + (IF(J2025="",0,J2025)
    * _xlfn.XLOOKUP(B2025, Dim_Hotel!$A$2:$A$11, Dim_Hotel!$J$2:$J$11))</f>
        <v>135</v>
      </c>
    </row>
    <row r="2026" spans="1:13" x14ac:dyDescent="0.25">
      <c r="A2026" s="1">
        <f t="shared" si="248"/>
        <v>46225</v>
      </c>
      <c r="B2026" t="str" cm="1">
        <f t="array" ref="B2026">INDEX(HotelList,MOD(ROW()-2,10)+1)</f>
        <v>H005</v>
      </c>
      <c r="C2026">
        <f>_xlfn.XLOOKUP(B2026,Dim_Hotel!$A$2:$A$11,Dim_Hotel!$F$2:$F$11)</f>
        <v>66</v>
      </c>
      <c r="D2026">
        <f t="shared" si="249"/>
        <v>36</v>
      </c>
      <c r="E2026">
        <f t="shared" si="250"/>
        <v>0.54545454545454541</v>
      </c>
      <c r="F2026">
        <f t="shared" si="251"/>
        <v>82</v>
      </c>
      <c r="G2026">
        <f t="shared" si="252"/>
        <v>44.727272727272727</v>
      </c>
      <c r="H2026" t="str">
        <f>_xlfn.XLOOKUP(A2026,Fact_Events!$D$2:$D$20,Fact_Events!$A$2:$A$20, "")</f>
        <v/>
      </c>
      <c r="I2026">
        <f t="shared" si="253"/>
        <v>0</v>
      </c>
      <c r="J2026" t="str">
        <f>_xlfn.XLOOKUP(H2026, Fact_Events!$A$2:$A$20, Fact_Events!$F$2:$F$20, "")</f>
        <v/>
      </c>
      <c r="K2026" t="str">
        <f t="shared" si="254"/>
        <v>Low</v>
      </c>
      <c r="L2026">
        <f t="shared" si="255"/>
        <v>0.55000000000000004</v>
      </c>
      <c r="M2026">
        <f>_xlfn.XLOOKUP(B2026, Dim_Hotel!$A$2:$A$11, Dim_Hotel!$I$2:$I$11)
 + (IF(J2026="",0,J2026)
    * _xlfn.XLOOKUP(B2026, Dim_Hotel!$A$2:$A$11, Dim_Hotel!$J$2:$J$11))</f>
        <v>82</v>
      </c>
    </row>
    <row r="2027" spans="1:13" x14ac:dyDescent="0.25">
      <c r="A2027" s="1">
        <f t="shared" si="248"/>
        <v>46225</v>
      </c>
      <c r="B2027" t="str" cm="1">
        <f t="array" ref="B2027">INDEX(HotelList,MOD(ROW()-2,10)+1)</f>
        <v>H006</v>
      </c>
      <c r="C2027">
        <f>_xlfn.XLOOKUP(B2027,Dim_Hotel!$A$2:$A$11,Dim_Hotel!$F$2:$F$11)</f>
        <v>311</v>
      </c>
      <c r="D2027">
        <f t="shared" si="249"/>
        <v>171</v>
      </c>
      <c r="E2027">
        <f t="shared" si="250"/>
        <v>0.54983922829581988</v>
      </c>
      <c r="F2027">
        <f t="shared" si="251"/>
        <v>190</v>
      </c>
      <c r="G2027">
        <f t="shared" si="252"/>
        <v>104.46945337620578</v>
      </c>
      <c r="H2027" t="str">
        <f>_xlfn.XLOOKUP(A2027,Fact_Events!$D$2:$D$20,Fact_Events!$A$2:$A$20, "")</f>
        <v/>
      </c>
      <c r="I2027">
        <f t="shared" si="253"/>
        <v>0</v>
      </c>
      <c r="J2027" t="str">
        <f>_xlfn.XLOOKUP(H2027, Fact_Events!$A$2:$A$20, Fact_Events!$F$2:$F$20, "")</f>
        <v/>
      </c>
      <c r="K2027" t="str">
        <f t="shared" si="254"/>
        <v>Low</v>
      </c>
      <c r="L2027">
        <f t="shared" si="255"/>
        <v>0.55000000000000004</v>
      </c>
      <c r="M2027">
        <f>_xlfn.XLOOKUP(B2027, Dim_Hotel!$A$2:$A$11, Dim_Hotel!$I$2:$I$11)
 + (IF(J2027="",0,J2027)
    * _xlfn.XLOOKUP(B2027, Dim_Hotel!$A$2:$A$11, Dim_Hotel!$J$2:$J$11))</f>
        <v>190</v>
      </c>
    </row>
    <row r="2028" spans="1:13" x14ac:dyDescent="0.25">
      <c r="A2028" s="1">
        <f t="shared" si="248"/>
        <v>46225</v>
      </c>
      <c r="B2028" t="str" cm="1">
        <f t="array" ref="B2028">INDEX(HotelList,MOD(ROW()-2,10)+1)</f>
        <v>H007</v>
      </c>
      <c r="C2028">
        <f>_xlfn.XLOOKUP(B2028,Dim_Hotel!$A$2:$A$11,Dim_Hotel!$F$2:$F$11)</f>
        <v>132</v>
      </c>
      <c r="D2028">
        <f t="shared" si="249"/>
        <v>73</v>
      </c>
      <c r="E2028">
        <f t="shared" si="250"/>
        <v>0.55303030303030298</v>
      </c>
      <c r="F2028">
        <f t="shared" si="251"/>
        <v>165</v>
      </c>
      <c r="G2028">
        <f t="shared" si="252"/>
        <v>91.249999999999986</v>
      </c>
      <c r="H2028" t="str">
        <f>_xlfn.XLOOKUP(A2028,Fact_Events!$D$2:$D$20,Fact_Events!$A$2:$A$20, "")</f>
        <v/>
      </c>
      <c r="I2028">
        <f t="shared" si="253"/>
        <v>0</v>
      </c>
      <c r="J2028" t="str">
        <f>_xlfn.XLOOKUP(H2028, Fact_Events!$A$2:$A$20, Fact_Events!$F$2:$F$20, "")</f>
        <v/>
      </c>
      <c r="K2028" t="str">
        <f t="shared" si="254"/>
        <v>Low</v>
      </c>
      <c r="L2028">
        <f t="shared" si="255"/>
        <v>0.55000000000000004</v>
      </c>
      <c r="M2028">
        <f>_xlfn.XLOOKUP(B2028, Dim_Hotel!$A$2:$A$11, Dim_Hotel!$I$2:$I$11)
 + (IF(J2028="",0,J2028)
    * _xlfn.XLOOKUP(B2028, Dim_Hotel!$A$2:$A$11, Dim_Hotel!$J$2:$J$11))</f>
        <v>165</v>
      </c>
    </row>
    <row r="2029" spans="1:13" x14ac:dyDescent="0.25">
      <c r="A2029" s="1">
        <f t="shared" si="248"/>
        <v>46225</v>
      </c>
      <c r="B2029" t="str" cm="1">
        <f t="array" ref="B2029">INDEX(HotelList,MOD(ROW()-2,10)+1)</f>
        <v>H008</v>
      </c>
      <c r="C2029">
        <f>_xlfn.XLOOKUP(B2029,Dim_Hotel!$A$2:$A$11,Dim_Hotel!$F$2:$F$11)</f>
        <v>103</v>
      </c>
      <c r="D2029">
        <f t="shared" si="249"/>
        <v>57</v>
      </c>
      <c r="E2029">
        <f t="shared" si="250"/>
        <v>0.55339805825242716</v>
      </c>
      <c r="F2029">
        <f t="shared" si="251"/>
        <v>140</v>
      </c>
      <c r="G2029">
        <f t="shared" si="252"/>
        <v>77.475728155339809</v>
      </c>
      <c r="H2029" t="str">
        <f>_xlfn.XLOOKUP(A2029,Fact_Events!$D$2:$D$20,Fact_Events!$A$2:$A$20, "")</f>
        <v/>
      </c>
      <c r="I2029">
        <f t="shared" si="253"/>
        <v>0</v>
      </c>
      <c r="J2029" t="str">
        <f>_xlfn.XLOOKUP(H2029, Fact_Events!$A$2:$A$20, Fact_Events!$F$2:$F$20, "")</f>
        <v/>
      </c>
      <c r="K2029" t="str">
        <f t="shared" si="254"/>
        <v>Low</v>
      </c>
      <c r="L2029">
        <f t="shared" si="255"/>
        <v>0.55000000000000004</v>
      </c>
      <c r="M2029">
        <f>_xlfn.XLOOKUP(B2029, Dim_Hotel!$A$2:$A$11, Dim_Hotel!$I$2:$I$11)
 + (IF(J2029="",0,J2029)
    * _xlfn.XLOOKUP(B2029, Dim_Hotel!$A$2:$A$11, Dim_Hotel!$J$2:$J$11))</f>
        <v>140</v>
      </c>
    </row>
    <row r="2030" spans="1:13" x14ac:dyDescent="0.25">
      <c r="A2030" s="1">
        <f t="shared" si="248"/>
        <v>46225</v>
      </c>
      <c r="B2030" t="str" cm="1">
        <f t="array" ref="B2030">INDEX(HotelList,MOD(ROW()-2,10)+1)</f>
        <v>H009</v>
      </c>
      <c r="C2030">
        <f>_xlfn.XLOOKUP(B2030,Dim_Hotel!$A$2:$A$11,Dim_Hotel!$F$2:$F$11)</f>
        <v>114</v>
      </c>
      <c r="D2030">
        <f t="shared" si="249"/>
        <v>63</v>
      </c>
      <c r="E2030">
        <f t="shared" si="250"/>
        <v>0.55263157894736847</v>
      </c>
      <c r="F2030">
        <f t="shared" si="251"/>
        <v>185</v>
      </c>
      <c r="G2030">
        <f t="shared" si="252"/>
        <v>102.23684210526316</v>
      </c>
      <c r="H2030" t="str">
        <f>_xlfn.XLOOKUP(A2030,Fact_Events!$D$2:$D$20,Fact_Events!$A$2:$A$20, "")</f>
        <v/>
      </c>
      <c r="I2030">
        <f t="shared" si="253"/>
        <v>0</v>
      </c>
      <c r="J2030" t="str">
        <f>_xlfn.XLOOKUP(H2030, Fact_Events!$A$2:$A$20, Fact_Events!$F$2:$F$20, "")</f>
        <v/>
      </c>
      <c r="K2030" t="str">
        <f t="shared" si="254"/>
        <v>Low</v>
      </c>
      <c r="L2030">
        <f t="shared" si="255"/>
        <v>0.55000000000000004</v>
      </c>
      <c r="M2030">
        <f>_xlfn.XLOOKUP(B2030, Dim_Hotel!$A$2:$A$11, Dim_Hotel!$I$2:$I$11)
 + (IF(J2030="",0,J2030)
    * _xlfn.XLOOKUP(B2030, Dim_Hotel!$A$2:$A$11, Dim_Hotel!$J$2:$J$11))</f>
        <v>185</v>
      </c>
    </row>
    <row r="2031" spans="1:13" x14ac:dyDescent="0.25">
      <c r="A2031" s="1">
        <f t="shared" si="248"/>
        <v>46225</v>
      </c>
      <c r="B2031" t="str" cm="1">
        <f t="array" ref="B2031">INDEX(HotelList,MOD(ROW()-2,10)+1)</f>
        <v>H010</v>
      </c>
      <c r="C2031">
        <f>_xlfn.XLOOKUP(B2031,Dim_Hotel!$A$2:$A$11,Dim_Hotel!$F$2:$F$11)</f>
        <v>89</v>
      </c>
      <c r="D2031">
        <f t="shared" si="249"/>
        <v>49</v>
      </c>
      <c r="E2031">
        <f t="shared" si="250"/>
        <v>0.550561797752809</v>
      </c>
      <c r="F2031">
        <f t="shared" si="251"/>
        <v>150</v>
      </c>
      <c r="G2031">
        <f t="shared" si="252"/>
        <v>82.584269662921344</v>
      </c>
      <c r="H2031" t="str">
        <f>_xlfn.XLOOKUP(A2031,Fact_Events!$D$2:$D$20,Fact_Events!$A$2:$A$20, "")</f>
        <v/>
      </c>
      <c r="I2031">
        <f t="shared" si="253"/>
        <v>0</v>
      </c>
      <c r="J2031" t="str">
        <f>_xlfn.XLOOKUP(H2031, Fact_Events!$A$2:$A$20, Fact_Events!$F$2:$F$20, "")</f>
        <v/>
      </c>
      <c r="K2031" t="str">
        <f t="shared" si="254"/>
        <v>Low</v>
      </c>
      <c r="L2031">
        <f t="shared" si="255"/>
        <v>0.55000000000000004</v>
      </c>
      <c r="M2031">
        <f>_xlfn.XLOOKUP(B2031, Dim_Hotel!$A$2:$A$11, Dim_Hotel!$I$2:$I$11)
 + (IF(J2031="",0,J2031)
    * _xlfn.XLOOKUP(B2031, Dim_Hotel!$A$2:$A$11, Dim_Hotel!$J$2:$J$11))</f>
        <v>150</v>
      </c>
    </row>
    <row r="2032" spans="1:13" x14ac:dyDescent="0.25">
      <c r="A2032" s="1">
        <f t="shared" si="248"/>
        <v>46226</v>
      </c>
      <c r="B2032" t="str" cm="1">
        <f t="array" ref="B2032">INDEX(HotelList,MOD(ROW()-2,10)+1)</f>
        <v>H001</v>
      </c>
      <c r="C2032">
        <f>_xlfn.XLOOKUP(B2032,Dim_Hotel!$A$2:$A$11,Dim_Hotel!$F$2:$F$11)</f>
        <v>888</v>
      </c>
      <c r="D2032">
        <f t="shared" si="249"/>
        <v>488</v>
      </c>
      <c r="E2032">
        <f t="shared" si="250"/>
        <v>0.5495495495495496</v>
      </c>
      <c r="F2032">
        <f t="shared" si="251"/>
        <v>260</v>
      </c>
      <c r="G2032">
        <f t="shared" si="252"/>
        <v>142.88288288288288</v>
      </c>
      <c r="H2032" t="str">
        <f>_xlfn.XLOOKUP(A2032,Fact_Events!$D$2:$D$20,Fact_Events!$A$2:$A$20, "")</f>
        <v/>
      </c>
      <c r="I2032">
        <f t="shared" si="253"/>
        <v>0</v>
      </c>
      <c r="J2032" t="str">
        <f>_xlfn.XLOOKUP(H2032, Fact_Events!$A$2:$A$20, Fact_Events!$F$2:$F$20, "")</f>
        <v/>
      </c>
      <c r="K2032" t="str">
        <f t="shared" si="254"/>
        <v>Low</v>
      </c>
      <c r="L2032">
        <f t="shared" si="255"/>
        <v>0.55000000000000004</v>
      </c>
      <c r="M2032">
        <f>_xlfn.XLOOKUP(B2032, Dim_Hotel!$A$2:$A$11, Dim_Hotel!$I$2:$I$11)
 + (IF(J2032="",0,J2032)
    * _xlfn.XLOOKUP(B2032, Dim_Hotel!$A$2:$A$11, Dim_Hotel!$J$2:$J$11))</f>
        <v>260</v>
      </c>
    </row>
    <row r="2033" spans="1:13" x14ac:dyDescent="0.25">
      <c r="A2033" s="1">
        <f t="shared" si="248"/>
        <v>46226</v>
      </c>
      <c r="B2033" t="str" cm="1">
        <f t="array" ref="B2033">INDEX(HotelList,MOD(ROW()-2,10)+1)</f>
        <v>H002</v>
      </c>
      <c r="C2033">
        <f>_xlfn.XLOOKUP(B2033,Dim_Hotel!$A$2:$A$11,Dim_Hotel!$F$2:$F$11)</f>
        <v>147</v>
      </c>
      <c r="D2033">
        <f t="shared" si="249"/>
        <v>81</v>
      </c>
      <c r="E2033">
        <f t="shared" si="250"/>
        <v>0.55102040816326525</v>
      </c>
      <c r="F2033">
        <f t="shared" si="251"/>
        <v>175</v>
      </c>
      <c r="G2033">
        <f t="shared" si="252"/>
        <v>96.428571428571416</v>
      </c>
      <c r="H2033" t="str">
        <f>_xlfn.XLOOKUP(A2033,Fact_Events!$D$2:$D$20,Fact_Events!$A$2:$A$20, "")</f>
        <v/>
      </c>
      <c r="I2033">
        <f t="shared" si="253"/>
        <v>0</v>
      </c>
      <c r="J2033" t="str">
        <f>_xlfn.XLOOKUP(H2033, Fact_Events!$A$2:$A$20, Fact_Events!$F$2:$F$20, "")</f>
        <v/>
      </c>
      <c r="K2033" t="str">
        <f t="shared" si="254"/>
        <v>Low</v>
      </c>
      <c r="L2033">
        <f t="shared" si="255"/>
        <v>0.55000000000000004</v>
      </c>
      <c r="M2033">
        <f>_xlfn.XLOOKUP(B2033, Dim_Hotel!$A$2:$A$11, Dim_Hotel!$I$2:$I$11)
 + (IF(J2033="",0,J2033)
    * _xlfn.XLOOKUP(B2033, Dim_Hotel!$A$2:$A$11, Dim_Hotel!$J$2:$J$11))</f>
        <v>175</v>
      </c>
    </row>
    <row r="2034" spans="1:13" x14ac:dyDescent="0.25">
      <c r="A2034" s="1">
        <f t="shared" si="248"/>
        <v>46226</v>
      </c>
      <c r="B2034" t="str" cm="1">
        <f t="array" ref="B2034">INDEX(HotelList,MOD(ROW()-2,10)+1)</f>
        <v>H003</v>
      </c>
      <c r="C2034">
        <f>_xlfn.XLOOKUP(B2034,Dim_Hotel!$A$2:$A$11,Dim_Hotel!$F$2:$F$11)</f>
        <v>121</v>
      </c>
      <c r="D2034">
        <f t="shared" si="249"/>
        <v>67</v>
      </c>
      <c r="E2034">
        <f t="shared" si="250"/>
        <v>0.55371900826446285</v>
      </c>
      <c r="F2034">
        <f t="shared" si="251"/>
        <v>145</v>
      </c>
      <c r="G2034">
        <f t="shared" si="252"/>
        <v>80.289256198347118</v>
      </c>
      <c r="H2034" t="str">
        <f>_xlfn.XLOOKUP(A2034,Fact_Events!$D$2:$D$20,Fact_Events!$A$2:$A$20, "")</f>
        <v/>
      </c>
      <c r="I2034">
        <f t="shared" si="253"/>
        <v>0</v>
      </c>
      <c r="J2034" t="str">
        <f>_xlfn.XLOOKUP(H2034, Fact_Events!$A$2:$A$20, Fact_Events!$F$2:$F$20, "")</f>
        <v/>
      </c>
      <c r="K2034" t="str">
        <f t="shared" si="254"/>
        <v>Low</v>
      </c>
      <c r="L2034">
        <f t="shared" si="255"/>
        <v>0.55000000000000004</v>
      </c>
      <c r="M2034">
        <f>_xlfn.XLOOKUP(B2034, Dim_Hotel!$A$2:$A$11, Dim_Hotel!$I$2:$I$11)
 + (IF(J2034="",0,J2034)
    * _xlfn.XLOOKUP(B2034, Dim_Hotel!$A$2:$A$11, Dim_Hotel!$J$2:$J$11))</f>
        <v>145</v>
      </c>
    </row>
    <row r="2035" spans="1:13" x14ac:dyDescent="0.25">
      <c r="A2035" s="1">
        <f t="shared" si="248"/>
        <v>46226</v>
      </c>
      <c r="B2035" t="str" cm="1">
        <f t="array" ref="B2035">INDEX(HotelList,MOD(ROW()-2,10)+1)</f>
        <v>H004</v>
      </c>
      <c r="C2035">
        <f>_xlfn.XLOOKUP(B2035,Dim_Hotel!$A$2:$A$11,Dim_Hotel!$F$2:$F$11)</f>
        <v>108</v>
      </c>
      <c r="D2035">
        <f t="shared" si="249"/>
        <v>59</v>
      </c>
      <c r="E2035">
        <f t="shared" si="250"/>
        <v>0.54629629629629628</v>
      </c>
      <c r="F2035">
        <f t="shared" si="251"/>
        <v>135</v>
      </c>
      <c r="G2035">
        <f t="shared" si="252"/>
        <v>73.75</v>
      </c>
      <c r="H2035" t="str">
        <f>_xlfn.XLOOKUP(A2035,Fact_Events!$D$2:$D$20,Fact_Events!$A$2:$A$20, "")</f>
        <v/>
      </c>
      <c r="I2035">
        <f t="shared" si="253"/>
        <v>0</v>
      </c>
      <c r="J2035" t="str">
        <f>_xlfn.XLOOKUP(H2035, Fact_Events!$A$2:$A$20, Fact_Events!$F$2:$F$20, "")</f>
        <v/>
      </c>
      <c r="K2035" t="str">
        <f t="shared" si="254"/>
        <v>Low</v>
      </c>
      <c r="L2035">
        <f t="shared" si="255"/>
        <v>0.55000000000000004</v>
      </c>
      <c r="M2035">
        <f>_xlfn.XLOOKUP(B2035, Dim_Hotel!$A$2:$A$11, Dim_Hotel!$I$2:$I$11)
 + (IF(J2035="",0,J2035)
    * _xlfn.XLOOKUP(B2035, Dim_Hotel!$A$2:$A$11, Dim_Hotel!$J$2:$J$11))</f>
        <v>135</v>
      </c>
    </row>
    <row r="2036" spans="1:13" x14ac:dyDescent="0.25">
      <c r="A2036" s="1">
        <f t="shared" si="248"/>
        <v>46226</v>
      </c>
      <c r="B2036" t="str" cm="1">
        <f t="array" ref="B2036">INDEX(HotelList,MOD(ROW()-2,10)+1)</f>
        <v>H005</v>
      </c>
      <c r="C2036">
        <f>_xlfn.XLOOKUP(B2036,Dim_Hotel!$A$2:$A$11,Dim_Hotel!$F$2:$F$11)</f>
        <v>66</v>
      </c>
      <c r="D2036">
        <f t="shared" si="249"/>
        <v>36</v>
      </c>
      <c r="E2036">
        <f t="shared" si="250"/>
        <v>0.54545454545454541</v>
      </c>
      <c r="F2036">
        <f t="shared" si="251"/>
        <v>82</v>
      </c>
      <c r="G2036">
        <f t="shared" si="252"/>
        <v>44.727272727272727</v>
      </c>
      <c r="H2036" t="str">
        <f>_xlfn.XLOOKUP(A2036,Fact_Events!$D$2:$D$20,Fact_Events!$A$2:$A$20, "")</f>
        <v/>
      </c>
      <c r="I2036">
        <f t="shared" si="253"/>
        <v>0</v>
      </c>
      <c r="J2036" t="str">
        <f>_xlfn.XLOOKUP(H2036, Fact_Events!$A$2:$A$20, Fact_Events!$F$2:$F$20, "")</f>
        <v/>
      </c>
      <c r="K2036" t="str">
        <f t="shared" si="254"/>
        <v>Low</v>
      </c>
      <c r="L2036">
        <f t="shared" si="255"/>
        <v>0.55000000000000004</v>
      </c>
      <c r="M2036">
        <f>_xlfn.XLOOKUP(B2036, Dim_Hotel!$A$2:$A$11, Dim_Hotel!$I$2:$I$11)
 + (IF(J2036="",0,J2036)
    * _xlfn.XLOOKUP(B2036, Dim_Hotel!$A$2:$A$11, Dim_Hotel!$J$2:$J$11))</f>
        <v>82</v>
      </c>
    </row>
    <row r="2037" spans="1:13" x14ac:dyDescent="0.25">
      <c r="A2037" s="1">
        <f t="shared" si="248"/>
        <v>46226</v>
      </c>
      <c r="B2037" t="str" cm="1">
        <f t="array" ref="B2037">INDEX(HotelList,MOD(ROW()-2,10)+1)</f>
        <v>H006</v>
      </c>
      <c r="C2037">
        <f>_xlfn.XLOOKUP(B2037,Dim_Hotel!$A$2:$A$11,Dim_Hotel!$F$2:$F$11)</f>
        <v>311</v>
      </c>
      <c r="D2037">
        <f t="shared" si="249"/>
        <v>171</v>
      </c>
      <c r="E2037">
        <f t="shared" si="250"/>
        <v>0.54983922829581988</v>
      </c>
      <c r="F2037">
        <f t="shared" si="251"/>
        <v>190</v>
      </c>
      <c r="G2037">
        <f t="shared" si="252"/>
        <v>104.46945337620578</v>
      </c>
      <c r="H2037" t="str">
        <f>_xlfn.XLOOKUP(A2037,Fact_Events!$D$2:$D$20,Fact_Events!$A$2:$A$20, "")</f>
        <v/>
      </c>
      <c r="I2037">
        <f t="shared" si="253"/>
        <v>0</v>
      </c>
      <c r="J2037" t="str">
        <f>_xlfn.XLOOKUP(H2037, Fact_Events!$A$2:$A$20, Fact_Events!$F$2:$F$20, "")</f>
        <v/>
      </c>
      <c r="K2037" t="str">
        <f t="shared" si="254"/>
        <v>Low</v>
      </c>
      <c r="L2037">
        <f t="shared" si="255"/>
        <v>0.55000000000000004</v>
      </c>
      <c r="M2037">
        <f>_xlfn.XLOOKUP(B2037, Dim_Hotel!$A$2:$A$11, Dim_Hotel!$I$2:$I$11)
 + (IF(J2037="",0,J2037)
    * _xlfn.XLOOKUP(B2037, Dim_Hotel!$A$2:$A$11, Dim_Hotel!$J$2:$J$11))</f>
        <v>190</v>
      </c>
    </row>
    <row r="2038" spans="1:13" x14ac:dyDescent="0.25">
      <c r="A2038" s="1">
        <f t="shared" si="248"/>
        <v>46226</v>
      </c>
      <c r="B2038" t="str" cm="1">
        <f t="array" ref="B2038">INDEX(HotelList,MOD(ROW()-2,10)+1)</f>
        <v>H007</v>
      </c>
      <c r="C2038">
        <f>_xlfn.XLOOKUP(B2038,Dim_Hotel!$A$2:$A$11,Dim_Hotel!$F$2:$F$11)</f>
        <v>132</v>
      </c>
      <c r="D2038">
        <f t="shared" si="249"/>
        <v>73</v>
      </c>
      <c r="E2038">
        <f t="shared" si="250"/>
        <v>0.55303030303030298</v>
      </c>
      <c r="F2038">
        <f t="shared" si="251"/>
        <v>165</v>
      </c>
      <c r="G2038">
        <f t="shared" si="252"/>
        <v>91.249999999999986</v>
      </c>
      <c r="H2038" t="str">
        <f>_xlfn.XLOOKUP(A2038,Fact_Events!$D$2:$D$20,Fact_Events!$A$2:$A$20, "")</f>
        <v/>
      </c>
      <c r="I2038">
        <f t="shared" si="253"/>
        <v>0</v>
      </c>
      <c r="J2038" t="str">
        <f>_xlfn.XLOOKUP(H2038, Fact_Events!$A$2:$A$20, Fact_Events!$F$2:$F$20, "")</f>
        <v/>
      </c>
      <c r="K2038" t="str">
        <f t="shared" si="254"/>
        <v>Low</v>
      </c>
      <c r="L2038">
        <f t="shared" si="255"/>
        <v>0.55000000000000004</v>
      </c>
      <c r="M2038">
        <f>_xlfn.XLOOKUP(B2038, Dim_Hotel!$A$2:$A$11, Dim_Hotel!$I$2:$I$11)
 + (IF(J2038="",0,J2038)
    * _xlfn.XLOOKUP(B2038, Dim_Hotel!$A$2:$A$11, Dim_Hotel!$J$2:$J$11))</f>
        <v>165</v>
      </c>
    </row>
    <row r="2039" spans="1:13" x14ac:dyDescent="0.25">
      <c r="A2039" s="1">
        <f t="shared" si="248"/>
        <v>46226</v>
      </c>
      <c r="B2039" t="str" cm="1">
        <f t="array" ref="B2039">INDEX(HotelList,MOD(ROW()-2,10)+1)</f>
        <v>H008</v>
      </c>
      <c r="C2039">
        <f>_xlfn.XLOOKUP(B2039,Dim_Hotel!$A$2:$A$11,Dim_Hotel!$F$2:$F$11)</f>
        <v>103</v>
      </c>
      <c r="D2039">
        <f t="shared" si="249"/>
        <v>57</v>
      </c>
      <c r="E2039">
        <f t="shared" si="250"/>
        <v>0.55339805825242716</v>
      </c>
      <c r="F2039">
        <f t="shared" si="251"/>
        <v>140</v>
      </c>
      <c r="G2039">
        <f t="shared" si="252"/>
        <v>77.475728155339809</v>
      </c>
      <c r="H2039" t="str">
        <f>_xlfn.XLOOKUP(A2039,Fact_Events!$D$2:$D$20,Fact_Events!$A$2:$A$20, "")</f>
        <v/>
      </c>
      <c r="I2039">
        <f t="shared" si="253"/>
        <v>0</v>
      </c>
      <c r="J2039" t="str">
        <f>_xlfn.XLOOKUP(H2039, Fact_Events!$A$2:$A$20, Fact_Events!$F$2:$F$20, "")</f>
        <v/>
      </c>
      <c r="K2039" t="str">
        <f t="shared" si="254"/>
        <v>Low</v>
      </c>
      <c r="L2039">
        <f t="shared" si="255"/>
        <v>0.55000000000000004</v>
      </c>
      <c r="M2039">
        <f>_xlfn.XLOOKUP(B2039, Dim_Hotel!$A$2:$A$11, Dim_Hotel!$I$2:$I$11)
 + (IF(J2039="",0,J2039)
    * _xlfn.XLOOKUP(B2039, Dim_Hotel!$A$2:$A$11, Dim_Hotel!$J$2:$J$11))</f>
        <v>140</v>
      </c>
    </row>
    <row r="2040" spans="1:13" x14ac:dyDescent="0.25">
      <c r="A2040" s="1">
        <f t="shared" si="248"/>
        <v>46226</v>
      </c>
      <c r="B2040" t="str" cm="1">
        <f t="array" ref="B2040">INDEX(HotelList,MOD(ROW()-2,10)+1)</f>
        <v>H009</v>
      </c>
      <c r="C2040">
        <f>_xlfn.XLOOKUP(B2040,Dim_Hotel!$A$2:$A$11,Dim_Hotel!$F$2:$F$11)</f>
        <v>114</v>
      </c>
      <c r="D2040">
        <f t="shared" si="249"/>
        <v>63</v>
      </c>
      <c r="E2040">
        <f t="shared" si="250"/>
        <v>0.55263157894736847</v>
      </c>
      <c r="F2040">
        <f t="shared" si="251"/>
        <v>185</v>
      </c>
      <c r="G2040">
        <f t="shared" si="252"/>
        <v>102.23684210526316</v>
      </c>
      <c r="H2040" t="str">
        <f>_xlfn.XLOOKUP(A2040,Fact_Events!$D$2:$D$20,Fact_Events!$A$2:$A$20, "")</f>
        <v/>
      </c>
      <c r="I2040">
        <f t="shared" si="253"/>
        <v>0</v>
      </c>
      <c r="J2040" t="str">
        <f>_xlfn.XLOOKUP(H2040, Fact_Events!$A$2:$A$20, Fact_Events!$F$2:$F$20, "")</f>
        <v/>
      </c>
      <c r="K2040" t="str">
        <f t="shared" si="254"/>
        <v>Low</v>
      </c>
      <c r="L2040">
        <f t="shared" si="255"/>
        <v>0.55000000000000004</v>
      </c>
      <c r="M2040">
        <f>_xlfn.XLOOKUP(B2040, Dim_Hotel!$A$2:$A$11, Dim_Hotel!$I$2:$I$11)
 + (IF(J2040="",0,J2040)
    * _xlfn.XLOOKUP(B2040, Dim_Hotel!$A$2:$A$11, Dim_Hotel!$J$2:$J$11))</f>
        <v>185</v>
      </c>
    </row>
    <row r="2041" spans="1:13" x14ac:dyDescent="0.25">
      <c r="A2041" s="1">
        <f t="shared" si="248"/>
        <v>46226</v>
      </c>
      <c r="B2041" t="str" cm="1">
        <f t="array" ref="B2041">INDEX(HotelList,MOD(ROW()-2,10)+1)</f>
        <v>H010</v>
      </c>
      <c r="C2041">
        <f>_xlfn.XLOOKUP(B2041,Dim_Hotel!$A$2:$A$11,Dim_Hotel!$F$2:$F$11)</f>
        <v>89</v>
      </c>
      <c r="D2041">
        <f t="shared" si="249"/>
        <v>49</v>
      </c>
      <c r="E2041">
        <f t="shared" si="250"/>
        <v>0.550561797752809</v>
      </c>
      <c r="F2041">
        <f t="shared" si="251"/>
        <v>150</v>
      </c>
      <c r="G2041">
        <f t="shared" si="252"/>
        <v>82.584269662921344</v>
      </c>
      <c r="H2041" t="str">
        <f>_xlfn.XLOOKUP(A2041,Fact_Events!$D$2:$D$20,Fact_Events!$A$2:$A$20, "")</f>
        <v/>
      </c>
      <c r="I2041">
        <f t="shared" si="253"/>
        <v>0</v>
      </c>
      <c r="J2041" t="str">
        <f>_xlfn.XLOOKUP(H2041, Fact_Events!$A$2:$A$20, Fact_Events!$F$2:$F$20, "")</f>
        <v/>
      </c>
      <c r="K2041" t="str">
        <f t="shared" si="254"/>
        <v>Low</v>
      </c>
      <c r="L2041">
        <f t="shared" si="255"/>
        <v>0.55000000000000004</v>
      </c>
      <c r="M2041">
        <f>_xlfn.XLOOKUP(B2041, Dim_Hotel!$A$2:$A$11, Dim_Hotel!$I$2:$I$11)
 + (IF(J2041="",0,J2041)
    * _xlfn.XLOOKUP(B2041, Dim_Hotel!$A$2:$A$11, Dim_Hotel!$J$2:$J$11))</f>
        <v>150</v>
      </c>
    </row>
    <row r="2042" spans="1:13" x14ac:dyDescent="0.25">
      <c r="A2042" s="1">
        <f t="shared" si="248"/>
        <v>46227</v>
      </c>
      <c r="B2042" t="str" cm="1">
        <f t="array" ref="B2042">INDEX(HotelList,MOD(ROW()-2,10)+1)</f>
        <v>H001</v>
      </c>
      <c r="C2042">
        <f>_xlfn.XLOOKUP(B2042,Dim_Hotel!$A$2:$A$11,Dim_Hotel!$F$2:$F$11)</f>
        <v>888</v>
      </c>
      <c r="D2042">
        <f t="shared" si="249"/>
        <v>488</v>
      </c>
      <c r="E2042">
        <f t="shared" si="250"/>
        <v>0.5495495495495496</v>
      </c>
      <c r="F2042">
        <f t="shared" si="251"/>
        <v>260</v>
      </c>
      <c r="G2042">
        <f t="shared" si="252"/>
        <v>142.88288288288288</v>
      </c>
      <c r="H2042" t="str">
        <f>_xlfn.XLOOKUP(A2042,Fact_Events!$D$2:$D$20,Fact_Events!$A$2:$A$20, "")</f>
        <v/>
      </c>
      <c r="I2042">
        <f t="shared" si="253"/>
        <v>0</v>
      </c>
      <c r="J2042" t="str">
        <f>_xlfn.XLOOKUP(H2042, Fact_Events!$A$2:$A$20, Fact_Events!$F$2:$F$20, "")</f>
        <v/>
      </c>
      <c r="K2042" t="str">
        <f t="shared" si="254"/>
        <v>Low</v>
      </c>
      <c r="L2042">
        <f t="shared" si="255"/>
        <v>0.55000000000000004</v>
      </c>
      <c r="M2042">
        <f>_xlfn.XLOOKUP(B2042, Dim_Hotel!$A$2:$A$11, Dim_Hotel!$I$2:$I$11)
 + (IF(J2042="",0,J2042)
    * _xlfn.XLOOKUP(B2042, Dim_Hotel!$A$2:$A$11, Dim_Hotel!$J$2:$J$11))</f>
        <v>260</v>
      </c>
    </row>
    <row r="2043" spans="1:13" x14ac:dyDescent="0.25">
      <c r="A2043" s="1">
        <f t="shared" si="248"/>
        <v>46227</v>
      </c>
      <c r="B2043" t="str" cm="1">
        <f t="array" ref="B2043">INDEX(HotelList,MOD(ROW()-2,10)+1)</f>
        <v>H002</v>
      </c>
      <c r="C2043">
        <f>_xlfn.XLOOKUP(B2043,Dim_Hotel!$A$2:$A$11,Dim_Hotel!$F$2:$F$11)</f>
        <v>147</v>
      </c>
      <c r="D2043">
        <f t="shared" si="249"/>
        <v>81</v>
      </c>
      <c r="E2043">
        <f t="shared" si="250"/>
        <v>0.55102040816326525</v>
      </c>
      <c r="F2043">
        <f t="shared" si="251"/>
        <v>175</v>
      </c>
      <c r="G2043">
        <f t="shared" si="252"/>
        <v>96.428571428571416</v>
      </c>
      <c r="H2043" t="str">
        <f>_xlfn.XLOOKUP(A2043,Fact_Events!$D$2:$D$20,Fact_Events!$A$2:$A$20, "")</f>
        <v/>
      </c>
      <c r="I2043">
        <f t="shared" si="253"/>
        <v>0</v>
      </c>
      <c r="J2043" t="str">
        <f>_xlfn.XLOOKUP(H2043, Fact_Events!$A$2:$A$20, Fact_Events!$F$2:$F$20, "")</f>
        <v/>
      </c>
      <c r="K2043" t="str">
        <f t="shared" si="254"/>
        <v>Low</v>
      </c>
      <c r="L2043">
        <f t="shared" si="255"/>
        <v>0.55000000000000004</v>
      </c>
      <c r="M2043">
        <f>_xlfn.XLOOKUP(B2043, Dim_Hotel!$A$2:$A$11, Dim_Hotel!$I$2:$I$11)
 + (IF(J2043="",0,J2043)
    * _xlfn.XLOOKUP(B2043, Dim_Hotel!$A$2:$A$11, Dim_Hotel!$J$2:$J$11))</f>
        <v>175</v>
      </c>
    </row>
    <row r="2044" spans="1:13" x14ac:dyDescent="0.25">
      <c r="A2044" s="1">
        <f t="shared" si="248"/>
        <v>46227</v>
      </c>
      <c r="B2044" t="str" cm="1">
        <f t="array" ref="B2044">INDEX(HotelList,MOD(ROW()-2,10)+1)</f>
        <v>H003</v>
      </c>
      <c r="C2044">
        <f>_xlfn.XLOOKUP(B2044,Dim_Hotel!$A$2:$A$11,Dim_Hotel!$F$2:$F$11)</f>
        <v>121</v>
      </c>
      <c r="D2044">
        <f t="shared" si="249"/>
        <v>67</v>
      </c>
      <c r="E2044">
        <f t="shared" si="250"/>
        <v>0.55371900826446285</v>
      </c>
      <c r="F2044">
        <f t="shared" si="251"/>
        <v>145</v>
      </c>
      <c r="G2044">
        <f t="shared" si="252"/>
        <v>80.289256198347118</v>
      </c>
      <c r="H2044" t="str">
        <f>_xlfn.XLOOKUP(A2044,Fact_Events!$D$2:$D$20,Fact_Events!$A$2:$A$20, "")</f>
        <v/>
      </c>
      <c r="I2044">
        <f t="shared" si="253"/>
        <v>0</v>
      </c>
      <c r="J2044" t="str">
        <f>_xlfn.XLOOKUP(H2044, Fact_Events!$A$2:$A$20, Fact_Events!$F$2:$F$20, "")</f>
        <v/>
      </c>
      <c r="K2044" t="str">
        <f t="shared" si="254"/>
        <v>Low</v>
      </c>
      <c r="L2044">
        <f t="shared" si="255"/>
        <v>0.55000000000000004</v>
      </c>
      <c r="M2044">
        <f>_xlfn.XLOOKUP(B2044, Dim_Hotel!$A$2:$A$11, Dim_Hotel!$I$2:$I$11)
 + (IF(J2044="",0,J2044)
    * _xlfn.XLOOKUP(B2044, Dim_Hotel!$A$2:$A$11, Dim_Hotel!$J$2:$J$11))</f>
        <v>145</v>
      </c>
    </row>
    <row r="2045" spans="1:13" x14ac:dyDescent="0.25">
      <c r="A2045" s="1">
        <f t="shared" si="248"/>
        <v>46227</v>
      </c>
      <c r="B2045" t="str" cm="1">
        <f t="array" ref="B2045">INDEX(HotelList,MOD(ROW()-2,10)+1)</f>
        <v>H004</v>
      </c>
      <c r="C2045">
        <f>_xlfn.XLOOKUP(B2045,Dim_Hotel!$A$2:$A$11,Dim_Hotel!$F$2:$F$11)</f>
        <v>108</v>
      </c>
      <c r="D2045">
        <f t="shared" si="249"/>
        <v>59</v>
      </c>
      <c r="E2045">
        <f t="shared" si="250"/>
        <v>0.54629629629629628</v>
      </c>
      <c r="F2045">
        <f t="shared" si="251"/>
        <v>135</v>
      </c>
      <c r="G2045">
        <f t="shared" si="252"/>
        <v>73.75</v>
      </c>
      <c r="H2045" t="str">
        <f>_xlfn.XLOOKUP(A2045,Fact_Events!$D$2:$D$20,Fact_Events!$A$2:$A$20, "")</f>
        <v/>
      </c>
      <c r="I2045">
        <f t="shared" si="253"/>
        <v>0</v>
      </c>
      <c r="J2045" t="str">
        <f>_xlfn.XLOOKUP(H2045, Fact_Events!$A$2:$A$20, Fact_Events!$F$2:$F$20, "")</f>
        <v/>
      </c>
      <c r="K2045" t="str">
        <f t="shared" si="254"/>
        <v>Low</v>
      </c>
      <c r="L2045">
        <f t="shared" si="255"/>
        <v>0.55000000000000004</v>
      </c>
      <c r="M2045">
        <f>_xlfn.XLOOKUP(B2045, Dim_Hotel!$A$2:$A$11, Dim_Hotel!$I$2:$I$11)
 + (IF(J2045="",0,J2045)
    * _xlfn.XLOOKUP(B2045, Dim_Hotel!$A$2:$A$11, Dim_Hotel!$J$2:$J$11))</f>
        <v>135</v>
      </c>
    </row>
    <row r="2046" spans="1:13" x14ac:dyDescent="0.25">
      <c r="A2046" s="1">
        <f t="shared" si="248"/>
        <v>46227</v>
      </c>
      <c r="B2046" t="str" cm="1">
        <f t="array" ref="B2046">INDEX(HotelList,MOD(ROW()-2,10)+1)</f>
        <v>H005</v>
      </c>
      <c r="C2046">
        <f>_xlfn.XLOOKUP(B2046,Dim_Hotel!$A$2:$A$11,Dim_Hotel!$F$2:$F$11)</f>
        <v>66</v>
      </c>
      <c r="D2046">
        <f t="shared" si="249"/>
        <v>36</v>
      </c>
      <c r="E2046">
        <f t="shared" si="250"/>
        <v>0.54545454545454541</v>
      </c>
      <c r="F2046">
        <f t="shared" si="251"/>
        <v>82</v>
      </c>
      <c r="G2046">
        <f t="shared" si="252"/>
        <v>44.727272727272727</v>
      </c>
      <c r="H2046" t="str">
        <f>_xlfn.XLOOKUP(A2046,Fact_Events!$D$2:$D$20,Fact_Events!$A$2:$A$20, "")</f>
        <v/>
      </c>
      <c r="I2046">
        <f t="shared" si="253"/>
        <v>0</v>
      </c>
      <c r="J2046" t="str">
        <f>_xlfn.XLOOKUP(H2046, Fact_Events!$A$2:$A$20, Fact_Events!$F$2:$F$20, "")</f>
        <v/>
      </c>
      <c r="K2046" t="str">
        <f t="shared" si="254"/>
        <v>Low</v>
      </c>
      <c r="L2046">
        <f t="shared" si="255"/>
        <v>0.55000000000000004</v>
      </c>
      <c r="M2046">
        <f>_xlfn.XLOOKUP(B2046, Dim_Hotel!$A$2:$A$11, Dim_Hotel!$I$2:$I$11)
 + (IF(J2046="",0,J2046)
    * _xlfn.XLOOKUP(B2046, Dim_Hotel!$A$2:$A$11, Dim_Hotel!$J$2:$J$11))</f>
        <v>82</v>
      </c>
    </row>
    <row r="2047" spans="1:13" x14ac:dyDescent="0.25">
      <c r="A2047" s="1">
        <f t="shared" si="248"/>
        <v>46227</v>
      </c>
      <c r="B2047" t="str" cm="1">
        <f t="array" ref="B2047">INDEX(HotelList,MOD(ROW()-2,10)+1)</f>
        <v>H006</v>
      </c>
      <c r="C2047">
        <f>_xlfn.XLOOKUP(B2047,Dim_Hotel!$A$2:$A$11,Dim_Hotel!$F$2:$F$11)</f>
        <v>311</v>
      </c>
      <c r="D2047">
        <f t="shared" si="249"/>
        <v>171</v>
      </c>
      <c r="E2047">
        <f t="shared" si="250"/>
        <v>0.54983922829581988</v>
      </c>
      <c r="F2047">
        <f t="shared" si="251"/>
        <v>190</v>
      </c>
      <c r="G2047">
        <f t="shared" si="252"/>
        <v>104.46945337620578</v>
      </c>
      <c r="H2047" t="str">
        <f>_xlfn.XLOOKUP(A2047,Fact_Events!$D$2:$D$20,Fact_Events!$A$2:$A$20, "")</f>
        <v/>
      </c>
      <c r="I2047">
        <f t="shared" si="253"/>
        <v>0</v>
      </c>
      <c r="J2047" t="str">
        <f>_xlfn.XLOOKUP(H2047, Fact_Events!$A$2:$A$20, Fact_Events!$F$2:$F$20, "")</f>
        <v/>
      </c>
      <c r="K2047" t="str">
        <f t="shared" si="254"/>
        <v>Low</v>
      </c>
      <c r="L2047">
        <f t="shared" si="255"/>
        <v>0.55000000000000004</v>
      </c>
      <c r="M2047">
        <f>_xlfn.XLOOKUP(B2047, Dim_Hotel!$A$2:$A$11, Dim_Hotel!$I$2:$I$11)
 + (IF(J2047="",0,J2047)
    * _xlfn.XLOOKUP(B2047, Dim_Hotel!$A$2:$A$11, Dim_Hotel!$J$2:$J$11))</f>
        <v>190</v>
      </c>
    </row>
    <row r="2048" spans="1:13" x14ac:dyDescent="0.25">
      <c r="A2048" s="1">
        <f t="shared" si="248"/>
        <v>46227</v>
      </c>
      <c r="B2048" t="str" cm="1">
        <f t="array" ref="B2048">INDEX(HotelList,MOD(ROW()-2,10)+1)</f>
        <v>H007</v>
      </c>
      <c r="C2048">
        <f>_xlfn.XLOOKUP(B2048,Dim_Hotel!$A$2:$A$11,Dim_Hotel!$F$2:$F$11)</f>
        <v>132</v>
      </c>
      <c r="D2048">
        <f t="shared" si="249"/>
        <v>73</v>
      </c>
      <c r="E2048">
        <f t="shared" si="250"/>
        <v>0.55303030303030298</v>
      </c>
      <c r="F2048">
        <f t="shared" si="251"/>
        <v>165</v>
      </c>
      <c r="G2048">
        <f t="shared" si="252"/>
        <v>91.249999999999986</v>
      </c>
      <c r="H2048" t="str">
        <f>_xlfn.XLOOKUP(A2048,Fact_Events!$D$2:$D$20,Fact_Events!$A$2:$A$20, "")</f>
        <v/>
      </c>
      <c r="I2048">
        <f t="shared" si="253"/>
        <v>0</v>
      </c>
      <c r="J2048" t="str">
        <f>_xlfn.XLOOKUP(H2048, Fact_Events!$A$2:$A$20, Fact_Events!$F$2:$F$20, "")</f>
        <v/>
      </c>
      <c r="K2048" t="str">
        <f t="shared" si="254"/>
        <v>Low</v>
      </c>
      <c r="L2048">
        <f t="shared" si="255"/>
        <v>0.55000000000000004</v>
      </c>
      <c r="M2048">
        <f>_xlfn.XLOOKUP(B2048, Dim_Hotel!$A$2:$A$11, Dim_Hotel!$I$2:$I$11)
 + (IF(J2048="",0,J2048)
    * _xlfn.XLOOKUP(B2048, Dim_Hotel!$A$2:$A$11, Dim_Hotel!$J$2:$J$11))</f>
        <v>165</v>
      </c>
    </row>
    <row r="2049" spans="1:13" x14ac:dyDescent="0.25">
      <c r="A2049" s="1">
        <f t="shared" si="248"/>
        <v>46227</v>
      </c>
      <c r="B2049" t="str" cm="1">
        <f t="array" ref="B2049">INDEX(HotelList,MOD(ROW()-2,10)+1)</f>
        <v>H008</v>
      </c>
      <c r="C2049">
        <f>_xlfn.XLOOKUP(B2049,Dim_Hotel!$A$2:$A$11,Dim_Hotel!$F$2:$F$11)</f>
        <v>103</v>
      </c>
      <c r="D2049">
        <f t="shared" si="249"/>
        <v>57</v>
      </c>
      <c r="E2049">
        <f t="shared" si="250"/>
        <v>0.55339805825242716</v>
      </c>
      <c r="F2049">
        <f t="shared" si="251"/>
        <v>140</v>
      </c>
      <c r="G2049">
        <f t="shared" si="252"/>
        <v>77.475728155339809</v>
      </c>
      <c r="H2049" t="str">
        <f>_xlfn.XLOOKUP(A2049,Fact_Events!$D$2:$D$20,Fact_Events!$A$2:$A$20, "")</f>
        <v/>
      </c>
      <c r="I2049">
        <f t="shared" si="253"/>
        <v>0</v>
      </c>
      <c r="J2049" t="str">
        <f>_xlfn.XLOOKUP(H2049, Fact_Events!$A$2:$A$20, Fact_Events!$F$2:$F$20, "")</f>
        <v/>
      </c>
      <c r="K2049" t="str">
        <f t="shared" si="254"/>
        <v>Low</v>
      </c>
      <c r="L2049">
        <f t="shared" si="255"/>
        <v>0.55000000000000004</v>
      </c>
      <c r="M2049">
        <f>_xlfn.XLOOKUP(B2049, Dim_Hotel!$A$2:$A$11, Dim_Hotel!$I$2:$I$11)
 + (IF(J2049="",0,J2049)
    * _xlfn.XLOOKUP(B2049, Dim_Hotel!$A$2:$A$11, Dim_Hotel!$J$2:$J$11))</f>
        <v>140</v>
      </c>
    </row>
    <row r="2050" spans="1:13" x14ac:dyDescent="0.25">
      <c r="A2050" s="1">
        <f t="shared" si="248"/>
        <v>46227</v>
      </c>
      <c r="B2050" t="str" cm="1">
        <f t="array" ref="B2050">INDEX(HotelList,MOD(ROW()-2,10)+1)</f>
        <v>H009</v>
      </c>
      <c r="C2050">
        <f>_xlfn.XLOOKUP(B2050,Dim_Hotel!$A$2:$A$11,Dim_Hotel!$F$2:$F$11)</f>
        <v>114</v>
      </c>
      <c r="D2050">
        <f t="shared" si="249"/>
        <v>63</v>
      </c>
      <c r="E2050">
        <f t="shared" si="250"/>
        <v>0.55263157894736847</v>
      </c>
      <c r="F2050">
        <f t="shared" si="251"/>
        <v>185</v>
      </c>
      <c r="G2050">
        <f t="shared" si="252"/>
        <v>102.23684210526316</v>
      </c>
      <c r="H2050" t="str">
        <f>_xlfn.XLOOKUP(A2050,Fact_Events!$D$2:$D$20,Fact_Events!$A$2:$A$20, "")</f>
        <v/>
      </c>
      <c r="I2050">
        <f t="shared" si="253"/>
        <v>0</v>
      </c>
      <c r="J2050" t="str">
        <f>_xlfn.XLOOKUP(H2050, Fact_Events!$A$2:$A$20, Fact_Events!$F$2:$F$20, "")</f>
        <v/>
      </c>
      <c r="K2050" t="str">
        <f t="shared" si="254"/>
        <v>Low</v>
      </c>
      <c r="L2050">
        <f t="shared" si="255"/>
        <v>0.55000000000000004</v>
      </c>
      <c r="M2050">
        <f>_xlfn.XLOOKUP(B2050, Dim_Hotel!$A$2:$A$11, Dim_Hotel!$I$2:$I$11)
 + (IF(J2050="",0,J2050)
    * _xlfn.XLOOKUP(B2050, Dim_Hotel!$A$2:$A$11, Dim_Hotel!$J$2:$J$11))</f>
        <v>185</v>
      </c>
    </row>
    <row r="2051" spans="1:13" x14ac:dyDescent="0.25">
      <c r="A2051" s="1">
        <f t="shared" ref="A2051:A2114" si="256">DATE(2026,1,1) + INT((ROW()-2)/10)</f>
        <v>46227</v>
      </c>
      <c r="B2051" t="str" cm="1">
        <f t="array" ref="B2051">INDEX(HotelList,MOD(ROW()-2,10)+1)</f>
        <v>H010</v>
      </c>
      <c r="C2051">
        <f>_xlfn.XLOOKUP(B2051,Dim_Hotel!$A$2:$A$11,Dim_Hotel!$F$2:$F$11)</f>
        <v>89</v>
      </c>
      <c r="D2051">
        <f t="shared" ref="D2051:D2114" si="257">ROUND(L2051 * C2051, 0)</f>
        <v>49</v>
      </c>
      <c r="E2051">
        <f t="shared" ref="E2051:E2114" si="258">D2051/C2051</f>
        <v>0.550561797752809</v>
      </c>
      <c r="F2051">
        <f t="shared" ref="F2051:F2114" si="259">M2051</f>
        <v>150</v>
      </c>
      <c r="G2051">
        <f t="shared" ref="G2051:G2114" si="260">E2051*F2051</f>
        <v>82.584269662921344</v>
      </c>
      <c r="H2051" t="str">
        <f>_xlfn.XLOOKUP(A2051,Fact_Events!$D$2:$D$20,Fact_Events!$A$2:$A$20, "")</f>
        <v/>
      </c>
      <c r="I2051">
        <f t="shared" ref="I2051:I2114" si="261">IF(H2051="",0,1)</f>
        <v>0</v>
      </c>
      <c r="J2051" t="str">
        <f>_xlfn.XLOOKUP(H2051, Fact_Events!$A$2:$A$20, Fact_Events!$F$2:$F$20, "")</f>
        <v/>
      </c>
      <c r="K2051" t="str">
        <f t="shared" ref="K2051:K2114" si="262">IF(I2051=0,"Low",
   IF(J2051&gt;=9,"High","Medium"))</f>
        <v>Low</v>
      </c>
      <c r="L2051">
        <f t="shared" ref="L2051:L2114" si="263">MIN(1,
  0.55
  + (I2051 * 0.25)
  + (IF(J2051="",0,J2051) / 100)
)</f>
        <v>0.55000000000000004</v>
      </c>
      <c r="M2051">
        <f>_xlfn.XLOOKUP(B2051, Dim_Hotel!$A$2:$A$11, Dim_Hotel!$I$2:$I$11)
 + (IF(J2051="",0,J2051)
    * _xlfn.XLOOKUP(B2051, Dim_Hotel!$A$2:$A$11, Dim_Hotel!$J$2:$J$11))</f>
        <v>150</v>
      </c>
    </row>
    <row r="2052" spans="1:13" x14ac:dyDescent="0.25">
      <c r="A2052" s="1">
        <f t="shared" si="256"/>
        <v>46228</v>
      </c>
      <c r="B2052" t="str" cm="1">
        <f t="array" ref="B2052">INDEX(HotelList,MOD(ROW()-2,10)+1)</f>
        <v>H001</v>
      </c>
      <c r="C2052">
        <f>_xlfn.XLOOKUP(B2052,Dim_Hotel!$A$2:$A$11,Dim_Hotel!$F$2:$F$11)</f>
        <v>888</v>
      </c>
      <c r="D2052">
        <f t="shared" si="257"/>
        <v>488</v>
      </c>
      <c r="E2052">
        <f t="shared" si="258"/>
        <v>0.5495495495495496</v>
      </c>
      <c r="F2052">
        <f t="shared" si="259"/>
        <v>260</v>
      </c>
      <c r="G2052">
        <f t="shared" si="260"/>
        <v>142.88288288288288</v>
      </c>
      <c r="H2052" t="str">
        <f>_xlfn.XLOOKUP(A2052,Fact_Events!$D$2:$D$20,Fact_Events!$A$2:$A$20, "")</f>
        <v/>
      </c>
      <c r="I2052">
        <f t="shared" si="261"/>
        <v>0</v>
      </c>
      <c r="J2052" t="str">
        <f>_xlfn.XLOOKUP(H2052, Fact_Events!$A$2:$A$20, Fact_Events!$F$2:$F$20, "")</f>
        <v/>
      </c>
      <c r="K2052" t="str">
        <f t="shared" si="262"/>
        <v>Low</v>
      </c>
      <c r="L2052">
        <f t="shared" si="263"/>
        <v>0.55000000000000004</v>
      </c>
      <c r="M2052">
        <f>_xlfn.XLOOKUP(B2052, Dim_Hotel!$A$2:$A$11, Dim_Hotel!$I$2:$I$11)
 + (IF(J2052="",0,J2052)
    * _xlfn.XLOOKUP(B2052, Dim_Hotel!$A$2:$A$11, Dim_Hotel!$J$2:$J$11))</f>
        <v>260</v>
      </c>
    </row>
    <row r="2053" spans="1:13" x14ac:dyDescent="0.25">
      <c r="A2053" s="1">
        <f t="shared" si="256"/>
        <v>46228</v>
      </c>
      <c r="B2053" t="str" cm="1">
        <f t="array" ref="B2053">INDEX(HotelList,MOD(ROW()-2,10)+1)</f>
        <v>H002</v>
      </c>
      <c r="C2053">
        <f>_xlfn.XLOOKUP(B2053,Dim_Hotel!$A$2:$A$11,Dim_Hotel!$F$2:$F$11)</f>
        <v>147</v>
      </c>
      <c r="D2053">
        <f t="shared" si="257"/>
        <v>81</v>
      </c>
      <c r="E2053">
        <f t="shared" si="258"/>
        <v>0.55102040816326525</v>
      </c>
      <c r="F2053">
        <f t="shared" si="259"/>
        <v>175</v>
      </c>
      <c r="G2053">
        <f t="shared" si="260"/>
        <v>96.428571428571416</v>
      </c>
      <c r="H2053" t="str">
        <f>_xlfn.XLOOKUP(A2053,Fact_Events!$D$2:$D$20,Fact_Events!$A$2:$A$20, "")</f>
        <v/>
      </c>
      <c r="I2053">
        <f t="shared" si="261"/>
        <v>0</v>
      </c>
      <c r="J2053" t="str">
        <f>_xlfn.XLOOKUP(H2053, Fact_Events!$A$2:$A$20, Fact_Events!$F$2:$F$20, "")</f>
        <v/>
      </c>
      <c r="K2053" t="str">
        <f t="shared" si="262"/>
        <v>Low</v>
      </c>
      <c r="L2053">
        <f t="shared" si="263"/>
        <v>0.55000000000000004</v>
      </c>
      <c r="M2053">
        <f>_xlfn.XLOOKUP(B2053, Dim_Hotel!$A$2:$A$11, Dim_Hotel!$I$2:$I$11)
 + (IF(J2053="",0,J2053)
    * _xlfn.XLOOKUP(B2053, Dim_Hotel!$A$2:$A$11, Dim_Hotel!$J$2:$J$11))</f>
        <v>175</v>
      </c>
    </row>
    <row r="2054" spans="1:13" x14ac:dyDescent="0.25">
      <c r="A2054" s="1">
        <f t="shared" si="256"/>
        <v>46228</v>
      </c>
      <c r="B2054" t="str" cm="1">
        <f t="array" ref="B2054">INDEX(HotelList,MOD(ROW()-2,10)+1)</f>
        <v>H003</v>
      </c>
      <c r="C2054">
        <f>_xlfn.XLOOKUP(B2054,Dim_Hotel!$A$2:$A$11,Dim_Hotel!$F$2:$F$11)</f>
        <v>121</v>
      </c>
      <c r="D2054">
        <f t="shared" si="257"/>
        <v>67</v>
      </c>
      <c r="E2054">
        <f t="shared" si="258"/>
        <v>0.55371900826446285</v>
      </c>
      <c r="F2054">
        <f t="shared" si="259"/>
        <v>145</v>
      </c>
      <c r="G2054">
        <f t="shared" si="260"/>
        <v>80.289256198347118</v>
      </c>
      <c r="H2054" t="str">
        <f>_xlfn.XLOOKUP(A2054,Fact_Events!$D$2:$D$20,Fact_Events!$A$2:$A$20, "")</f>
        <v/>
      </c>
      <c r="I2054">
        <f t="shared" si="261"/>
        <v>0</v>
      </c>
      <c r="J2054" t="str">
        <f>_xlfn.XLOOKUP(H2054, Fact_Events!$A$2:$A$20, Fact_Events!$F$2:$F$20, "")</f>
        <v/>
      </c>
      <c r="K2054" t="str">
        <f t="shared" si="262"/>
        <v>Low</v>
      </c>
      <c r="L2054">
        <f t="shared" si="263"/>
        <v>0.55000000000000004</v>
      </c>
      <c r="M2054">
        <f>_xlfn.XLOOKUP(B2054, Dim_Hotel!$A$2:$A$11, Dim_Hotel!$I$2:$I$11)
 + (IF(J2054="",0,J2054)
    * _xlfn.XLOOKUP(B2054, Dim_Hotel!$A$2:$A$11, Dim_Hotel!$J$2:$J$11))</f>
        <v>145</v>
      </c>
    </row>
    <row r="2055" spans="1:13" x14ac:dyDescent="0.25">
      <c r="A2055" s="1">
        <f t="shared" si="256"/>
        <v>46228</v>
      </c>
      <c r="B2055" t="str" cm="1">
        <f t="array" ref="B2055">INDEX(HotelList,MOD(ROW()-2,10)+1)</f>
        <v>H004</v>
      </c>
      <c r="C2055">
        <f>_xlfn.XLOOKUP(B2055,Dim_Hotel!$A$2:$A$11,Dim_Hotel!$F$2:$F$11)</f>
        <v>108</v>
      </c>
      <c r="D2055">
        <f t="shared" si="257"/>
        <v>59</v>
      </c>
      <c r="E2055">
        <f t="shared" si="258"/>
        <v>0.54629629629629628</v>
      </c>
      <c r="F2055">
        <f t="shared" si="259"/>
        <v>135</v>
      </c>
      <c r="G2055">
        <f t="shared" si="260"/>
        <v>73.75</v>
      </c>
      <c r="H2055" t="str">
        <f>_xlfn.XLOOKUP(A2055,Fact_Events!$D$2:$D$20,Fact_Events!$A$2:$A$20, "")</f>
        <v/>
      </c>
      <c r="I2055">
        <f t="shared" si="261"/>
        <v>0</v>
      </c>
      <c r="J2055" t="str">
        <f>_xlfn.XLOOKUP(H2055, Fact_Events!$A$2:$A$20, Fact_Events!$F$2:$F$20, "")</f>
        <v/>
      </c>
      <c r="K2055" t="str">
        <f t="shared" si="262"/>
        <v>Low</v>
      </c>
      <c r="L2055">
        <f t="shared" si="263"/>
        <v>0.55000000000000004</v>
      </c>
      <c r="M2055">
        <f>_xlfn.XLOOKUP(B2055, Dim_Hotel!$A$2:$A$11, Dim_Hotel!$I$2:$I$11)
 + (IF(J2055="",0,J2055)
    * _xlfn.XLOOKUP(B2055, Dim_Hotel!$A$2:$A$11, Dim_Hotel!$J$2:$J$11))</f>
        <v>135</v>
      </c>
    </row>
    <row r="2056" spans="1:13" x14ac:dyDescent="0.25">
      <c r="A2056" s="1">
        <f t="shared" si="256"/>
        <v>46228</v>
      </c>
      <c r="B2056" t="str" cm="1">
        <f t="array" ref="B2056">INDEX(HotelList,MOD(ROW()-2,10)+1)</f>
        <v>H005</v>
      </c>
      <c r="C2056">
        <f>_xlfn.XLOOKUP(B2056,Dim_Hotel!$A$2:$A$11,Dim_Hotel!$F$2:$F$11)</f>
        <v>66</v>
      </c>
      <c r="D2056">
        <f t="shared" si="257"/>
        <v>36</v>
      </c>
      <c r="E2056">
        <f t="shared" si="258"/>
        <v>0.54545454545454541</v>
      </c>
      <c r="F2056">
        <f t="shared" si="259"/>
        <v>82</v>
      </c>
      <c r="G2056">
        <f t="shared" si="260"/>
        <v>44.727272727272727</v>
      </c>
      <c r="H2056" t="str">
        <f>_xlfn.XLOOKUP(A2056,Fact_Events!$D$2:$D$20,Fact_Events!$A$2:$A$20, "")</f>
        <v/>
      </c>
      <c r="I2056">
        <f t="shared" si="261"/>
        <v>0</v>
      </c>
      <c r="J2056" t="str">
        <f>_xlfn.XLOOKUP(H2056, Fact_Events!$A$2:$A$20, Fact_Events!$F$2:$F$20, "")</f>
        <v/>
      </c>
      <c r="K2056" t="str">
        <f t="shared" si="262"/>
        <v>Low</v>
      </c>
      <c r="L2056">
        <f t="shared" si="263"/>
        <v>0.55000000000000004</v>
      </c>
      <c r="M2056">
        <f>_xlfn.XLOOKUP(B2056, Dim_Hotel!$A$2:$A$11, Dim_Hotel!$I$2:$I$11)
 + (IF(J2056="",0,J2056)
    * _xlfn.XLOOKUP(B2056, Dim_Hotel!$A$2:$A$11, Dim_Hotel!$J$2:$J$11))</f>
        <v>82</v>
      </c>
    </row>
    <row r="2057" spans="1:13" x14ac:dyDescent="0.25">
      <c r="A2057" s="1">
        <f t="shared" si="256"/>
        <v>46228</v>
      </c>
      <c r="B2057" t="str" cm="1">
        <f t="array" ref="B2057">INDEX(HotelList,MOD(ROW()-2,10)+1)</f>
        <v>H006</v>
      </c>
      <c r="C2057">
        <f>_xlfn.XLOOKUP(B2057,Dim_Hotel!$A$2:$A$11,Dim_Hotel!$F$2:$F$11)</f>
        <v>311</v>
      </c>
      <c r="D2057">
        <f t="shared" si="257"/>
        <v>171</v>
      </c>
      <c r="E2057">
        <f t="shared" si="258"/>
        <v>0.54983922829581988</v>
      </c>
      <c r="F2057">
        <f t="shared" si="259"/>
        <v>190</v>
      </c>
      <c r="G2057">
        <f t="shared" si="260"/>
        <v>104.46945337620578</v>
      </c>
      <c r="H2057" t="str">
        <f>_xlfn.XLOOKUP(A2057,Fact_Events!$D$2:$D$20,Fact_Events!$A$2:$A$20, "")</f>
        <v/>
      </c>
      <c r="I2057">
        <f t="shared" si="261"/>
        <v>0</v>
      </c>
      <c r="J2057" t="str">
        <f>_xlfn.XLOOKUP(H2057, Fact_Events!$A$2:$A$20, Fact_Events!$F$2:$F$20, "")</f>
        <v/>
      </c>
      <c r="K2057" t="str">
        <f t="shared" si="262"/>
        <v>Low</v>
      </c>
      <c r="L2057">
        <f t="shared" si="263"/>
        <v>0.55000000000000004</v>
      </c>
      <c r="M2057">
        <f>_xlfn.XLOOKUP(B2057, Dim_Hotel!$A$2:$A$11, Dim_Hotel!$I$2:$I$11)
 + (IF(J2057="",0,J2057)
    * _xlfn.XLOOKUP(B2057, Dim_Hotel!$A$2:$A$11, Dim_Hotel!$J$2:$J$11))</f>
        <v>190</v>
      </c>
    </row>
    <row r="2058" spans="1:13" x14ac:dyDescent="0.25">
      <c r="A2058" s="1">
        <f t="shared" si="256"/>
        <v>46228</v>
      </c>
      <c r="B2058" t="str" cm="1">
        <f t="array" ref="B2058">INDEX(HotelList,MOD(ROW()-2,10)+1)</f>
        <v>H007</v>
      </c>
      <c r="C2058">
        <f>_xlfn.XLOOKUP(B2058,Dim_Hotel!$A$2:$A$11,Dim_Hotel!$F$2:$F$11)</f>
        <v>132</v>
      </c>
      <c r="D2058">
        <f t="shared" si="257"/>
        <v>73</v>
      </c>
      <c r="E2058">
        <f t="shared" si="258"/>
        <v>0.55303030303030298</v>
      </c>
      <c r="F2058">
        <f t="shared" si="259"/>
        <v>165</v>
      </c>
      <c r="G2058">
        <f t="shared" si="260"/>
        <v>91.249999999999986</v>
      </c>
      <c r="H2058" t="str">
        <f>_xlfn.XLOOKUP(A2058,Fact_Events!$D$2:$D$20,Fact_Events!$A$2:$A$20, "")</f>
        <v/>
      </c>
      <c r="I2058">
        <f t="shared" si="261"/>
        <v>0</v>
      </c>
      <c r="J2058" t="str">
        <f>_xlfn.XLOOKUP(H2058, Fact_Events!$A$2:$A$20, Fact_Events!$F$2:$F$20, "")</f>
        <v/>
      </c>
      <c r="K2058" t="str">
        <f t="shared" si="262"/>
        <v>Low</v>
      </c>
      <c r="L2058">
        <f t="shared" si="263"/>
        <v>0.55000000000000004</v>
      </c>
      <c r="M2058">
        <f>_xlfn.XLOOKUP(B2058, Dim_Hotel!$A$2:$A$11, Dim_Hotel!$I$2:$I$11)
 + (IF(J2058="",0,J2058)
    * _xlfn.XLOOKUP(B2058, Dim_Hotel!$A$2:$A$11, Dim_Hotel!$J$2:$J$11))</f>
        <v>165</v>
      </c>
    </row>
    <row r="2059" spans="1:13" x14ac:dyDescent="0.25">
      <c r="A2059" s="1">
        <f t="shared" si="256"/>
        <v>46228</v>
      </c>
      <c r="B2059" t="str" cm="1">
        <f t="array" ref="B2059">INDEX(HotelList,MOD(ROW()-2,10)+1)</f>
        <v>H008</v>
      </c>
      <c r="C2059">
        <f>_xlfn.XLOOKUP(B2059,Dim_Hotel!$A$2:$A$11,Dim_Hotel!$F$2:$F$11)</f>
        <v>103</v>
      </c>
      <c r="D2059">
        <f t="shared" si="257"/>
        <v>57</v>
      </c>
      <c r="E2059">
        <f t="shared" si="258"/>
        <v>0.55339805825242716</v>
      </c>
      <c r="F2059">
        <f t="shared" si="259"/>
        <v>140</v>
      </c>
      <c r="G2059">
        <f t="shared" si="260"/>
        <v>77.475728155339809</v>
      </c>
      <c r="H2059" t="str">
        <f>_xlfn.XLOOKUP(A2059,Fact_Events!$D$2:$D$20,Fact_Events!$A$2:$A$20, "")</f>
        <v/>
      </c>
      <c r="I2059">
        <f t="shared" si="261"/>
        <v>0</v>
      </c>
      <c r="J2059" t="str">
        <f>_xlfn.XLOOKUP(H2059, Fact_Events!$A$2:$A$20, Fact_Events!$F$2:$F$20, "")</f>
        <v/>
      </c>
      <c r="K2059" t="str">
        <f t="shared" si="262"/>
        <v>Low</v>
      </c>
      <c r="L2059">
        <f t="shared" si="263"/>
        <v>0.55000000000000004</v>
      </c>
      <c r="M2059">
        <f>_xlfn.XLOOKUP(B2059, Dim_Hotel!$A$2:$A$11, Dim_Hotel!$I$2:$I$11)
 + (IF(J2059="",0,J2059)
    * _xlfn.XLOOKUP(B2059, Dim_Hotel!$A$2:$A$11, Dim_Hotel!$J$2:$J$11))</f>
        <v>140</v>
      </c>
    </row>
    <row r="2060" spans="1:13" x14ac:dyDescent="0.25">
      <c r="A2060" s="1">
        <f t="shared" si="256"/>
        <v>46228</v>
      </c>
      <c r="B2060" t="str" cm="1">
        <f t="array" ref="B2060">INDEX(HotelList,MOD(ROW()-2,10)+1)</f>
        <v>H009</v>
      </c>
      <c r="C2060">
        <f>_xlfn.XLOOKUP(B2060,Dim_Hotel!$A$2:$A$11,Dim_Hotel!$F$2:$F$11)</f>
        <v>114</v>
      </c>
      <c r="D2060">
        <f t="shared" si="257"/>
        <v>63</v>
      </c>
      <c r="E2060">
        <f t="shared" si="258"/>
        <v>0.55263157894736847</v>
      </c>
      <c r="F2060">
        <f t="shared" si="259"/>
        <v>185</v>
      </c>
      <c r="G2060">
        <f t="shared" si="260"/>
        <v>102.23684210526316</v>
      </c>
      <c r="H2060" t="str">
        <f>_xlfn.XLOOKUP(A2060,Fact_Events!$D$2:$D$20,Fact_Events!$A$2:$A$20, "")</f>
        <v/>
      </c>
      <c r="I2060">
        <f t="shared" si="261"/>
        <v>0</v>
      </c>
      <c r="J2060" t="str">
        <f>_xlfn.XLOOKUP(H2060, Fact_Events!$A$2:$A$20, Fact_Events!$F$2:$F$20, "")</f>
        <v/>
      </c>
      <c r="K2060" t="str">
        <f t="shared" si="262"/>
        <v>Low</v>
      </c>
      <c r="L2060">
        <f t="shared" si="263"/>
        <v>0.55000000000000004</v>
      </c>
      <c r="M2060">
        <f>_xlfn.XLOOKUP(B2060, Dim_Hotel!$A$2:$A$11, Dim_Hotel!$I$2:$I$11)
 + (IF(J2060="",0,J2060)
    * _xlfn.XLOOKUP(B2060, Dim_Hotel!$A$2:$A$11, Dim_Hotel!$J$2:$J$11))</f>
        <v>185</v>
      </c>
    </row>
    <row r="2061" spans="1:13" x14ac:dyDescent="0.25">
      <c r="A2061" s="1">
        <f t="shared" si="256"/>
        <v>46228</v>
      </c>
      <c r="B2061" t="str" cm="1">
        <f t="array" ref="B2061">INDEX(HotelList,MOD(ROW()-2,10)+1)</f>
        <v>H010</v>
      </c>
      <c r="C2061">
        <f>_xlfn.XLOOKUP(B2061,Dim_Hotel!$A$2:$A$11,Dim_Hotel!$F$2:$F$11)</f>
        <v>89</v>
      </c>
      <c r="D2061">
        <f t="shared" si="257"/>
        <v>49</v>
      </c>
      <c r="E2061">
        <f t="shared" si="258"/>
        <v>0.550561797752809</v>
      </c>
      <c r="F2061">
        <f t="shared" si="259"/>
        <v>150</v>
      </c>
      <c r="G2061">
        <f t="shared" si="260"/>
        <v>82.584269662921344</v>
      </c>
      <c r="H2061" t="str">
        <f>_xlfn.XLOOKUP(A2061,Fact_Events!$D$2:$D$20,Fact_Events!$A$2:$A$20, "")</f>
        <v/>
      </c>
      <c r="I2061">
        <f t="shared" si="261"/>
        <v>0</v>
      </c>
      <c r="J2061" t="str">
        <f>_xlfn.XLOOKUP(H2061, Fact_Events!$A$2:$A$20, Fact_Events!$F$2:$F$20, "")</f>
        <v/>
      </c>
      <c r="K2061" t="str">
        <f t="shared" si="262"/>
        <v>Low</v>
      </c>
      <c r="L2061">
        <f t="shared" si="263"/>
        <v>0.55000000000000004</v>
      </c>
      <c r="M2061">
        <f>_xlfn.XLOOKUP(B2061, Dim_Hotel!$A$2:$A$11, Dim_Hotel!$I$2:$I$11)
 + (IF(J2061="",0,J2061)
    * _xlfn.XLOOKUP(B2061, Dim_Hotel!$A$2:$A$11, Dim_Hotel!$J$2:$J$11))</f>
        <v>150</v>
      </c>
    </row>
    <row r="2062" spans="1:13" x14ac:dyDescent="0.25">
      <c r="A2062" s="1">
        <f t="shared" si="256"/>
        <v>46229</v>
      </c>
      <c r="B2062" t="str" cm="1">
        <f t="array" ref="B2062">INDEX(HotelList,MOD(ROW()-2,10)+1)</f>
        <v>H001</v>
      </c>
      <c r="C2062">
        <f>_xlfn.XLOOKUP(B2062,Dim_Hotel!$A$2:$A$11,Dim_Hotel!$F$2:$F$11)</f>
        <v>888</v>
      </c>
      <c r="D2062">
        <f t="shared" si="257"/>
        <v>488</v>
      </c>
      <c r="E2062">
        <f t="shared" si="258"/>
        <v>0.5495495495495496</v>
      </c>
      <c r="F2062">
        <f t="shared" si="259"/>
        <v>260</v>
      </c>
      <c r="G2062">
        <f t="shared" si="260"/>
        <v>142.88288288288288</v>
      </c>
      <c r="H2062" t="str">
        <f>_xlfn.XLOOKUP(A2062,Fact_Events!$D$2:$D$20,Fact_Events!$A$2:$A$20, "")</f>
        <v/>
      </c>
      <c r="I2062">
        <f t="shared" si="261"/>
        <v>0</v>
      </c>
      <c r="J2062" t="str">
        <f>_xlfn.XLOOKUP(H2062, Fact_Events!$A$2:$A$20, Fact_Events!$F$2:$F$20, "")</f>
        <v/>
      </c>
      <c r="K2062" t="str">
        <f t="shared" si="262"/>
        <v>Low</v>
      </c>
      <c r="L2062">
        <f t="shared" si="263"/>
        <v>0.55000000000000004</v>
      </c>
      <c r="M2062">
        <f>_xlfn.XLOOKUP(B2062, Dim_Hotel!$A$2:$A$11, Dim_Hotel!$I$2:$I$11)
 + (IF(J2062="",0,J2062)
    * _xlfn.XLOOKUP(B2062, Dim_Hotel!$A$2:$A$11, Dim_Hotel!$J$2:$J$11))</f>
        <v>260</v>
      </c>
    </row>
    <row r="2063" spans="1:13" x14ac:dyDescent="0.25">
      <c r="A2063" s="1">
        <f t="shared" si="256"/>
        <v>46229</v>
      </c>
      <c r="B2063" t="str" cm="1">
        <f t="array" ref="B2063">INDEX(HotelList,MOD(ROW()-2,10)+1)</f>
        <v>H002</v>
      </c>
      <c r="C2063">
        <f>_xlfn.XLOOKUP(B2063,Dim_Hotel!$A$2:$A$11,Dim_Hotel!$F$2:$F$11)</f>
        <v>147</v>
      </c>
      <c r="D2063">
        <f t="shared" si="257"/>
        <v>81</v>
      </c>
      <c r="E2063">
        <f t="shared" si="258"/>
        <v>0.55102040816326525</v>
      </c>
      <c r="F2063">
        <f t="shared" si="259"/>
        <v>175</v>
      </c>
      <c r="G2063">
        <f t="shared" si="260"/>
        <v>96.428571428571416</v>
      </c>
      <c r="H2063" t="str">
        <f>_xlfn.XLOOKUP(A2063,Fact_Events!$D$2:$D$20,Fact_Events!$A$2:$A$20, "")</f>
        <v/>
      </c>
      <c r="I2063">
        <f t="shared" si="261"/>
        <v>0</v>
      </c>
      <c r="J2063" t="str">
        <f>_xlfn.XLOOKUP(H2063, Fact_Events!$A$2:$A$20, Fact_Events!$F$2:$F$20, "")</f>
        <v/>
      </c>
      <c r="K2063" t="str">
        <f t="shared" si="262"/>
        <v>Low</v>
      </c>
      <c r="L2063">
        <f t="shared" si="263"/>
        <v>0.55000000000000004</v>
      </c>
      <c r="M2063">
        <f>_xlfn.XLOOKUP(B2063, Dim_Hotel!$A$2:$A$11, Dim_Hotel!$I$2:$I$11)
 + (IF(J2063="",0,J2063)
    * _xlfn.XLOOKUP(B2063, Dim_Hotel!$A$2:$A$11, Dim_Hotel!$J$2:$J$11))</f>
        <v>175</v>
      </c>
    </row>
    <row r="2064" spans="1:13" x14ac:dyDescent="0.25">
      <c r="A2064" s="1">
        <f t="shared" si="256"/>
        <v>46229</v>
      </c>
      <c r="B2064" t="str" cm="1">
        <f t="array" ref="B2064">INDEX(HotelList,MOD(ROW()-2,10)+1)</f>
        <v>H003</v>
      </c>
      <c r="C2064">
        <f>_xlfn.XLOOKUP(B2064,Dim_Hotel!$A$2:$A$11,Dim_Hotel!$F$2:$F$11)</f>
        <v>121</v>
      </c>
      <c r="D2064">
        <f t="shared" si="257"/>
        <v>67</v>
      </c>
      <c r="E2064">
        <f t="shared" si="258"/>
        <v>0.55371900826446285</v>
      </c>
      <c r="F2064">
        <f t="shared" si="259"/>
        <v>145</v>
      </c>
      <c r="G2064">
        <f t="shared" si="260"/>
        <v>80.289256198347118</v>
      </c>
      <c r="H2064" t="str">
        <f>_xlfn.XLOOKUP(A2064,Fact_Events!$D$2:$D$20,Fact_Events!$A$2:$A$20, "")</f>
        <v/>
      </c>
      <c r="I2064">
        <f t="shared" si="261"/>
        <v>0</v>
      </c>
      <c r="J2064" t="str">
        <f>_xlfn.XLOOKUP(H2064, Fact_Events!$A$2:$A$20, Fact_Events!$F$2:$F$20, "")</f>
        <v/>
      </c>
      <c r="K2064" t="str">
        <f t="shared" si="262"/>
        <v>Low</v>
      </c>
      <c r="L2064">
        <f t="shared" si="263"/>
        <v>0.55000000000000004</v>
      </c>
      <c r="M2064">
        <f>_xlfn.XLOOKUP(B2064, Dim_Hotel!$A$2:$A$11, Dim_Hotel!$I$2:$I$11)
 + (IF(J2064="",0,J2064)
    * _xlfn.XLOOKUP(B2064, Dim_Hotel!$A$2:$A$11, Dim_Hotel!$J$2:$J$11))</f>
        <v>145</v>
      </c>
    </row>
    <row r="2065" spans="1:13" x14ac:dyDescent="0.25">
      <c r="A2065" s="1">
        <f t="shared" si="256"/>
        <v>46229</v>
      </c>
      <c r="B2065" t="str" cm="1">
        <f t="array" ref="B2065">INDEX(HotelList,MOD(ROW()-2,10)+1)</f>
        <v>H004</v>
      </c>
      <c r="C2065">
        <f>_xlfn.XLOOKUP(B2065,Dim_Hotel!$A$2:$A$11,Dim_Hotel!$F$2:$F$11)</f>
        <v>108</v>
      </c>
      <c r="D2065">
        <f t="shared" si="257"/>
        <v>59</v>
      </c>
      <c r="E2065">
        <f t="shared" si="258"/>
        <v>0.54629629629629628</v>
      </c>
      <c r="F2065">
        <f t="shared" si="259"/>
        <v>135</v>
      </c>
      <c r="G2065">
        <f t="shared" si="260"/>
        <v>73.75</v>
      </c>
      <c r="H2065" t="str">
        <f>_xlfn.XLOOKUP(A2065,Fact_Events!$D$2:$D$20,Fact_Events!$A$2:$A$20, "")</f>
        <v/>
      </c>
      <c r="I2065">
        <f t="shared" si="261"/>
        <v>0</v>
      </c>
      <c r="J2065" t="str">
        <f>_xlfn.XLOOKUP(H2065, Fact_Events!$A$2:$A$20, Fact_Events!$F$2:$F$20, "")</f>
        <v/>
      </c>
      <c r="K2065" t="str">
        <f t="shared" si="262"/>
        <v>Low</v>
      </c>
      <c r="L2065">
        <f t="shared" si="263"/>
        <v>0.55000000000000004</v>
      </c>
      <c r="M2065">
        <f>_xlfn.XLOOKUP(B2065, Dim_Hotel!$A$2:$A$11, Dim_Hotel!$I$2:$I$11)
 + (IF(J2065="",0,J2065)
    * _xlfn.XLOOKUP(B2065, Dim_Hotel!$A$2:$A$11, Dim_Hotel!$J$2:$J$11))</f>
        <v>135</v>
      </c>
    </row>
    <row r="2066" spans="1:13" x14ac:dyDescent="0.25">
      <c r="A2066" s="1">
        <f t="shared" si="256"/>
        <v>46229</v>
      </c>
      <c r="B2066" t="str" cm="1">
        <f t="array" ref="B2066">INDEX(HotelList,MOD(ROW()-2,10)+1)</f>
        <v>H005</v>
      </c>
      <c r="C2066">
        <f>_xlfn.XLOOKUP(B2066,Dim_Hotel!$A$2:$A$11,Dim_Hotel!$F$2:$F$11)</f>
        <v>66</v>
      </c>
      <c r="D2066">
        <f t="shared" si="257"/>
        <v>36</v>
      </c>
      <c r="E2066">
        <f t="shared" si="258"/>
        <v>0.54545454545454541</v>
      </c>
      <c r="F2066">
        <f t="shared" si="259"/>
        <v>82</v>
      </c>
      <c r="G2066">
        <f t="shared" si="260"/>
        <v>44.727272727272727</v>
      </c>
      <c r="H2066" t="str">
        <f>_xlfn.XLOOKUP(A2066,Fact_Events!$D$2:$D$20,Fact_Events!$A$2:$A$20, "")</f>
        <v/>
      </c>
      <c r="I2066">
        <f t="shared" si="261"/>
        <v>0</v>
      </c>
      <c r="J2066" t="str">
        <f>_xlfn.XLOOKUP(H2066, Fact_Events!$A$2:$A$20, Fact_Events!$F$2:$F$20, "")</f>
        <v/>
      </c>
      <c r="K2066" t="str">
        <f t="shared" si="262"/>
        <v>Low</v>
      </c>
      <c r="L2066">
        <f t="shared" si="263"/>
        <v>0.55000000000000004</v>
      </c>
      <c r="M2066">
        <f>_xlfn.XLOOKUP(B2066, Dim_Hotel!$A$2:$A$11, Dim_Hotel!$I$2:$I$11)
 + (IF(J2066="",0,J2066)
    * _xlfn.XLOOKUP(B2066, Dim_Hotel!$A$2:$A$11, Dim_Hotel!$J$2:$J$11))</f>
        <v>82</v>
      </c>
    </row>
    <row r="2067" spans="1:13" x14ac:dyDescent="0.25">
      <c r="A2067" s="1">
        <f t="shared" si="256"/>
        <v>46229</v>
      </c>
      <c r="B2067" t="str" cm="1">
        <f t="array" ref="B2067">INDEX(HotelList,MOD(ROW()-2,10)+1)</f>
        <v>H006</v>
      </c>
      <c r="C2067">
        <f>_xlfn.XLOOKUP(B2067,Dim_Hotel!$A$2:$A$11,Dim_Hotel!$F$2:$F$11)</f>
        <v>311</v>
      </c>
      <c r="D2067">
        <f t="shared" si="257"/>
        <v>171</v>
      </c>
      <c r="E2067">
        <f t="shared" si="258"/>
        <v>0.54983922829581988</v>
      </c>
      <c r="F2067">
        <f t="shared" si="259"/>
        <v>190</v>
      </c>
      <c r="G2067">
        <f t="shared" si="260"/>
        <v>104.46945337620578</v>
      </c>
      <c r="H2067" t="str">
        <f>_xlfn.XLOOKUP(A2067,Fact_Events!$D$2:$D$20,Fact_Events!$A$2:$A$20, "")</f>
        <v/>
      </c>
      <c r="I2067">
        <f t="shared" si="261"/>
        <v>0</v>
      </c>
      <c r="J2067" t="str">
        <f>_xlfn.XLOOKUP(H2067, Fact_Events!$A$2:$A$20, Fact_Events!$F$2:$F$20, "")</f>
        <v/>
      </c>
      <c r="K2067" t="str">
        <f t="shared" si="262"/>
        <v>Low</v>
      </c>
      <c r="L2067">
        <f t="shared" si="263"/>
        <v>0.55000000000000004</v>
      </c>
      <c r="M2067">
        <f>_xlfn.XLOOKUP(B2067, Dim_Hotel!$A$2:$A$11, Dim_Hotel!$I$2:$I$11)
 + (IF(J2067="",0,J2067)
    * _xlfn.XLOOKUP(B2067, Dim_Hotel!$A$2:$A$11, Dim_Hotel!$J$2:$J$11))</f>
        <v>190</v>
      </c>
    </row>
    <row r="2068" spans="1:13" x14ac:dyDescent="0.25">
      <c r="A2068" s="1">
        <f t="shared" si="256"/>
        <v>46229</v>
      </c>
      <c r="B2068" t="str" cm="1">
        <f t="array" ref="B2068">INDEX(HotelList,MOD(ROW()-2,10)+1)</f>
        <v>H007</v>
      </c>
      <c r="C2068">
        <f>_xlfn.XLOOKUP(B2068,Dim_Hotel!$A$2:$A$11,Dim_Hotel!$F$2:$F$11)</f>
        <v>132</v>
      </c>
      <c r="D2068">
        <f t="shared" si="257"/>
        <v>73</v>
      </c>
      <c r="E2068">
        <f t="shared" si="258"/>
        <v>0.55303030303030298</v>
      </c>
      <c r="F2068">
        <f t="shared" si="259"/>
        <v>165</v>
      </c>
      <c r="G2068">
        <f t="shared" si="260"/>
        <v>91.249999999999986</v>
      </c>
      <c r="H2068" t="str">
        <f>_xlfn.XLOOKUP(A2068,Fact_Events!$D$2:$D$20,Fact_Events!$A$2:$A$20, "")</f>
        <v/>
      </c>
      <c r="I2068">
        <f t="shared" si="261"/>
        <v>0</v>
      </c>
      <c r="J2068" t="str">
        <f>_xlfn.XLOOKUP(H2068, Fact_Events!$A$2:$A$20, Fact_Events!$F$2:$F$20, "")</f>
        <v/>
      </c>
      <c r="K2068" t="str">
        <f t="shared" si="262"/>
        <v>Low</v>
      </c>
      <c r="L2068">
        <f t="shared" si="263"/>
        <v>0.55000000000000004</v>
      </c>
      <c r="M2068">
        <f>_xlfn.XLOOKUP(B2068, Dim_Hotel!$A$2:$A$11, Dim_Hotel!$I$2:$I$11)
 + (IF(J2068="",0,J2068)
    * _xlfn.XLOOKUP(B2068, Dim_Hotel!$A$2:$A$11, Dim_Hotel!$J$2:$J$11))</f>
        <v>165</v>
      </c>
    </row>
    <row r="2069" spans="1:13" x14ac:dyDescent="0.25">
      <c r="A2069" s="1">
        <f t="shared" si="256"/>
        <v>46229</v>
      </c>
      <c r="B2069" t="str" cm="1">
        <f t="array" ref="B2069">INDEX(HotelList,MOD(ROW()-2,10)+1)</f>
        <v>H008</v>
      </c>
      <c r="C2069">
        <f>_xlfn.XLOOKUP(B2069,Dim_Hotel!$A$2:$A$11,Dim_Hotel!$F$2:$F$11)</f>
        <v>103</v>
      </c>
      <c r="D2069">
        <f t="shared" si="257"/>
        <v>57</v>
      </c>
      <c r="E2069">
        <f t="shared" si="258"/>
        <v>0.55339805825242716</v>
      </c>
      <c r="F2069">
        <f t="shared" si="259"/>
        <v>140</v>
      </c>
      <c r="G2069">
        <f t="shared" si="260"/>
        <v>77.475728155339809</v>
      </c>
      <c r="H2069" t="str">
        <f>_xlfn.XLOOKUP(A2069,Fact_Events!$D$2:$D$20,Fact_Events!$A$2:$A$20, "")</f>
        <v/>
      </c>
      <c r="I2069">
        <f t="shared" si="261"/>
        <v>0</v>
      </c>
      <c r="J2069" t="str">
        <f>_xlfn.XLOOKUP(H2069, Fact_Events!$A$2:$A$20, Fact_Events!$F$2:$F$20, "")</f>
        <v/>
      </c>
      <c r="K2069" t="str">
        <f t="shared" si="262"/>
        <v>Low</v>
      </c>
      <c r="L2069">
        <f t="shared" si="263"/>
        <v>0.55000000000000004</v>
      </c>
      <c r="M2069">
        <f>_xlfn.XLOOKUP(B2069, Dim_Hotel!$A$2:$A$11, Dim_Hotel!$I$2:$I$11)
 + (IF(J2069="",0,J2069)
    * _xlfn.XLOOKUP(B2069, Dim_Hotel!$A$2:$A$11, Dim_Hotel!$J$2:$J$11))</f>
        <v>140</v>
      </c>
    </row>
    <row r="2070" spans="1:13" x14ac:dyDescent="0.25">
      <c r="A2070" s="1">
        <f t="shared" si="256"/>
        <v>46229</v>
      </c>
      <c r="B2070" t="str" cm="1">
        <f t="array" ref="B2070">INDEX(HotelList,MOD(ROW()-2,10)+1)</f>
        <v>H009</v>
      </c>
      <c r="C2070">
        <f>_xlfn.XLOOKUP(B2070,Dim_Hotel!$A$2:$A$11,Dim_Hotel!$F$2:$F$11)</f>
        <v>114</v>
      </c>
      <c r="D2070">
        <f t="shared" si="257"/>
        <v>63</v>
      </c>
      <c r="E2070">
        <f t="shared" si="258"/>
        <v>0.55263157894736847</v>
      </c>
      <c r="F2070">
        <f t="shared" si="259"/>
        <v>185</v>
      </c>
      <c r="G2070">
        <f t="shared" si="260"/>
        <v>102.23684210526316</v>
      </c>
      <c r="H2070" t="str">
        <f>_xlfn.XLOOKUP(A2070,Fact_Events!$D$2:$D$20,Fact_Events!$A$2:$A$20, "")</f>
        <v/>
      </c>
      <c r="I2070">
        <f t="shared" si="261"/>
        <v>0</v>
      </c>
      <c r="J2070" t="str">
        <f>_xlfn.XLOOKUP(H2070, Fact_Events!$A$2:$A$20, Fact_Events!$F$2:$F$20, "")</f>
        <v/>
      </c>
      <c r="K2070" t="str">
        <f t="shared" si="262"/>
        <v>Low</v>
      </c>
      <c r="L2070">
        <f t="shared" si="263"/>
        <v>0.55000000000000004</v>
      </c>
      <c r="M2070">
        <f>_xlfn.XLOOKUP(B2070, Dim_Hotel!$A$2:$A$11, Dim_Hotel!$I$2:$I$11)
 + (IF(J2070="",0,J2070)
    * _xlfn.XLOOKUP(B2070, Dim_Hotel!$A$2:$A$11, Dim_Hotel!$J$2:$J$11))</f>
        <v>185</v>
      </c>
    </row>
    <row r="2071" spans="1:13" x14ac:dyDescent="0.25">
      <c r="A2071" s="1">
        <f t="shared" si="256"/>
        <v>46229</v>
      </c>
      <c r="B2071" t="str" cm="1">
        <f t="array" ref="B2071">INDEX(HotelList,MOD(ROW()-2,10)+1)</f>
        <v>H010</v>
      </c>
      <c r="C2071">
        <f>_xlfn.XLOOKUP(B2071,Dim_Hotel!$A$2:$A$11,Dim_Hotel!$F$2:$F$11)</f>
        <v>89</v>
      </c>
      <c r="D2071">
        <f t="shared" si="257"/>
        <v>49</v>
      </c>
      <c r="E2071">
        <f t="shared" si="258"/>
        <v>0.550561797752809</v>
      </c>
      <c r="F2071">
        <f t="shared" si="259"/>
        <v>150</v>
      </c>
      <c r="G2071">
        <f t="shared" si="260"/>
        <v>82.584269662921344</v>
      </c>
      <c r="H2071" t="str">
        <f>_xlfn.XLOOKUP(A2071,Fact_Events!$D$2:$D$20,Fact_Events!$A$2:$A$20, "")</f>
        <v/>
      </c>
      <c r="I2071">
        <f t="shared" si="261"/>
        <v>0</v>
      </c>
      <c r="J2071" t="str">
        <f>_xlfn.XLOOKUP(H2071, Fact_Events!$A$2:$A$20, Fact_Events!$F$2:$F$20, "")</f>
        <v/>
      </c>
      <c r="K2071" t="str">
        <f t="shared" si="262"/>
        <v>Low</v>
      </c>
      <c r="L2071">
        <f t="shared" si="263"/>
        <v>0.55000000000000004</v>
      </c>
      <c r="M2071">
        <f>_xlfn.XLOOKUP(B2071, Dim_Hotel!$A$2:$A$11, Dim_Hotel!$I$2:$I$11)
 + (IF(J2071="",0,J2071)
    * _xlfn.XLOOKUP(B2071, Dim_Hotel!$A$2:$A$11, Dim_Hotel!$J$2:$J$11))</f>
        <v>150</v>
      </c>
    </row>
    <row r="2072" spans="1:13" x14ac:dyDescent="0.25">
      <c r="A2072" s="1">
        <f t="shared" si="256"/>
        <v>46230</v>
      </c>
      <c r="B2072" t="str" cm="1">
        <f t="array" ref="B2072">INDEX(HotelList,MOD(ROW()-2,10)+1)</f>
        <v>H001</v>
      </c>
      <c r="C2072">
        <f>_xlfn.XLOOKUP(B2072,Dim_Hotel!$A$2:$A$11,Dim_Hotel!$F$2:$F$11)</f>
        <v>888</v>
      </c>
      <c r="D2072">
        <f t="shared" si="257"/>
        <v>488</v>
      </c>
      <c r="E2072">
        <f t="shared" si="258"/>
        <v>0.5495495495495496</v>
      </c>
      <c r="F2072">
        <f t="shared" si="259"/>
        <v>260</v>
      </c>
      <c r="G2072">
        <f t="shared" si="260"/>
        <v>142.88288288288288</v>
      </c>
      <c r="H2072" t="str">
        <f>_xlfn.XLOOKUP(A2072,Fact_Events!$D$2:$D$20,Fact_Events!$A$2:$A$20, "")</f>
        <v/>
      </c>
      <c r="I2072">
        <f t="shared" si="261"/>
        <v>0</v>
      </c>
      <c r="J2072" t="str">
        <f>_xlfn.XLOOKUP(H2072, Fact_Events!$A$2:$A$20, Fact_Events!$F$2:$F$20, "")</f>
        <v/>
      </c>
      <c r="K2072" t="str">
        <f t="shared" si="262"/>
        <v>Low</v>
      </c>
      <c r="L2072">
        <f t="shared" si="263"/>
        <v>0.55000000000000004</v>
      </c>
      <c r="M2072">
        <f>_xlfn.XLOOKUP(B2072, Dim_Hotel!$A$2:$A$11, Dim_Hotel!$I$2:$I$11)
 + (IF(J2072="",0,J2072)
    * _xlfn.XLOOKUP(B2072, Dim_Hotel!$A$2:$A$11, Dim_Hotel!$J$2:$J$11))</f>
        <v>260</v>
      </c>
    </row>
    <row r="2073" spans="1:13" x14ac:dyDescent="0.25">
      <c r="A2073" s="1">
        <f t="shared" si="256"/>
        <v>46230</v>
      </c>
      <c r="B2073" t="str" cm="1">
        <f t="array" ref="B2073">INDEX(HotelList,MOD(ROW()-2,10)+1)</f>
        <v>H002</v>
      </c>
      <c r="C2073">
        <f>_xlfn.XLOOKUP(B2073,Dim_Hotel!$A$2:$A$11,Dim_Hotel!$F$2:$F$11)</f>
        <v>147</v>
      </c>
      <c r="D2073">
        <f t="shared" si="257"/>
        <v>81</v>
      </c>
      <c r="E2073">
        <f t="shared" si="258"/>
        <v>0.55102040816326525</v>
      </c>
      <c r="F2073">
        <f t="shared" si="259"/>
        <v>175</v>
      </c>
      <c r="G2073">
        <f t="shared" si="260"/>
        <v>96.428571428571416</v>
      </c>
      <c r="H2073" t="str">
        <f>_xlfn.XLOOKUP(A2073,Fact_Events!$D$2:$D$20,Fact_Events!$A$2:$A$20, "")</f>
        <v/>
      </c>
      <c r="I2073">
        <f t="shared" si="261"/>
        <v>0</v>
      </c>
      <c r="J2073" t="str">
        <f>_xlfn.XLOOKUP(H2073, Fact_Events!$A$2:$A$20, Fact_Events!$F$2:$F$20, "")</f>
        <v/>
      </c>
      <c r="K2073" t="str">
        <f t="shared" si="262"/>
        <v>Low</v>
      </c>
      <c r="L2073">
        <f t="shared" si="263"/>
        <v>0.55000000000000004</v>
      </c>
      <c r="M2073">
        <f>_xlfn.XLOOKUP(B2073, Dim_Hotel!$A$2:$A$11, Dim_Hotel!$I$2:$I$11)
 + (IF(J2073="",0,J2073)
    * _xlfn.XLOOKUP(B2073, Dim_Hotel!$A$2:$A$11, Dim_Hotel!$J$2:$J$11))</f>
        <v>175</v>
      </c>
    </row>
    <row r="2074" spans="1:13" x14ac:dyDescent="0.25">
      <c r="A2074" s="1">
        <f t="shared" si="256"/>
        <v>46230</v>
      </c>
      <c r="B2074" t="str" cm="1">
        <f t="array" ref="B2074">INDEX(HotelList,MOD(ROW()-2,10)+1)</f>
        <v>H003</v>
      </c>
      <c r="C2074">
        <f>_xlfn.XLOOKUP(B2074,Dim_Hotel!$A$2:$A$11,Dim_Hotel!$F$2:$F$11)</f>
        <v>121</v>
      </c>
      <c r="D2074">
        <f t="shared" si="257"/>
        <v>67</v>
      </c>
      <c r="E2074">
        <f t="shared" si="258"/>
        <v>0.55371900826446285</v>
      </c>
      <c r="F2074">
        <f t="shared" si="259"/>
        <v>145</v>
      </c>
      <c r="G2074">
        <f t="shared" si="260"/>
        <v>80.289256198347118</v>
      </c>
      <c r="H2074" t="str">
        <f>_xlfn.XLOOKUP(A2074,Fact_Events!$D$2:$D$20,Fact_Events!$A$2:$A$20, "")</f>
        <v/>
      </c>
      <c r="I2074">
        <f t="shared" si="261"/>
        <v>0</v>
      </c>
      <c r="J2074" t="str">
        <f>_xlfn.XLOOKUP(H2074, Fact_Events!$A$2:$A$20, Fact_Events!$F$2:$F$20, "")</f>
        <v/>
      </c>
      <c r="K2074" t="str">
        <f t="shared" si="262"/>
        <v>Low</v>
      </c>
      <c r="L2074">
        <f t="shared" si="263"/>
        <v>0.55000000000000004</v>
      </c>
      <c r="M2074">
        <f>_xlfn.XLOOKUP(B2074, Dim_Hotel!$A$2:$A$11, Dim_Hotel!$I$2:$I$11)
 + (IF(J2074="",0,J2074)
    * _xlfn.XLOOKUP(B2074, Dim_Hotel!$A$2:$A$11, Dim_Hotel!$J$2:$J$11))</f>
        <v>145</v>
      </c>
    </row>
    <row r="2075" spans="1:13" x14ac:dyDescent="0.25">
      <c r="A2075" s="1">
        <f t="shared" si="256"/>
        <v>46230</v>
      </c>
      <c r="B2075" t="str" cm="1">
        <f t="array" ref="B2075">INDEX(HotelList,MOD(ROW()-2,10)+1)</f>
        <v>H004</v>
      </c>
      <c r="C2075">
        <f>_xlfn.XLOOKUP(B2075,Dim_Hotel!$A$2:$A$11,Dim_Hotel!$F$2:$F$11)</f>
        <v>108</v>
      </c>
      <c r="D2075">
        <f t="shared" si="257"/>
        <v>59</v>
      </c>
      <c r="E2075">
        <f t="shared" si="258"/>
        <v>0.54629629629629628</v>
      </c>
      <c r="F2075">
        <f t="shared" si="259"/>
        <v>135</v>
      </c>
      <c r="G2075">
        <f t="shared" si="260"/>
        <v>73.75</v>
      </c>
      <c r="H2075" t="str">
        <f>_xlfn.XLOOKUP(A2075,Fact_Events!$D$2:$D$20,Fact_Events!$A$2:$A$20, "")</f>
        <v/>
      </c>
      <c r="I2075">
        <f t="shared" si="261"/>
        <v>0</v>
      </c>
      <c r="J2075" t="str">
        <f>_xlfn.XLOOKUP(H2075, Fact_Events!$A$2:$A$20, Fact_Events!$F$2:$F$20, "")</f>
        <v/>
      </c>
      <c r="K2075" t="str">
        <f t="shared" si="262"/>
        <v>Low</v>
      </c>
      <c r="L2075">
        <f t="shared" si="263"/>
        <v>0.55000000000000004</v>
      </c>
      <c r="M2075">
        <f>_xlfn.XLOOKUP(B2075, Dim_Hotel!$A$2:$A$11, Dim_Hotel!$I$2:$I$11)
 + (IF(J2075="",0,J2075)
    * _xlfn.XLOOKUP(B2075, Dim_Hotel!$A$2:$A$11, Dim_Hotel!$J$2:$J$11))</f>
        <v>135</v>
      </c>
    </row>
    <row r="2076" spans="1:13" x14ac:dyDescent="0.25">
      <c r="A2076" s="1">
        <f t="shared" si="256"/>
        <v>46230</v>
      </c>
      <c r="B2076" t="str" cm="1">
        <f t="array" ref="B2076">INDEX(HotelList,MOD(ROW()-2,10)+1)</f>
        <v>H005</v>
      </c>
      <c r="C2076">
        <f>_xlfn.XLOOKUP(B2076,Dim_Hotel!$A$2:$A$11,Dim_Hotel!$F$2:$F$11)</f>
        <v>66</v>
      </c>
      <c r="D2076">
        <f t="shared" si="257"/>
        <v>36</v>
      </c>
      <c r="E2076">
        <f t="shared" si="258"/>
        <v>0.54545454545454541</v>
      </c>
      <c r="F2076">
        <f t="shared" si="259"/>
        <v>82</v>
      </c>
      <c r="G2076">
        <f t="shared" si="260"/>
        <v>44.727272727272727</v>
      </c>
      <c r="H2076" t="str">
        <f>_xlfn.XLOOKUP(A2076,Fact_Events!$D$2:$D$20,Fact_Events!$A$2:$A$20, "")</f>
        <v/>
      </c>
      <c r="I2076">
        <f t="shared" si="261"/>
        <v>0</v>
      </c>
      <c r="J2076" t="str">
        <f>_xlfn.XLOOKUP(H2076, Fact_Events!$A$2:$A$20, Fact_Events!$F$2:$F$20, "")</f>
        <v/>
      </c>
      <c r="K2076" t="str">
        <f t="shared" si="262"/>
        <v>Low</v>
      </c>
      <c r="L2076">
        <f t="shared" si="263"/>
        <v>0.55000000000000004</v>
      </c>
      <c r="M2076">
        <f>_xlfn.XLOOKUP(B2076, Dim_Hotel!$A$2:$A$11, Dim_Hotel!$I$2:$I$11)
 + (IF(J2076="",0,J2076)
    * _xlfn.XLOOKUP(B2076, Dim_Hotel!$A$2:$A$11, Dim_Hotel!$J$2:$J$11))</f>
        <v>82</v>
      </c>
    </row>
    <row r="2077" spans="1:13" x14ac:dyDescent="0.25">
      <c r="A2077" s="1">
        <f t="shared" si="256"/>
        <v>46230</v>
      </c>
      <c r="B2077" t="str" cm="1">
        <f t="array" ref="B2077">INDEX(HotelList,MOD(ROW()-2,10)+1)</f>
        <v>H006</v>
      </c>
      <c r="C2077">
        <f>_xlfn.XLOOKUP(B2077,Dim_Hotel!$A$2:$A$11,Dim_Hotel!$F$2:$F$11)</f>
        <v>311</v>
      </c>
      <c r="D2077">
        <f t="shared" si="257"/>
        <v>171</v>
      </c>
      <c r="E2077">
        <f t="shared" si="258"/>
        <v>0.54983922829581988</v>
      </c>
      <c r="F2077">
        <f t="shared" si="259"/>
        <v>190</v>
      </c>
      <c r="G2077">
        <f t="shared" si="260"/>
        <v>104.46945337620578</v>
      </c>
      <c r="H2077" t="str">
        <f>_xlfn.XLOOKUP(A2077,Fact_Events!$D$2:$D$20,Fact_Events!$A$2:$A$20, "")</f>
        <v/>
      </c>
      <c r="I2077">
        <f t="shared" si="261"/>
        <v>0</v>
      </c>
      <c r="J2077" t="str">
        <f>_xlfn.XLOOKUP(H2077, Fact_Events!$A$2:$A$20, Fact_Events!$F$2:$F$20, "")</f>
        <v/>
      </c>
      <c r="K2077" t="str">
        <f t="shared" si="262"/>
        <v>Low</v>
      </c>
      <c r="L2077">
        <f t="shared" si="263"/>
        <v>0.55000000000000004</v>
      </c>
      <c r="M2077">
        <f>_xlfn.XLOOKUP(B2077, Dim_Hotel!$A$2:$A$11, Dim_Hotel!$I$2:$I$11)
 + (IF(J2077="",0,J2077)
    * _xlfn.XLOOKUP(B2077, Dim_Hotel!$A$2:$A$11, Dim_Hotel!$J$2:$J$11))</f>
        <v>190</v>
      </c>
    </row>
    <row r="2078" spans="1:13" x14ac:dyDescent="0.25">
      <c r="A2078" s="1">
        <f t="shared" si="256"/>
        <v>46230</v>
      </c>
      <c r="B2078" t="str" cm="1">
        <f t="array" ref="B2078">INDEX(HotelList,MOD(ROW()-2,10)+1)</f>
        <v>H007</v>
      </c>
      <c r="C2078">
        <f>_xlfn.XLOOKUP(B2078,Dim_Hotel!$A$2:$A$11,Dim_Hotel!$F$2:$F$11)</f>
        <v>132</v>
      </c>
      <c r="D2078">
        <f t="shared" si="257"/>
        <v>73</v>
      </c>
      <c r="E2078">
        <f t="shared" si="258"/>
        <v>0.55303030303030298</v>
      </c>
      <c r="F2078">
        <f t="shared" si="259"/>
        <v>165</v>
      </c>
      <c r="G2078">
        <f t="shared" si="260"/>
        <v>91.249999999999986</v>
      </c>
      <c r="H2078" t="str">
        <f>_xlfn.XLOOKUP(A2078,Fact_Events!$D$2:$D$20,Fact_Events!$A$2:$A$20, "")</f>
        <v/>
      </c>
      <c r="I2078">
        <f t="shared" si="261"/>
        <v>0</v>
      </c>
      <c r="J2078" t="str">
        <f>_xlfn.XLOOKUP(H2078, Fact_Events!$A$2:$A$20, Fact_Events!$F$2:$F$20, "")</f>
        <v/>
      </c>
      <c r="K2078" t="str">
        <f t="shared" si="262"/>
        <v>Low</v>
      </c>
      <c r="L2078">
        <f t="shared" si="263"/>
        <v>0.55000000000000004</v>
      </c>
      <c r="M2078">
        <f>_xlfn.XLOOKUP(B2078, Dim_Hotel!$A$2:$A$11, Dim_Hotel!$I$2:$I$11)
 + (IF(J2078="",0,J2078)
    * _xlfn.XLOOKUP(B2078, Dim_Hotel!$A$2:$A$11, Dim_Hotel!$J$2:$J$11))</f>
        <v>165</v>
      </c>
    </row>
    <row r="2079" spans="1:13" x14ac:dyDescent="0.25">
      <c r="A2079" s="1">
        <f t="shared" si="256"/>
        <v>46230</v>
      </c>
      <c r="B2079" t="str" cm="1">
        <f t="array" ref="B2079">INDEX(HotelList,MOD(ROW()-2,10)+1)</f>
        <v>H008</v>
      </c>
      <c r="C2079">
        <f>_xlfn.XLOOKUP(B2079,Dim_Hotel!$A$2:$A$11,Dim_Hotel!$F$2:$F$11)</f>
        <v>103</v>
      </c>
      <c r="D2079">
        <f t="shared" si="257"/>
        <v>57</v>
      </c>
      <c r="E2079">
        <f t="shared" si="258"/>
        <v>0.55339805825242716</v>
      </c>
      <c r="F2079">
        <f t="shared" si="259"/>
        <v>140</v>
      </c>
      <c r="G2079">
        <f t="shared" si="260"/>
        <v>77.475728155339809</v>
      </c>
      <c r="H2079" t="str">
        <f>_xlfn.XLOOKUP(A2079,Fact_Events!$D$2:$D$20,Fact_Events!$A$2:$A$20, "")</f>
        <v/>
      </c>
      <c r="I2079">
        <f t="shared" si="261"/>
        <v>0</v>
      </c>
      <c r="J2079" t="str">
        <f>_xlfn.XLOOKUP(H2079, Fact_Events!$A$2:$A$20, Fact_Events!$F$2:$F$20, "")</f>
        <v/>
      </c>
      <c r="K2079" t="str">
        <f t="shared" si="262"/>
        <v>Low</v>
      </c>
      <c r="L2079">
        <f t="shared" si="263"/>
        <v>0.55000000000000004</v>
      </c>
      <c r="M2079">
        <f>_xlfn.XLOOKUP(B2079, Dim_Hotel!$A$2:$A$11, Dim_Hotel!$I$2:$I$11)
 + (IF(J2079="",0,J2079)
    * _xlfn.XLOOKUP(B2079, Dim_Hotel!$A$2:$A$11, Dim_Hotel!$J$2:$J$11))</f>
        <v>140</v>
      </c>
    </row>
    <row r="2080" spans="1:13" x14ac:dyDescent="0.25">
      <c r="A2080" s="1">
        <f t="shared" si="256"/>
        <v>46230</v>
      </c>
      <c r="B2080" t="str" cm="1">
        <f t="array" ref="B2080">INDEX(HotelList,MOD(ROW()-2,10)+1)</f>
        <v>H009</v>
      </c>
      <c r="C2080">
        <f>_xlfn.XLOOKUP(B2080,Dim_Hotel!$A$2:$A$11,Dim_Hotel!$F$2:$F$11)</f>
        <v>114</v>
      </c>
      <c r="D2080">
        <f t="shared" si="257"/>
        <v>63</v>
      </c>
      <c r="E2080">
        <f t="shared" si="258"/>
        <v>0.55263157894736847</v>
      </c>
      <c r="F2080">
        <f t="shared" si="259"/>
        <v>185</v>
      </c>
      <c r="G2080">
        <f t="shared" si="260"/>
        <v>102.23684210526316</v>
      </c>
      <c r="H2080" t="str">
        <f>_xlfn.XLOOKUP(A2080,Fact_Events!$D$2:$D$20,Fact_Events!$A$2:$A$20, "")</f>
        <v/>
      </c>
      <c r="I2080">
        <f t="shared" si="261"/>
        <v>0</v>
      </c>
      <c r="J2080" t="str">
        <f>_xlfn.XLOOKUP(H2080, Fact_Events!$A$2:$A$20, Fact_Events!$F$2:$F$20, "")</f>
        <v/>
      </c>
      <c r="K2080" t="str">
        <f t="shared" si="262"/>
        <v>Low</v>
      </c>
      <c r="L2080">
        <f t="shared" si="263"/>
        <v>0.55000000000000004</v>
      </c>
      <c r="M2080">
        <f>_xlfn.XLOOKUP(B2080, Dim_Hotel!$A$2:$A$11, Dim_Hotel!$I$2:$I$11)
 + (IF(J2080="",0,J2080)
    * _xlfn.XLOOKUP(B2080, Dim_Hotel!$A$2:$A$11, Dim_Hotel!$J$2:$J$11))</f>
        <v>185</v>
      </c>
    </row>
    <row r="2081" spans="1:13" x14ac:dyDescent="0.25">
      <c r="A2081" s="1">
        <f t="shared" si="256"/>
        <v>46230</v>
      </c>
      <c r="B2081" t="str" cm="1">
        <f t="array" ref="B2081">INDEX(HotelList,MOD(ROW()-2,10)+1)</f>
        <v>H010</v>
      </c>
      <c r="C2081">
        <f>_xlfn.XLOOKUP(B2081,Dim_Hotel!$A$2:$A$11,Dim_Hotel!$F$2:$F$11)</f>
        <v>89</v>
      </c>
      <c r="D2081">
        <f t="shared" si="257"/>
        <v>49</v>
      </c>
      <c r="E2081">
        <f t="shared" si="258"/>
        <v>0.550561797752809</v>
      </c>
      <c r="F2081">
        <f t="shared" si="259"/>
        <v>150</v>
      </c>
      <c r="G2081">
        <f t="shared" si="260"/>
        <v>82.584269662921344</v>
      </c>
      <c r="H2081" t="str">
        <f>_xlfn.XLOOKUP(A2081,Fact_Events!$D$2:$D$20,Fact_Events!$A$2:$A$20, "")</f>
        <v/>
      </c>
      <c r="I2081">
        <f t="shared" si="261"/>
        <v>0</v>
      </c>
      <c r="J2081" t="str">
        <f>_xlfn.XLOOKUP(H2081, Fact_Events!$A$2:$A$20, Fact_Events!$F$2:$F$20, "")</f>
        <v/>
      </c>
      <c r="K2081" t="str">
        <f t="shared" si="262"/>
        <v>Low</v>
      </c>
      <c r="L2081">
        <f t="shared" si="263"/>
        <v>0.55000000000000004</v>
      </c>
      <c r="M2081">
        <f>_xlfn.XLOOKUP(B2081, Dim_Hotel!$A$2:$A$11, Dim_Hotel!$I$2:$I$11)
 + (IF(J2081="",0,J2081)
    * _xlfn.XLOOKUP(B2081, Dim_Hotel!$A$2:$A$11, Dim_Hotel!$J$2:$J$11))</f>
        <v>150</v>
      </c>
    </row>
    <row r="2082" spans="1:13" x14ac:dyDescent="0.25">
      <c r="A2082" s="1">
        <f t="shared" si="256"/>
        <v>46231</v>
      </c>
      <c r="B2082" t="str" cm="1">
        <f t="array" ref="B2082">INDEX(HotelList,MOD(ROW()-2,10)+1)</f>
        <v>H001</v>
      </c>
      <c r="C2082">
        <f>_xlfn.XLOOKUP(B2082,Dim_Hotel!$A$2:$A$11,Dim_Hotel!$F$2:$F$11)</f>
        <v>888</v>
      </c>
      <c r="D2082">
        <f t="shared" si="257"/>
        <v>488</v>
      </c>
      <c r="E2082">
        <f t="shared" si="258"/>
        <v>0.5495495495495496</v>
      </c>
      <c r="F2082">
        <f t="shared" si="259"/>
        <v>260</v>
      </c>
      <c r="G2082">
        <f t="shared" si="260"/>
        <v>142.88288288288288</v>
      </c>
      <c r="H2082" t="str">
        <f>_xlfn.XLOOKUP(A2082,Fact_Events!$D$2:$D$20,Fact_Events!$A$2:$A$20, "")</f>
        <v/>
      </c>
      <c r="I2082">
        <f t="shared" si="261"/>
        <v>0</v>
      </c>
      <c r="J2082" t="str">
        <f>_xlfn.XLOOKUP(H2082, Fact_Events!$A$2:$A$20, Fact_Events!$F$2:$F$20, "")</f>
        <v/>
      </c>
      <c r="K2082" t="str">
        <f t="shared" si="262"/>
        <v>Low</v>
      </c>
      <c r="L2082">
        <f t="shared" si="263"/>
        <v>0.55000000000000004</v>
      </c>
      <c r="M2082">
        <f>_xlfn.XLOOKUP(B2082, Dim_Hotel!$A$2:$A$11, Dim_Hotel!$I$2:$I$11)
 + (IF(J2082="",0,J2082)
    * _xlfn.XLOOKUP(B2082, Dim_Hotel!$A$2:$A$11, Dim_Hotel!$J$2:$J$11))</f>
        <v>260</v>
      </c>
    </row>
    <row r="2083" spans="1:13" x14ac:dyDescent="0.25">
      <c r="A2083" s="1">
        <f t="shared" si="256"/>
        <v>46231</v>
      </c>
      <c r="B2083" t="str" cm="1">
        <f t="array" ref="B2083">INDEX(HotelList,MOD(ROW()-2,10)+1)</f>
        <v>H002</v>
      </c>
      <c r="C2083">
        <f>_xlfn.XLOOKUP(B2083,Dim_Hotel!$A$2:$A$11,Dim_Hotel!$F$2:$F$11)</f>
        <v>147</v>
      </c>
      <c r="D2083">
        <f t="shared" si="257"/>
        <v>81</v>
      </c>
      <c r="E2083">
        <f t="shared" si="258"/>
        <v>0.55102040816326525</v>
      </c>
      <c r="F2083">
        <f t="shared" si="259"/>
        <v>175</v>
      </c>
      <c r="G2083">
        <f t="shared" si="260"/>
        <v>96.428571428571416</v>
      </c>
      <c r="H2083" t="str">
        <f>_xlfn.XLOOKUP(A2083,Fact_Events!$D$2:$D$20,Fact_Events!$A$2:$A$20, "")</f>
        <v/>
      </c>
      <c r="I2083">
        <f t="shared" si="261"/>
        <v>0</v>
      </c>
      <c r="J2083" t="str">
        <f>_xlfn.XLOOKUP(H2083, Fact_Events!$A$2:$A$20, Fact_Events!$F$2:$F$20, "")</f>
        <v/>
      </c>
      <c r="K2083" t="str">
        <f t="shared" si="262"/>
        <v>Low</v>
      </c>
      <c r="L2083">
        <f t="shared" si="263"/>
        <v>0.55000000000000004</v>
      </c>
      <c r="M2083">
        <f>_xlfn.XLOOKUP(B2083, Dim_Hotel!$A$2:$A$11, Dim_Hotel!$I$2:$I$11)
 + (IF(J2083="",0,J2083)
    * _xlfn.XLOOKUP(B2083, Dim_Hotel!$A$2:$A$11, Dim_Hotel!$J$2:$J$11))</f>
        <v>175</v>
      </c>
    </row>
    <row r="2084" spans="1:13" x14ac:dyDescent="0.25">
      <c r="A2084" s="1">
        <f t="shared" si="256"/>
        <v>46231</v>
      </c>
      <c r="B2084" t="str" cm="1">
        <f t="array" ref="B2084">INDEX(HotelList,MOD(ROW()-2,10)+1)</f>
        <v>H003</v>
      </c>
      <c r="C2084">
        <f>_xlfn.XLOOKUP(B2084,Dim_Hotel!$A$2:$A$11,Dim_Hotel!$F$2:$F$11)</f>
        <v>121</v>
      </c>
      <c r="D2084">
        <f t="shared" si="257"/>
        <v>67</v>
      </c>
      <c r="E2084">
        <f t="shared" si="258"/>
        <v>0.55371900826446285</v>
      </c>
      <c r="F2084">
        <f t="shared" si="259"/>
        <v>145</v>
      </c>
      <c r="G2084">
        <f t="shared" si="260"/>
        <v>80.289256198347118</v>
      </c>
      <c r="H2084" t="str">
        <f>_xlfn.XLOOKUP(A2084,Fact_Events!$D$2:$D$20,Fact_Events!$A$2:$A$20, "")</f>
        <v/>
      </c>
      <c r="I2084">
        <f t="shared" si="261"/>
        <v>0</v>
      </c>
      <c r="J2084" t="str">
        <f>_xlfn.XLOOKUP(H2084, Fact_Events!$A$2:$A$20, Fact_Events!$F$2:$F$20, "")</f>
        <v/>
      </c>
      <c r="K2084" t="str">
        <f t="shared" si="262"/>
        <v>Low</v>
      </c>
      <c r="L2084">
        <f t="shared" si="263"/>
        <v>0.55000000000000004</v>
      </c>
      <c r="M2084">
        <f>_xlfn.XLOOKUP(B2084, Dim_Hotel!$A$2:$A$11, Dim_Hotel!$I$2:$I$11)
 + (IF(J2084="",0,J2084)
    * _xlfn.XLOOKUP(B2084, Dim_Hotel!$A$2:$A$11, Dim_Hotel!$J$2:$J$11))</f>
        <v>145</v>
      </c>
    </row>
    <row r="2085" spans="1:13" x14ac:dyDescent="0.25">
      <c r="A2085" s="1">
        <f t="shared" si="256"/>
        <v>46231</v>
      </c>
      <c r="B2085" t="str" cm="1">
        <f t="array" ref="B2085">INDEX(HotelList,MOD(ROW()-2,10)+1)</f>
        <v>H004</v>
      </c>
      <c r="C2085">
        <f>_xlfn.XLOOKUP(B2085,Dim_Hotel!$A$2:$A$11,Dim_Hotel!$F$2:$F$11)</f>
        <v>108</v>
      </c>
      <c r="D2085">
        <f t="shared" si="257"/>
        <v>59</v>
      </c>
      <c r="E2085">
        <f t="shared" si="258"/>
        <v>0.54629629629629628</v>
      </c>
      <c r="F2085">
        <f t="shared" si="259"/>
        <v>135</v>
      </c>
      <c r="G2085">
        <f t="shared" si="260"/>
        <v>73.75</v>
      </c>
      <c r="H2085" t="str">
        <f>_xlfn.XLOOKUP(A2085,Fact_Events!$D$2:$D$20,Fact_Events!$A$2:$A$20, "")</f>
        <v/>
      </c>
      <c r="I2085">
        <f t="shared" si="261"/>
        <v>0</v>
      </c>
      <c r="J2085" t="str">
        <f>_xlfn.XLOOKUP(H2085, Fact_Events!$A$2:$A$20, Fact_Events!$F$2:$F$20, "")</f>
        <v/>
      </c>
      <c r="K2085" t="str">
        <f t="shared" si="262"/>
        <v>Low</v>
      </c>
      <c r="L2085">
        <f t="shared" si="263"/>
        <v>0.55000000000000004</v>
      </c>
      <c r="M2085">
        <f>_xlfn.XLOOKUP(B2085, Dim_Hotel!$A$2:$A$11, Dim_Hotel!$I$2:$I$11)
 + (IF(J2085="",0,J2085)
    * _xlfn.XLOOKUP(B2085, Dim_Hotel!$A$2:$A$11, Dim_Hotel!$J$2:$J$11))</f>
        <v>135</v>
      </c>
    </row>
    <row r="2086" spans="1:13" x14ac:dyDescent="0.25">
      <c r="A2086" s="1">
        <f t="shared" si="256"/>
        <v>46231</v>
      </c>
      <c r="B2086" t="str" cm="1">
        <f t="array" ref="B2086">INDEX(HotelList,MOD(ROW()-2,10)+1)</f>
        <v>H005</v>
      </c>
      <c r="C2086">
        <f>_xlfn.XLOOKUP(B2086,Dim_Hotel!$A$2:$A$11,Dim_Hotel!$F$2:$F$11)</f>
        <v>66</v>
      </c>
      <c r="D2086">
        <f t="shared" si="257"/>
        <v>36</v>
      </c>
      <c r="E2086">
        <f t="shared" si="258"/>
        <v>0.54545454545454541</v>
      </c>
      <c r="F2086">
        <f t="shared" si="259"/>
        <v>82</v>
      </c>
      <c r="G2086">
        <f t="shared" si="260"/>
        <v>44.727272727272727</v>
      </c>
      <c r="H2086" t="str">
        <f>_xlfn.XLOOKUP(A2086,Fact_Events!$D$2:$D$20,Fact_Events!$A$2:$A$20, "")</f>
        <v/>
      </c>
      <c r="I2086">
        <f t="shared" si="261"/>
        <v>0</v>
      </c>
      <c r="J2086" t="str">
        <f>_xlfn.XLOOKUP(H2086, Fact_Events!$A$2:$A$20, Fact_Events!$F$2:$F$20, "")</f>
        <v/>
      </c>
      <c r="K2086" t="str">
        <f t="shared" si="262"/>
        <v>Low</v>
      </c>
      <c r="L2086">
        <f t="shared" si="263"/>
        <v>0.55000000000000004</v>
      </c>
      <c r="M2086">
        <f>_xlfn.XLOOKUP(B2086, Dim_Hotel!$A$2:$A$11, Dim_Hotel!$I$2:$I$11)
 + (IF(J2086="",0,J2086)
    * _xlfn.XLOOKUP(B2086, Dim_Hotel!$A$2:$A$11, Dim_Hotel!$J$2:$J$11))</f>
        <v>82</v>
      </c>
    </row>
    <row r="2087" spans="1:13" x14ac:dyDescent="0.25">
      <c r="A2087" s="1">
        <f t="shared" si="256"/>
        <v>46231</v>
      </c>
      <c r="B2087" t="str" cm="1">
        <f t="array" ref="B2087">INDEX(HotelList,MOD(ROW()-2,10)+1)</f>
        <v>H006</v>
      </c>
      <c r="C2087">
        <f>_xlfn.XLOOKUP(B2087,Dim_Hotel!$A$2:$A$11,Dim_Hotel!$F$2:$F$11)</f>
        <v>311</v>
      </c>
      <c r="D2087">
        <f t="shared" si="257"/>
        <v>171</v>
      </c>
      <c r="E2087">
        <f t="shared" si="258"/>
        <v>0.54983922829581988</v>
      </c>
      <c r="F2087">
        <f t="shared" si="259"/>
        <v>190</v>
      </c>
      <c r="G2087">
        <f t="shared" si="260"/>
        <v>104.46945337620578</v>
      </c>
      <c r="H2087" t="str">
        <f>_xlfn.XLOOKUP(A2087,Fact_Events!$D$2:$D$20,Fact_Events!$A$2:$A$20, "")</f>
        <v/>
      </c>
      <c r="I2087">
        <f t="shared" si="261"/>
        <v>0</v>
      </c>
      <c r="J2087" t="str">
        <f>_xlfn.XLOOKUP(H2087, Fact_Events!$A$2:$A$20, Fact_Events!$F$2:$F$20, "")</f>
        <v/>
      </c>
      <c r="K2087" t="str">
        <f t="shared" si="262"/>
        <v>Low</v>
      </c>
      <c r="L2087">
        <f t="shared" si="263"/>
        <v>0.55000000000000004</v>
      </c>
      <c r="M2087">
        <f>_xlfn.XLOOKUP(B2087, Dim_Hotel!$A$2:$A$11, Dim_Hotel!$I$2:$I$11)
 + (IF(J2087="",0,J2087)
    * _xlfn.XLOOKUP(B2087, Dim_Hotel!$A$2:$A$11, Dim_Hotel!$J$2:$J$11))</f>
        <v>190</v>
      </c>
    </row>
    <row r="2088" spans="1:13" x14ac:dyDescent="0.25">
      <c r="A2088" s="1">
        <f t="shared" si="256"/>
        <v>46231</v>
      </c>
      <c r="B2088" t="str" cm="1">
        <f t="array" ref="B2088">INDEX(HotelList,MOD(ROW()-2,10)+1)</f>
        <v>H007</v>
      </c>
      <c r="C2088">
        <f>_xlfn.XLOOKUP(B2088,Dim_Hotel!$A$2:$A$11,Dim_Hotel!$F$2:$F$11)</f>
        <v>132</v>
      </c>
      <c r="D2088">
        <f t="shared" si="257"/>
        <v>73</v>
      </c>
      <c r="E2088">
        <f t="shared" si="258"/>
        <v>0.55303030303030298</v>
      </c>
      <c r="F2088">
        <f t="shared" si="259"/>
        <v>165</v>
      </c>
      <c r="G2088">
        <f t="shared" si="260"/>
        <v>91.249999999999986</v>
      </c>
      <c r="H2088" t="str">
        <f>_xlfn.XLOOKUP(A2088,Fact_Events!$D$2:$D$20,Fact_Events!$A$2:$A$20, "")</f>
        <v/>
      </c>
      <c r="I2088">
        <f t="shared" si="261"/>
        <v>0</v>
      </c>
      <c r="J2088" t="str">
        <f>_xlfn.XLOOKUP(H2088, Fact_Events!$A$2:$A$20, Fact_Events!$F$2:$F$20, "")</f>
        <v/>
      </c>
      <c r="K2088" t="str">
        <f t="shared" si="262"/>
        <v>Low</v>
      </c>
      <c r="L2088">
        <f t="shared" si="263"/>
        <v>0.55000000000000004</v>
      </c>
      <c r="M2088">
        <f>_xlfn.XLOOKUP(B2088, Dim_Hotel!$A$2:$A$11, Dim_Hotel!$I$2:$I$11)
 + (IF(J2088="",0,J2088)
    * _xlfn.XLOOKUP(B2088, Dim_Hotel!$A$2:$A$11, Dim_Hotel!$J$2:$J$11))</f>
        <v>165</v>
      </c>
    </row>
    <row r="2089" spans="1:13" x14ac:dyDescent="0.25">
      <c r="A2089" s="1">
        <f t="shared" si="256"/>
        <v>46231</v>
      </c>
      <c r="B2089" t="str" cm="1">
        <f t="array" ref="B2089">INDEX(HotelList,MOD(ROW()-2,10)+1)</f>
        <v>H008</v>
      </c>
      <c r="C2089">
        <f>_xlfn.XLOOKUP(B2089,Dim_Hotel!$A$2:$A$11,Dim_Hotel!$F$2:$F$11)</f>
        <v>103</v>
      </c>
      <c r="D2089">
        <f t="shared" si="257"/>
        <v>57</v>
      </c>
      <c r="E2089">
        <f t="shared" si="258"/>
        <v>0.55339805825242716</v>
      </c>
      <c r="F2089">
        <f t="shared" si="259"/>
        <v>140</v>
      </c>
      <c r="G2089">
        <f t="shared" si="260"/>
        <v>77.475728155339809</v>
      </c>
      <c r="H2089" t="str">
        <f>_xlfn.XLOOKUP(A2089,Fact_Events!$D$2:$D$20,Fact_Events!$A$2:$A$20, "")</f>
        <v/>
      </c>
      <c r="I2089">
        <f t="shared" si="261"/>
        <v>0</v>
      </c>
      <c r="J2089" t="str">
        <f>_xlfn.XLOOKUP(H2089, Fact_Events!$A$2:$A$20, Fact_Events!$F$2:$F$20, "")</f>
        <v/>
      </c>
      <c r="K2089" t="str">
        <f t="shared" si="262"/>
        <v>Low</v>
      </c>
      <c r="L2089">
        <f t="shared" si="263"/>
        <v>0.55000000000000004</v>
      </c>
      <c r="M2089">
        <f>_xlfn.XLOOKUP(B2089, Dim_Hotel!$A$2:$A$11, Dim_Hotel!$I$2:$I$11)
 + (IF(J2089="",0,J2089)
    * _xlfn.XLOOKUP(B2089, Dim_Hotel!$A$2:$A$11, Dim_Hotel!$J$2:$J$11))</f>
        <v>140</v>
      </c>
    </row>
    <row r="2090" spans="1:13" x14ac:dyDescent="0.25">
      <c r="A2090" s="1">
        <f t="shared" si="256"/>
        <v>46231</v>
      </c>
      <c r="B2090" t="str" cm="1">
        <f t="array" ref="B2090">INDEX(HotelList,MOD(ROW()-2,10)+1)</f>
        <v>H009</v>
      </c>
      <c r="C2090">
        <f>_xlfn.XLOOKUP(B2090,Dim_Hotel!$A$2:$A$11,Dim_Hotel!$F$2:$F$11)</f>
        <v>114</v>
      </c>
      <c r="D2090">
        <f t="shared" si="257"/>
        <v>63</v>
      </c>
      <c r="E2090">
        <f t="shared" si="258"/>
        <v>0.55263157894736847</v>
      </c>
      <c r="F2090">
        <f t="shared" si="259"/>
        <v>185</v>
      </c>
      <c r="G2090">
        <f t="shared" si="260"/>
        <v>102.23684210526316</v>
      </c>
      <c r="H2090" t="str">
        <f>_xlfn.XLOOKUP(A2090,Fact_Events!$D$2:$D$20,Fact_Events!$A$2:$A$20, "")</f>
        <v/>
      </c>
      <c r="I2090">
        <f t="shared" si="261"/>
        <v>0</v>
      </c>
      <c r="J2090" t="str">
        <f>_xlfn.XLOOKUP(H2090, Fact_Events!$A$2:$A$20, Fact_Events!$F$2:$F$20, "")</f>
        <v/>
      </c>
      <c r="K2090" t="str">
        <f t="shared" si="262"/>
        <v>Low</v>
      </c>
      <c r="L2090">
        <f t="shared" si="263"/>
        <v>0.55000000000000004</v>
      </c>
      <c r="M2090">
        <f>_xlfn.XLOOKUP(B2090, Dim_Hotel!$A$2:$A$11, Dim_Hotel!$I$2:$I$11)
 + (IF(J2090="",0,J2090)
    * _xlfn.XLOOKUP(B2090, Dim_Hotel!$A$2:$A$11, Dim_Hotel!$J$2:$J$11))</f>
        <v>185</v>
      </c>
    </row>
    <row r="2091" spans="1:13" x14ac:dyDescent="0.25">
      <c r="A2091" s="1">
        <f t="shared" si="256"/>
        <v>46231</v>
      </c>
      <c r="B2091" t="str" cm="1">
        <f t="array" ref="B2091">INDEX(HotelList,MOD(ROW()-2,10)+1)</f>
        <v>H010</v>
      </c>
      <c r="C2091">
        <f>_xlfn.XLOOKUP(B2091,Dim_Hotel!$A$2:$A$11,Dim_Hotel!$F$2:$F$11)</f>
        <v>89</v>
      </c>
      <c r="D2091">
        <f t="shared" si="257"/>
        <v>49</v>
      </c>
      <c r="E2091">
        <f t="shared" si="258"/>
        <v>0.550561797752809</v>
      </c>
      <c r="F2091">
        <f t="shared" si="259"/>
        <v>150</v>
      </c>
      <c r="G2091">
        <f t="shared" si="260"/>
        <v>82.584269662921344</v>
      </c>
      <c r="H2091" t="str">
        <f>_xlfn.XLOOKUP(A2091,Fact_Events!$D$2:$D$20,Fact_Events!$A$2:$A$20, "")</f>
        <v/>
      </c>
      <c r="I2091">
        <f t="shared" si="261"/>
        <v>0</v>
      </c>
      <c r="J2091" t="str">
        <f>_xlfn.XLOOKUP(H2091, Fact_Events!$A$2:$A$20, Fact_Events!$F$2:$F$20, "")</f>
        <v/>
      </c>
      <c r="K2091" t="str">
        <f t="shared" si="262"/>
        <v>Low</v>
      </c>
      <c r="L2091">
        <f t="shared" si="263"/>
        <v>0.55000000000000004</v>
      </c>
      <c r="M2091">
        <f>_xlfn.XLOOKUP(B2091, Dim_Hotel!$A$2:$A$11, Dim_Hotel!$I$2:$I$11)
 + (IF(J2091="",0,J2091)
    * _xlfn.XLOOKUP(B2091, Dim_Hotel!$A$2:$A$11, Dim_Hotel!$J$2:$J$11))</f>
        <v>150</v>
      </c>
    </row>
    <row r="2092" spans="1:13" x14ac:dyDescent="0.25">
      <c r="A2092" s="1">
        <f t="shared" si="256"/>
        <v>46232</v>
      </c>
      <c r="B2092" t="str" cm="1">
        <f t="array" ref="B2092">INDEX(HotelList,MOD(ROW()-2,10)+1)</f>
        <v>H001</v>
      </c>
      <c r="C2092">
        <f>_xlfn.XLOOKUP(B2092,Dim_Hotel!$A$2:$A$11,Dim_Hotel!$F$2:$F$11)</f>
        <v>888</v>
      </c>
      <c r="D2092">
        <f t="shared" si="257"/>
        <v>488</v>
      </c>
      <c r="E2092">
        <f t="shared" si="258"/>
        <v>0.5495495495495496</v>
      </c>
      <c r="F2092">
        <f t="shared" si="259"/>
        <v>260</v>
      </c>
      <c r="G2092">
        <f t="shared" si="260"/>
        <v>142.88288288288288</v>
      </c>
      <c r="H2092" t="str">
        <f>_xlfn.XLOOKUP(A2092,Fact_Events!$D$2:$D$20,Fact_Events!$A$2:$A$20, "")</f>
        <v/>
      </c>
      <c r="I2092">
        <f t="shared" si="261"/>
        <v>0</v>
      </c>
      <c r="J2092" t="str">
        <f>_xlfn.XLOOKUP(H2092, Fact_Events!$A$2:$A$20, Fact_Events!$F$2:$F$20, "")</f>
        <v/>
      </c>
      <c r="K2092" t="str">
        <f t="shared" si="262"/>
        <v>Low</v>
      </c>
      <c r="L2092">
        <f t="shared" si="263"/>
        <v>0.55000000000000004</v>
      </c>
      <c r="M2092">
        <f>_xlfn.XLOOKUP(B2092, Dim_Hotel!$A$2:$A$11, Dim_Hotel!$I$2:$I$11)
 + (IF(J2092="",0,J2092)
    * _xlfn.XLOOKUP(B2092, Dim_Hotel!$A$2:$A$11, Dim_Hotel!$J$2:$J$11))</f>
        <v>260</v>
      </c>
    </row>
    <row r="2093" spans="1:13" x14ac:dyDescent="0.25">
      <c r="A2093" s="1">
        <f t="shared" si="256"/>
        <v>46232</v>
      </c>
      <c r="B2093" t="str" cm="1">
        <f t="array" ref="B2093">INDEX(HotelList,MOD(ROW()-2,10)+1)</f>
        <v>H002</v>
      </c>
      <c r="C2093">
        <f>_xlfn.XLOOKUP(B2093,Dim_Hotel!$A$2:$A$11,Dim_Hotel!$F$2:$F$11)</f>
        <v>147</v>
      </c>
      <c r="D2093">
        <f t="shared" si="257"/>
        <v>81</v>
      </c>
      <c r="E2093">
        <f t="shared" si="258"/>
        <v>0.55102040816326525</v>
      </c>
      <c r="F2093">
        <f t="shared" si="259"/>
        <v>175</v>
      </c>
      <c r="G2093">
        <f t="shared" si="260"/>
        <v>96.428571428571416</v>
      </c>
      <c r="H2093" t="str">
        <f>_xlfn.XLOOKUP(A2093,Fact_Events!$D$2:$D$20,Fact_Events!$A$2:$A$20, "")</f>
        <v/>
      </c>
      <c r="I2093">
        <f t="shared" si="261"/>
        <v>0</v>
      </c>
      <c r="J2093" t="str">
        <f>_xlfn.XLOOKUP(H2093, Fact_Events!$A$2:$A$20, Fact_Events!$F$2:$F$20, "")</f>
        <v/>
      </c>
      <c r="K2093" t="str">
        <f t="shared" si="262"/>
        <v>Low</v>
      </c>
      <c r="L2093">
        <f t="shared" si="263"/>
        <v>0.55000000000000004</v>
      </c>
      <c r="M2093">
        <f>_xlfn.XLOOKUP(B2093, Dim_Hotel!$A$2:$A$11, Dim_Hotel!$I$2:$I$11)
 + (IF(J2093="",0,J2093)
    * _xlfn.XLOOKUP(B2093, Dim_Hotel!$A$2:$A$11, Dim_Hotel!$J$2:$J$11))</f>
        <v>175</v>
      </c>
    </row>
    <row r="2094" spans="1:13" x14ac:dyDescent="0.25">
      <c r="A2094" s="1">
        <f t="shared" si="256"/>
        <v>46232</v>
      </c>
      <c r="B2094" t="str" cm="1">
        <f t="array" ref="B2094">INDEX(HotelList,MOD(ROW()-2,10)+1)</f>
        <v>H003</v>
      </c>
      <c r="C2094">
        <f>_xlfn.XLOOKUP(B2094,Dim_Hotel!$A$2:$A$11,Dim_Hotel!$F$2:$F$11)</f>
        <v>121</v>
      </c>
      <c r="D2094">
        <f t="shared" si="257"/>
        <v>67</v>
      </c>
      <c r="E2094">
        <f t="shared" si="258"/>
        <v>0.55371900826446285</v>
      </c>
      <c r="F2094">
        <f t="shared" si="259"/>
        <v>145</v>
      </c>
      <c r="G2094">
        <f t="shared" si="260"/>
        <v>80.289256198347118</v>
      </c>
      <c r="H2094" t="str">
        <f>_xlfn.XLOOKUP(A2094,Fact_Events!$D$2:$D$20,Fact_Events!$A$2:$A$20, "")</f>
        <v/>
      </c>
      <c r="I2094">
        <f t="shared" si="261"/>
        <v>0</v>
      </c>
      <c r="J2094" t="str">
        <f>_xlfn.XLOOKUP(H2094, Fact_Events!$A$2:$A$20, Fact_Events!$F$2:$F$20, "")</f>
        <v/>
      </c>
      <c r="K2094" t="str">
        <f t="shared" si="262"/>
        <v>Low</v>
      </c>
      <c r="L2094">
        <f t="shared" si="263"/>
        <v>0.55000000000000004</v>
      </c>
      <c r="M2094">
        <f>_xlfn.XLOOKUP(B2094, Dim_Hotel!$A$2:$A$11, Dim_Hotel!$I$2:$I$11)
 + (IF(J2094="",0,J2094)
    * _xlfn.XLOOKUP(B2094, Dim_Hotel!$A$2:$A$11, Dim_Hotel!$J$2:$J$11))</f>
        <v>145</v>
      </c>
    </row>
    <row r="2095" spans="1:13" x14ac:dyDescent="0.25">
      <c r="A2095" s="1">
        <f t="shared" si="256"/>
        <v>46232</v>
      </c>
      <c r="B2095" t="str" cm="1">
        <f t="array" ref="B2095">INDEX(HotelList,MOD(ROW()-2,10)+1)</f>
        <v>H004</v>
      </c>
      <c r="C2095">
        <f>_xlfn.XLOOKUP(B2095,Dim_Hotel!$A$2:$A$11,Dim_Hotel!$F$2:$F$11)</f>
        <v>108</v>
      </c>
      <c r="D2095">
        <f t="shared" si="257"/>
        <v>59</v>
      </c>
      <c r="E2095">
        <f t="shared" si="258"/>
        <v>0.54629629629629628</v>
      </c>
      <c r="F2095">
        <f t="shared" si="259"/>
        <v>135</v>
      </c>
      <c r="G2095">
        <f t="shared" si="260"/>
        <v>73.75</v>
      </c>
      <c r="H2095" t="str">
        <f>_xlfn.XLOOKUP(A2095,Fact_Events!$D$2:$D$20,Fact_Events!$A$2:$A$20, "")</f>
        <v/>
      </c>
      <c r="I2095">
        <f t="shared" si="261"/>
        <v>0</v>
      </c>
      <c r="J2095" t="str">
        <f>_xlfn.XLOOKUP(H2095, Fact_Events!$A$2:$A$20, Fact_Events!$F$2:$F$20, "")</f>
        <v/>
      </c>
      <c r="K2095" t="str">
        <f t="shared" si="262"/>
        <v>Low</v>
      </c>
      <c r="L2095">
        <f t="shared" si="263"/>
        <v>0.55000000000000004</v>
      </c>
      <c r="M2095">
        <f>_xlfn.XLOOKUP(B2095, Dim_Hotel!$A$2:$A$11, Dim_Hotel!$I$2:$I$11)
 + (IF(J2095="",0,J2095)
    * _xlfn.XLOOKUP(B2095, Dim_Hotel!$A$2:$A$11, Dim_Hotel!$J$2:$J$11))</f>
        <v>135</v>
      </c>
    </row>
    <row r="2096" spans="1:13" x14ac:dyDescent="0.25">
      <c r="A2096" s="1">
        <f t="shared" si="256"/>
        <v>46232</v>
      </c>
      <c r="B2096" t="str" cm="1">
        <f t="array" ref="B2096">INDEX(HotelList,MOD(ROW()-2,10)+1)</f>
        <v>H005</v>
      </c>
      <c r="C2096">
        <f>_xlfn.XLOOKUP(B2096,Dim_Hotel!$A$2:$A$11,Dim_Hotel!$F$2:$F$11)</f>
        <v>66</v>
      </c>
      <c r="D2096">
        <f t="shared" si="257"/>
        <v>36</v>
      </c>
      <c r="E2096">
        <f t="shared" si="258"/>
        <v>0.54545454545454541</v>
      </c>
      <c r="F2096">
        <f t="shared" si="259"/>
        <v>82</v>
      </c>
      <c r="G2096">
        <f t="shared" si="260"/>
        <v>44.727272727272727</v>
      </c>
      <c r="H2096" t="str">
        <f>_xlfn.XLOOKUP(A2096,Fact_Events!$D$2:$D$20,Fact_Events!$A$2:$A$20, "")</f>
        <v/>
      </c>
      <c r="I2096">
        <f t="shared" si="261"/>
        <v>0</v>
      </c>
      <c r="J2096" t="str">
        <f>_xlfn.XLOOKUP(H2096, Fact_Events!$A$2:$A$20, Fact_Events!$F$2:$F$20, "")</f>
        <v/>
      </c>
      <c r="K2096" t="str">
        <f t="shared" si="262"/>
        <v>Low</v>
      </c>
      <c r="L2096">
        <f t="shared" si="263"/>
        <v>0.55000000000000004</v>
      </c>
      <c r="M2096">
        <f>_xlfn.XLOOKUP(B2096, Dim_Hotel!$A$2:$A$11, Dim_Hotel!$I$2:$I$11)
 + (IF(J2096="",0,J2096)
    * _xlfn.XLOOKUP(B2096, Dim_Hotel!$A$2:$A$11, Dim_Hotel!$J$2:$J$11))</f>
        <v>82</v>
      </c>
    </row>
    <row r="2097" spans="1:13" x14ac:dyDescent="0.25">
      <c r="A2097" s="1">
        <f t="shared" si="256"/>
        <v>46232</v>
      </c>
      <c r="B2097" t="str" cm="1">
        <f t="array" ref="B2097">INDEX(HotelList,MOD(ROW()-2,10)+1)</f>
        <v>H006</v>
      </c>
      <c r="C2097">
        <f>_xlfn.XLOOKUP(B2097,Dim_Hotel!$A$2:$A$11,Dim_Hotel!$F$2:$F$11)</f>
        <v>311</v>
      </c>
      <c r="D2097">
        <f t="shared" si="257"/>
        <v>171</v>
      </c>
      <c r="E2097">
        <f t="shared" si="258"/>
        <v>0.54983922829581988</v>
      </c>
      <c r="F2097">
        <f t="shared" si="259"/>
        <v>190</v>
      </c>
      <c r="G2097">
        <f t="shared" si="260"/>
        <v>104.46945337620578</v>
      </c>
      <c r="H2097" t="str">
        <f>_xlfn.XLOOKUP(A2097,Fact_Events!$D$2:$D$20,Fact_Events!$A$2:$A$20, "")</f>
        <v/>
      </c>
      <c r="I2097">
        <f t="shared" si="261"/>
        <v>0</v>
      </c>
      <c r="J2097" t="str">
        <f>_xlfn.XLOOKUP(H2097, Fact_Events!$A$2:$A$20, Fact_Events!$F$2:$F$20, "")</f>
        <v/>
      </c>
      <c r="K2097" t="str">
        <f t="shared" si="262"/>
        <v>Low</v>
      </c>
      <c r="L2097">
        <f t="shared" si="263"/>
        <v>0.55000000000000004</v>
      </c>
      <c r="M2097">
        <f>_xlfn.XLOOKUP(B2097, Dim_Hotel!$A$2:$A$11, Dim_Hotel!$I$2:$I$11)
 + (IF(J2097="",0,J2097)
    * _xlfn.XLOOKUP(B2097, Dim_Hotel!$A$2:$A$11, Dim_Hotel!$J$2:$J$11))</f>
        <v>190</v>
      </c>
    </row>
    <row r="2098" spans="1:13" x14ac:dyDescent="0.25">
      <c r="A2098" s="1">
        <f t="shared" si="256"/>
        <v>46232</v>
      </c>
      <c r="B2098" t="str" cm="1">
        <f t="array" ref="B2098">INDEX(HotelList,MOD(ROW()-2,10)+1)</f>
        <v>H007</v>
      </c>
      <c r="C2098">
        <f>_xlfn.XLOOKUP(B2098,Dim_Hotel!$A$2:$A$11,Dim_Hotel!$F$2:$F$11)</f>
        <v>132</v>
      </c>
      <c r="D2098">
        <f t="shared" si="257"/>
        <v>73</v>
      </c>
      <c r="E2098">
        <f t="shared" si="258"/>
        <v>0.55303030303030298</v>
      </c>
      <c r="F2098">
        <f t="shared" si="259"/>
        <v>165</v>
      </c>
      <c r="G2098">
        <f t="shared" si="260"/>
        <v>91.249999999999986</v>
      </c>
      <c r="H2098" t="str">
        <f>_xlfn.XLOOKUP(A2098,Fact_Events!$D$2:$D$20,Fact_Events!$A$2:$A$20, "")</f>
        <v/>
      </c>
      <c r="I2098">
        <f t="shared" si="261"/>
        <v>0</v>
      </c>
      <c r="J2098" t="str">
        <f>_xlfn.XLOOKUP(H2098, Fact_Events!$A$2:$A$20, Fact_Events!$F$2:$F$20, "")</f>
        <v/>
      </c>
      <c r="K2098" t="str">
        <f t="shared" si="262"/>
        <v>Low</v>
      </c>
      <c r="L2098">
        <f t="shared" si="263"/>
        <v>0.55000000000000004</v>
      </c>
      <c r="M2098">
        <f>_xlfn.XLOOKUP(B2098, Dim_Hotel!$A$2:$A$11, Dim_Hotel!$I$2:$I$11)
 + (IF(J2098="",0,J2098)
    * _xlfn.XLOOKUP(B2098, Dim_Hotel!$A$2:$A$11, Dim_Hotel!$J$2:$J$11))</f>
        <v>165</v>
      </c>
    </row>
    <row r="2099" spans="1:13" x14ac:dyDescent="0.25">
      <c r="A2099" s="1">
        <f t="shared" si="256"/>
        <v>46232</v>
      </c>
      <c r="B2099" t="str" cm="1">
        <f t="array" ref="B2099">INDEX(HotelList,MOD(ROW()-2,10)+1)</f>
        <v>H008</v>
      </c>
      <c r="C2099">
        <f>_xlfn.XLOOKUP(B2099,Dim_Hotel!$A$2:$A$11,Dim_Hotel!$F$2:$F$11)</f>
        <v>103</v>
      </c>
      <c r="D2099">
        <f t="shared" si="257"/>
        <v>57</v>
      </c>
      <c r="E2099">
        <f t="shared" si="258"/>
        <v>0.55339805825242716</v>
      </c>
      <c r="F2099">
        <f t="shared" si="259"/>
        <v>140</v>
      </c>
      <c r="G2099">
        <f t="shared" si="260"/>
        <v>77.475728155339809</v>
      </c>
      <c r="H2099" t="str">
        <f>_xlfn.XLOOKUP(A2099,Fact_Events!$D$2:$D$20,Fact_Events!$A$2:$A$20, "")</f>
        <v/>
      </c>
      <c r="I2099">
        <f t="shared" si="261"/>
        <v>0</v>
      </c>
      <c r="J2099" t="str">
        <f>_xlfn.XLOOKUP(H2099, Fact_Events!$A$2:$A$20, Fact_Events!$F$2:$F$20, "")</f>
        <v/>
      </c>
      <c r="K2099" t="str">
        <f t="shared" si="262"/>
        <v>Low</v>
      </c>
      <c r="L2099">
        <f t="shared" si="263"/>
        <v>0.55000000000000004</v>
      </c>
      <c r="M2099">
        <f>_xlfn.XLOOKUP(B2099, Dim_Hotel!$A$2:$A$11, Dim_Hotel!$I$2:$I$11)
 + (IF(J2099="",0,J2099)
    * _xlfn.XLOOKUP(B2099, Dim_Hotel!$A$2:$A$11, Dim_Hotel!$J$2:$J$11))</f>
        <v>140</v>
      </c>
    </row>
    <row r="2100" spans="1:13" x14ac:dyDescent="0.25">
      <c r="A2100" s="1">
        <f t="shared" si="256"/>
        <v>46232</v>
      </c>
      <c r="B2100" t="str" cm="1">
        <f t="array" ref="B2100">INDEX(HotelList,MOD(ROW()-2,10)+1)</f>
        <v>H009</v>
      </c>
      <c r="C2100">
        <f>_xlfn.XLOOKUP(B2100,Dim_Hotel!$A$2:$A$11,Dim_Hotel!$F$2:$F$11)</f>
        <v>114</v>
      </c>
      <c r="D2100">
        <f t="shared" si="257"/>
        <v>63</v>
      </c>
      <c r="E2100">
        <f t="shared" si="258"/>
        <v>0.55263157894736847</v>
      </c>
      <c r="F2100">
        <f t="shared" si="259"/>
        <v>185</v>
      </c>
      <c r="G2100">
        <f t="shared" si="260"/>
        <v>102.23684210526316</v>
      </c>
      <c r="H2100" t="str">
        <f>_xlfn.XLOOKUP(A2100,Fact_Events!$D$2:$D$20,Fact_Events!$A$2:$A$20, "")</f>
        <v/>
      </c>
      <c r="I2100">
        <f t="shared" si="261"/>
        <v>0</v>
      </c>
      <c r="J2100" t="str">
        <f>_xlfn.XLOOKUP(H2100, Fact_Events!$A$2:$A$20, Fact_Events!$F$2:$F$20, "")</f>
        <v/>
      </c>
      <c r="K2100" t="str">
        <f t="shared" si="262"/>
        <v>Low</v>
      </c>
      <c r="L2100">
        <f t="shared" si="263"/>
        <v>0.55000000000000004</v>
      </c>
      <c r="M2100">
        <f>_xlfn.XLOOKUP(B2100, Dim_Hotel!$A$2:$A$11, Dim_Hotel!$I$2:$I$11)
 + (IF(J2100="",0,J2100)
    * _xlfn.XLOOKUP(B2100, Dim_Hotel!$A$2:$A$11, Dim_Hotel!$J$2:$J$11))</f>
        <v>185</v>
      </c>
    </row>
    <row r="2101" spans="1:13" x14ac:dyDescent="0.25">
      <c r="A2101" s="1">
        <f t="shared" si="256"/>
        <v>46232</v>
      </c>
      <c r="B2101" t="str" cm="1">
        <f t="array" ref="B2101">INDEX(HotelList,MOD(ROW()-2,10)+1)</f>
        <v>H010</v>
      </c>
      <c r="C2101">
        <f>_xlfn.XLOOKUP(B2101,Dim_Hotel!$A$2:$A$11,Dim_Hotel!$F$2:$F$11)</f>
        <v>89</v>
      </c>
      <c r="D2101">
        <f t="shared" si="257"/>
        <v>49</v>
      </c>
      <c r="E2101">
        <f t="shared" si="258"/>
        <v>0.550561797752809</v>
      </c>
      <c r="F2101">
        <f t="shared" si="259"/>
        <v>150</v>
      </c>
      <c r="G2101">
        <f t="shared" si="260"/>
        <v>82.584269662921344</v>
      </c>
      <c r="H2101" t="str">
        <f>_xlfn.XLOOKUP(A2101,Fact_Events!$D$2:$D$20,Fact_Events!$A$2:$A$20, "")</f>
        <v/>
      </c>
      <c r="I2101">
        <f t="shared" si="261"/>
        <v>0</v>
      </c>
      <c r="J2101" t="str">
        <f>_xlfn.XLOOKUP(H2101, Fact_Events!$A$2:$A$20, Fact_Events!$F$2:$F$20, "")</f>
        <v/>
      </c>
      <c r="K2101" t="str">
        <f t="shared" si="262"/>
        <v>Low</v>
      </c>
      <c r="L2101">
        <f t="shared" si="263"/>
        <v>0.55000000000000004</v>
      </c>
      <c r="M2101">
        <f>_xlfn.XLOOKUP(B2101, Dim_Hotel!$A$2:$A$11, Dim_Hotel!$I$2:$I$11)
 + (IF(J2101="",0,J2101)
    * _xlfn.XLOOKUP(B2101, Dim_Hotel!$A$2:$A$11, Dim_Hotel!$J$2:$J$11))</f>
        <v>150</v>
      </c>
    </row>
    <row r="2102" spans="1:13" x14ac:dyDescent="0.25">
      <c r="A2102" s="1">
        <f t="shared" si="256"/>
        <v>46233</v>
      </c>
      <c r="B2102" t="str" cm="1">
        <f t="array" ref="B2102">INDEX(HotelList,MOD(ROW()-2,10)+1)</f>
        <v>H001</v>
      </c>
      <c r="C2102">
        <f>_xlfn.XLOOKUP(B2102,Dim_Hotel!$A$2:$A$11,Dim_Hotel!$F$2:$F$11)</f>
        <v>888</v>
      </c>
      <c r="D2102">
        <f t="shared" si="257"/>
        <v>488</v>
      </c>
      <c r="E2102">
        <f t="shared" si="258"/>
        <v>0.5495495495495496</v>
      </c>
      <c r="F2102">
        <f t="shared" si="259"/>
        <v>260</v>
      </c>
      <c r="G2102">
        <f t="shared" si="260"/>
        <v>142.88288288288288</v>
      </c>
      <c r="H2102" t="str">
        <f>_xlfn.XLOOKUP(A2102,Fact_Events!$D$2:$D$20,Fact_Events!$A$2:$A$20, "")</f>
        <v/>
      </c>
      <c r="I2102">
        <f t="shared" si="261"/>
        <v>0</v>
      </c>
      <c r="J2102" t="str">
        <f>_xlfn.XLOOKUP(H2102, Fact_Events!$A$2:$A$20, Fact_Events!$F$2:$F$20, "")</f>
        <v/>
      </c>
      <c r="K2102" t="str">
        <f t="shared" si="262"/>
        <v>Low</v>
      </c>
      <c r="L2102">
        <f t="shared" si="263"/>
        <v>0.55000000000000004</v>
      </c>
      <c r="M2102">
        <f>_xlfn.XLOOKUP(B2102, Dim_Hotel!$A$2:$A$11, Dim_Hotel!$I$2:$I$11)
 + (IF(J2102="",0,J2102)
    * _xlfn.XLOOKUP(B2102, Dim_Hotel!$A$2:$A$11, Dim_Hotel!$J$2:$J$11))</f>
        <v>260</v>
      </c>
    </row>
    <row r="2103" spans="1:13" x14ac:dyDescent="0.25">
      <c r="A2103" s="1">
        <f t="shared" si="256"/>
        <v>46233</v>
      </c>
      <c r="B2103" t="str" cm="1">
        <f t="array" ref="B2103">INDEX(HotelList,MOD(ROW()-2,10)+1)</f>
        <v>H002</v>
      </c>
      <c r="C2103">
        <f>_xlfn.XLOOKUP(B2103,Dim_Hotel!$A$2:$A$11,Dim_Hotel!$F$2:$F$11)</f>
        <v>147</v>
      </c>
      <c r="D2103">
        <f t="shared" si="257"/>
        <v>81</v>
      </c>
      <c r="E2103">
        <f t="shared" si="258"/>
        <v>0.55102040816326525</v>
      </c>
      <c r="F2103">
        <f t="shared" si="259"/>
        <v>175</v>
      </c>
      <c r="G2103">
        <f t="shared" si="260"/>
        <v>96.428571428571416</v>
      </c>
      <c r="H2103" t="str">
        <f>_xlfn.XLOOKUP(A2103,Fact_Events!$D$2:$D$20,Fact_Events!$A$2:$A$20, "")</f>
        <v/>
      </c>
      <c r="I2103">
        <f t="shared" si="261"/>
        <v>0</v>
      </c>
      <c r="J2103" t="str">
        <f>_xlfn.XLOOKUP(H2103, Fact_Events!$A$2:$A$20, Fact_Events!$F$2:$F$20, "")</f>
        <v/>
      </c>
      <c r="K2103" t="str">
        <f t="shared" si="262"/>
        <v>Low</v>
      </c>
      <c r="L2103">
        <f t="shared" si="263"/>
        <v>0.55000000000000004</v>
      </c>
      <c r="M2103">
        <f>_xlfn.XLOOKUP(B2103, Dim_Hotel!$A$2:$A$11, Dim_Hotel!$I$2:$I$11)
 + (IF(J2103="",0,J2103)
    * _xlfn.XLOOKUP(B2103, Dim_Hotel!$A$2:$A$11, Dim_Hotel!$J$2:$J$11))</f>
        <v>175</v>
      </c>
    </row>
    <row r="2104" spans="1:13" x14ac:dyDescent="0.25">
      <c r="A2104" s="1">
        <f t="shared" si="256"/>
        <v>46233</v>
      </c>
      <c r="B2104" t="str" cm="1">
        <f t="array" ref="B2104">INDEX(HotelList,MOD(ROW()-2,10)+1)</f>
        <v>H003</v>
      </c>
      <c r="C2104">
        <f>_xlfn.XLOOKUP(B2104,Dim_Hotel!$A$2:$A$11,Dim_Hotel!$F$2:$F$11)</f>
        <v>121</v>
      </c>
      <c r="D2104">
        <f t="shared" si="257"/>
        <v>67</v>
      </c>
      <c r="E2104">
        <f t="shared" si="258"/>
        <v>0.55371900826446285</v>
      </c>
      <c r="F2104">
        <f t="shared" si="259"/>
        <v>145</v>
      </c>
      <c r="G2104">
        <f t="shared" si="260"/>
        <v>80.289256198347118</v>
      </c>
      <c r="H2104" t="str">
        <f>_xlfn.XLOOKUP(A2104,Fact_Events!$D$2:$D$20,Fact_Events!$A$2:$A$20, "")</f>
        <v/>
      </c>
      <c r="I2104">
        <f t="shared" si="261"/>
        <v>0</v>
      </c>
      <c r="J2104" t="str">
        <f>_xlfn.XLOOKUP(H2104, Fact_Events!$A$2:$A$20, Fact_Events!$F$2:$F$20, "")</f>
        <v/>
      </c>
      <c r="K2104" t="str">
        <f t="shared" si="262"/>
        <v>Low</v>
      </c>
      <c r="L2104">
        <f t="shared" si="263"/>
        <v>0.55000000000000004</v>
      </c>
      <c r="M2104">
        <f>_xlfn.XLOOKUP(B2104, Dim_Hotel!$A$2:$A$11, Dim_Hotel!$I$2:$I$11)
 + (IF(J2104="",0,J2104)
    * _xlfn.XLOOKUP(B2104, Dim_Hotel!$A$2:$A$11, Dim_Hotel!$J$2:$J$11))</f>
        <v>145</v>
      </c>
    </row>
    <row r="2105" spans="1:13" x14ac:dyDescent="0.25">
      <c r="A2105" s="1">
        <f t="shared" si="256"/>
        <v>46233</v>
      </c>
      <c r="B2105" t="str" cm="1">
        <f t="array" ref="B2105">INDEX(HotelList,MOD(ROW()-2,10)+1)</f>
        <v>H004</v>
      </c>
      <c r="C2105">
        <f>_xlfn.XLOOKUP(B2105,Dim_Hotel!$A$2:$A$11,Dim_Hotel!$F$2:$F$11)</f>
        <v>108</v>
      </c>
      <c r="D2105">
        <f t="shared" si="257"/>
        <v>59</v>
      </c>
      <c r="E2105">
        <f t="shared" si="258"/>
        <v>0.54629629629629628</v>
      </c>
      <c r="F2105">
        <f t="shared" si="259"/>
        <v>135</v>
      </c>
      <c r="G2105">
        <f t="shared" si="260"/>
        <v>73.75</v>
      </c>
      <c r="H2105" t="str">
        <f>_xlfn.XLOOKUP(A2105,Fact_Events!$D$2:$D$20,Fact_Events!$A$2:$A$20, "")</f>
        <v/>
      </c>
      <c r="I2105">
        <f t="shared" si="261"/>
        <v>0</v>
      </c>
      <c r="J2105" t="str">
        <f>_xlfn.XLOOKUP(H2105, Fact_Events!$A$2:$A$20, Fact_Events!$F$2:$F$20, "")</f>
        <v/>
      </c>
      <c r="K2105" t="str">
        <f t="shared" si="262"/>
        <v>Low</v>
      </c>
      <c r="L2105">
        <f t="shared" si="263"/>
        <v>0.55000000000000004</v>
      </c>
      <c r="M2105">
        <f>_xlfn.XLOOKUP(B2105, Dim_Hotel!$A$2:$A$11, Dim_Hotel!$I$2:$I$11)
 + (IF(J2105="",0,J2105)
    * _xlfn.XLOOKUP(B2105, Dim_Hotel!$A$2:$A$11, Dim_Hotel!$J$2:$J$11))</f>
        <v>135</v>
      </c>
    </row>
    <row r="2106" spans="1:13" x14ac:dyDescent="0.25">
      <c r="A2106" s="1">
        <f t="shared" si="256"/>
        <v>46233</v>
      </c>
      <c r="B2106" t="str" cm="1">
        <f t="array" ref="B2106">INDEX(HotelList,MOD(ROW()-2,10)+1)</f>
        <v>H005</v>
      </c>
      <c r="C2106">
        <f>_xlfn.XLOOKUP(B2106,Dim_Hotel!$A$2:$A$11,Dim_Hotel!$F$2:$F$11)</f>
        <v>66</v>
      </c>
      <c r="D2106">
        <f t="shared" si="257"/>
        <v>36</v>
      </c>
      <c r="E2106">
        <f t="shared" si="258"/>
        <v>0.54545454545454541</v>
      </c>
      <c r="F2106">
        <f t="shared" si="259"/>
        <v>82</v>
      </c>
      <c r="G2106">
        <f t="shared" si="260"/>
        <v>44.727272727272727</v>
      </c>
      <c r="H2106" t="str">
        <f>_xlfn.XLOOKUP(A2106,Fact_Events!$D$2:$D$20,Fact_Events!$A$2:$A$20, "")</f>
        <v/>
      </c>
      <c r="I2106">
        <f t="shared" si="261"/>
        <v>0</v>
      </c>
      <c r="J2106" t="str">
        <f>_xlfn.XLOOKUP(H2106, Fact_Events!$A$2:$A$20, Fact_Events!$F$2:$F$20, "")</f>
        <v/>
      </c>
      <c r="K2106" t="str">
        <f t="shared" si="262"/>
        <v>Low</v>
      </c>
      <c r="L2106">
        <f t="shared" si="263"/>
        <v>0.55000000000000004</v>
      </c>
      <c r="M2106">
        <f>_xlfn.XLOOKUP(B2106, Dim_Hotel!$A$2:$A$11, Dim_Hotel!$I$2:$I$11)
 + (IF(J2106="",0,J2106)
    * _xlfn.XLOOKUP(B2106, Dim_Hotel!$A$2:$A$11, Dim_Hotel!$J$2:$J$11))</f>
        <v>82</v>
      </c>
    </row>
    <row r="2107" spans="1:13" x14ac:dyDescent="0.25">
      <c r="A2107" s="1">
        <f t="shared" si="256"/>
        <v>46233</v>
      </c>
      <c r="B2107" t="str" cm="1">
        <f t="array" ref="B2107">INDEX(HotelList,MOD(ROW()-2,10)+1)</f>
        <v>H006</v>
      </c>
      <c r="C2107">
        <f>_xlfn.XLOOKUP(B2107,Dim_Hotel!$A$2:$A$11,Dim_Hotel!$F$2:$F$11)</f>
        <v>311</v>
      </c>
      <c r="D2107">
        <f t="shared" si="257"/>
        <v>171</v>
      </c>
      <c r="E2107">
        <f t="shared" si="258"/>
        <v>0.54983922829581988</v>
      </c>
      <c r="F2107">
        <f t="shared" si="259"/>
        <v>190</v>
      </c>
      <c r="G2107">
        <f t="shared" si="260"/>
        <v>104.46945337620578</v>
      </c>
      <c r="H2107" t="str">
        <f>_xlfn.XLOOKUP(A2107,Fact_Events!$D$2:$D$20,Fact_Events!$A$2:$A$20, "")</f>
        <v/>
      </c>
      <c r="I2107">
        <f t="shared" si="261"/>
        <v>0</v>
      </c>
      <c r="J2107" t="str">
        <f>_xlfn.XLOOKUP(H2107, Fact_Events!$A$2:$A$20, Fact_Events!$F$2:$F$20, "")</f>
        <v/>
      </c>
      <c r="K2107" t="str">
        <f t="shared" si="262"/>
        <v>Low</v>
      </c>
      <c r="L2107">
        <f t="shared" si="263"/>
        <v>0.55000000000000004</v>
      </c>
      <c r="M2107">
        <f>_xlfn.XLOOKUP(B2107, Dim_Hotel!$A$2:$A$11, Dim_Hotel!$I$2:$I$11)
 + (IF(J2107="",0,J2107)
    * _xlfn.XLOOKUP(B2107, Dim_Hotel!$A$2:$A$11, Dim_Hotel!$J$2:$J$11))</f>
        <v>190</v>
      </c>
    </row>
    <row r="2108" spans="1:13" x14ac:dyDescent="0.25">
      <c r="A2108" s="1">
        <f t="shared" si="256"/>
        <v>46233</v>
      </c>
      <c r="B2108" t="str" cm="1">
        <f t="array" ref="B2108">INDEX(HotelList,MOD(ROW()-2,10)+1)</f>
        <v>H007</v>
      </c>
      <c r="C2108">
        <f>_xlfn.XLOOKUP(B2108,Dim_Hotel!$A$2:$A$11,Dim_Hotel!$F$2:$F$11)</f>
        <v>132</v>
      </c>
      <c r="D2108">
        <f t="shared" si="257"/>
        <v>73</v>
      </c>
      <c r="E2108">
        <f t="shared" si="258"/>
        <v>0.55303030303030298</v>
      </c>
      <c r="F2108">
        <f t="shared" si="259"/>
        <v>165</v>
      </c>
      <c r="G2108">
        <f t="shared" si="260"/>
        <v>91.249999999999986</v>
      </c>
      <c r="H2108" t="str">
        <f>_xlfn.XLOOKUP(A2108,Fact_Events!$D$2:$D$20,Fact_Events!$A$2:$A$20, "")</f>
        <v/>
      </c>
      <c r="I2108">
        <f t="shared" si="261"/>
        <v>0</v>
      </c>
      <c r="J2108" t="str">
        <f>_xlfn.XLOOKUP(H2108, Fact_Events!$A$2:$A$20, Fact_Events!$F$2:$F$20, "")</f>
        <v/>
      </c>
      <c r="K2108" t="str">
        <f t="shared" si="262"/>
        <v>Low</v>
      </c>
      <c r="L2108">
        <f t="shared" si="263"/>
        <v>0.55000000000000004</v>
      </c>
      <c r="M2108">
        <f>_xlfn.XLOOKUP(B2108, Dim_Hotel!$A$2:$A$11, Dim_Hotel!$I$2:$I$11)
 + (IF(J2108="",0,J2108)
    * _xlfn.XLOOKUP(B2108, Dim_Hotel!$A$2:$A$11, Dim_Hotel!$J$2:$J$11))</f>
        <v>165</v>
      </c>
    </row>
    <row r="2109" spans="1:13" x14ac:dyDescent="0.25">
      <c r="A2109" s="1">
        <f t="shared" si="256"/>
        <v>46233</v>
      </c>
      <c r="B2109" t="str" cm="1">
        <f t="array" ref="B2109">INDEX(HotelList,MOD(ROW()-2,10)+1)</f>
        <v>H008</v>
      </c>
      <c r="C2109">
        <f>_xlfn.XLOOKUP(B2109,Dim_Hotel!$A$2:$A$11,Dim_Hotel!$F$2:$F$11)</f>
        <v>103</v>
      </c>
      <c r="D2109">
        <f t="shared" si="257"/>
        <v>57</v>
      </c>
      <c r="E2109">
        <f t="shared" si="258"/>
        <v>0.55339805825242716</v>
      </c>
      <c r="F2109">
        <f t="shared" si="259"/>
        <v>140</v>
      </c>
      <c r="G2109">
        <f t="shared" si="260"/>
        <v>77.475728155339809</v>
      </c>
      <c r="H2109" t="str">
        <f>_xlfn.XLOOKUP(A2109,Fact_Events!$D$2:$D$20,Fact_Events!$A$2:$A$20, "")</f>
        <v/>
      </c>
      <c r="I2109">
        <f t="shared" si="261"/>
        <v>0</v>
      </c>
      <c r="J2109" t="str">
        <f>_xlfn.XLOOKUP(H2109, Fact_Events!$A$2:$A$20, Fact_Events!$F$2:$F$20, "")</f>
        <v/>
      </c>
      <c r="K2109" t="str">
        <f t="shared" si="262"/>
        <v>Low</v>
      </c>
      <c r="L2109">
        <f t="shared" si="263"/>
        <v>0.55000000000000004</v>
      </c>
      <c r="M2109">
        <f>_xlfn.XLOOKUP(B2109, Dim_Hotel!$A$2:$A$11, Dim_Hotel!$I$2:$I$11)
 + (IF(J2109="",0,J2109)
    * _xlfn.XLOOKUP(B2109, Dim_Hotel!$A$2:$A$11, Dim_Hotel!$J$2:$J$11))</f>
        <v>140</v>
      </c>
    </row>
    <row r="2110" spans="1:13" x14ac:dyDescent="0.25">
      <c r="A2110" s="1">
        <f t="shared" si="256"/>
        <v>46233</v>
      </c>
      <c r="B2110" t="str" cm="1">
        <f t="array" ref="B2110">INDEX(HotelList,MOD(ROW()-2,10)+1)</f>
        <v>H009</v>
      </c>
      <c r="C2110">
        <f>_xlfn.XLOOKUP(B2110,Dim_Hotel!$A$2:$A$11,Dim_Hotel!$F$2:$F$11)</f>
        <v>114</v>
      </c>
      <c r="D2110">
        <f t="shared" si="257"/>
        <v>63</v>
      </c>
      <c r="E2110">
        <f t="shared" si="258"/>
        <v>0.55263157894736847</v>
      </c>
      <c r="F2110">
        <f t="shared" si="259"/>
        <v>185</v>
      </c>
      <c r="G2110">
        <f t="shared" si="260"/>
        <v>102.23684210526316</v>
      </c>
      <c r="H2110" t="str">
        <f>_xlfn.XLOOKUP(A2110,Fact_Events!$D$2:$D$20,Fact_Events!$A$2:$A$20, "")</f>
        <v/>
      </c>
      <c r="I2110">
        <f t="shared" si="261"/>
        <v>0</v>
      </c>
      <c r="J2110" t="str">
        <f>_xlfn.XLOOKUP(H2110, Fact_Events!$A$2:$A$20, Fact_Events!$F$2:$F$20, "")</f>
        <v/>
      </c>
      <c r="K2110" t="str">
        <f t="shared" si="262"/>
        <v>Low</v>
      </c>
      <c r="L2110">
        <f t="shared" si="263"/>
        <v>0.55000000000000004</v>
      </c>
      <c r="M2110">
        <f>_xlfn.XLOOKUP(B2110, Dim_Hotel!$A$2:$A$11, Dim_Hotel!$I$2:$I$11)
 + (IF(J2110="",0,J2110)
    * _xlfn.XLOOKUP(B2110, Dim_Hotel!$A$2:$A$11, Dim_Hotel!$J$2:$J$11))</f>
        <v>185</v>
      </c>
    </row>
    <row r="2111" spans="1:13" x14ac:dyDescent="0.25">
      <c r="A2111" s="1">
        <f t="shared" si="256"/>
        <v>46233</v>
      </c>
      <c r="B2111" t="str" cm="1">
        <f t="array" ref="B2111">INDEX(HotelList,MOD(ROW()-2,10)+1)</f>
        <v>H010</v>
      </c>
      <c r="C2111">
        <f>_xlfn.XLOOKUP(B2111,Dim_Hotel!$A$2:$A$11,Dim_Hotel!$F$2:$F$11)</f>
        <v>89</v>
      </c>
      <c r="D2111">
        <f t="shared" si="257"/>
        <v>49</v>
      </c>
      <c r="E2111">
        <f t="shared" si="258"/>
        <v>0.550561797752809</v>
      </c>
      <c r="F2111">
        <f t="shared" si="259"/>
        <v>150</v>
      </c>
      <c r="G2111">
        <f t="shared" si="260"/>
        <v>82.584269662921344</v>
      </c>
      <c r="H2111" t="str">
        <f>_xlfn.XLOOKUP(A2111,Fact_Events!$D$2:$D$20,Fact_Events!$A$2:$A$20, "")</f>
        <v/>
      </c>
      <c r="I2111">
        <f t="shared" si="261"/>
        <v>0</v>
      </c>
      <c r="J2111" t="str">
        <f>_xlfn.XLOOKUP(H2111, Fact_Events!$A$2:$A$20, Fact_Events!$F$2:$F$20, "")</f>
        <v/>
      </c>
      <c r="K2111" t="str">
        <f t="shared" si="262"/>
        <v>Low</v>
      </c>
      <c r="L2111">
        <f t="shared" si="263"/>
        <v>0.55000000000000004</v>
      </c>
      <c r="M2111">
        <f>_xlfn.XLOOKUP(B2111, Dim_Hotel!$A$2:$A$11, Dim_Hotel!$I$2:$I$11)
 + (IF(J2111="",0,J2111)
    * _xlfn.XLOOKUP(B2111, Dim_Hotel!$A$2:$A$11, Dim_Hotel!$J$2:$J$11))</f>
        <v>150</v>
      </c>
    </row>
    <row r="2112" spans="1:13" x14ac:dyDescent="0.25">
      <c r="A2112" s="1">
        <f t="shared" si="256"/>
        <v>46234</v>
      </c>
      <c r="B2112" t="str" cm="1">
        <f t="array" ref="B2112">INDEX(HotelList,MOD(ROW()-2,10)+1)</f>
        <v>H001</v>
      </c>
      <c r="C2112">
        <f>_xlfn.XLOOKUP(B2112,Dim_Hotel!$A$2:$A$11,Dim_Hotel!$F$2:$F$11)</f>
        <v>888</v>
      </c>
      <c r="D2112">
        <f t="shared" si="257"/>
        <v>488</v>
      </c>
      <c r="E2112">
        <f t="shared" si="258"/>
        <v>0.5495495495495496</v>
      </c>
      <c r="F2112">
        <f t="shared" si="259"/>
        <v>260</v>
      </c>
      <c r="G2112">
        <f t="shared" si="260"/>
        <v>142.88288288288288</v>
      </c>
      <c r="H2112" t="str">
        <f>_xlfn.XLOOKUP(A2112,Fact_Events!$D$2:$D$20,Fact_Events!$A$2:$A$20, "")</f>
        <v/>
      </c>
      <c r="I2112">
        <f t="shared" si="261"/>
        <v>0</v>
      </c>
      <c r="J2112" t="str">
        <f>_xlfn.XLOOKUP(H2112, Fact_Events!$A$2:$A$20, Fact_Events!$F$2:$F$20, "")</f>
        <v/>
      </c>
      <c r="K2112" t="str">
        <f t="shared" si="262"/>
        <v>Low</v>
      </c>
      <c r="L2112">
        <f t="shared" si="263"/>
        <v>0.55000000000000004</v>
      </c>
      <c r="M2112">
        <f>_xlfn.XLOOKUP(B2112, Dim_Hotel!$A$2:$A$11, Dim_Hotel!$I$2:$I$11)
 + (IF(J2112="",0,J2112)
    * _xlfn.XLOOKUP(B2112, Dim_Hotel!$A$2:$A$11, Dim_Hotel!$J$2:$J$11))</f>
        <v>260</v>
      </c>
    </row>
    <row r="2113" spans="1:13" x14ac:dyDescent="0.25">
      <c r="A2113" s="1">
        <f t="shared" si="256"/>
        <v>46234</v>
      </c>
      <c r="B2113" t="str" cm="1">
        <f t="array" ref="B2113">INDEX(HotelList,MOD(ROW()-2,10)+1)</f>
        <v>H002</v>
      </c>
      <c r="C2113">
        <f>_xlfn.XLOOKUP(B2113,Dim_Hotel!$A$2:$A$11,Dim_Hotel!$F$2:$F$11)</f>
        <v>147</v>
      </c>
      <c r="D2113">
        <f t="shared" si="257"/>
        <v>81</v>
      </c>
      <c r="E2113">
        <f t="shared" si="258"/>
        <v>0.55102040816326525</v>
      </c>
      <c r="F2113">
        <f t="shared" si="259"/>
        <v>175</v>
      </c>
      <c r="G2113">
        <f t="shared" si="260"/>
        <v>96.428571428571416</v>
      </c>
      <c r="H2113" t="str">
        <f>_xlfn.XLOOKUP(A2113,Fact_Events!$D$2:$D$20,Fact_Events!$A$2:$A$20, "")</f>
        <v/>
      </c>
      <c r="I2113">
        <f t="shared" si="261"/>
        <v>0</v>
      </c>
      <c r="J2113" t="str">
        <f>_xlfn.XLOOKUP(H2113, Fact_Events!$A$2:$A$20, Fact_Events!$F$2:$F$20, "")</f>
        <v/>
      </c>
      <c r="K2113" t="str">
        <f t="shared" si="262"/>
        <v>Low</v>
      </c>
      <c r="L2113">
        <f t="shared" si="263"/>
        <v>0.55000000000000004</v>
      </c>
      <c r="M2113">
        <f>_xlfn.XLOOKUP(B2113, Dim_Hotel!$A$2:$A$11, Dim_Hotel!$I$2:$I$11)
 + (IF(J2113="",0,J2113)
    * _xlfn.XLOOKUP(B2113, Dim_Hotel!$A$2:$A$11, Dim_Hotel!$J$2:$J$11))</f>
        <v>175</v>
      </c>
    </row>
    <row r="2114" spans="1:13" x14ac:dyDescent="0.25">
      <c r="A2114" s="1">
        <f t="shared" si="256"/>
        <v>46234</v>
      </c>
      <c r="B2114" t="str" cm="1">
        <f t="array" ref="B2114">INDEX(HotelList,MOD(ROW()-2,10)+1)</f>
        <v>H003</v>
      </c>
      <c r="C2114">
        <f>_xlfn.XLOOKUP(B2114,Dim_Hotel!$A$2:$A$11,Dim_Hotel!$F$2:$F$11)</f>
        <v>121</v>
      </c>
      <c r="D2114">
        <f t="shared" si="257"/>
        <v>67</v>
      </c>
      <c r="E2114">
        <f t="shared" si="258"/>
        <v>0.55371900826446285</v>
      </c>
      <c r="F2114">
        <f t="shared" si="259"/>
        <v>145</v>
      </c>
      <c r="G2114">
        <f t="shared" si="260"/>
        <v>80.289256198347118</v>
      </c>
      <c r="H2114" t="str">
        <f>_xlfn.XLOOKUP(A2114,Fact_Events!$D$2:$D$20,Fact_Events!$A$2:$A$20, "")</f>
        <v/>
      </c>
      <c r="I2114">
        <f t="shared" si="261"/>
        <v>0</v>
      </c>
      <c r="J2114" t="str">
        <f>_xlfn.XLOOKUP(H2114, Fact_Events!$A$2:$A$20, Fact_Events!$F$2:$F$20, "")</f>
        <v/>
      </c>
      <c r="K2114" t="str">
        <f t="shared" si="262"/>
        <v>Low</v>
      </c>
      <c r="L2114">
        <f t="shared" si="263"/>
        <v>0.55000000000000004</v>
      </c>
      <c r="M2114">
        <f>_xlfn.XLOOKUP(B2114, Dim_Hotel!$A$2:$A$11, Dim_Hotel!$I$2:$I$11)
 + (IF(J2114="",0,J2114)
    * _xlfn.XLOOKUP(B2114, Dim_Hotel!$A$2:$A$11, Dim_Hotel!$J$2:$J$11))</f>
        <v>145</v>
      </c>
    </row>
    <row r="2115" spans="1:13" x14ac:dyDescent="0.25">
      <c r="A2115" s="1">
        <f t="shared" ref="A2115:A2178" si="264">DATE(2026,1,1) + INT((ROW()-2)/10)</f>
        <v>46234</v>
      </c>
      <c r="B2115" t="str" cm="1">
        <f t="array" ref="B2115">INDEX(HotelList,MOD(ROW()-2,10)+1)</f>
        <v>H004</v>
      </c>
      <c r="C2115">
        <f>_xlfn.XLOOKUP(B2115,Dim_Hotel!$A$2:$A$11,Dim_Hotel!$F$2:$F$11)</f>
        <v>108</v>
      </c>
      <c r="D2115">
        <f t="shared" ref="D2115:D2178" si="265">ROUND(L2115 * C2115, 0)</f>
        <v>59</v>
      </c>
      <c r="E2115">
        <f t="shared" ref="E2115:E2178" si="266">D2115/C2115</f>
        <v>0.54629629629629628</v>
      </c>
      <c r="F2115">
        <f t="shared" ref="F2115:F2178" si="267">M2115</f>
        <v>135</v>
      </c>
      <c r="G2115">
        <f t="shared" ref="G2115:G2178" si="268">E2115*F2115</f>
        <v>73.75</v>
      </c>
      <c r="H2115" t="str">
        <f>_xlfn.XLOOKUP(A2115,Fact_Events!$D$2:$D$20,Fact_Events!$A$2:$A$20, "")</f>
        <v/>
      </c>
      <c r="I2115">
        <f t="shared" ref="I2115:I2178" si="269">IF(H2115="",0,1)</f>
        <v>0</v>
      </c>
      <c r="J2115" t="str">
        <f>_xlfn.XLOOKUP(H2115, Fact_Events!$A$2:$A$20, Fact_Events!$F$2:$F$20, "")</f>
        <v/>
      </c>
      <c r="K2115" t="str">
        <f t="shared" ref="K2115:K2178" si="270">IF(I2115=0,"Low",
   IF(J2115&gt;=9,"High","Medium"))</f>
        <v>Low</v>
      </c>
      <c r="L2115">
        <f t="shared" ref="L2115:L2178" si="271">MIN(1,
  0.55
  + (I2115 * 0.25)
  + (IF(J2115="",0,J2115) / 100)
)</f>
        <v>0.55000000000000004</v>
      </c>
      <c r="M2115">
        <f>_xlfn.XLOOKUP(B2115, Dim_Hotel!$A$2:$A$11, Dim_Hotel!$I$2:$I$11)
 + (IF(J2115="",0,J2115)
    * _xlfn.XLOOKUP(B2115, Dim_Hotel!$A$2:$A$11, Dim_Hotel!$J$2:$J$11))</f>
        <v>135</v>
      </c>
    </row>
    <row r="2116" spans="1:13" x14ac:dyDescent="0.25">
      <c r="A2116" s="1">
        <f t="shared" si="264"/>
        <v>46234</v>
      </c>
      <c r="B2116" t="str" cm="1">
        <f t="array" ref="B2116">INDEX(HotelList,MOD(ROW()-2,10)+1)</f>
        <v>H005</v>
      </c>
      <c r="C2116">
        <f>_xlfn.XLOOKUP(B2116,Dim_Hotel!$A$2:$A$11,Dim_Hotel!$F$2:$F$11)</f>
        <v>66</v>
      </c>
      <c r="D2116">
        <f t="shared" si="265"/>
        <v>36</v>
      </c>
      <c r="E2116">
        <f t="shared" si="266"/>
        <v>0.54545454545454541</v>
      </c>
      <c r="F2116">
        <f t="shared" si="267"/>
        <v>82</v>
      </c>
      <c r="G2116">
        <f t="shared" si="268"/>
        <v>44.727272727272727</v>
      </c>
      <c r="H2116" t="str">
        <f>_xlfn.XLOOKUP(A2116,Fact_Events!$D$2:$D$20,Fact_Events!$A$2:$A$20, "")</f>
        <v/>
      </c>
      <c r="I2116">
        <f t="shared" si="269"/>
        <v>0</v>
      </c>
      <c r="J2116" t="str">
        <f>_xlfn.XLOOKUP(H2116, Fact_Events!$A$2:$A$20, Fact_Events!$F$2:$F$20, "")</f>
        <v/>
      </c>
      <c r="K2116" t="str">
        <f t="shared" si="270"/>
        <v>Low</v>
      </c>
      <c r="L2116">
        <f t="shared" si="271"/>
        <v>0.55000000000000004</v>
      </c>
      <c r="M2116">
        <f>_xlfn.XLOOKUP(B2116, Dim_Hotel!$A$2:$A$11, Dim_Hotel!$I$2:$I$11)
 + (IF(J2116="",0,J2116)
    * _xlfn.XLOOKUP(B2116, Dim_Hotel!$A$2:$A$11, Dim_Hotel!$J$2:$J$11))</f>
        <v>82</v>
      </c>
    </row>
    <row r="2117" spans="1:13" x14ac:dyDescent="0.25">
      <c r="A2117" s="1">
        <f t="shared" si="264"/>
        <v>46234</v>
      </c>
      <c r="B2117" t="str" cm="1">
        <f t="array" ref="B2117">INDEX(HotelList,MOD(ROW()-2,10)+1)</f>
        <v>H006</v>
      </c>
      <c r="C2117">
        <f>_xlfn.XLOOKUP(B2117,Dim_Hotel!$A$2:$A$11,Dim_Hotel!$F$2:$F$11)</f>
        <v>311</v>
      </c>
      <c r="D2117">
        <f t="shared" si="265"/>
        <v>171</v>
      </c>
      <c r="E2117">
        <f t="shared" si="266"/>
        <v>0.54983922829581988</v>
      </c>
      <c r="F2117">
        <f t="shared" si="267"/>
        <v>190</v>
      </c>
      <c r="G2117">
        <f t="shared" si="268"/>
        <v>104.46945337620578</v>
      </c>
      <c r="H2117" t="str">
        <f>_xlfn.XLOOKUP(A2117,Fact_Events!$D$2:$D$20,Fact_Events!$A$2:$A$20, "")</f>
        <v/>
      </c>
      <c r="I2117">
        <f t="shared" si="269"/>
        <v>0</v>
      </c>
      <c r="J2117" t="str">
        <f>_xlfn.XLOOKUP(H2117, Fact_Events!$A$2:$A$20, Fact_Events!$F$2:$F$20, "")</f>
        <v/>
      </c>
      <c r="K2117" t="str">
        <f t="shared" si="270"/>
        <v>Low</v>
      </c>
      <c r="L2117">
        <f t="shared" si="271"/>
        <v>0.55000000000000004</v>
      </c>
      <c r="M2117">
        <f>_xlfn.XLOOKUP(B2117, Dim_Hotel!$A$2:$A$11, Dim_Hotel!$I$2:$I$11)
 + (IF(J2117="",0,J2117)
    * _xlfn.XLOOKUP(B2117, Dim_Hotel!$A$2:$A$11, Dim_Hotel!$J$2:$J$11))</f>
        <v>190</v>
      </c>
    </row>
    <row r="2118" spans="1:13" x14ac:dyDescent="0.25">
      <c r="A2118" s="1">
        <f t="shared" si="264"/>
        <v>46234</v>
      </c>
      <c r="B2118" t="str" cm="1">
        <f t="array" ref="B2118">INDEX(HotelList,MOD(ROW()-2,10)+1)</f>
        <v>H007</v>
      </c>
      <c r="C2118">
        <f>_xlfn.XLOOKUP(B2118,Dim_Hotel!$A$2:$A$11,Dim_Hotel!$F$2:$F$11)</f>
        <v>132</v>
      </c>
      <c r="D2118">
        <f t="shared" si="265"/>
        <v>73</v>
      </c>
      <c r="E2118">
        <f t="shared" si="266"/>
        <v>0.55303030303030298</v>
      </c>
      <c r="F2118">
        <f t="shared" si="267"/>
        <v>165</v>
      </c>
      <c r="G2118">
        <f t="shared" si="268"/>
        <v>91.249999999999986</v>
      </c>
      <c r="H2118" t="str">
        <f>_xlfn.XLOOKUP(A2118,Fact_Events!$D$2:$D$20,Fact_Events!$A$2:$A$20, "")</f>
        <v/>
      </c>
      <c r="I2118">
        <f t="shared" si="269"/>
        <v>0</v>
      </c>
      <c r="J2118" t="str">
        <f>_xlfn.XLOOKUP(H2118, Fact_Events!$A$2:$A$20, Fact_Events!$F$2:$F$20, "")</f>
        <v/>
      </c>
      <c r="K2118" t="str">
        <f t="shared" si="270"/>
        <v>Low</v>
      </c>
      <c r="L2118">
        <f t="shared" si="271"/>
        <v>0.55000000000000004</v>
      </c>
      <c r="M2118">
        <f>_xlfn.XLOOKUP(B2118, Dim_Hotel!$A$2:$A$11, Dim_Hotel!$I$2:$I$11)
 + (IF(J2118="",0,J2118)
    * _xlfn.XLOOKUP(B2118, Dim_Hotel!$A$2:$A$11, Dim_Hotel!$J$2:$J$11))</f>
        <v>165</v>
      </c>
    </row>
    <row r="2119" spans="1:13" x14ac:dyDescent="0.25">
      <c r="A2119" s="1">
        <f t="shared" si="264"/>
        <v>46234</v>
      </c>
      <c r="B2119" t="str" cm="1">
        <f t="array" ref="B2119">INDEX(HotelList,MOD(ROW()-2,10)+1)</f>
        <v>H008</v>
      </c>
      <c r="C2119">
        <f>_xlfn.XLOOKUP(B2119,Dim_Hotel!$A$2:$A$11,Dim_Hotel!$F$2:$F$11)</f>
        <v>103</v>
      </c>
      <c r="D2119">
        <f t="shared" si="265"/>
        <v>57</v>
      </c>
      <c r="E2119">
        <f t="shared" si="266"/>
        <v>0.55339805825242716</v>
      </c>
      <c r="F2119">
        <f t="shared" si="267"/>
        <v>140</v>
      </c>
      <c r="G2119">
        <f t="shared" si="268"/>
        <v>77.475728155339809</v>
      </c>
      <c r="H2119" t="str">
        <f>_xlfn.XLOOKUP(A2119,Fact_Events!$D$2:$D$20,Fact_Events!$A$2:$A$20, "")</f>
        <v/>
      </c>
      <c r="I2119">
        <f t="shared" si="269"/>
        <v>0</v>
      </c>
      <c r="J2119" t="str">
        <f>_xlfn.XLOOKUP(H2119, Fact_Events!$A$2:$A$20, Fact_Events!$F$2:$F$20, "")</f>
        <v/>
      </c>
      <c r="K2119" t="str">
        <f t="shared" si="270"/>
        <v>Low</v>
      </c>
      <c r="L2119">
        <f t="shared" si="271"/>
        <v>0.55000000000000004</v>
      </c>
      <c r="M2119">
        <f>_xlfn.XLOOKUP(B2119, Dim_Hotel!$A$2:$A$11, Dim_Hotel!$I$2:$I$11)
 + (IF(J2119="",0,J2119)
    * _xlfn.XLOOKUP(B2119, Dim_Hotel!$A$2:$A$11, Dim_Hotel!$J$2:$J$11))</f>
        <v>140</v>
      </c>
    </row>
    <row r="2120" spans="1:13" x14ac:dyDescent="0.25">
      <c r="A2120" s="1">
        <f t="shared" si="264"/>
        <v>46234</v>
      </c>
      <c r="B2120" t="str" cm="1">
        <f t="array" ref="B2120">INDEX(HotelList,MOD(ROW()-2,10)+1)</f>
        <v>H009</v>
      </c>
      <c r="C2120">
        <f>_xlfn.XLOOKUP(B2120,Dim_Hotel!$A$2:$A$11,Dim_Hotel!$F$2:$F$11)</f>
        <v>114</v>
      </c>
      <c r="D2120">
        <f t="shared" si="265"/>
        <v>63</v>
      </c>
      <c r="E2120">
        <f t="shared" si="266"/>
        <v>0.55263157894736847</v>
      </c>
      <c r="F2120">
        <f t="shared" si="267"/>
        <v>185</v>
      </c>
      <c r="G2120">
        <f t="shared" si="268"/>
        <v>102.23684210526316</v>
      </c>
      <c r="H2120" t="str">
        <f>_xlfn.XLOOKUP(A2120,Fact_Events!$D$2:$D$20,Fact_Events!$A$2:$A$20, "")</f>
        <v/>
      </c>
      <c r="I2120">
        <f t="shared" si="269"/>
        <v>0</v>
      </c>
      <c r="J2120" t="str">
        <f>_xlfn.XLOOKUP(H2120, Fact_Events!$A$2:$A$20, Fact_Events!$F$2:$F$20, "")</f>
        <v/>
      </c>
      <c r="K2120" t="str">
        <f t="shared" si="270"/>
        <v>Low</v>
      </c>
      <c r="L2120">
        <f t="shared" si="271"/>
        <v>0.55000000000000004</v>
      </c>
      <c r="M2120">
        <f>_xlfn.XLOOKUP(B2120, Dim_Hotel!$A$2:$A$11, Dim_Hotel!$I$2:$I$11)
 + (IF(J2120="",0,J2120)
    * _xlfn.XLOOKUP(B2120, Dim_Hotel!$A$2:$A$11, Dim_Hotel!$J$2:$J$11))</f>
        <v>185</v>
      </c>
    </row>
    <row r="2121" spans="1:13" x14ac:dyDescent="0.25">
      <c r="A2121" s="1">
        <f t="shared" si="264"/>
        <v>46234</v>
      </c>
      <c r="B2121" t="str" cm="1">
        <f t="array" ref="B2121">INDEX(HotelList,MOD(ROW()-2,10)+1)</f>
        <v>H010</v>
      </c>
      <c r="C2121">
        <f>_xlfn.XLOOKUP(B2121,Dim_Hotel!$A$2:$A$11,Dim_Hotel!$F$2:$F$11)</f>
        <v>89</v>
      </c>
      <c r="D2121">
        <f t="shared" si="265"/>
        <v>49</v>
      </c>
      <c r="E2121">
        <f t="shared" si="266"/>
        <v>0.550561797752809</v>
      </c>
      <c r="F2121">
        <f t="shared" si="267"/>
        <v>150</v>
      </c>
      <c r="G2121">
        <f t="shared" si="268"/>
        <v>82.584269662921344</v>
      </c>
      <c r="H2121" t="str">
        <f>_xlfn.XLOOKUP(A2121,Fact_Events!$D$2:$D$20,Fact_Events!$A$2:$A$20, "")</f>
        <v/>
      </c>
      <c r="I2121">
        <f t="shared" si="269"/>
        <v>0</v>
      </c>
      <c r="J2121" t="str">
        <f>_xlfn.XLOOKUP(H2121, Fact_Events!$A$2:$A$20, Fact_Events!$F$2:$F$20, "")</f>
        <v/>
      </c>
      <c r="K2121" t="str">
        <f t="shared" si="270"/>
        <v>Low</v>
      </c>
      <c r="L2121">
        <f t="shared" si="271"/>
        <v>0.55000000000000004</v>
      </c>
      <c r="M2121">
        <f>_xlfn.XLOOKUP(B2121, Dim_Hotel!$A$2:$A$11, Dim_Hotel!$I$2:$I$11)
 + (IF(J2121="",0,J2121)
    * _xlfn.XLOOKUP(B2121, Dim_Hotel!$A$2:$A$11, Dim_Hotel!$J$2:$J$11))</f>
        <v>150</v>
      </c>
    </row>
    <row r="2122" spans="1:13" x14ac:dyDescent="0.25">
      <c r="A2122" s="1">
        <f t="shared" si="264"/>
        <v>46235</v>
      </c>
      <c r="B2122" t="str" cm="1">
        <f t="array" ref="B2122">INDEX(HotelList,MOD(ROW()-2,10)+1)</f>
        <v>H001</v>
      </c>
      <c r="C2122">
        <f>_xlfn.XLOOKUP(B2122,Dim_Hotel!$A$2:$A$11,Dim_Hotel!$F$2:$F$11)</f>
        <v>888</v>
      </c>
      <c r="D2122">
        <f t="shared" si="265"/>
        <v>488</v>
      </c>
      <c r="E2122">
        <f t="shared" si="266"/>
        <v>0.5495495495495496</v>
      </c>
      <c r="F2122">
        <f t="shared" si="267"/>
        <v>260</v>
      </c>
      <c r="G2122">
        <f t="shared" si="268"/>
        <v>142.88288288288288</v>
      </c>
      <c r="H2122" t="str">
        <f>_xlfn.XLOOKUP(A2122,Fact_Events!$D$2:$D$20,Fact_Events!$A$2:$A$20, "")</f>
        <v/>
      </c>
      <c r="I2122">
        <f t="shared" si="269"/>
        <v>0</v>
      </c>
      <c r="J2122" t="str">
        <f>_xlfn.XLOOKUP(H2122, Fact_Events!$A$2:$A$20, Fact_Events!$F$2:$F$20, "")</f>
        <v/>
      </c>
      <c r="K2122" t="str">
        <f t="shared" si="270"/>
        <v>Low</v>
      </c>
      <c r="L2122">
        <f t="shared" si="271"/>
        <v>0.55000000000000004</v>
      </c>
      <c r="M2122">
        <f>_xlfn.XLOOKUP(B2122, Dim_Hotel!$A$2:$A$11, Dim_Hotel!$I$2:$I$11)
 + (IF(J2122="",0,J2122)
    * _xlfn.XLOOKUP(B2122, Dim_Hotel!$A$2:$A$11, Dim_Hotel!$J$2:$J$11))</f>
        <v>260</v>
      </c>
    </row>
    <row r="2123" spans="1:13" x14ac:dyDescent="0.25">
      <c r="A2123" s="1">
        <f t="shared" si="264"/>
        <v>46235</v>
      </c>
      <c r="B2123" t="str" cm="1">
        <f t="array" ref="B2123">INDEX(HotelList,MOD(ROW()-2,10)+1)</f>
        <v>H002</v>
      </c>
      <c r="C2123">
        <f>_xlfn.XLOOKUP(B2123,Dim_Hotel!$A$2:$A$11,Dim_Hotel!$F$2:$F$11)</f>
        <v>147</v>
      </c>
      <c r="D2123">
        <f t="shared" si="265"/>
        <v>81</v>
      </c>
      <c r="E2123">
        <f t="shared" si="266"/>
        <v>0.55102040816326525</v>
      </c>
      <c r="F2123">
        <f t="shared" si="267"/>
        <v>175</v>
      </c>
      <c r="G2123">
        <f t="shared" si="268"/>
        <v>96.428571428571416</v>
      </c>
      <c r="H2123" t="str">
        <f>_xlfn.XLOOKUP(A2123,Fact_Events!$D$2:$D$20,Fact_Events!$A$2:$A$20, "")</f>
        <v/>
      </c>
      <c r="I2123">
        <f t="shared" si="269"/>
        <v>0</v>
      </c>
      <c r="J2123" t="str">
        <f>_xlfn.XLOOKUP(H2123, Fact_Events!$A$2:$A$20, Fact_Events!$F$2:$F$20, "")</f>
        <v/>
      </c>
      <c r="K2123" t="str">
        <f t="shared" si="270"/>
        <v>Low</v>
      </c>
      <c r="L2123">
        <f t="shared" si="271"/>
        <v>0.55000000000000004</v>
      </c>
      <c r="M2123">
        <f>_xlfn.XLOOKUP(B2123, Dim_Hotel!$A$2:$A$11, Dim_Hotel!$I$2:$I$11)
 + (IF(J2123="",0,J2123)
    * _xlfn.XLOOKUP(B2123, Dim_Hotel!$A$2:$A$11, Dim_Hotel!$J$2:$J$11))</f>
        <v>175</v>
      </c>
    </row>
    <row r="2124" spans="1:13" x14ac:dyDescent="0.25">
      <c r="A2124" s="1">
        <f t="shared" si="264"/>
        <v>46235</v>
      </c>
      <c r="B2124" t="str" cm="1">
        <f t="array" ref="B2124">INDEX(HotelList,MOD(ROW()-2,10)+1)</f>
        <v>H003</v>
      </c>
      <c r="C2124">
        <f>_xlfn.XLOOKUP(B2124,Dim_Hotel!$A$2:$A$11,Dim_Hotel!$F$2:$F$11)</f>
        <v>121</v>
      </c>
      <c r="D2124">
        <f t="shared" si="265"/>
        <v>67</v>
      </c>
      <c r="E2124">
        <f t="shared" si="266"/>
        <v>0.55371900826446285</v>
      </c>
      <c r="F2124">
        <f t="shared" si="267"/>
        <v>145</v>
      </c>
      <c r="G2124">
        <f t="shared" si="268"/>
        <v>80.289256198347118</v>
      </c>
      <c r="H2124" t="str">
        <f>_xlfn.XLOOKUP(A2124,Fact_Events!$D$2:$D$20,Fact_Events!$A$2:$A$20, "")</f>
        <v/>
      </c>
      <c r="I2124">
        <f t="shared" si="269"/>
        <v>0</v>
      </c>
      <c r="J2124" t="str">
        <f>_xlfn.XLOOKUP(H2124, Fact_Events!$A$2:$A$20, Fact_Events!$F$2:$F$20, "")</f>
        <v/>
      </c>
      <c r="K2124" t="str">
        <f t="shared" si="270"/>
        <v>Low</v>
      </c>
      <c r="L2124">
        <f t="shared" si="271"/>
        <v>0.55000000000000004</v>
      </c>
      <c r="M2124">
        <f>_xlfn.XLOOKUP(B2124, Dim_Hotel!$A$2:$A$11, Dim_Hotel!$I$2:$I$11)
 + (IF(J2124="",0,J2124)
    * _xlfn.XLOOKUP(B2124, Dim_Hotel!$A$2:$A$11, Dim_Hotel!$J$2:$J$11))</f>
        <v>145</v>
      </c>
    </row>
    <row r="2125" spans="1:13" x14ac:dyDescent="0.25">
      <c r="A2125" s="1">
        <f t="shared" si="264"/>
        <v>46235</v>
      </c>
      <c r="B2125" t="str" cm="1">
        <f t="array" ref="B2125">INDEX(HotelList,MOD(ROW()-2,10)+1)</f>
        <v>H004</v>
      </c>
      <c r="C2125">
        <f>_xlfn.XLOOKUP(B2125,Dim_Hotel!$A$2:$A$11,Dim_Hotel!$F$2:$F$11)</f>
        <v>108</v>
      </c>
      <c r="D2125">
        <f t="shared" si="265"/>
        <v>59</v>
      </c>
      <c r="E2125">
        <f t="shared" si="266"/>
        <v>0.54629629629629628</v>
      </c>
      <c r="F2125">
        <f t="shared" si="267"/>
        <v>135</v>
      </c>
      <c r="G2125">
        <f t="shared" si="268"/>
        <v>73.75</v>
      </c>
      <c r="H2125" t="str">
        <f>_xlfn.XLOOKUP(A2125,Fact_Events!$D$2:$D$20,Fact_Events!$A$2:$A$20, "")</f>
        <v/>
      </c>
      <c r="I2125">
        <f t="shared" si="269"/>
        <v>0</v>
      </c>
      <c r="J2125" t="str">
        <f>_xlfn.XLOOKUP(H2125, Fact_Events!$A$2:$A$20, Fact_Events!$F$2:$F$20, "")</f>
        <v/>
      </c>
      <c r="K2125" t="str">
        <f t="shared" si="270"/>
        <v>Low</v>
      </c>
      <c r="L2125">
        <f t="shared" si="271"/>
        <v>0.55000000000000004</v>
      </c>
      <c r="M2125">
        <f>_xlfn.XLOOKUP(B2125, Dim_Hotel!$A$2:$A$11, Dim_Hotel!$I$2:$I$11)
 + (IF(J2125="",0,J2125)
    * _xlfn.XLOOKUP(B2125, Dim_Hotel!$A$2:$A$11, Dim_Hotel!$J$2:$J$11))</f>
        <v>135</v>
      </c>
    </row>
    <row r="2126" spans="1:13" x14ac:dyDescent="0.25">
      <c r="A2126" s="1">
        <f t="shared" si="264"/>
        <v>46235</v>
      </c>
      <c r="B2126" t="str" cm="1">
        <f t="array" ref="B2126">INDEX(HotelList,MOD(ROW()-2,10)+1)</f>
        <v>H005</v>
      </c>
      <c r="C2126">
        <f>_xlfn.XLOOKUP(B2126,Dim_Hotel!$A$2:$A$11,Dim_Hotel!$F$2:$F$11)</f>
        <v>66</v>
      </c>
      <c r="D2126">
        <f t="shared" si="265"/>
        <v>36</v>
      </c>
      <c r="E2126">
        <f t="shared" si="266"/>
        <v>0.54545454545454541</v>
      </c>
      <c r="F2126">
        <f t="shared" si="267"/>
        <v>82</v>
      </c>
      <c r="G2126">
        <f t="shared" si="268"/>
        <v>44.727272727272727</v>
      </c>
      <c r="H2126" t="str">
        <f>_xlfn.XLOOKUP(A2126,Fact_Events!$D$2:$D$20,Fact_Events!$A$2:$A$20, "")</f>
        <v/>
      </c>
      <c r="I2126">
        <f t="shared" si="269"/>
        <v>0</v>
      </c>
      <c r="J2126" t="str">
        <f>_xlfn.XLOOKUP(H2126, Fact_Events!$A$2:$A$20, Fact_Events!$F$2:$F$20, "")</f>
        <v/>
      </c>
      <c r="K2126" t="str">
        <f t="shared" si="270"/>
        <v>Low</v>
      </c>
      <c r="L2126">
        <f t="shared" si="271"/>
        <v>0.55000000000000004</v>
      </c>
      <c r="M2126">
        <f>_xlfn.XLOOKUP(B2126, Dim_Hotel!$A$2:$A$11, Dim_Hotel!$I$2:$I$11)
 + (IF(J2126="",0,J2126)
    * _xlfn.XLOOKUP(B2126, Dim_Hotel!$A$2:$A$11, Dim_Hotel!$J$2:$J$11))</f>
        <v>82</v>
      </c>
    </row>
    <row r="2127" spans="1:13" x14ac:dyDescent="0.25">
      <c r="A2127" s="1">
        <f t="shared" si="264"/>
        <v>46235</v>
      </c>
      <c r="B2127" t="str" cm="1">
        <f t="array" ref="B2127">INDEX(HotelList,MOD(ROW()-2,10)+1)</f>
        <v>H006</v>
      </c>
      <c r="C2127">
        <f>_xlfn.XLOOKUP(B2127,Dim_Hotel!$A$2:$A$11,Dim_Hotel!$F$2:$F$11)</f>
        <v>311</v>
      </c>
      <c r="D2127">
        <f t="shared" si="265"/>
        <v>171</v>
      </c>
      <c r="E2127">
        <f t="shared" si="266"/>
        <v>0.54983922829581988</v>
      </c>
      <c r="F2127">
        <f t="shared" si="267"/>
        <v>190</v>
      </c>
      <c r="G2127">
        <f t="shared" si="268"/>
        <v>104.46945337620578</v>
      </c>
      <c r="H2127" t="str">
        <f>_xlfn.XLOOKUP(A2127,Fact_Events!$D$2:$D$20,Fact_Events!$A$2:$A$20, "")</f>
        <v/>
      </c>
      <c r="I2127">
        <f t="shared" si="269"/>
        <v>0</v>
      </c>
      <c r="J2127" t="str">
        <f>_xlfn.XLOOKUP(H2127, Fact_Events!$A$2:$A$20, Fact_Events!$F$2:$F$20, "")</f>
        <v/>
      </c>
      <c r="K2127" t="str">
        <f t="shared" si="270"/>
        <v>Low</v>
      </c>
      <c r="L2127">
        <f t="shared" si="271"/>
        <v>0.55000000000000004</v>
      </c>
      <c r="M2127">
        <f>_xlfn.XLOOKUP(B2127, Dim_Hotel!$A$2:$A$11, Dim_Hotel!$I$2:$I$11)
 + (IF(J2127="",0,J2127)
    * _xlfn.XLOOKUP(B2127, Dim_Hotel!$A$2:$A$11, Dim_Hotel!$J$2:$J$11))</f>
        <v>190</v>
      </c>
    </row>
    <row r="2128" spans="1:13" x14ac:dyDescent="0.25">
      <c r="A2128" s="1">
        <f t="shared" si="264"/>
        <v>46235</v>
      </c>
      <c r="B2128" t="str" cm="1">
        <f t="array" ref="B2128">INDEX(HotelList,MOD(ROW()-2,10)+1)</f>
        <v>H007</v>
      </c>
      <c r="C2128">
        <f>_xlfn.XLOOKUP(B2128,Dim_Hotel!$A$2:$A$11,Dim_Hotel!$F$2:$F$11)</f>
        <v>132</v>
      </c>
      <c r="D2128">
        <f t="shared" si="265"/>
        <v>73</v>
      </c>
      <c r="E2128">
        <f t="shared" si="266"/>
        <v>0.55303030303030298</v>
      </c>
      <c r="F2128">
        <f t="shared" si="267"/>
        <v>165</v>
      </c>
      <c r="G2128">
        <f t="shared" si="268"/>
        <v>91.249999999999986</v>
      </c>
      <c r="H2128" t="str">
        <f>_xlfn.XLOOKUP(A2128,Fact_Events!$D$2:$D$20,Fact_Events!$A$2:$A$20, "")</f>
        <v/>
      </c>
      <c r="I2128">
        <f t="shared" si="269"/>
        <v>0</v>
      </c>
      <c r="J2128" t="str">
        <f>_xlfn.XLOOKUP(H2128, Fact_Events!$A$2:$A$20, Fact_Events!$F$2:$F$20, "")</f>
        <v/>
      </c>
      <c r="K2128" t="str">
        <f t="shared" si="270"/>
        <v>Low</v>
      </c>
      <c r="L2128">
        <f t="shared" si="271"/>
        <v>0.55000000000000004</v>
      </c>
      <c r="M2128">
        <f>_xlfn.XLOOKUP(B2128, Dim_Hotel!$A$2:$A$11, Dim_Hotel!$I$2:$I$11)
 + (IF(J2128="",0,J2128)
    * _xlfn.XLOOKUP(B2128, Dim_Hotel!$A$2:$A$11, Dim_Hotel!$J$2:$J$11))</f>
        <v>165</v>
      </c>
    </row>
    <row r="2129" spans="1:13" x14ac:dyDescent="0.25">
      <c r="A2129" s="1">
        <f t="shared" si="264"/>
        <v>46235</v>
      </c>
      <c r="B2129" t="str" cm="1">
        <f t="array" ref="B2129">INDEX(HotelList,MOD(ROW()-2,10)+1)</f>
        <v>H008</v>
      </c>
      <c r="C2129">
        <f>_xlfn.XLOOKUP(B2129,Dim_Hotel!$A$2:$A$11,Dim_Hotel!$F$2:$F$11)</f>
        <v>103</v>
      </c>
      <c r="D2129">
        <f t="shared" si="265"/>
        <v>57</v>
      </c>
      <c r="E2129">
        <f t="shared" si="266"/>
        <v>0.55339805825242716</v>
      </c>
      <c r="F2129">
        <f t="shared" si="267"/>
        <v>140</v>
      </c>
      <c r="G2129">
        <f t="shared" si="268"/>
        <v>77.475728155339809</v>
      </c>
      <c r="H2129" t="str">
        <f>_xlfn.XLOOKUP(A2129,Fact_Events!$D$2:$D$20,Fact_Events!$A$2:$A$20, "")</f>
        <v/>
      </c>
      <c r="I2129">
        <f t="shared" si="269"/>
        <v>0</v>
      </c>
      <c r="J2129" t="str">
        <f>_xlfn.XLOOKUP(H2129, Fact_Events!$A$2:$A$20, Fact_Events!$F$2:$F$20, "")</f>
        <v/>
      </c>
      <c r="K2129" t="str">
        <f t="shared" si="270"/>
        <v>Low</v>
      </c>
      <c r="L2129">
        <f t="shared" si="271"/>
        <v>0.55000000000000004</v>
      </c>
      <c r="M2129">
        <f>_xlfn.XLOOKUP(B2129, Dim_Hotel!$A$2:$A$11, Dim_Hotel!$I$2:$I$11)
 + (IF(J2129="",0,J2129)
    * _xlfn.XLOOKUP(B2129, Dim_Hotel!$A$2:$A$11, Dim_Hotel!$J$2:$J$11))</f>
        <v>140</v>
      </c>
    </row>
    <row r="2130" spans="1:13" x14ac:dyDescent="0.25">
      <c r="A2130" s="1">
        <f t="shared" si="264"/>
        <v>46235</v>
      </c>
      <c r="B2130" t="str" cm="1">
        <f t="array" ref="B2130">INDEX(HotelList,MOD(ROW()-2,10)+1)</f>
        <v>H009</v>
      </c>
      <c r="C2130">
        <f>_xlfn.XLOOKUP(B2130,Dim_Hotel!$A$2:$A$11,Dim_Hotel!$F$2:$F$11)</f>
        <v>114</v>
      </c>
      <c r="D2130">
        <f t="shared" si="265"/>
        <v>63</v>
      </c>
      <c r="E2130">
        <f t="shared" si="266"/>
        <v>0.55263157894736847</v>
      </c>
      <c r="F2130">
        <f t="shared" si="267"/>
        <v>185</v>
      </c>
      <c r="G2130">
        <f t="shared" si="268"/>
        <v>102.23684210526316</v>
      </c>
      <c r="H2130" t="str">
        <f>_xlfn.XLOOKUP(A2130,Fact_Events!$D$2:$D$20,Fact_Events!$A$2:$A$20, "")</f>
        <v/>
      </c>
      <c r="I2130">
        <f t="shared" si="269"/>
        <v>0</v>
      </c>
      <c r="J2130" t="str">
        <f>_xlfn.XLOOKUP(H2130, Fact_Events!$A$2:$A$20, Fact_Events!$F$2:$F$20, "")</f>
        <v/>
      </c>
      <c r="K2130" t="str">
        <f t="shared" si="270"/>
        <v>Low</v>
      </c>
      <c r="L2130">
        <f t="shared" si="271"/>
        <v>0.55000000000000004</v>
      </c>
      <c r="M2130">
        <f>_xlfn.XLOOKUP(B2130, Dim_Hotel!$A$2:$A$11, Dim_Hotel!$I$2:$I$11)
 + (IF(J2130="",0,J2130)
    * _xlfn.XLOOKUP(B2130, Dim_Hotel!$A$2:$A$11, Dim_Hotel!$J$2:$J$11))</f>
        <v>185</v>
      </c>
    </row>
    <row r="2131" spans="1:13" x14ac:dyDescent="0.25">
      <c r="A2131" s="1">
        <f t="shared" si="264"/>
        <v>46235</v>
      </c>
      <c r="B2131" t="str" cm="1">
        <f t="array" ref="B2131">INDEX(HotelList,MOD(ROW()-2,10)+1)</f>
        <v>H010</v>
      </c>
      <c r="C2131">
        <f>_xlfn.XLOOKUP(B2131,Dim_Hotel!$A$2:$A$11,Dim_Hotel!$F$2:$F$11)</f>
        <v>89</v>
      </c>
      <c r="D2131">
        <f t="shared" si="265"/>
        <v>49</v>
      </c>
      <c r="E2131">
        <f t="shared" si="266"/>
        <v>0.550561797752809</v>
      </c>
      <c r="F2131">
        <f t="shared" si="267"/>
        <v>150</v>
      </c>
      <c r="G2131">
        <f t="shared" si="268"/>
        <v>82.584269662921344</v>
      </c>
      <c r="H2131" t="str">
        <f>_xlfn.XLOOKUP(A2131,Fact_Events!$D$2:$D$20,Fact_Events!$A$2:$A$20, "")</f>
        <v/>
      </c>
      <c r="I2131">
        <f t="shared" si="269"/>
        <v>0</v>
      </c>
      <c r="J2131" t="str">
        <f>_xlfn.XLOOKUP(H2131, Fact_Events!$A$2:$A$20, Fact_Events!$F$2:$F$20, "")</f>
        <v/>
      </c>
      <c r="K2131" t="str">
        <f t="shared" si="270"/>
        <v>Low</v>
      </c>
      <c r="L2131">
        <f t="shared" si="271"/>
        <v>0.55000000000000004</v>
      </c>
      <c r="M2131">
        <f>_xlfn.XLOOKUP(B2131, Dim_Hotel!$A$2:$A$11, Dim_Hotel!$I$2:$I$11)
 + (IF(J2131="",0,J2131)
    * _xlfn.XLOOKUP(B2131, Dim_Hotel!$A$2:$A$11, Dim_Hotel!$J$2:$J$11))</f>
        <v>150</v>
      </c>
    </row>
    <row r="2132" spans="1:13" x14ac:dyDescent="0.25">
      <c r="A2132" s="1">
        <f t="shared" si="264"/>
        <v>46236</v>
      </c>
      <c r="B2132" t="str" cm="1">
        <f t="array" ref="B2132">INDEX(HotelList,MOD(ROW()-2,10)+1)</f>
        <v>H001</v>
      </c>
      <c r="C2132">
        <f>_xlfn.XLOOKUP(B2132,Dim_Hotel!$A$2:$A$11,Dim_Hotel!$F$2:$F$11)</f>
        <v>888</v>
      </c>
      <c r="D2132">
        <f t="shared" si="265"/>
        <v>488</v>
      </c>
      <c r="E2132">
        <f t="shared" si="266"/>
        <v>0.5495495495495496</v>
      </c>
      <c r="F2132">
        <f t="shared" si="267"/>
        <v>260</v>
      </c>
      <c r="G2132">
        <f t="shared" si="268"/>
        <v>142.88288288288288</v>
      </c>
      <c r="H2132" t="str">
        <f>_xlfn.XLOOKUP(A2132,Fact_Events!$D$2:$D$20,Fact_Events!$A$2:$A$20, "")</f>
        <v/>
      </c>
      <c r="I2132">
        <f t="shared" si="269"/>
        <v>0</v>
      </c>
      <c r="J2132" t="str">
        <f>_xlfn.XLOOKUP(H2132, Fact_Events!$A$2:$A$20, Fact_Events!$F$2:$F$20, "")</f>
        <v/>
      </c>
      <c r="K2132" t="str">
        <f t="shared" si="270"/>
        <v>Low</v>
      </c>
      <c r="L2132">
        <f t="shared" si="271"/>
        <v>0.55000000000000004</v>
      </c>
      <c r="M2132">
        <f>_xlfn.XLOOKUP(B2132, Dim_Hotel!$A$2:$A$11, Dim_Hotel!$I$2:$I$11)
 + (IF(J2132="",0,J2132)
    * _xlfn.XLOOKUP(B2132, Dim_Hotel!$A$2:$A$11, Dim_Hotel!$J$2:$J$11))</f>
        <v>260</v>
      </c>
    </row>
    <row r="2133" spans="1:13" x14ac:dyDescent="0.25">
      <c r="A2133" s="1">
        <f t="shared" si="264"/>
        <v>46236</v>
      </c>
      <c r="B2133" t="str" cm="1">
        <f t="array" ref="B2133">INDEX(HotelList,MOD(ROW()-2,10)+1)</f>
        <v>H002</v>
      </c>
      <c r="C2133">
        <f>_xlfn.XLOOKUP(B2133,Dim_Hotel!$A$2:$A$11,Dim_Hotel!$F$2:$F$11)</f>
        <v>147</v>
      </c>
      <c r="D2133">
        <f t="shared" si="265"/>
        <v>81</v>
      </c>
      <c r="E2133">
        <f t="shared" si="266"/>
        <v>0.55102040816326525</v>
      </c>
      <c r="F2133">
        <f t="shared" si="267"/>
        <v>175</v>
      </c>
      <c r="G2133">
        <f t="shared" si="268"/>
        <v>96.428571428571416</v>
      </c>
      <c r="H2133" t="str">
        <f>_xlfn.XLOOKUP(A2133,Fact_Events!$D$2:$D$20,Fact_Events!$A$2:$A$20, "")</f>
        <v/>
      </c>
      <c r="I2133">
        <f t="shared" si="269"/>
        <v>0</v>
      </c>
      <c r="J2133" t="str">
        <f>_xlfn.XLOOKUP(H2133, Fact_Events!$A$2:$A$20, Fact_Events!$F$2:$F$20, "")</f>
        <v/>
      </c>
      <c r="K2133" t="str">
        <f t="shared" si="270"/>
        <v>Low</v>
      </c>
      <c r="L2133">
        <f t="shared" si="271"/>
        <v>0.55000000000000004</v>
      </c>
      <c r="M2133">
        <f>_xlfn.XLOOKUP(B2133, Dim_Hotel!$A$2:$A$11, Dim_Hotel!$I$2:$I$11)
 + (IF(J2133="",0,J2133)
    * _xlfn.XLOOKUP(B2133, Dim_Hotel!$A$2:$A$11, Dim_Hotel!$J$2:$J$11))</f>
        <v>175</v>
      </c>
    </row>
    <row r="2134" spans="1:13" x14ac:dyDescent="0.25">
      <c r="A2134" s="1">
        <f t="shared" si="264"/>
        <v>46236</v>
      </c>
      <c r="B2134" t="str" cm="1">
        <f t="array" ref="B2134">INDEX(HotelList,MOD(ROW()-2,10)+1)</f>
        <v>H003</v>
      </c>
      <c r="C2134">
        <f>_xlfn.XLOOKUP(B2134,Dim_Hotel!$A$2:$A$11,Dim_Hotel!$F$2:$F$11)</f>
        <v>121</v>
      </c>
      <c r="D2134">
        <f t="shared" si="265"/>
        <v>67</v>
      </c>
      <c r="E2134">
        <f t="shared" si="266"/>
        <v>0.55371900826446285</v>
      </c>
      <c r="F2134">
        <f t="shared" si="267"/>
        <v>145</v>
      </c>
      <c r="G2134">
        <f t="shared" si="268"/>
        <v>80.289256198347118</v>
      </c>
      <c r="H2134" t="str">
        <f>_xlfn.XLOOKUP(A2134,Fact_Events!$D$2:$D$20,Fact_Events!$A$2:$A$20, "")</f>
        <v/>
      </c>
      <c r="I2134">
        <f t="shared" si="269"/>
        <v>0</v>
      </c>
      <c r="J2134" t="str">
        <f>_xlfn.XLOOKUP(H2134, Fact_Events!$A$2:$A$20, Fact_Events!$F$2:$F$20, "")</f>
        <v/>
      </c>
      <c r="K2134" t="str">
        <f t="shared" si="270"/>
        <v>Low</v>
      </c>
      <c r="L2134">
        <f t="shared" si="271"/>
        <v>0.55000000000000004</v>
      </c>
      <c r="M2134">
        <f>_xlfn.XLOOKUP(B2134, Dim_Hotel!$A$2:$A$11, Dim_Hotel!$I$2:$I$11)
 + (IF(J2134="",0,J2134)
    * _xlfn.XLOOKUP(B2134, Dim_Hotel!$A$2:$A$11, Dim_Hotel!$J$2:$J$11))</f>
        <v>145</v>
      </c>
    </row>
    <row r="2135" spans="1:13" x14ac:dyDescent="0.25">
      <c r="A2135" s="1">
        <f t="shared" si="264"/>
        <v>46236</v>
      </c>
      <c r="B2135" t="str" cm="1">
        <f t="array" ref="B2135">INDEX(HotelList,MOD(ROW()-2,10)+1)</f>
        <v>H004</v>
      </c>
      <c r="C2135">
        <f>_xlfn.XLOOKUP(B2135,Dim_Hotel!$A$2:$A$11,Dim_Hotel!$F$2:$F$11)</f>
        <v>108</v>
      </c>
      <c r="D2135">
        <f t="shared" si="265"/>
        <v>59</v>
      </c>
      <c r="E2135">
        <f t="shared" si="266"/>
        <v>0.54629629629629628</v>
      </c>
      <c r="F2135">
        <f t="shared" si="267"/>
        <v>135</v>
      </c>
      <c r="G2135">
        <f t="shared" si="268"/>
        <v>73.75</v>
      </c>
      <c r="H2135" t="str">
        <f>_xlfn.XLOOKUP(A2135,Fact_Events!$D$2:$D$20,Fact_Events!$A$2:$A$20, "")</f>
        <v/>
      </c>
      <c r="I2135">
        <f t="shared" si="269"/>
        <v>0</v>
      </c>
      <c r="J2135" t="str">
        <f>_xlfn.XLOOKUP(H2135, Fact_Events!$A$2:$A$20, Fact_Events!$F$2:$F$20, "")</f>
        <v/>
      </c>
      <c r="K2135" t="str">
        <f t="shared" si="270"/>
        <v>Low</v>
      </c>
      <c r="L2135">
        <f t="shared" si="271"/>
        <v>0.55000000000000004</v>
      </c>
      <c r="M2135">
        <f>_xlfn.XLOOKUP(B2135, Dim_Hotel!$A$2:$A$11, Dim_Hotel!$I$2:$I$11)
 + (IF(J2135="",0,J2135)
    * _xlfn.XLOOKUP(B2135, Dim_Hotel!$A$2:$A$11, Dim_Hotel!$J$2:$J$11))</f>
        <v>135</v>
      </c>
    </row>
    <row r="2136" spans="1:13" x14ac:dyDescent="0.25">
      <c r="A2136" s="1">
        <f t="shared" si="264"/>
        <v>46236</v>
      </c>
      <c r="B2136" t="str" cm="1">
        <f t="array" ref="B2136">INDEX(HotelList,MOD(ROW()-2,10)+1)</f>
        <v>H005</v>
      </c>
      <c r="C2136">
        <f>_xlfn.XLOOKUP(B2136,Dim_Hotel!$A$2:$A$11,Dim_Hotel!$F$2:$F$11)</f>
        <v>66</v>
      </c>
      <c r="D2136">
        <f t="shared" si="265"/>
        <v>36</v>
      </c>
      <c r="E2136">
        <f t="shared" si="266"/>
        <v>0.54545454545454541</v>
      </c>
      <c r="F2136">
        <f t="shared" si="267"/>
        <v>82</v>
      </c>
      <c r="G2136">
        <f t="shared" si="268"/>
        <v>44.727272727272727</v>
      </c>
      <c r="H2136" t="str">
        <f>_xlfn.XLOOKUP(A2136,Fact_Events!$D$2:$D$20,Fact_Events!$A$2:$A$20, "")</f>
        <v/>
      </c>
      <c r="I2136">
        <f t="shared" si="269"/>
        <v>0</v>
      </c>
      <c r="J2136" t="str">
        <f>_xlfn.XLOOKUP(H2136, Fact_Events!$A$2:$A$20, Fact_Events!$F$2:$F$20, "")</f>
        <v/>
      </c>
      <c r="K2136" t="str">
        <f t="shared" si="270"/>
        <v>Low</v>
      </c>
      <c r="L2136">
        <f t="shared" si="271"/>
        <v>0.55000000000000004</v>
      </c>
      <c r="M2136">
        <f>_xlfn.XLOOKUP(B2136, Dim_Hotel!$A$2:$A$11, Dim_Hotel!$I$2:$I$11)
 + (IF(J2136="",0,J2136)
    * _xlfn.XLOOKUP(B2136, Dim_Hotel!$A$2:$A$11, Dim_Hotel!$J$2:$J$11))</f>
        <v>82</v>
      </c>
    </row>
    <row r="2137" spans="1:13" x14ac:dyDescent="0.25">
      <c r="A2137" s="1">
        <f t="shared" si="264"/>
        <v>46236</v>
      </c>
      <c r="B2137" t="str" cm="1">
        <f t="array" ref="B2137">INDEX(HotelList,MOD(ROW()-2,10)+1)</f>
        <v>H006</v>
      </c>
      <c r="C2137">
        <f>_xlfn.XLOOKUP(B2137,Dim_Hotel!$A$2:$A$11,Dim_Hotel!$F$2:$F$11)</f>
        <v>311</v>
      </c>
      <c r="D2137">
        <f t="shared" si="265"/>
        <v>171</v>
      </c>
      <c r="E2137">
        <f t="shared" si="266"/>
        <v>0.54983922829581988</v>
      </c>
      <c r="F2137">
        <f t="shared" si="267"/>
        <v>190</v>
      </c>
      <c r="G2137">
        <f t="shared" si="268"/>
        <v>104.46945337620578</v>
      </c>
      <c r="H2137" t="str">
        <f>_xlfn.XLOOKUP(A2137,Fact_Events!$D$2:$D$20,Fact_Events!$A$2:$A$20, "")</f>
        <v/>
      </c>
      <c r="I2137">
        <f t="shared" si="269"/>
        <v>0</v>
      </c>
      <c r="J2137" t="str">
        <f>_xlfn.XLOOKUP(H2137, Fact_Events!$A$2:$A$20, Fact_Events!$F$2:$F$20, "")</f>
        <v/>
      </c>
      <c r="K2137" t="str">
        <f t="shared" si="270"/>
        <v>Low</v>
      </c>
      <c r="L2137">
        <f t="shared" si="271"/>
        <v>0.55000000000000004</v>
      </c>
      <c r="M2137">
        <f>_xlfn.XLOOKUP(B2137, Dim_Hotel!$A$2:$A$11, Dim_Hotel!$I$2:$I$11)
 + (IF(J2137="",0,J2137)
    * _xlfn.XLOOKUP(B2137, Dim_Hotel!$A$2:$A$11, Dim_Hotel!$J$2:$J$11))</f>
        <v>190</v>
      </c>
    </row>
    <row r="2138" spans="1:13" x14ac:dyDescent="0.25">
      <c r="A2138" s="1">
        <f t="shared" si="264"/>
        <v>46236</v>
      </c>
      <c r="B2138" t="str" cm="1">
        <f t="array" ref="B2138">INDEX(HotelList,MOD(ROW()-2,10)+1)</f>
        <v>H007</v>
      </c>
      <c r="C2138">
        <f>_xlfn.XLOOKUP(B2138,Dim_Hotel!$A$2:$A$11,Dim_Hotel!$F$2:$F$11)</f>
        <v>132</v>
      </c>
      <c r="D2138">
        <f t="shared" si="265"/>
        <v>73</v>
      </c>
      <c r="E2138">
        <f t="shared" si="266"/>
        <v>0.55303030303030298</v>
      </c>
      <c r="F2138">
        <f t="shared" si="267"/>
        <v>165</v>
      </c>
      <c r="G2138">
        <f t="shared" si="268"/>
        <v>91.249999999999986</v>
      </c>
      <c r="H2138" t="str">
        <f>_xlfn.XLOOKUP(A2138,Fact_Events!$D$2:$D$20,Fact_Events!$A$2:$A$20, "")</f>
        <v/>
      </c>
      <c r="I2138">
        <f t="shared" si="269"/>
        <v>0</v>
      </c>
      <c r="J2138" t="str">
        <f>_xlfn.XLOOKUP(H2138, Fact_Events!$A$2:$A$20, Fact_Events!$F$2:$F$20, "")</f>
        <v/>
      </c>
      <c r="K2138" t="str">
        <f t="shared" si="270"/>
        <v>Low</v>
      </c>
      <c r="L2138">
        <f t="shared" si="271"/>
        <v>0.55000000000000004</v>
      </c>
      <c r="M2138">
        <f>_xlfn.XLOOKUP(B2138, Dim_Hotel!$A$2:$A$11, Dim_Hotel!$I$2:$I$11)
 + (IF(J2138="",0,J2138)
    * _xlfn.XLOOKUP(B2138, Dim_Hotel!$A$2:$A$11, Dim_Hotel!$J$2:$J$11))</f>
        <v>165</v>
      </c>
    </row>
    <row r="2139" spans="1:13" x14ac:dyDescent="0.25">
      <c r="A2139" s="1">
        <f t="shared" si="264"/>
        <v>46236</v>
      </c>
      <c r="B2139" t="str" cm="1">
        <f t="array" ref="B2139">INDEX(HotelList,MOD(ROW()-2,10)+1)</f>
        <v>H008</v>
      </c>
      <c r="C2139">
        <f>_xlfn.XLOOKUP(B2139,Dim_Hotel!$A$2:$A$11,Dim_Hotel!$F$2:$F$11)</f>
        <v>103</v>
      </c>
      <c r="D2139">
        <f t="shared" si="265"/>
        <v>57</v>
      </c>
      <c r="E2139">
        <f t="shared" si="266"/>
        <v>0.55339805825242716</v>
      </c>
      <c r="F2139">
        <f t="shared" si="267"/>
        <v>140</v>
      </c>
      <c r="G2139">
        <f t="shared" si="268"/>
        <v>77.475728155339809</v>
      </c>
      <c r="H2139" t="str">
        <f>_xlfn.XLOOKUP(A2139,Fact_Events!$D$2:$D$20,Fact_Events!$A$2:$A$20, "")</f>
        <v/>
      </c>
      <c r="I2139">
        <f t="shared" si="269"/>
        <v>0</v>
      </c>
      <c r="J2139" t="str">
        <f>_xlfn.XLOOKUP(H2139, Fact_Events!$A$2:$A$20, Fact_Events!$F$2:$F$20, "")</f>
        <v/>
      </c>
      <c r="K2139" t="str">
        <f t="shared" si="270"/>
        <v>Low</v>
      </c>
      <c r="L2139">
        <f t="shared" si="271"/>
        <v>0.55000000000000004</v>
      </c>
      <c r="M2139">
        <f>_xlfn.XLOOKUP(B2139, Dim_Hotel!$A$2:$A$11, Dim_Hotel!$I$2:$I$11)
 + (IF(J2139="",0,J2139)
    * _xlfn.XLOOKUP(B2139, Dim_Hotel!$A$2:$A$11, Dim_Hotel!$J$2:$J$11))</f>
        <v>140</v>
      </c>
    </row>
    <row r="2140" spans="1:13" x14ac:dyDescent="0.25">
      <c r="A2140" s="1">
        <f t="shared" si="264"/>
        <v>46236</v>
      </c>
      <c r="B2140" t="str" cm="1">
        <f t="array" ref="B2140">INDEX(HotelList,MOD(ROW()-2,10)+1)</f>
        <v>H009</v>
      </c>
      <c r="C2140">
        <f>_xlfn.XLOOKUP(B2140,Dim_Hotel!$A$2:$A$11,Dim_Hotel!$F$2:$F$11)</f>
        <v>114</v>
      </c>
      <c r="D2140">
        <f t="shared" si="265"/>
        <v>63</v>
      </c>
      <c r="E2140">
        <f t="shared" si="266"/>
        <v>0.55263157894736847</v>
      </c>
      <c r="F2140">
        <f t="shared" si="267"/>
        <v>185</v>
      </c>
      <c r="G2140">
        <f t="shared" si="268"/>
        <v>102.23684210526316</v>
      </c>
      <c r="H2140" t="str">
        <f>_xlfn.XLOOKUP(A2140,Fact_Events!$D$2:$D$20,Fact_Events!$A$2:$A$20, "")</f>
        <v/>
      </c>
      <c r="I2140">
        <f t="shared" si="269"/>
        <v>0</v>
      </c>
      <c r="J2140" t="str">
        <f>_xlfn.XLOOKUP(H2140, Fact_Events!$A$2:$A$20, Fact_Events!$F$2:$F$20, "")</f>
        <v/>
      </c>
      <c r="K2140" t="str">
        <f t="shared" si="270"/>
        <v>Low</v>
      </c>
      <c r="L2140">
        <f t="shared" si="271"/>
        <v>0.55000000000000004</v>
      </c>
      <c r="M2140">
        <f>_xlfn.XLOOKUP(B2140, Dim_Hotel!$A$2:$A$11, Dim_Hotel!$I$2:$I$11)
 + (IF(J2140="",0,J2140)
    * _xlfn.XLOOKUP(B2140, Dim_Hotel!$A$2:$A$11, Dim_Hotel!$J$2:$J$11))</f>
        <v>185</v>
      </c>
    </row>
    <row r="2141" spans="1:13" x14ac:dyDescent="0.25">
      <c r="A2141" s="1">
        <f t="shared" si="264"/>
        <v>46236</v>
      </c>
      <c r="B2141" t="str" cm="1">
        <f t="array" ref="B2141">INDEX(HotelList,MOD(ROW()-2,10)+1)</f>
        <v>H010</v>
      </c>
      <c r="C2141">
        <f>_xlfn.XLOOKUP(B2141,Dim_Hotel!$A$2:$A$11,Dim_Hotel!$F$2:$F$11)</f>
        <v>89</v>
      </c>
      <c r="D2141">
        <f t="shared" si="265"/>
        <v>49</v>
      </c>
      <c r="E2141">
        <f t="shared" si="266"/>
        <v>0.550561797752809</v>
      </c>
      <c r="F2141">
        <f t="shared" si="267"/>
        <v>150</v>
      </c>
      <c r="G2141">
        <f t="shared" si="268"/>
        <v>82.584269662921344</v>
      </c>
      <c r="H2141" t="str">
        <f>_xlfn.XLOOKUP(A2141,Fact_Events!$D$2:$D$20,Fact_Events!$A$2:$A$20, "")</f>
        <v/>
      </c>
      <c r="I2141">
        <f t="shared" si="269"/>
        <v>0</v>
      </c>
      <c r="J2141" t="str">
        <f>_xlfn.XLOOKUP(H2141, Fact_Events!$A$2:$A$20, Fact_Events!$F$2:$F$20, "")</f>
        <v/>
      </c>
      <c r="K2141" t="str">
        <f t="shared" si="270"/>
        <v>Low</v>
      </c>
      <c r="L2141">
        <f t="shared" si="271"/>
        <v>0.55000000000000004</v>
      </c>
      <c r="M2141">
        <f>_xlfn.XLOOKUP(B2141, Dim_Hotel!$A$2:$A$11, Dim_Hotel!$I$2:$I$11)
 + (IF(J2141="",0,J2141)
    * _xlfn.XLOOKUP(B2141, Dim_Hotel!$A$2:$A$11, Dim_Hotel!$J$2:$J$11))</f>
        <v>150</v>
      </c>
    </row>
    <row r="2142" spans="1:13" x14ac:dyDescent="0.25">
      <c r="A2142" s="1">
        <f t="shared" si="264"/>
        <v>46237</v>
      </c>
      <c r="B2142" t="str" cm="1">
        <f t="array" ref="B2142">INDEX(HotelList,MOD(ROW()-2,10)+1)</f>
        <v>H001</v>
      </c>
      <c r="C2142">
        <f>_xlfn.XLOOKUP(B2142,Dim_Hotel!$A$2:$A$11,Dim_Hotel!$F$2:$F$11)</f>
        <v>888</v>
      </c>
      <c r="D2142">
        <f t="shared" si="265"/>
        <v>488</v>
      </c>
      <c r="E2142">
        <f t="shared" si="266"/>
        <v>0.5495495495495496</v>
      </c>
      <c r="F2142">
        <f t="shared" si="267"/>
        <v>260</v>
      </c>
      <c r="G2142">
        <f t="shared" si="268"/>
        <v>142.88288288288288</v>
      </c>
      <c r="H2142" t="str">
        <f>_xlfn.XLOOKUP(A2142,Fact_Events!$D$2:$D$20,Fact_Events!$A$2:$A$20, "")</f>
        <v/>
      </c>
      <c r="I2142">
        <f t="shared" si="269"/>
        <v>0</v>
      </c>
      <c r="J2142" t="str">
        <f>_xlfn.XLOOKUP(H2142, Fact_Events!$A$2:$A$20, Fact_Events!$F$2:$F$20, "")</f>
        <v/>
      </c>
      <c r="K2142" t="str">
        <f t="shared" si="270"/>
        <v>Low</v>
      </c>
      <c r="L2142">
        <f t="shared" si="271"/>
        <v>0.55000000000000004</v>
      </c>
      <c r="M2142">
        <f>_xlfn.XLOOKUP(B2142, Dim_Hotel!$A$2:$A$11, Dim_Hotel!$I$2:$I$11)
 + (IF(J2142="",0,J2142)
    * _xlfn.XLOOKUP(B2142, Dim_Hotel!$A$2:$A$11, Dim_Hotel!$J$2:$J$11))</f>
        <v>260</v>
      </c>
    </row>
    <row r="2143" spans="1:13" x14ac:dyDescent="0.25">
      <c r="A2143" s="1">
        <f t="shared" si="264"/>
        <v>46237</v>
      </c>
      <c r="B2143" t="str" cm="1">
        <f t="array" ref="B2143">INDEX(HotelList,MOD(ROW()-2,10)+1)</f>
        <v>H002</v>
      </c>
      <c r="C2143">
        <f>_xlfn.XLOOKUP(B2143,Dim_Hotel!$A$2:$A$11,Dim_Hotel!$F$2:$F$11)</f>
        <v>147</v>
      </c>
      <c r="D2143">
        <f t="shared" si="265"/>
        <v>81</v>
      </c>
      <c r="E2143">
        <f t="shared" si="266"/>
        <v>0.55102040816326525</v>
      </c>
      <c r="F2143">
        <f t="shared" si="267"/>
        <v>175</v>
      </c>
      <c r="G2143">
        <f t="shared" si="268"/>
        <v>96.428571428571416</v>
      </c>
      <c r="H2143" t="str">
        <f>_xlfn.XLOOKUP(A2143,Fact_Events!$D$2:$D$20,Fact_Events!$A$2:$A$20, "")</f>
        <v/>
      </c>
      <c r="I2143">
        <f t="shared" si="269"/>
        <v>0</v>
      </c>
      <c r="J2143" t="str">
        <f>_xlfn.XLOOKUP(H2143, Fact_Events!$A$2:$A$20, Fact_Events!$F$2:$F$20, "")</f>
        <v/>
      </c>
      <c r="K2143" t="str">
        <f t="shared" si="270"/>
        <v>Low</v>
      </c>
      <c r="L2143">
        <f t="shared" si="271"/>
        <v>0.55000000000000004</v>
      </c>
      <c r="M2143">
        <f>_xlfn.XLOOKUP(B2143, Dim_Hotel!$A$2:$A$11, Dim_Hotel!$I$2:$I$11)
 + (IF(J2143="",0,J2143)
    * _xlfn.XLOOKUP(B2143, Dim_Hotel!$A$2:$A$11, Dim_Hotel!$J$2:$J$11))</f>
        <v>175</v>
      </c>
    </row>
    <row r="2144" spans="1:13" x14ac:dyDescent="0.25">
      <c r="A2144" s="1">
        <f t="shared" si="264"/>
        <v>46237</v>
      </c>
      <c r="B2144" t="str" cm="1">
        <f t="array" ref="B2144">INDEX(HotelList,MOD(ROW()-2,10)+1)</f>
        <v>H003</v>
      </c>
      <c r="C2144">
        <f>_xlfn.XLOOKUP(B2144,Dim_Hotel!$A$2:$A$11,Dim_Hotel!$F$2:$F$11)</f>
        <v>121</v>
      </c>
      <c r="D2144">
        <f t="shared" si="265"/>
        <v>67</v>
      </c>
      <c r="E2144">
        <f t="shared" si="266"/>
        <v>0.55371900826446285</v>
      </c>
      <c r="F2144">
        <f t="shared" si="267"/>
        <v>145</v>
      </c>
      <c r="G2144">
        <f t="shared" si="268"/>
        <v>80.289256198347118</v>
      </c>
      <c r="H2144" t="str">
        <f>_xlfn.XLOOKUP(A2144,Fact_Events!$D$2:$D$20,Fact_Events!$A$2:$A$20, "")</f>
        <v/>
      </c>
      <c r="I2144">
        <f t="shared" si="269"/>
        <v>0</v>
      </c>
      <c r="J2144" t="str">
        <f>_xlfn.XLOOKUP(H2144, Fact_Events!$A$2:$A$20, Fact_Events!$F$2:$F$20, "")</f>
        <v/>
      </c>
      <c r="K2144" t="str">
        <f t="shared" si="270"/>
        <v>Low</v>
      </c>
      <c r="L2144">
        <f t="shared" si="271"/>
        <v>0.55000000000000004</v>
      </c>
      <c r="M2144">
        <f>_xlfn.XLOOKUP(B2144, Dim_Hotel!$A$2:$A$11, Dim_Hotel!$I$2:$I$11)
 + (IF(J2144="",0,J2144)
    * _xlfn.XLOOKUP(B2144, Dim_Hotel!$A$2:$A$11, Dim_Hotel!$J$2:$J$11))</f>
        <v>145</v>
      </c>
    </row>
    <row r="2145" spans="1:13" x14ac:dyDescent="0.25">
      <c r="A2145" s="1">
        <f t="shared" si="264"/>
        <v>46237</v>
      </c>
      <c r="B2145" t="str" cm="1">
        <f t="array" ref="B2145">INDEX(HotelList,MOD(ROW()-2,10)+1)</f>
        <v>H004</v>
      </c>
      <c r="C2145">
        <f>_xlfn.XLOOKUP(B2145,Dim_Hotel!$A$2:$A$11,Dim_Hotel!$F$2:$F$11)</f>
        <v>108</v>
      </c>
      <c r="D2145">
        <f t="shared" si="265"/>
        <v>59</v>
      </c>
      <c r="E2145">
        <f t="shared" si="266"/>
        <v>0.54629629629629628</v>
      </c>
      <c r="F2145">
        <f t="shared" si="267"/>
        <v>135</v>
      </c>
      <c r="G2145">
        <f t="shared" si="268"/>
        <v>73.75</v>
      </c>
      <c r="H2145" t="str">
        <f>_xlfn.XLOOKUP(A2145,Fact_Events!$D$2:$D$20,Fact_Events!$A$2:$A$20, "")</f>
        <v/>
      </c>
      <c r="I2145">
        <f t="shared" si="269"/>
        <v>0</v>
      </c>
      <c r="J2145" t="str">
        <f>_xlfn.XLOOKUP(H2145, Fact_Events!$A$2:$A$20, Fact_Events!$F$2:$F$20, "")</f>
        <v/>
      </c>
      <c r="K2145" t="str">
        <f t="shared" si="270"/>
        <v>Low</v>
      </c>
      <c r="L2145">
        <f t="shared" si="271"/>
        <v>0.55000000000000004</v>
      </c>
      <c r="M2145">
        <f>_xlfn.XLOOKUP(B2145, Dim_Hotel!$A$2:$A$11, Dim_Hotel!$I$2:$I$11)
 + (IF(J2145="",0,J2145)
    * _xlfn.XLOOKUP(B2145, Dim_Hotel!$A$2:$A$11, Dim_Hotel!$J$2:$J$11))</f>
        <v>135</v>
      </c>
    </row>
    <row r="2146" spans="1:13" x14ac:dyDescent="0.25">
      <c r="A2146" s="1">
        <f t="shared" si="264"/>
        <v>46237</v>
      </c>
      <c r="B2146" t="str" cm="1">
        <f t="array" ref="B2146">INDEX(HotelList,MOD(ROW()-2,10)+1)</f>
        <v>H005</v>
      </c>
      <c r="C2146">
        <f>_xlfn.XLOOKUP(B2146,Dim_Hotel!$A$2:$A$11,Dim_Hotel!$F$2:$F$11)</f>
        <v>66</v>
      </c>
      <c r="D2146">
        <f t="shared" si="265"/>
        <v>36</v>
      </c>
      <c r="E2146">
        <f t="shared" si="266"/>
        <v>0.54545454545454541</v>
      </c>
      <c r="F2146">
        <f t="shared" si="267"/>
        <v>82</v>
      </c>
      <c r="G2146">
        <f t="shared" si="268"/>
        <v>44.727272727272727</v>
      </c>
      <c r="H2146" t="str">
        <f>_xlfn.XLOOKUP(A2146,Fact_Events!$D$2:$D$20,Fact_Events!$A$2:$A$20, "")</f>
        <v/>
      </c>
      <c r="I2146">
        <f t="shared" si="269"/>
        <v>0</v>
      </c>
      <c r="J2146" t="str">
        <f>_xlfn.XLOOKUP(H2146, Fact_Events!$A$2:$A$20, Fact_Events!$F$2:$F$20, "")</f>
        <v/>
      </c>
      <c r="K2146" t="str">
        <f t="shared" si="270"/>
        <v>Low</v>
      </c>
      <c r="L2146">
        <f t="shared" si="271"/>
        <v>0.55000000000000004</v>
      </c>
      <c r="M2146">
        <f>_xlfn.XLOOKUP(B2146, Dim_Hotel!$A$2:$A$11, Dim_Hotel!$I$2:$I$11)
 + (IF(J2146="",0,J2146)
    * _xlfn.XLOOKUP(B2146, Dim_Hotel!$A$2:$A$11, Dim_Hotel!$J$2:$J$11))</f>
        <v>82</v>
      </c>
    </row>
    <row r="2147" spans="1:13" x14ac:dyDescent="0.25">
      <c r="A2147" s="1">
        <f t="shared" si="264"/>
        <v>46237</v>
      </c>
      <c r="B2147" t="str" cm="1">
        <f t="array" ref="B2147">INDEX(HotelList,MOD(ROW()-2,10)+1)</f>
        <v>H006</v>
      </c>
      <c r="C2147">
        <f>_xlfn.XLOOKUP(B2147,Dim_Hotel!$A$2:$A$11,Dim_Hotel!$F$2:$F$11)</f>
        <v>311</v>
      </c>
      <c r="D2147">
        <f t="shared" si="265"/>
        <v>171</v>
      </c>
      <c r="E2147">
        <f t="shared" si="266"/>
        <v>0.54983922829581988</v>
      </c>
      <c r="F2147">
        <f t="shared" si="267"/>
        <v>190</v>
      </c>
      <c r="G2147">
        <f t="shared" si="268"/>
        <v>104.46945337620578</v>
      </c>
      <c r="H2147" t="str">
        <f>_xlfn.XLOOKUP(A2147,Fact_Events!$D$2:$D$20,Fact_Events!$A$2:$A$20, "")</f>
        <v/>
      </c>
      <c r="I2147">
        <f t="shared" si="269"/>
        <v>0</v>
      </c>
      <c r="J2147" t="str">
        <f>_xlfn.XLOOKUP(H2147, Fact_Events!$A$2:$A$20, Fact_Events!$F$2:$F$20, "")</f>
        <v/>
      </c>
      <c r="K2147" t="str">
        <f t="shared" si="270"/>
        <v>Low</v>
      </c>
      <c r="L2147">
        <f t="shared" si="271"/>
        <v>0.55000000000000004</v>
      </c>
      <c r="M2147">
        <f>_xlfn.XLOOKUP(B2147, Dim_Hotel!$A$2:$A$11, Dim_Hotel!$I$2:$I$11)
 + (IF(J2147="",0,J2147)
    * _xlfn.XLOOKUP(B2147, Dim_Hotel!$A$2:$A$11, Dim_Hotel!$J$2:$J$11))</f>
        <v>190</v>
      </c>
    </row>
    <row r="2148" spans="1:13" x14ac:dyDescent="0.25">
      <c r="A2148" s="1">
        <f t="shared" si="264"/>
        <v>46237</v>
      </c>
      <c r="B2148" t="str" cm="1">
        <f t="array" ref="B2148">INDEX(HotelList,MOD(ROW()-2,10)+1)</f>
        <v>H007</v>
      </c>
      <c r="C2148">
        <f>_xlfn.XLOOKUP(B2148,Dim_Hotel!$A$2:$A$11,Dim_Hotel!$F$2:$F$11)</f>
        <v>132</v>
      </c>
      <c r="D2148">
        <f t="shared" si="265"/>
        <v>73</v>
      </c>
      <c r="E2148">
        <f t="shared" si="266"/>
        <v>0.55303030303030298</v>
      </c>
      <c r="F2148">
        <f t="shared" si="267"/>
        <v>165</v>
      </c>
      <c r="G2148">
        <f t="shared" si="268"/>
        <v>91.249999999999986</v>
      </c>
      <c r="H2148" t="str">
        <f>_xlfn.XLOOKUP(A2148,Fact_Events!$D$2:$D$20,Fact_Events!$A$2:$A$20, "")</f>
        <v/>
      </c>
      <c r="I2148">
        <f t="shared" si="269"/>
        <v>0</v>
      </c>
      <c r="J2148" t="str">
        <f>_xlfn.XLOOKUP(H2148, Fact_Events!$A$2:$A$20, Fact_Events!$F$2:$F$20, "")</f>
        <v/>
      </c>
      <c r="K2148" t="str">
        <f t="shared" si="270"/>
        <v>Low</v>
      </c>
      <c r="L2148">
        <f t="shared" si="271"/>
        <v>0.55000000000000004</v>
      </c>
      <c r="M2148">
        <f>_xlfn.XLOOKUP(B2148, Dim_Hotel!$A$2:$A$11, Dim_Hotel!$I$2:$I$11)
 + (IF(J2148="",0,J2148)
    * _xlfn.XLOOKUP(B2148, Dim_Hotel!$A$2:$A$11, Dim_Hotel!$J$2:$J$11))</f>
        <v>165</v>
      </c>
    </row>
    <row r="2149" spans="1:13" x14ac:dyDescent="0.25">
      <c r="A2149" s="1">
        <f t="shared" si="264"/>
        <v>46237</v>
      </c>
      <c r="B2149" t="str" cm="1">
        <f t="array" ref="B2149">INDEX(HotelList,MOD(ROW()-2,10)+1)</f>
        <v>H008</v>
      </c>
      <c r="C2149">
        <f>_xlfn.XLOOKUP(B2149,Dim_Hotel!$A$2:$A$11,Dim_Hotel!$F$2:$F$11)</f>
        <v>103</v>
      </c>
      <c r="D2149">
        <f t="shared" si="265"/>
        <v>57</v>
      </c>
      <c r="E2149">
        <f t="shared" si="266"/>
        <v>0.55339805825242716</v>
      </c>
      <c r="F2149">
        <f t="shared" si="267"/>
        <v>140</v>
      </c>
      <c r="G2149">
        <f t="shared" si="268"/>
        <v>77.475728155339809</v>
      </c>
      <c r="H2149" t="str">
        <f>_xlfn.XLOOKUP(A2149,Fact_Events!$D$2:$D$20,Fact_Events!$A$2:$A$20, "")</f>
        <v/>
      </c>
      <c r="I2149">
        <f t="shared" si="269"/>
        <v>0</v>
      </c>
      <c r="J2149" t="str">
        <f>_xlfn.XLOOKUP(H2149, Fact_Events!$A$2:$A$20, Fact_Events!$F$2:$F$20, "")</f>
        <v/>
      </c>
      <c r="K2149" t="str">
        <f t="shared" si="270"/>
        <v>Low</v>
      </c>
      <c r="L2149">
        <f t="shared" si="271"/>
        <v>0.55000000000000004</v>
      </c>
      <c r="M2149">
        <f>_xlfn.XLOOKUP(B2149, Dim_Hotel!$A$2:$A$11, Dim_Hotel!$I$2:$I$11)
 + (IF(J2149="",0,J2149)
    * _xlfn.XLOOKUP(B2149, Dim_Hotel!$A$2:$A$11, Dim_Hotel!$J$2:$J$11))</f>
        <v>140</v>
      </c>
    </row>
    <row r="2150" spans="1:13" x14ac:dyDescent="0.25">
      <c r="A2150" s="1">
        <f t="shared" si="264"/>
        <v>46237</v>
      </c>
      <c r="B2150" t="str" cm="1">
        <f t="array" ref="B2150">INDEX(HotelList,MOD(ROW()-2,10)+1)</f>
        <v>H009</v>
      </c>
      <c r="C2150">
        <f>_xlfn.XLOOKUP(B2150,Dim_Hotel!$A$2:$A$11,Dim_Hotel!$F$2:$F$11)</f>
        <v>114</v>
      </c>
      <c r="D2150">
        <f t="shared" si="265"/>
        <v>63</v>
      </c>
      <c r="E2150">
        <f t="shared" si="266"/>
        <v>0.55263157894736847</v>
      </c>
      <c r="F2150">
        <f t="shared" si="267"/>
        <v>185</v>
      </c>
      <c r="G2150">
        <f t="shared" si="268"/>
        <v>102.23684210526316</v>
      </c>
      <c r="H2150" t="str">
        <f>_xlfn.XLOOKUP(A2150,Fact_Events!$D$2:$D$20,Fact_Events!$A$2:$A$20, "")</f>
        <v/>
      </c>
      <c r="I2150">
        <f t="shared" si="269"/>
        <v>0</v>
      </c>
      <c r="J2150" t="str">
        <f>_xlfn.XLOOKUP(H2150, Fact_Events!$A$2:$A$20, Fact_Events!$F$2:$F$20, "")</f>
        <v/>
      </c>
      <c r="K2150" t="str">
        <f t="shared" si="270"/>
        <v>Low</v>
      </c>
      <c r="L2150">
        <f t="shared" si="271"/>
        <v>0.55000000000000004</v>
      </c>
      <c r="M2150">
        <f>_xlfn.XLOOKUP(B2150, Dim_Hotel!$A$2:$A$11, Dim_Hotel!$I$2:$I$11)
 + (IF(J2150="",0,J2150)
    * _xlfn.XLOOKUP(B2150, Dim_Hotel!$A$2:$A$11, Dim_Hotel!$J$2:$J$11))</f>
        <v>185</v>
      </c>
    </row>
    <row r="2151" spans="1:13" x14ac:dyDescent="0.25">
      <c r="A2151" s="1">
        <f t="shared" si="264"/>
        <v>46237</v>
      </c>
      <c r="B2151" t="str" cm="1">
        <f t="array" ref="B2151">INDEX(HotelList,MOD(ROW()-2,10)+1)</f>
        <v>H010</v>
      </c>
      <c r="C2151">
        <f>_xlfn.XLOOKUP(B2151,Dim_Hotel!$A$2:$A$11,Dim_Hotel!$F$2:$F$11)</f>
        <v>89</v>
      </c>
      <c r="D2151">
        <f t="shared" si="265"/>
        <v>49</v>
      </c>
      <c r="E2151">
        <f t="shared" si="266"/>
        <v>0.550561797752809</v>
      </c>
      <c r="F2151">
        <f t="shared" si="267"/>
        <v>150</v>
      </c>
      <c r="G2151">
        <f t="shared" si="268"/>
        <v>82.584269662921344</v>
      </c>
      <c r="H2151" t="str">
        <f>_xlfn.XLOOKUP(A2151,Fact_Events!$D$2:$D$20,Fact_Events!$A$2:$A$20, "")</f>
        <v/>
      </c>
      <c r="I2151">
        <f t="shared" si="269"/>
        <v>0</v>
      </c>
      <c r="J2151" t="str">
        <f>_xlfn.XLOOKUP(H2151, Fact_Events!$A$2:$A$20, Fact_Events!$F$2:$F$20, "")</f>
        <v/>
      </c>
      <c r="K2151" t="str">
        <f t="shared" si="270"/>
        <v>Low</v>
      </c>
      <c r="L2151">
        <f t="shared" si="271"/>
        <v>0.55000000000000004</v>
      </c>
      <c r="M2151">
        <f>_xlfn.XLOOKUP(B2151, Dim_Hotel!$A$2:$A$11, Dim_Hotel!$I$2:$I$11)
 + (IF(J2151="",0,J2151)
    * _xlfn.XLOOKUP(B2151, Dim_Hotel!$A$2:$A$11, Dim_Hotel!$J$2:$J$11))</f>
        <v>150</v>
      </c>
    </row>
    <row r="2152" spans="1:13" x14ac:dyDescent="0.25">
      <c r="A2152" s="1">
        <f t="shared" si="264"/>
        <v>46238</v>
      </c>
      <c r="B2152" t="str" cm="1">
        <f t="array" ref="B2152">INDEX(HotelList,MOD(ROW()-2,10)+1)</f>
        <v>H001</v>
      </c>
      <c r="C2152">
        <f>_xlfn.XLOOKUP(B2152,Dim_Hotel!$A$2:$A$11,Dim_Hotel!$F$2:$F$11)</f>
        <v>888</v>
      </c>
      <c r="D2152">
        <f t="shared" si="265"/>
        <v>488</v>
      </c>
      <c r="E2152">
        <f t="shared" si="266"/>
        <v>0.5495495495495496</v>
      </c>
      <c r="F2152">
        <f t="shared" si="267"/>
        <v>260</v>
      </c>
      <c r="G2152">
        <f t="shared" si="268"/>
        <v>142.88288288288288</v>
      </c>
      <c r="H2152" t="str">
        <f>_xlfn.XLOOKUP(A2152,Fact_Events!$D$2:$D$20,Fact_Events!$A$2:$A$20, "")</f>
        <v/>
      </c>
      <c r="I2152">
        <f t="shared" si="269"/>
        <v>0</v>
      </c>
      <c r="J2152" t="str">
        <f>_xlfn.XLOOKUP(H2152, Fact_Events!$A$2:$A$20, Fact_Events!$F$2:$F$20, "")</f>
        <v/>
      </c>
      <c r="K2152" t="str">
        <f t="shared" si="270"/>
        <v>Low</v>
      </c>
      <c r="L2152">
        <f t="shared" si="271"/>
        <v>0.55000000000000004</v>
      </c>
      <c r="M2152">
        <f>_xlfn.XLOOKUP(B2152, Dim_Hotel!$A$2:$A$11, Dim_Hotel!$I$2:$I$11)
 + (IF(J2152="",0,J2152)
    * _xlfn.XLOOKUP(B2152, Dim_Hotel!$A$2:$A$11, Dim_Hotel!$J$2:$J$11))</f>
        <v>260</v>
      </c>
    </row>
    <row r="2153" spans="1:13" x14ac:dyDescent="0.25">
      <c r="A2153" s="1">
        <f t="shared" si="264"/>
        <v>46238</v>
      </c>
      <c r="B2153" t="str" cm="1">
        <f t="array" ref="B2153">INDEX(HotelList,MOD(ROW()-2,10)+1)</f>
        <v>H002</v>
      </c>
      <c r="C2153">
        <f>_xlfn.XLOOKUP(B2153,Dim_Hotel!$A$2:$A$11,Dim_Hotel!$F$2:$F$11)</f>
        <v>147</v>
      </c>
      <c r="D2153">
        <f t="shared" si="265"/>
        <v>81</v>
      </c>
      <c r="E2153">
        <f t="shared" si="266"/>
        <v>0.55102040816326525</v>
      </c>
      <c r="F2153">
        <f t="shared" si="267"/>
        <v>175</v>
      </c>
      <c r="G2153">
        <f t="shared" si="268"/>
        <v>96.428571428571416</v>
      </c>
      <c r="H2153" t="str">
        <f>_xlfn.XLOOKUP(A2153,Fact_Events!$D$2:$D$20,Fact_Events!$A$2:$A$20, "")</f>
        <v/>
      </c>
      <c r="I2153">
        <f t="shared" si="269"/>
        <v>0</v>
      </c>
      <c r="J2153" t="str">
        <f>_xlfn.XLOOKUP(H2153, Fact_Events!$A$2:$A$20, Fact_Events!$F$2:$F$20, "")</f>
        <v/>
      </c>
      <c r="K2153" t="str">
        <f t="shared" si="270"/>
        <v>Low</v>
      </c>
      <c r="L2153">
        <f t="shared" si="271"/>
        <v>0.55000000000000004</v>
      </c>
      <c r="M2153">
        <f>_xlfn.XLOOKUP(B2153, Dim_Hotel!$A$2:$A$11, Dim_Hotel!$I$2:$I$11)
 + (IF(J2153="",0,J2153)
    * _xlfn.XLOOKUP(B2153, Dim_Hotel!$A$2:$A$11, Dim_Hotel!$J$2:$J$11))</f>
        <v>175</v>
      </c>
    </row>
    <row r="2154" spans="1:13" x14ac:dyDescent="0.25">
      <c r="A2154" s="1">
        <f t="shared" si="264"/>
        <v>46238</v>
      </c>
      <c r="B2154" t="str" cm="1">
        <f t="array" ref="B2154">INDEX(HotelList,MOD(ROW()-2,10)+1)</f>
        <v>H003</v>
      </c>
      <c r="C2154">
        <f>_xlfn.XLOOKUP(B2154,Dim_Hotel!$A$2:$A$11,Dim_Hotel!$F$2:$F$11)</f>
        <v>121</v>
      </c>
      <c r="D2154">
        <f t="shared" si="265"/>
        <v>67</v>
      </c>
      <c r="E2154">
        <f t="shared" si="266"/>
        <v>0.55371900826446285</v>
      </c>
      <c r="F2154">
        <f t="shared" si="267"/>
        <v>145</v>
      </c>
      <c r="G2154">
        <f t="shared" si="268"/>
        <v>80.289256198347118</v>
      </c>
      <c r="H2154" t="str">
        <f>_xlfn.XLOOKUP(A2154,Fact_Events!$D$2:$D$20,Fact_Events!$A$2:$A$20, "")</f>
        <v/>
      </c>
      <c r="I2154">
        <f t="shared" si="269"/>
        <v>0</v>
      </c>
      <c r="J2154" t="str">
        <f>_xlfn.XLOOKUP(H2154, Fact_Events!$A$2:$A$20, Fact_Events!$F$2:$F$20, "")</f>
        <v/>
      </c>
      <c r="K2154" t="str">
        <f t="shared" si="270"/>
        <v>Low</v>
      </c>
      <c r="L2154">
        <f t="shared" si="271"/>
        <v>0.55000000000000004</v>
      </c>
      <c r="M2154">
        <f>_xlfn.XLOOKUP(B2154, Dim_Hotel!$A$2:$A$11, Dim_Hotel!$I$2:$I$11)
 + (IF(J2154="",0,J2154)
    * _xlfn.XLOOKUP(B2154, Dim_Hotel!$A$2:$A$11, Dim_Hotel!$J$2:$J$11))</f>
        <v>145</v>
      </c>
    </row>
    <row r="2155" spans="1:13" x14ac:dyDescent="0.25">
      <c r="A2155" s="1">
        <f t="shared" si="264"/>
        <v>46238</v>
      </c>
      <c r="B2155" t="str" cm="1">
        <f t="array" ref="B2155">INDEX(HotelList,MOD(ROW()-2,10)+1)</f>
        <v>H004</v>
      </c>
      <c r="C2155">
        <f>_xlfn.XLOOKUP(B2155,Dim_Hotel!$A$2:$A$11,Dim_Hotel!$F$2:$F$11)</f>
        <v>108</v>
      </c>
      <c r="D2155">
        <f t="shared" si="265"/>
        <v>59</v>
      </c>
      <c r="E2155">
        <f t="shared" si="266"/>
        <v>0.54629629629629628</v>
      </c>
      <c r="F2155">
        <f t="shared" si="267"/>
        <v>135</v>
      </c>
      <c r="G2155">
        <f t="shared" si="268"/>
        <v>73.75</v>
      </c>
      <c r="H2155" t="str">
        <f>_xlfn.XLOOKUP(A2155,Fact_Events!$D$2:$D$20,Fact_Events!$A$2:$A$20, "")</f>
        <v/>
      </c>
      <c r="I2155">
        <f t="shared" si="269"/>
        <v>0</v>
      </c>
      <c r="J2155" t="str">
        <f>_xlfn.XLOOKUP(H2155, Fact_Events!$A$2:$A$20, Fact_Events!$F$2:$F$20, "")</f>
        <v/>
      </c>
      <c r="K2155" t="str">
        <f t="shared" si="270"/>
        <v>Low</v>
      </c>
      <c r="L2155">
        <f t="shared" si="271"/>
        <v>0.55000000000000004</v>
      </c>
      <c r="M2155">
        <f>_xlfn.XLOOKUP(B2155, Dim_Hotel!$A$2:$A$11, Dim_Hotel!$I$2:$I$11)
 + (IF(J2155="",0,J2155)
    * _xlfn.XLOOKUP(B2155, Dim_Hotel!$A$2:$A$11, Dim_Hotel!$J$2:$J$11))</f>
        <v>135</v>
      </c>
    </row>
    <row r="2156" spans="1:13" x14ac:dyDescent="0.25">
      <c r="A2156" s="1">
        <f t="shared" si="264"/>
        <v>46238</v>
      </c>
      <c r="B2156" t="str" cm="1">
        <f t="array" ref="B2156">INDEX(HotelList,MOD(ROW()-2,10)+1)</f>
        <v>H005</v>
      </c>
      <c r="C2156">
        <f>_xlfn.XLOOKUP(B2156,Dim_Hotel!$A$2:$A$11,Dim_Hotel!$F$2:$F$11)</f>
        <v>66</v>
      </c>
      <c r="D2156">
        <f t="shared" si="265"/>
        <v>36</v>
      </c>
      <c r="E2156">
        <f t="shared" si="266"/>
        <v>0.54545454545454541</v>
      </c>
      <c r="F2156">
        <f t="shared" si="267"/>
        <v>82</v>
      </c>
      <c r="G2156">
        <f t="shared" si="268"/>
        <v>44.727272727272727</v>
      </c>
      <c r="H2156" t="str">
        <f>_xlfn.XLOOKUP(A2156,Fact_Events!$D$2:$D$20,Fact_Events!$A$2:$A$20, "")</f>
        <v/>
      </c>
      <c r="I2156">
        <f t="shared" si="269"/>
        <v>0</v>
      </c>
      <c r="J2156" t="str">
        <f>_xlfn.XLOOKUP(H2156, Fact_Events!$A$2:$A$20, Fact_Events!$F$2:$F$20, "")</f>
        <v/>
      </c>
      <c r="K2156" t="str">
        <f t="shared" si="270"/>
        <v>Low</v>
      </c>
      <c r="L2156">
        <f t="shared" si="271"/>
        <v>0.55000000000000004</v>
      </c>
      <c r="M2156">
        <f>_xlfn.XLOOKUP(B2156, Dim_Hotel!$A$2:$A$11, Dim_Hotel!$I$2:$I$11)
 + (IF(J2156="",0,J2156)
    * _xlfn.XLOOKUP(B2156, Dim_Hotel!$A$2:$A$11, Dim_Hotel!$J$2:$J$11))</f>
        <v>82</v>
      </c>
    </row>
    <row r="2157" spans="1:13" x14ac:dyDescent="0.25">
      <c r="A2157" s="1">
        <f t="shared" si="264"/>
        <v>46238</v>
      </c>
      <c r="B2157" t="str" cm="1">
        <f t="array" ref="B2157">INDEX(HotelList,MOD(ROW()-2,10)+1)</f>
        <v>H006</v>
      </c>
      <c r="C2157">
        <f>_xlfn.XLOOKUP(B2157,Dim_Hotel!$A$2:$A$11,Dim_Hotel!$F$2:$F$11)</f>
        <v>311</v>
      </c>
      <c r="D2157">
        <f t="shared" si="265"/>
        <v>171</v>
      </c>
      <c r="E2157">
        <f t="shared" si="266"/>
        <v>0.54983922829581988</v>
      </c>
      <c r="F2157">
        <f t="shared" si="267"/>
        <v>190</v>
      </c>
      <c r="G2157">
        <f t="shared" si="268"/>
        <v>104.46945337620578</v>
      </c>
      <c r="H2157" t="str">
        <f>_xlfn.XLOOKUP(A2157,Fact_Events!$D$2:$D$20,Fact_Events!$A$2:$A$20, "")</f>
        <v/>
      </c>
      <c r="I2157">
        <f t="shared" si="269"/>
        <v>0</v>
      </c>
      <c r="J2157" t="str">
        <f>_xlfn.XLOOKUP(H2157, Fact_Events!$A$2:$A$20, Fact_Events!$F$2:$F$20, "")</f>
        <v/>
      </c>
      <c r="K2157" t="str">
        <f t="shared" si="270"/>
        <v>Low</v>
      </c>
      <c r="L2157">
        <f t="shared" si="271"/>
        <v>0.55000000000000004</v>
      </c>
      <c r="M2157">
        <f>_xlfn.XLOOKUP(B2157, Dim_Hotel!$A$2:$A$11, Dim_Hotel!$I$2:$I$11)
 + (IF(J2157="",0,J2157)
    * _xlfn.XLOOKUP(B2157, Dim_Hotel!$A$2:$A$11, Dim_Hotel!$J$2:$J$11))</f>
        <v>190</v>
      </c>
    </row>
    <row r="2158" spans="1:13" x14ac:dyDescent="0.25">
      <c r="A2158" s="1">
        <f t="shared" si="264"/>
        <v>46238</v>
      </c>
      <c r="B2158" t="str" cm="1">
        <f t="array" ref="B2158">INDEX(HotelList,MOD(ROW()-2,10)+1)</f>
        <v>H007</v>
      </c>
      <c r="C2158">
        <f>_xlfn.XLOOKUP(B2158,Dim_Hotel!$A$2:$A$11,Dim_Hotel!$F$2:$F$11)</f>
        <v>132</v>
      </c>
      <c r="D2158">
        <f t="shared" si="265"/>
        <v>73</v>
      </c>
      <c r="E2158">
        <f t="shared" si="266"/>
        <v>0.55303030303030298</v>
      </c>
      <c r="F2158">
        <f t="shared" si="267"/>
        <v>165</v>
      </c>
      <c r="G2158">
        <f t="shared" si="268"/>
        <v>91.249999999999986</v>
      </c>
      <c r="H2158" t="str">
        <f>_xlfn.XLOOKUP(A2158,Fact_Events!$D$2:$D$20,Fact_Events!$A$2:$A$20, "")</f>
        <v/>
      </c>
      <c r="I2158">
        <f t="shared" si="269"/>
        <v>0</v>
      </c>
      <c r="J2158" t="str">
        <f>_xlfn.XLOOKUP(H2158, Fact_Events!$A$2:$A$20, Fact_Events!$F$2:$F$20, "")</f>
        <v/>
      </c>
      <c r="K2158" t="str">
        <f t="shared" si="270"/>
        <v>Low</v>
      </c>
      <c r="L2158">
        <f t="shared" si="271"/>
        <v>0.55000000000000004</v>
      </c>
      <c r="M2158">
        <f>_xlfn.XLOOKUP(B2158, Dim_Hotel!$A$2:$A$11, Dim_Hotel!$I$2:$I$11)
 + (IF(J2158="",0,J2158)
    * _xlfn.XLOOKUP(B2158, Dim_Hotel!$A$2:$A$11, Dim_Hotel!$J$2:$J$11))</f>
        <v>165</v>
      </c>
    </row>
    <row r="2159" spans="1:13" x14ac:dyDescent="0.25">
      <c r="A2159" s="1">
        <f t="shared" si="264"/>
        <v>46238</v>
      </c>
      <c r="B2159" t="str" cm="1">
        <f t="array" ref="B2159">INDEX(HotelList,MOD(ROW()-2,10)+1)</f>
        <v>H008</v>
      </c>
      <c r="C2159">
        <f>_xlfn.XLOOKUP(B2159,Dim_Hotel!$A$2:$A$11,Dim_Hotel!$F$2:$F$11)</f>
        <v>103</v>
      </c>
      <c r="D2159">
        <f t="shared" si="265"/>
        <v>57</v>
      </c>
      <c r="E2159">
        <f t="shared" si="266"/>
        <v>0.55339805825242716</v>
      </c>
      <c r="F2159">
        <f t="shared" si="267"/>
        <v>140</v>
      </c>
      <c r="G2159">
        <f t="shared" si="268"/>
        <v>77.475728155339809</v>
      </c>
      <c r="H2159" t="str">
        <f>_xlfn.XLOOKUP(A2159,Fact_Events!$D$2:$D$20,Fact_Events!$A$2:$A$20, "")</f>
        <v/>
      </c>
      <c r="I2159">
        <f t="shared" si="269"/>
        <v>0</v>
      </c>
      <c r="J2159" t="str">
        <f>_xlfn.XLOOKUP(H2159, Fact_Events!$A$2:$A$20, Fact_Events!$F$2:$F$20, "")</f>
        <v/>
      </c>
      <c r="K2159" t="str">
        <f t="shared" si="270"/>
        <v>Low</v>
      </c>
      <c r="L2159">
        <f t="shared" si="271"/>
        <v>0.55000000000000004</v>
      </c>
      <c r="M2159">
        <f>_xlfn.XLOOKUP(B2159, Dim_Hotel!$A$2:$A$11, Dim_Hotel!$I$2:$I$11)
 + (IF(J2159="",0,J2159)
    * _xlfn.XLOOKUP(B2159, Dim_Hotel!$A$2:$A$11, Dim_Hotel!$J$2:$J$11))</f>
        <v>140</v>
      </c>
    </row>
    <row r="2160" spans="1:13" x14ac:dyDescent="0.25">
      <c r="A2160" s="1">
        <f t="shared" si="264"/>
        <v>46238</v>
      </c>
      <c r="B2160" t="str" cm="1">
        <f t="array" ref="B2160">INDEX(HotelList,MOD(ROW()-2,10)+1)</f>
        <v>H009</v>
      </c>
      <c r="C2160">
        <f>_xlfn.XLOOKUP(B2160,Dim_Hotel!$A$2:$A$11,Dim_Hotel!$F$2:$F$11)</f>
        <v>114</v>
      </c>
      <c r="D2160">
        <f t="shared" si="265"/>
        <v>63</v>
      </c>
      <c r="E2160">
        <f t="shared" si="266"/>
        <v>0.55263157894736847</v>
      </c>
      <c r="F2160">
        <f t="shared" si="267"/>
        <v>185</v>
      </c>
      <c r="G2160">
        <f t="shared" si="268"/>
        <v>102.23684210526316</v>
      </c>
      <c r="H2160" t="str">
        <f>_xlfn.XLOOKUP(A2160,Fact_Events!$D$2:$D$20,Fact_Events!$A$2:$A$20, "")</f>
        <v/>
      </c>
      <c r="I2160">
        <f t="shared" si="269"/>
        <v>0</v>
      </c>
      <c r="J2160" t="str">
        <f>_xlfn.XLOOKUP(H2160, Fact_Events!$A$2:$A$20, Fact_Events!$F$2:$F$20, "")</f>
        <v/>
      </c>
      <c r="K2160" t="str">
        <f t="shared" si="270"/>
        <v>Low</v>
      </c>
      <c r="L2160">
        <f t="shared" si="271"/>
        <v>0.55000000000000004</v>
      </c>
      <c r="M2160">
        <f>_xlfn.XLOOKUP(B2160, Dim_Hotel!$A$2:$A$11, Dim_Hotel!$I$2:$I$11)
 + (IF(J2160="",0,J2160)
    * _xlfn.XLOOKUP(B2160, Dim_Hotel!$A$2:$A$11, Dim_Hotel!$J$2:$J$11))</f>
        <v>185</v>
      </c>
    </row>
    <row r="2161" spans="1:13" x14ac:dyDescent="0.25">
      <c r="A2161" s="1">
        <f t="shared" si="264"/>
        <v>46238</v>
      </c>
      <c r="B2161" t="str" cm="1">
        <f t="array" ref="B2161">INDEX(HotelList,MOD(ROW()-2,10)+1)</f>
        <v>H010</v>
      </c>
      <c r="C2161">
        <f>_xlfn.XLOOKUP(B2161,Dim_Hotel!$A$2:$A$11,Dim_Hotel!$F$2:$F$11)</f>
        <v>89</v>
      </c>
      <c r="D2161">
        <f t="shared" si="265"/>
        <v>49</v>
      </c>
      <c r="E2161">
        <f t="shared" si="266"/>
        <v>0.550561797752809</v>
      </c>
      <c r="F2161">
        <f t="shared" si="267"/>
        <v>150</v>
      </c>
      <c r="G2161">
        <f t="shared" si="268"/>
        <v>82.584269662921344</v>
      </c>
      <c r="H2161" t="str">
        <f>_xlfn.XLOOKUP(A2161,Fact_Events!$D$2:$D$20,Fact_Events!$A$2:$A$20, "")</f>
        <v/>
      </c>
      <c r="I2161">
        <f t="shared" si="269"/>
        <v>0</v>
      </c>
      <c r="J2161" t="str">
        <f>_xlfn.XLOOKUP(H2161, Fact_Events!$A$2:$A$20, Fact_Events!$F$2:$F$20, "")</f>
        <v/>
      </c>
      <c r="K2161" t="str">
        <f t="shared" si="270"/>
        <v>Low</v>
      </c>
      <c r="L2161">
        <f t="shared" si="271"/>
        <v>0.55000000000000004</v>
      </c>
      <c r="M2161">
        <f>_xlfn.XLOOKUP(B2161, Dim_Hotel!$A$2:$A$11, Dim_Hotel!$I$2:$I$11)
 + (IF(J2161="",0,J2161)
    * _xlfn.XLOOKUP(B2161, Dim_Hotel!$A$2:$A$11, Dim_Hotel!$J$2:$J$11))</f>
        <v>150</v>
      </c>
    </row>
    <row r="2162" spans="1:13" x14ac:dyDescent="0.25">
      <c r="A2162" s="1">
        <f t="shared" si="264"/>
        <v>46239</v>
      </c>
      <c r="B2162" t="str" cm="1">
        <f t="array" ref="B2162">INDEX(HotelList,MOD(ROW()-2,10)+1)</f>
        <v>H001</v>
      </c>
      <c r="C2162">
        <f>_xlfn.XLOOKUP(B2162,Dim_Hotel!$A$2:$A$11,Dim_Hotel!$F$2:$F$11)</f>
        <v>888</v>
      </c>
      <c r="D2162">
        <f t="shared" si="265"/>
        <v>488</v>
      </c>
      <c r="E2162">
        <f t="shared" si="266"/>
        <v>0.5495495495495496</v>
      </c>
      <c r="F2162">
        <f t="shared" si="267"/>
        <v>260</v>
      </c>
      <c r="G2162">
        <f t="shared" si="268"/>
        <v>142.88288288288288</v>
      </c>
      <c r="H2162" t="str">
        <f>_xlfn.XLOOKUP(A2162,Fact_Events!$D$2:$D$20,Fact_Events!$A$2:$A$20, "")</f>
        <v/>
      </c>
      <c r="I2162">
        <f t="shared" si="269"/>
        <v>0</v>
      </c>
      <c r="J2162" t="str">
        <f>_xlfn.XLOOKUP(H2162, Fact_Events!$A$2:$A$20, Fact_Events!$F$2:$F$20, "")</f>
        <v/>
      </c>
      <c r="K2162" t="str">
        <f t="shared" si="270"/>
        <v>Low</v>
      </c>
      <c r="L2162">
        <f t="shared" si="271"/>
        <v>0.55000000000000004</v>
      </c>
      <c r="M2162">
        <f>_xlfn.XLOOKUP(B2162, Dim_Hotel!$A$2:$A$11, Dim_Hotel!$I$2:$I$11)
 + (IF(J2162="",0,J2162)
    * _xlfn.XLOOKUP(B2162, Dim_Hotel!$A$2:$A$11, Dim_Hotel!$J$2:$J$11))</f>
        <v>260</v>
      </c>
    </row>
    <row r="2163" spans="1:13" x14ac:dyDescent="0.25">
      <c r="A2163" s="1">
        <f t="shared" si="264"/>
        <v>46239</v>
      </c>
      <c r="B2163" t="str" cm="1">
        <f t="array" ref="B2163">INDEX(HotelList,MOD(ROW()-2,10)+1)</f>
        <v>H002</v>
      </c>
      <c r="C2163">
        <f>_xlfn.XLOOKUP(B2163,Dim_Hotel!$A$2:$A$11,Dim_Hotel!$F$2:$F$11)</f>
        <v>147</v>
      </c>
      <c r="D2163">
        <f t="shared" si="265"/>
        <v>81</v>
      </c>
      <c r="E2163">
        <f t="shared" si="266"/>
        <v>0.55102040816326525</v>
      </c>
      <c r="F2163">
        <f t="shared" si="267"/>
        <v>175</v>
      </c>
      <c r="G2163">
        <f t="shared" si="268"/>
        <v>96.428571428571416</v>
      </c>
      <c r="H2163" t="str">
        <f>_xlfn.XLOOKUP(A2163,Fact_Events!$D$2:$D$20,Fact_Events!$A$2:$A$20, "")</f>
        <v/>
      </c>
      <c r="I2163">
        <f t="shared" si="269"/>
        <v>0</v>
      </c>
      <c r="J2163" t="str">
        <f>_xlfn.XLOOKUP(H2163, Fact_Events!$A$2:$A$20, Fact_Events!$F$2:$F$20, "")</f>
        <v/>
      </c>
      <c r="K2163" t="str">
        <f t="shared" si="270"/>
        <v>Low</v>
      </c>
      <c r="L2163">
        <f t="shared" si="271"/>
        <v>0.55000000000000004</v>
      </c>
      <c r="M2163">
        <f>_xlfn.XLOOKUP(B2163, Dim_Hotel!$A$2:$A$11, Dim_Hotel!$I$2:$I$11)
 + (IF(J2163="",0,J2163)
    * _xlfn.XLOOKUP(B2163, Dim_Hotel!$A$2:$A$11, Dim_Hotel!$J$2:$J$11))</f>
        <v>175</v>
      </c>
    </row>
    <row r="2164" spans="1:13" x14ac:dyDescent="0.25">
      <c r="A2164" s="1">
        <f t="shared" si="264"/>
        <v>46239</v>
      </c>
      <c r="B2164" t="str" cm="1">
        <f t="array" ref="B2164">INDEX(HotelList,MOD(ROW()-2,10)+1)</f>
        <v>H003</v>
      </c>
      <c r="C2164">
        <f>_xlfn.XLOOKUP(B2164,Dim_Hotel!$A$2:$A$11,Dim_Hotel!$F$2:$F$11)</f>
        <v>121</v>
      </c>
      <c r="D2164">
        <f t="shared" si="265"/>
        <v>67</v>
      </c>
      <c r="E2164">
        <f t="shared" si="266"/>
        <v>0.55371900826446285</v>
      </c>
      <c r="F2164">
        <f t="shared" si="267"/>
        <v>145</v>
      </c>
      <c r="G2164">
        <f t="shared" si="268"/>
        <v>80.289256198347118</v>
      </c>
      <c r="H2164" t="str">
        <f>_xlfn.XLOOKUP(A2164,Fact_Events!$D$2:$D$20,Fact_Events!$A$2:$A$20, "")</f>
        <v/>
      </c>
      <c r="I2164">
        <f t="shared" si="269"/>
        <v>0</v>
      </c>
      <c r="J2164" t="str">
        <f>_xlfn.XLOOKUP(H2164, Fact_Events!$A$2:$A$20, Fact_Events!$F$2:$F$20, "")</f>
        <v/>
      </c>
      <c r="K2164" t="str">
        <f t="shared" si="270"/>
        <v>Low</v>
      </c>
      <c r="L2164">
        <f t="shared" si="271"/>
        <v>0.55000000000000004</v>
      </c>
      <c r="M2164">
        <f>_xlfn.XLOOKUP(B2164, Dim_Hotel!$A$2:$A$11, Dim_Hotel!$I$2:$I$11)
 + (IF(J2164="",0,J2164)
    * _xlfn.XLOOKUP(B2164, Dim_Hotel!$A$2:$A$11, Dim_Hotel!$J$2:$J$11))</f>
        <v>145</v>
      </c>
    </row>
    <row r="2165" spans="1:13" x14ac:dyDescent="0.25">
      <c r="A2165" s="1">
        <f t="shared" si="264"/>
        <v>46239</v>
      </c>
      <c r="B2165" t="str" cm="1">
        <f t="array" ref="B2165">INDEX(HotelList,MOD(ROW()-2,10)+1)</f>
        <v>H004</v>
      </c>
      <c r="C2165">
        <f>_xlfn.XLOOKUP(B2165,Dim_Hotel!$A$2:$A$11,Dim_Hotel!$F$2:$F$11)</f>
        <v>108</v>
      </c>
      <c r="D2165">
        <f t="shared" si="265"/>
        <v>59</v>
      </c>
      <c r="E2165">
        <f t="shared" si="266"/>
        <v>0.54629629629629628</v>
      </c>
      <c r="F2165">
        <f t="shared" si="267"/>
        <v>135</v>
      </c>
      <c r="G2165">
        <f t="shared" si="268"/>
        <v>73.75</v>
      </c>
      <c r="H2165" t="str">
        <f>_xlfn.XLOOKUP(A2165,Fact_Events!$D$2:$D$20,Fact_Events!$A$2:$A$20, "")</f>
        <v/>
      </c>
      <c r="I2165">
        <f t="shared" si="269"/>
        <v>0</v>
      </c>
      <c r="J2165" t="str">
        <f>_xlfn.XLOOKUP(H2165, Fact_Events!$A$2:$A$20, Fact_Events!$F$2:$F$20, "")</f>
        <v/>
      </c>
      <c r="K2165" t="str">
        <f t="shared" si="270"/>
        <v>Low</v>
      </c>
      <c r="L2165">
        <f t="shared" si="271"/>
        <v>0.55000000000000004</v>
      </c>
      <c r="M2165">
        <f>_xlfn.XLOOKUP(B2165, Dim_Hotel!$A$2:$A$11, Dim_Hotel!$I$2:$I$11)
 + (IF(J2165="",0,J2165)
    * _xlfn.XLOOKUP(B2165, Dim_Hotel!$A$2:$A$11, Dim_Hotel!$J$2:$J$11))</f>
        <v>135</v>
      </c>
    </row>
    <row r="2166" spans="1:13" x14ac:dyDescent="0.25">
      <c r="A2166" s="1">
        <f t="shared" si="264"/>
        <v>46239</v>
      </c>
      <c r="B2166" t="str" cm="1">
        <f t="array" ref="B2166">INDEX(HotelList,MOD(ROW()-2,10)+1)</f>
        <v>H005</v>
      </c>
      <c r="C2166">
        <f>_xlfn.XLOOKUP(B2166,Dim_Hotel!$A$2:$A$11,Dim_Hotel!$F$2:$F$11)</f>
        <v>66</v>
      </c>
      <c r="D2166">
        <f t="shared" si="265"/>
        <v>36</v>
      </c>
      <c r="E2166">
        <f t="shared" si="266"/>
        <v>0.54545454545454541</v>
      </c>
      <c r="F2166">
        <f t="shared" si="267"/>
        <v>82</v>
      </c>
      <c r="G2166">
        <f t="shared" si="268"/>
        <v>44.727272727272727</v>
      </c>
      <c r="H2166" t="str">
        <f>_xlfn.XLOOKUP(A2166,Fact_Events!$D$2:$D$20,Fact_Events!$A$2:$A$20, "")</f>
        <v/>
      </c>
      <c r="I2166">
        <f t="shared" si="269"/>
        <v>0</v>
      </c>
      <c r="J2166" t="str">
        <f>_xlfn.XLOOKUP(H2166, Fact_Events!$A$2:$A$20, Fact_Events!$F$2:$F$20, "")</f>
        <v/>
      </c>
      <c r="K2166" t="str">
        <f t="shared" si="270"/>
        <v>Low</v>
      </c>
      <c r="L2166">
        <f t="shared" si="271"/>
        <v>0.55000000000000004</v>
      </c>
      <c r="M2166">
        <f>_xlfn.XLOOKUP(B2166, Dim_Hotel!$A$2:$A$11, Dim_Hotel!$I$2:$I$11)
 + (IF(J2166="",0,J2166)
    * _xlfn.XLOOKUP(B2166, Dim_Hotel!$A$2:$A$11, Dim_Hotel!$J$2:$J$11))</f>
        <v>82</v>
      </c>
    </row>
    <row r="2167" spans="1:13" x14ac:dyDescent="0.25">
      <c r="A2167" s="1">
        <f t="shared" si="264"/>
        <v>46239</v>
      </c>
      <c r="B2167" t="str" cm="1">
        <f t="array" ref="B2167">INDEX(HotelList,MOD(ROW()-2,10)+1)</f>
        <v>H006</v>
      </c>
      <c r="C2167">
        <f>_xlfn.XLOOKUP(B2167,Dim_Hotel!$A$2:$A$11,Dim_Hotel!$F$2:$F$11)</f>
        <v>311</v>
      </c>
      <c r="D2167">
        <f t="shared" si="265"/>
        <v>171</v>
      </c>
      <c r="E2167">
        <f t="shared" si="266"/>
        <v>0.54983922829581988</v>
      </c>
      <c r="F2167">
        <f t="shared" si="267"/>
        <v>190</v>
      </c>
      <c r="G2167">
        <f t="shared" si="268"/>
        <v>104.46945337620578</v>
      </c>
      <c r="H2167" t="str">
        <f>_xlfn.XLOOKUP(A2167,Fact_Events!$D$2:$D$20,Fact_Events!$A$2:$A$20, "")</f>
        <v/>
      </c>
      <c r="I2167">
        <f t="shared" si="269"/>
        <v>0</v>
      </c>
      <c r="J2167" t="str">
        <f>_xlfn.XLOOKUP(H2167, Fact_Events!$A$2:$A$20, Fact_Events!$F$2:$F$20, "")</f>
        <v/>
      </c>
      <c r="K2167" t="str">
        <f t="shared" si="270"/>
        <v>Low</v>
      </c>
      <c r="L2167">
        <f t="shared" si="271"/>
        <v>0.55000000000000004</v>
      </c>
      <c r="M2167">
        <f>_xlfn.XLOOKUP(B2167, Dim_Hotel!$A$2:$A$11, Dim_Hotel!$I$2:$I$11)
 + (IF(J2167="",0,J2167)
    * _xlfn.XLOOKUP(B2167, Dim_Hotel!$A$2:$A$11, Dim_Hotel!$J$2:$J$11))</f>
        <v>190</v>
      </c>
    </row>
    <row r="2168" spans="1:13" x14ac:dyDescent="0.25">
      <c r="A2168" s="1">
        <f t="shared" si="264"/>
        <v>46239</v>
      </c>
      <c r="B2168" t="str" cm="1">
        <f t="array" ref="B2168">INDEX(HotelList,MOD(ROW()-2,10)+1)</f>
        <v>H007</v>
      </c>
      <c r="C2168">
        <f>_xlfn.XLOOKUP(B2168,Dim_Hotel!$A$2:$A$11,Dim_Hotel!$F$2:$F$11)</f>
        <v>132</v>
      </c>
      <c r="D2168">
        <f t="shared" si="265"/>
        <v>73</v>
      </c>
      <c r="E2168">
        <f t="shared" si="266"/>
        <v>0.55303030303030298</v>
      </c>
      <c r="F2168">
        <f t="shared" si="267"/>
        <v>165</v>
      </c>
      <c r="G2168">
        <f t="shared" si="268"/>
        <v>91.249999999999986</v>
      </c>
      <c r="H2168" t="str">
        <f>_xlfn.XLOOKUP(A2168,Fact_Events!$D$2:$D$20,Fact_Events!$A$2:$A$20, "")</f>
        <v/>
      </c>
      <c r="I2168">
        <f t="shared" si="269"/>
        <v>0</v>
      </c>
      <c r="J2168" t="str">
        <f>_xlfn.XLOOKUP(H2168, Fact_Events!$A$2:$A$20, Fact_Events!$F$2:$F$20, "")</f>
        <v/>
      </c>
      <c r="K2168" t="str">
        <f t="shared" si="270"/>
        <v>Low</v>
      </c>
      <c r="L2168">
        <f t="shared" si="271"/>
        <v>0.55000000000000004</v>
      </c>
      <c r="M2168">
        <f>_xlfn.XLOOKUP(B2168, Dim_Hotel!$A$2:$A$11, Dim_Hotel!$I$2:$I$11)
 + (IF(J2168="",0,J2168)
    * _xlfn.XLOOKUP(B2168, Dim_Hotel!$A$2:$A$11, Dim_Hotel!$J$2:$J$11))</f>
        <v>165</v>
      </c>
    </row>
    <row r="2169" spans="1:13" x14ac:dyDescent="0.25">
      <c r="A2169" s="1">
        <f t="shared" si="264"/>
        <v>46239</v>
      </c>
      <c r="B2169" t="str" cm="1">
        <f t="array" ref="B2169">INDEX(HotelList,MOD(ROW()-2,10)+1)</f>
        <v>H008</v>
      </c>
      <c r="C2169">
        <f>_xlfn.XLOOKUP(B2169,Dim_Hotel!$A$2:$A$11,Dim_Hotel!$F$2:$F$11)</f>
        <v>103</v>
      </c>
      <c r="D2169">
        <f t="shared" si="265"/>
        <v>57</v>
      </c>
      <c r="E2169">
        <f t="shared" si="266"/>
        <v>0.55339805825242716</v>
      </c>
      <c r="F2169">
        <f t="shared" si="267"/>
        <v>140</v>
      </c>
      <c r="G2169">
        <f t="shared" si="268"/>
        <v>77.475728155339809</v>
      </c>
      <c r="H2169" t="str">
        <f>_xlfn.XLOOKUP(A2169,Fact_Events!$D$2:$D$20,Fact_Events!$A$2:$A$20, "")</f>
        <v/>
      </c>
      <c r="I2169">
        <f t="shared" si="269"/>
        <v>0</v>
      </c>
      <c r="J2169" t="str">
        <f>_xlfn.XLOOKUP(H2169, Fact_Events!$A$2:$A$20, Fact_Events!$F$2:$F$20, "")</f>
        <v/>
      </c>
      <c r="K2169" t="str">
        <f t="shared" si="270"/>
        <v>Low</v>
      </c>
      <c r="L2169">
        <f t="shared" si="271"/>
        <v>0.55000000000000004</v>
      </c>
      <c r="M2169">
        <f>_xlfn.XLOOKUP(B2169, Dim_Hotel!$A$2:$A$11, Dim_Hotel!$I$2:$I$11)
 + (IF(J2169="",0,J2169)
    * _xlfn.XLOOKUP(B2169, Dim_Hotel!$A$2:$A$11, Dim_Hotel!$J$2:$J$11))</f>
        <v>140</v>
      </c>
    </row>
    <row r="2170" spans="1:13" x14ac:dyDescent="0.25">
      <c r="A2170" s="1">
        <f t="shared" si="264"/>
        <v>46239</v>
      </c>
      <c r="B2170" t="str" cm="1">
        <f t="array" ref="B2170">INDEX(HotelList,MOD(ROW()-2,10)+1)</f>
        <v>H009</v>
      </c>
      <c r="C2170">
        <f>_xlfn.XLOOKUP(B2170,Dim_Hotel!$A$2:$A$11,Dim_Hotel!$F$2:$F$11)</f>
        <v>114</v>
      </c>
      <c r="D2170">
        <f t="shared" si="265"/>
        <v>63</v>
      </c>
      <c r="E2170">
        <f t="shared" si="266"/>
        <v>0.55263157894736847</v>
      </c>
      <c r="F2170">
        <f t="shared" si="267"/>
        <v>185</v>
      </c>
      <c r="G2170">
        <f t="shared" si="268"/>
        <v>102.23684210526316</v>
      </c>
      <c r="H2170" t="str">
        <f>_xlfn.XLOOKUP(A2170,Fact_Events!$D$2:$D$20,Fact_Events!$A$2:$A$20, "")</f>
        <v/>
      </c>
      <c r="I2170">
        <f t="shared" si="269"/>
        <v>0</v>
      </c>
      <c r="J2170" t="str">
        <f>_xlfn.XLOOKUP(H2170, Fact_Events!$A$2:$A$20, Fact_Events!$F$2:$F$20, "")</f>
        <v/>
      </c>
      <c r="K2170" t="str">
        <f t="shared" si="270"/>
        <v>Low</v>
      </c>
      <c r="L2170">
        <f t="shared" si="271"/>
        <v>0.55000000000000004</v>
      </c>
      <c r="M2170">
        <f>_xlfn.XLOOKUP(B2170, Dim_Hotel!$A$2:$A$11, Dim_Hotel!$I$2:$I$11)
 + (IF(J2170="",0,J2170)
    * _xlfn.XLOOKUP(B2170, Dim_Hotel!$A$2:$A$11, Dim_Hotel!$J$2:$J$11))</f>
        <v>185</v>
      </c>
    </row>
    <row r="2171" spans="1:13" x14ac:dyDescent="0.25">
      <c r="A2171" s="1">
        <f t="shared" si="264"/>
        <v>46239</v>
      </c>
      <c r="B2171" t="str" cm="1">
        <f t="array" ref="B2171">INDEX(HotelList,MOD(ROW()-2,10)+1)</f>
        <v>H010</v>
      </c>
      <c r="C2171">
        <f>_xlfn.XLOOKUP(B2171,Dim_Hotel!$A$2:$A$11,Dim_Hotel!$F$2:$F$11)</f>
        <v>89</v>
      </c>
      <c r="D2171">
        <f t="shared" si="265"/>
        <v>49</v>
      </c>
      <c r="E2171">
        <f t="shared" si="266"/>
        <v>0.550561797752809</v>
      </c>
      <c r="F2171">
        <f t="shared" si="267"/>
        <v>150</v>
      </c>
      <c r="G2171">
        <f t="shared" si="268"/>
        <v>82.584269662921344</v>
      </c>
      <c r="H2171" t="str">
        <f>_xlfn.XLOOKUP(A2171,Fact_Events!$D$2:$D$20,Fact_Events!$A$2:$A$20, "")</f>
        <v/>
      </c>
      <c r="I2171">
        <f t="shared" si="269"/>
        <v>0</v>
      </c>
      <c r="J2171" t="str">
        <f>_xlfn.XLOOKUP(H2171, Fact_Events!$A$2:$A$20, Fact_Events!$F$2:$F$20, "")</f>
        <v/>
      </c>
      <c r="K2171" t="str">
        <f t="shared" si="270"/>
        <v>Low</v>
      </c>
      <c r="L2171">
        <f t="shared" si="271"/>
        <v>0.55000000000000004</v>
      </c>
      <c r="M2171">
        <f>_xlfn.XLOOKUP(B2171, Dim_Hotel!$A$2:$A$11, Dim_Hotel!$I$2:$I$11)
 + (IF(J2171="",0,J2171)
    * _xlfn.XLOOKUP(B2171, Dim_Hotel!$A$2:$A$11, Dim_Hotel!$J$2:$J$11))</f>
        <v>150</v>
      </c>
    </row>
    <row r="2172" spans="1:13" x14ac:dyDescent="0.25">
      <c r="A2172" s="1">
        <f t="shared" si="264"/>
        <v>46240</v>
      </c>
      <c r="B2172" t="str" cm="1">
        <f t="array" ref="B2172">INDEX(HotelList,MOD(ROW()-2,10)+1)</f>
        <v>H001</v>
      </c>
      <c r="C2172">
        <f>_xlfn.XLOOKUP(B2172,Dim_Hotel!$A$2:$A$11,Dim_Hotel!$F$2:$F$11)</f>
        <v>888</v>
      </c>
      <c r="D2172">
        <f t="shared" si="265"/>
        <v>488</v>
      </c>
      <c r="E2172">
        <f t="shared" si="266"/>
        <v>0.5495495495495496</v>
      </c>
      <c r="F2172">
        <f t="shared" si="267"/>
        <v>260</v>
      </c>
      <c r="G2172">
        <f t="shared" si="268"/>
        <v>142.88288288288288</v>
      </c>
      <c r="H2172" t="str">
        <f>_xlfn.XLOOKUP(A2172,Fact_Events!$D$2:$D$20,Fact_Events!$A$2:$A$20, "")</f>
        <v/>
      </c>
      <c r="I2172">
        <f t="shared" si="269"/>
        <v>0</v>
      </c>
      <c r="J2172" t="str">
        <f>_xlfn.XLOOKUP(H2172, Fact_Events!$A$2:$A$20, Fact_Events!$F$2:$F$20, "")</f>
        <v/>
      </c>
      <c r="K2172" t="str">
        <f t="shared" si="270"/>
        <v>Low</v>
      </c>
      <c r="L2172">
        <f t="shared" si="271"/>
        <v>0.55000000000000004</v>
      </c>
      <c r="M2172">
        <f>_xlfn.XLOOKUP(B2172, Dim_Hotel!$A$2:$A$11, Dim_Hotel!$I$2:$I$11)
 + (IF(J2172="",0,J2172)
    * _xlfn.XLOOKUP(B2172, Dim_Hotel!$A$2:$A$11, Dim_Hotel!$J$2:$J$11))</f>
        <v>260</v>
      </c>
    </row>
    <row r="2173" spans="1:13" x14ac:dyDescent="0.25">
      <c r="A2173" s="1">
        <f t="shared" si="264"/>
        <v>46240</v>
      </c>
      <c r="B2173" t="str" cm="1">
        <f t="array" ref="B2173">INDEX(HotelList,MOD(ROW()-2,10)+1)</f>
        <v>H002</v>
      </c>
      <c r="C2173">
        <f>_xlfn.XLOOKUP(B2173,Dim_Hotel!$A$2:$A$11,Dim_Hotel!$F$2:$F$11)</f>
        <v>147</v>
      </c>
      <c r="D2173">
        <f t="shared" si="265"/>
        <v>81</v>
      </c>
      <c r="E2173">
        <f t="shared" si="266"/>
        <v>0.55102040816326525</v>
      </c>
      <c r="F2173">
        <f t="shared" si="267"/>
        <v>175</v>
      </c>
      <c r="G2173">
        <f t="shared" si="268"/>
        <v>96.428571428571416</v>
      </c>
      <c r="H2173" t="str">
        <f>_xlfn.XLOOKUP(A2173,Fact_Events!$D$2:$D$20,Fact_Events!$A$2:$A$20, "")</f>
        <v/>
      </c>
      <c r="I2173">
        <f t="shared" si="269"/>
        <v>0</v>
      </c>
      <c r="J2173" t="str">
        <f>_xlfn.XLOOKUP(H2173, Fact_Events!$A$2:$A$20, Fact_Events!$F$2:$F$20, "")</f>
        <v/>
      </c>
      <c r="K2173" t="str">
        <f t="shared" si="270"/>
        <v>Low</v>
      </c>
      <c r="L2173">
        <f t="shared" si="271"/>
        <v>0.55000000000000004</v>
      </c>
      <c r="M2173">
        <f>_xlfn.XLOOKUP(B2173, Dim_Hotel!$A$2:$A$11, Dim_Hotel!$I$2:$I$11)
 + (IF(J2173="",0,J2173)
    * _xlfn.XLOOKUP(B2173, Dim_Hotel!$A$2:$A$11, Dim_Hotel!$J$2:$J$11))</f>
        <v>175</v>
      </c>
    </row>
    <row r="2174" spans="1:13" x14ac:dyDescent="0.25">
      <c r="A2174" s="1">
        <f t="shared" si="264"/>
        <v>46240</v>
      </c>
      <c r="B2174" t="str" cm="1">
        <f t="array" ref="B2174">INDEX(HotelList,MOD(ROW()-2,10)+1)</f>
        <v>H003</v>
      </c>
      <c r="C2174">
        <f>_xlfn.XLOOKUP(B2174,Dim_Hotel!$A$2:$A$11,Dim_Hotel!$F$2:$F$11)</f>
        <v>121</v>
      </c>
      <c r="D2174">
        <f t="shared" si="265"/>
        <v>67</v>
      </c>
      <c r="E2174">
        <f t="shared" si="266"/>
        <v>0.55371900826446285</v>
      </c>
      <c r="F2174">
        <f t="shared" si="267"/>
        <v>145</v>
      </c>
      <c r="G2174">
        <f t="shared" si="268"/>
        <v>80.289256198347118</v>
      </c>
      <c r="H2174" t="str">
        <f>_xlfn.XLOOKUP(A2174,Fact_Events!$D$2:$D$20,Fact_Events!$A$2:$A$20, "")</f>
        <v/>
      </c>
      <c r="I2174">
        <f t="shared" si="269"/>
        <v>0</v>
      </c>
      <c r="J2174" t="str">
        <f>_xlfn.XLOOKUP(H2174, Fact_Events!$A$2:$A$20, Fact_Events!$F$2:$F$20, "")</f>
        <v/>
      </c>
      <c r="K2174" t="str">
        <f t="shared" si="270"/>
        <v>Low</v>
      </c>
      <c r="L2174">
        <f t="shared" si="271"/>
        <v>0.55000000000000004</v>
      </c>
      <c r="M2174">
        <f>_xlfn.XLOOKUP(B2174, Dim_Hotel!$A$2:$A$11, Dim_Hotel!$I$2:$I$11)
 + (IF(J2174="",0,J2174)
    * _xlfn.XLOOKUP(B2174, Dim_Hotel!$A$2:$A$11, Dim_Hotel!$J$2:$J$11))</f>
        <v>145</v>
      </c>
    </row>
    <row r="2175" spans="1:13" x14ac:dyDescent="0.25">
      <c r="A2175" s="1">
        <f t="shared" si="264"/>
        <v>46240</v>
      </c>
      <c r="B2175" t="str" cm="1">
        <f t="array" ref="B2175">INDEX(HotelList,MOD(ROW()-2,10)+1)</f>
        <v>H004</v>
      </c>
      <c r="C2175">
        <f>_xlfn.XLOOKUP(B2175,Dim_Hotel!$A$2:$A$11,Dim_Hotel!$F$2:$F$11)</f>
        <v>108</v>
      </c>
      <c r="D2175">
        <f t="shared" si="265"/>
        <v>59</v>
      </c>
      <c r="E2175">
        <f t="shared" si="266"/>
        <v>0.54629629629629628</v>
      </c>
      <c r="F2175">
        <f t="shared" si="267"/>
        <v>135</v>
      </c>
      <c r="G2175">
        <f t="shared" si="268"/>
        <v>73.75</v>
      </c>
      <c r="H2175" t="str">
        <f>_xlfn.XLOOKUP(A2175,Fact_Events!$D$2:$D$20,Fact_Events!$A$2:$A$20, "")</f>
        <v/>
      </c>
      <c r="I2175">
        <f t="shared" si="269"/>
        <v>0</v>
      </c>
      <c r="J2175" t="str">
        <f>_xlfn.XLOOKUP(H2175, Fact_Events!$A$2:$A$20, Fact_Events!$F$2:$F$20, "")</f>
        <v/>
      </c>
      <c r="K2175" t="str">
        <f t="shared" si="270"/>
        <v>Low</v>
      </c>
      <c r="L2175">
        <f t="shared" si="271"/>
        <v>0.55000000000000004</v>
      </c>
      <c r="M2175">
        <f>_xlfn.XLOOKUP(B2175, Dim_Hotel!$A$2:$A$11, Dim_Hotel!$I$2:$I$11)
 + (IF(J2175="",0,J2175)
    * _xlfn.XLOOKUP(B2175, Dim_Hotel!$A$2:$A$11, Dim_Hotel!$J$2:$J$11))</f>
        <v>135</v>
      </c>
    </row>
    <row r="2176" spans="1:13" x14ac:dyDescent="0.25">
      <c r="A2176" s="1">
        <f t="shared" si="264"/>
        <v>46240</v>
      </c>
      <c r="B2176" t="str" cm="1">
        <f t="array" ref="B2176">INDEX(HotelList,MOD(ROW()-2,10)+1)</f>
        <v>H005</v>
      </c>
      <c r="C2176">
        <f>_xlfn.XLOOKUP(B2176,Dim_Hotel!$A$2:$A$11,Dim_Hotel!$F$2:$F$11)</f>
        <v>66</v>
      </c>
      <c r="D2176">
        <f t="shared" si="265"/>
        <v>36</v>
      </c>
      <c r="E2176">
        <f t="shared" si="266"/>
        <v>0.54545454545454541</v>
      </c>
      <c r="F2176">
        <f t="shared" si="267"/>
        <v>82</v>
      </c>
      <c r="G2176">
        <f t="shared" si="268"/>
        <v>44.727272727272727</v>
      </c>
      <c r="H2176" t="str">
        <f>_xlfn.XLOOKUP(A2176,Fact_Events!$D$2:$D$20,Fact_Events!$A$2:$A$20, "")</f>
        <v/>
      </c>
      <c r="I2176">
        <f t="shared" si="269"/>
        <v>0</v>
      </c>
      <c r="J2176" t="str">
        <f>_xlfn.XLOOKUP(H2176, Fact_Events!$A$2:$A$20, Fact_Events!$F$2:$F$20, "")</f>
        <v/>
      </c>
      <c r="K2176" t="str">
        <f t="shared" si="270"/>
        <v>Low</v>
      </c>
      <c r="L2176">
        <f t="shared" si="271"/>
        <v>0.55000000000000004</v>
      </c>
      <c r="M2176">
        <f>_xlfn.XLOOKUP(B2176, Dim_Hotel!$A$2:$A$11, Dim_Hotel!$I$2:$I$11)
 + (IF(J2176="",0,J2176)
    * _xlfn.XLOOKUP(B2176, Dim_Hotel!$A$2:$A$11, Dim_Hotel!$J$2:$J$11))</f>
        <v>82</v>
      </c>
    </row>
    <row r="2177" spans="1:13" x14ac:dyDescent="0.25">
      <c r="A2177" s="1">
        <f t="shared" si="264"/>
        <v>46240</v>
      </c>
      <c r="B2177" t="str" cm="1">
        <f t="array" ref="B2177">INDEX(HotelList,MOD(ROW()-2,10)+1)</f>
        <v>H006</v>
      </c>
      <c r="C2177">
        <f>_xlfn.XLOOKUP(B2177,Dim_Hotel!$A$2:$A$11,Dim_Hotel!$F$2:$F$11)</f>
        <v>311</v>
      </c>
      <c r="D2177">
        <f t="shared" si="265"/>
        <v>171</v>
      </c>
      <c r="E2177">
        <f t="shared" si="266"/>
        <v>0.54983922829581988</v>
      </c>
      <c r="F2177">
        <f t="shared" si="267"/>
        <v>190</v>
      </c>
      <c r="G2177">
        <f t="shared" si="268"/>
        <v>104.46945337620578</v>
      </c>
      <c r="H2177" t="str">
        <f>_xlfn.XLOOKUP(A2177,Fact_Events!$D$2:$D$20,Fact_Events!$A$2:$A$20, "")</f>
        <v/>
      </c>
      <c r="I2177">
        <f t="shared" si="269"/>
        <v>0</v>
      </c>
      <c r="J2177" t="str">
        <f>_xlfn.XLOOKUP(H2177, Fact_Events!$A$2:$A$20, Fact_Events!$F$2:$F$20, "")</f>
        <v/>
      </c>
      <c r="K2177" t="str">
        <f t="shared" si="270"/>
        <v>Low</v>
      </c>
      <c r="L2177">
        <f t="shared" si="271"/>
        <v>0.55000000000000004</v>
      </c>
      <c r="M2177">
        <f>_xlfn.XLOOKUP(B2177, Dim_Hotel!$A$2:$A$11, Dim_Hotel!$I$2:$I$11)
 + (IF(J2177="",0,J2177)
    * _xlfn.XLOOKUP(B2177, Dim_Hotel!$A$2:$A$11, Dim_Hotel!$J$2:$J$11))</f>
        <v>190</v>
      </c>
    </row>
    <row r="2178" spans="1:13" x14ac:dyDescent="0.25">
      <c r="A2178" s="1">
        <f t="shared" si="264"/>
        <v>46240</v>
      </c>
      <c r="B2178" t="str" cm="1">
        <f t="array" ref="B2178">INDEX(HotelList,MOD(ROW()-2,10)+1)</f>
        <v>H007</v>
      </c>
      <c r="C2178">
        <f>_xlfn.XLOOKUP(B2178,Dim_Hotel!$A$2:$A$11,Dim_Hotel!$F$2:$F$11)</f>
        <v>132</v>
      </c>
      <c r="D2178">
        <f t="shared" si="265"/>
        <v>73</v>
      </c>
      <c r="E2178">
        <f t="shared" si="266"/>
        <v>0.55303030303030298</v>
      </c>
      <c r="F2178">
        <f t="shared" si="267"/>
        <v>165</v>
      </c>
      <c r="G2178">
        <f t="shared" si="268"/>
        <v>91.249999999999986</v>
      </c>
      <c r="H2178" t="str">
        <f>_xlfn.XLOOKUP(A2178,Fact_Events!$D$2:$D$20,Fact_Events!$A$2:$A$20, "")</f>
        <v/>
      </c>
      <c r="I2178">
        <f t="shared" si="269"/>
        <v>0</v>
      </c>
      <c r="J2178" t="str">
        <f>_xlfn.XLOOKUP(H2178, Fact_Events!$A$2:$A$20, Fact_Events!$F$2:$F$20, "")</f>
        <v/>
      </c>
      <c r="K2178" t="str">
        <f t="shared" si="270"/>
        <v>Low</v>
      </c>
      <c r="L2178">
        <f t="shared" si="271"/>
        <v>0.55000000000000004</v>
      </c>
      <c r="M2178">
        <f>_xlfn.XLOOKUP(B2178, Dim_Hotel!$A$2:$A$11, Dim_Hotel!$I$2:$I$11)
 + (IF(J2178="",0,J2178)
    * _xlfn.XLOOKUP(B2178, Dim_Hotel!$A$2:$A$11, Dim_Hotel!$J$2:$J$11))</f>
        <v>165</v>
      </c>
    </row>
    <row r="2179" spans="1:13" x14ac:dyDescent="0.25">
      <c r="A2179" s="1">
        <f t="shared" ref="A2179:A2242" si="272">DATE(2026,1,1) + INT((ROW()-2)/10)</f>
        <v>46240</v>
      </c>
      <c r="B2179" t="str" cm="1">
        <f t="array" ref="B2179">INDEX(HotelList,MOD(ROW()-2,10)+1)</f>
        <v>H008</v>
      </c>
      <c r="C2179">
        <f>_xlfn.XLOOKUP(B2179,Dim_Hotel!$A$2:$A$11,Dim_Hotel!$F$2:$F$11)</f>
        <v>103</v>
      </c>
      <c r="D2179">
        <f t="shared" ref="D2179:D2242" si="273">ROUND(L2179 * C2179, 0)</f>
        <v>57</v>
      </c>
      <c r="E2179">
        <f t="shared" ref="E2179:E2242" si="274">D2179/C2179</f>
        <v>0.55339805825242716</v>
      </c>
      <c r="F2179">
        <f t="shared" ref="F2179:F2242" si="275">M2179</f>
        <v>140</v>
      </c>
      <c r="G2179">
        <f t="shared" ref="G2179:G2242" si="276">E2179*F2179</f>
        <v>77.475728155339809</v>
      </c>
      <c r="H2179" t="str">
        <f>_xlfn.XLOOKUP(A2179,Fact_Events!$D$2:$D$20,Fact_Events!$A$2:$A$20, "")</f>
        <v/>
      </c>
      <c r="I2179">
        <f t="shared" ref="I2179:I2242" si="277">IF(H2179="",0,1)</f>
        <v>0</v>
      </c>
      <c r="J2179" t="str">
        <f>_xlfn.XLOOKUP(H2179, Fact_Events!$A$2:$A$20, Fact_Events!$F$2:$F$20, "")</f>
        <v/>
      </c>
      <c r="K2179" t="str">
        <f t="shared" ref="K2179:K2242" si="278">IF(I2179=0,"Low",
   IF(J2179&gt;=9,"High","Medium"))</f>
        <v>Low</v>
      </c>
      <c r="L2179">
        <f t="shared" ref="L2179:L2242" si="279">MIN(1,
  0.55
  + (I2179 * 0.25)
  + (IF(J2179="",0,J2179) / 100)
)</f>
        <v>0.55000000000000004</v>
      </c>
      <c r="M2179">
        <f>_xlfn.XLOOKUP(B2179, Dim_Hotel!$A$2:$A$11, Dim_Hotel!$I$2:$I$11)
 + (IF(J2179="",0,J2179)
    * _xlfn.XLOOKUP(B2179, Dim_Hotel!$A$2:$A$11, Dim_Hotel!$J$2:$J$11))</f>
        <v>140</v>
      </c>
    </row>
    <row r="2180" spans="1:13" x14ac:dyDescent="0.25">
      <c r="A2180" s="1">
        <f t="shared" si="272"/>
        <v>46240</v>
      </c>
      <c r="B2180" t="str" cm="1">
        <f t="array" ref="B2180">INDEX(HotelList,MOD(ROW()-2,10)+1)</f>
        <v>H009</v>
      </c>
      <c r="C2180">
        <f>_xlfn.XLOOKUP(B2180,Dim_Hotel!$A$2:$A$11,Dim_Hotel!$F$2:$F$11)</f>
        <v>114</v>
      </c>
      <c r="D2180">
        <f t="shared" si="273"/>
        <v>63</v>
      </c>
      <c r="E2180">
        <f t="shared" si="274"/>
        <v>0.55263157894736847</v>
      </c>
      <c r="F2180">
        <f t="shared" si="275"/>
        <v>185</v>
      </c>
      <c r="G2180">
        <f t="shared" si="276"/>
        <v>102.23684210526316</v>
      </c>
      <c r="H2180" t="str">
        <f>_xlfn.XLOOKUP(A2180,Fact_Events!$D$2:$D$20,Fact_Events!$A$2:$A$20, "")</f>
        <v/>
      </c>
      <c r="I2180">
        <f t="shared" si="277"/>
        <v>0</v>
      </c>
      <c r="J2180" t="str">
        <f>_xlfn.XLOOKUP(H2180, Fact_Events!$A$2:$A$20, Fact_Events!$F$2:$F$20, "")</f>
        <v/>
      </c>
      <c r="K2180" t="str">
        <f t="shared" si="278"/>
        <v>Low</v>
      </c>
      <c r="L2180">
        <f t="shared" si="279"/>
        <v>0.55000000000000004</v>
      </c>
      <c r="M2180">
        <f>_xlfn.XLOOKUP(B2180, Dim_Hotel!$A$2:$A$11, Dim_Hotel!$I$2:$I$11)
 + (IF(J2180="",0,J2180)
    * _xlfn.XLOOKUP(B2180, Dim_Hotel!$A$2:$A$11, Dim_Hotel!$J$2:$J$11))</f>
        <v>185</v>
      </c>
    </row>
    <row r="2181" spans="1:13" x14ac:dyDescent="0.25">
      <c r="A2181" s="1">
        <f t="shared" si="272"/>
        <v>46240</v>
      </c>
      <c r="B2181" t="str" cm="1">
        <f t="array" ref="B2181">INDEX(HotelList,MOD(ROW()-2,10)+1)</f>
        <v>H010</v>
      </c>
      <c r="C2181">
        <f>_xlfn.XLOOKUP(B2181,Dim_Hotel!$A$2:$A$11,Dim_Hotel!$F$2:$F$11)</f>
        <v>89</v>
      </c>
      <c r="D2181">
        <f t="shared" si="273"/>
        <v>49</v>
      </c>
      <c r="E2181">
        <f t="shared" si="274"/>
        <v>0.550561797752809</v>
      </c>
      <c r="F2181">
        <f t="shared" si="275"/>
        <v>150</v>
      </c>
      <c r="G2181">
        <f t="shared" si="276"/>
        <v>82.584269662921344</v>
      </c>
      <c r="H2181" t="str">
        <f>_xlfn.XLOOKUP(A2181,Fact_Events!$D$2:$D$20,Fact_Events!$A$2:$A$20, "")</f>
        <v/>
      </c>
      <c r="I2181">
        <f t="shared" si="277"/>
        <v>0</v>
      </c>
      <c r="J2181" t="str">
        <f>_xlfn.XLOOKUP(H2181, Fact_Events!$A$2:$A$20, Fact_Events!$F$2:$F$20, "")</f>
        <v/>
      </c>
      <c r="K2181" t="str">
        <f t="shared" si="278"/>
        <v>Low</v>
      </c>
      <c r="L2181">
        <f t="shared" si="279"/>
        <v>0.55000000000000004</v>
      </c>
      <c r="M2181">
        <f>_xlfn.XLOOKUP(B2181, Dim_Hotel!$A$2:$A$11, Dim_Hotel!$I$2:$I$11)
 + (IF(J2181="",0,J2181)
    * _xlfn.XLOOKUP(B2181, Dim_Hotel!$A$2:$A$11, Dim_Hotel!$J$2:$J$11))</f>
        <v>150</v>
      </c>
    </row>
    <row r="2182" spans="1:13" x14ac:dyDescent="0.25">
      <c r="A2182" s="1">
        <f t="shared" si="272"/>
        <v>46241</v>
      </c>
      <c r="B2182" t="str" cm="1">
        <f t="array" ref="B2182">INDEX(HotelList,MOD(ROW()-2,10)+1)</f>
        <v>H001</v>
      </c>
      <c r="C2182">
        <f>_xlfn.XLOOKUP(B2182,Dim_Hotel!$A$2:$A$11,Dim_Hotel!$F$2:$F$11)</f>
        <v>888</v>
      </c>
      <c r="D2182">
        <f t="shared" si="273"/>
        <v>488</v>
      </c>
      <c r="E2182">
        <f t="shared" si="274"/>
        <v>0.5495495495495496</v>
      </c>
      <c r="F2182">
        <f t="shared" si="275"/>
        <v>260</v>
      </c>
      <c r="G2182">
        <f t="shared" si="276"/>
        <v>142.88288288288288</v>
      </c>
      <c r="H2182" t="str">
        <f>_xlfn.XLOOKUP(A2182,Fact_Events!$D$2:$D$20,Fact_Events!$A$2:$A$20, "")</f>
        <v/>
      </c>
      <c r="I2182">
        <f t="shared" si="277"/>
        <v>0</v>
      </c>
      <c r="J2182" t="str">
        <f>_xlfn.XLOOKUP(H2182, Fact_Events!$A$2:$A$20, Fact_Events!$F$2:$F$20, "")</f>
        <v/>
      </c>
      <c r="K2182" t="str">
        <f t="shared" si="278"/>
        <v>Low</v>
      </c>
      <c r="L2182">
        <f t="shared" si="279"/>
        <v>0.55000000000000004</v>
      </c>
      <c r="M2182">
        <f>_xlfn.XLOOKUP(B2182, Dim_Hotel!$A$2:$A$11, Dim_Hotel!$I$2:$I$11)
 + (IF(J2182="",0,J2182)
    * _xlfn.XLOOKUP(B2182, Dim_Hotel!$A$2:$A$11, Dim_Hotel!$J$2:$J$11))</f>
        <v>260</v>
      </c>
    </row>
    <row r="2183" spans="1:13" x14ac:dyDescent="0.25">
      <c r="A2183" s="1">
        <f t="shared" si="272"/>
        <v>46241</v>
      </c>
      <c r="B2183" t="str" cm="1">
        <f t="array" ref="B2183">INDEX(HotelList,MOD(ROW()-2,10)+1)</f>
        <v>H002</v>
      </c>
      <c r="C2183">
        <f>_xlfn.XLOOKUP(B2183,Dim_Hotel!$A$2:$A$11,Dim_Hotel!$F$2:$F$11)</f>
        <v>147</v>
      </c>
      <c r="D2183">
        <f t="shared" si="273"/>
        <v>81</v>
      </c>
      <c r="E2183">
        <f t="shared" si="274"/>
        <v>0.55102040816326525</v>
      </c>
      <c r="F2183">
        <f t="shared" si="275"/>
        <v>175</v>
      </c>
      <c r="G2183">
        <f t="shared" si="276"/>
        <v>96.428571428571416</v>
      </c>
      <c r="H2183" t="str">
        <f>_xlfn.XLOOKUP(A2183,Fact_Events!$D$2:$D$20,Fact_Events!$A$2:$A$20, "")</f>
        <v/>
      </c>
      <c r="I2183">
        <f t="shared" si="277"/>
        <v>0</v>
      </c>
      <c r="J2183" t="str">
        <f>_xlfn.XLOOKUP(H2183, Fact_Events!$A$2:$A$20, Fact_Events!$F$2:$F$20, "")</f>
        <v/>
      </c>
      <c r="K2183" t="str">
        <f t="shared" si="278"/>
        <v>Low</v>
      </c>
      <c r="L2183">
        <f t="shared" si="279"/>
        <v>0.55000000000000004</v>
      </c>
      <c r="M2183">
        <f>_xlfn.XLOOKUP(B2183, Dim_Hotel!$A$2:$A$11, Dim_Hotel!$I$2:$I$11)
 + (IF(J2183="",0,J2183)
    * _xlfn.XLOOKUP(B2183, Dim_Hotel!$A$2:$A$11, Dim_Hotel!$J$2:$J$11))</f>
        <v>175</v>
      </c>
    </row>
    <row r="2184" spans="1:13" x14ac:dyDescent="0.25">
      <c r="A2184" s="1">
        <f t="shared" si="272"/>
        <v>46241</v>
      </c>
      <c r="B2184" t="str" cm="1">
        <f t="array" ref="B2184">INDEX(HotelList,MOD(ROW()-2,10)+1)</f>
        <v>H003</v>
      </c>
      <c r="C2184">
        <f>_xlfn.XLOOKUP(B2184,Dim_Hotel!$A$2:$A$11,Dim_Hotel!$F$2:$F$11)</f>
        <v>121</v>
      </c>
      <c r="D2184">
        <f t="shared" si="273"/>
        <v>67</v>
      </c>
      <c r="E2184">
        <f t="shared" si="274"/>
        <v>0.55371900826446285</v>
      </c>
      <c r="F2184">
        <f t="shared" si="275"/>
        <v>145</v>
      </c>
      <c r="G2184">
        <f t="shared" si="276"/>
        <v>80.289256198347118</v>
      </c>
      <c r="H2184" t="str">
        <f>_xlfn.XLOOKUP(A2184,Fact_Events!$D$2:$D$20,Fact_Events!$A$2:$A$20, "")</f>
        <v/>
      </c>
      <c r="I2184">
        <f t="shared" si="277"/>
        <v>0</v>
      </c>
      <c r="J2184" t="str">
        <f>_xlfn.XLOOKUP(H2184, Fact_Events!$A$2:$A$20, Fact_Events!$F$2:$F$20, "")</f>
        <v/>
      </c>
      <c r="K2184" t="str">
        <f t="shared" si="278"/>
        <v>Low</v>
      </c>
      <c r="L2184">
        <f t="shared" si="279"/>
        <v>0.55000000000000004</v>
      </c>
      <c r="M2184">
        <f>_xlfn.XLOOKUP(B2184, Dim_Hotel!$A$2:$A$11, Dim_Hotel!$I$2:$I$11)
 + (IF(J2184="",0,J2184)
    * _xlfn.XLOOKUP(B2184, Dim_Hotel!$A$2:$A$11, Dim_Hotel!$J$2:$J$11))</f>
        <v>145</v>
      </c>
    </row>
    <row r="2185" spans="1:13" x14ac:dyDescent="0.25">
      <c r="A2185" s="1">
        <f t="shared" si="272"/>
        <v>46241</v>
      </c>
      <c r="B2185" t="str" cm="1">
        <f t="array" ref="B2185">INDEX(HotelList,MOD(ROW()-2,10)+1)</f>
        <v>H004</v>
      </c>
      <c r="C2185">
        <f>_xlfn.XLOOKUP(B2185,Dim_Hotel!$A$2:$A$11,Dim_Hotel!$F$2:$F$11)</f>
        <v>108</v>
      </c>
      <c r="D2185">
        <f t="shared" si="273"/>
        <v>59</v>
      </c>
      <c r="E2185">
        <f t="shared" si="274"/>
        <v>0.54629629629629628</v>
      </c>
      <c r="F2185">
        <f t="shared" si="275"/>
        <v>135</v>
      </c>
      <c r="G2185">
        <f t="shared" si="276"/>
        <v>73.75</v>
      </c>
      <c r="H2185" t="str">
        <f>_xlfn.XLOOKUP(A2185,Fact_Events!$D$2:$D$20,Fact_Events!$A$2:$A$20, "")</f>
        <v/>
      </c>
      <c r="I2185">
        <f t="shared" si="277"/>
        <v>0</v>
      </c>
      <c r="J2185" t="str">
        <f>_xlfn.XLOOKUP(H2185, Fact_Events!$A$2:$A$20, Fact_Events!$F$2:$F$20, "")</f>
        <v/>
      </c>
      <c r="K2185" t="str">
        <f t="shared" si="278"/>
        <v>Low</v>
      </c>
      <c r="L2185">
        <f t="shared" si="279"/>
        <v>0.55000000000000004</v>
      </c>
      <c r="M2185">
        <f>_xlfn.XLOOKUP(B2185, Dim_Hotel!$A$2:$A$11, Dim_Hotel!$I$2:$I$11)
 + (IF(J2185="",0,J2185)
    * _xlfn.XLOOKUP(B2185, Dim_Hotel!$A$2:$A$11, Dim_Hotel!$J$2:$J$11))</f>
        <v>135</v>
      </c>
    </row>
    <row r="2186" spans="1:13" x14ac:dyDescent="0.25">
      <c r="A2186" s="1">
        <f t="shared" si="272"/>
        <v>46241</v>
      </c>
      <c r="B2186" t="str" cm="1">
        <f t="array" ref="B2186">INDEX(HotelList,MOD(ROW()-2,10)+1)</f>
        <v>H005</v>
      </c>
      <c r="C2186">
        <f>_xlfn.XLOOKUP(B2186,Dim_Hotel!$A$2:$A$11,Dim_Hotel!$F$2:$F$11)</f>
        <v>66</v>
      </c>
      <c r="D2186">
        <f t="shared" si="273"/>
        <v>36</v>
      </c>
      <c r="E2186">
        <f t="shared" si="274"/>
        <v>0.54545454545454541</v>
      </c>
      <c r="F2186">
        <f t="shared" si="275"/>
        <v>82</v>
      </c>
      <c r="G2186">
        <f t="shared" si="276"/>
        <v>44.727272727272727</v>
      </c>
      <c r="H2186" t="str">
        <f>_xlfn.XLOOKUP(A2186,Fact_Events!$D$2:$D$20,Fact_Events!$A$2:$A$20, "")</f>
        <v/>
      </c>
      <c r="I2186">
        <f t="shared" si="277"/>
        <v>0</v>
      </c>
      <c r="J2186" t="str">
        <f>_xlfn.XLOOKUP(H2186, Fact_Events!$A$2:$A$20, Fact_Events!$F$2:$F$20, "")</f>
        <v/>
      </c>
      <c r="K2186" t="str">
        <f t="shared" si="278"/>
        <v>Low</v>
      </c>
      <c r="L2186">
        <f t="shared" si="279"/>
        <v>0.55000000000000004</v>
      </c>
      <c r="M2186">
        <f>_xlfn.XLOOKUP(B2186, Dim_Hotel!$A$2:$A$11, Dim_Hotel!$I$2:$I$11)
 + (IF(J2186="",0,J2186)
    * _xlfn.XLOOKUP(B2186, Dim_Hotel!$A$2:$A$11, Dim_Hotel!$J$2:$J$11))</f>
        <v>82</v>
      </c>
    </row>
    <row r="2187" spans="1:13" x14ac:dyDescent="0.25">
      <c r="A2187" s="1">
        <f t="shared" si="272"/>
        <v>46241</v>
      </c>
      <c r="B2187" t="str" cm="1">
        <f t="array" ref="B2187">INDEX(HotelList,MOD(ROW()-2,10)+1)</f>
        <v>H006</v>
      </c>
      <c r="C2187">
        <f>_xlfn.XLOOKUP(B2187,Dim_Hotel!$A$2:$A$11,Dim_Hotel!$F$2:$F$11)</f>
        <v>311</v>
      </c>
      <c r="D2187">
        <f t="shared" si="273"/>
        <v>171</v>
      </c>
      <c r="E2187">
        <f t="shared" si="274"/>
        <v>0.54983922829581988</v>
      </c>
      <c r="F2187">
        <f t="shared" si="275"/>
        <v>190</v>
      </c>
      <c r="G2187">
        <f t="shared" si="276"/>
        <v>104.46945337620578</v>
      </c>
      <c r="H2187" t="str">
        <f>_xlfn.XLOOKUP(A2187,Fact_Events!$D$2:$D$20,Fact_Events!$A$2:$A$20, "")</f>
        <v/>
      </c>
      <c r="I2187">
        <f t="shared" si="277"/>
        <v>0</v>
      </c>
      <c r="J2187" t="str">
        <f>_xlfn.XLOOKUP(H2187, Fact_Events!$A$2:$A$20, Fact_Events!$F$2:$F$20, "")</f>
        <v/>
      </c>
      <c r="K2187" t="str">
        <f t="shared" si="278"/>
        <v>Low</v>
      </c>
      <c r="L2187">
        <f t="shared" si="279"/>
        <v>0.55000000000000004</v>
      </c>
      <c r="M2187">
        <f>_xlfn.XLOOKUP(B2187, Dim_Hotel!$A$2:$A$11, Dim_Hotel!$I$2:$I$11)
 + (IF(J2187="",0,J2187)
    * _xlfn.XLOOKUP(B2187, Dim_Hotel!$A$2:$A$11, Dim_Hotel!$J$2:$J$11))</f>
        <v>190</v>
      </c>
    </row>
    <row r="2188" spans="1:13" x14ac:dyDescent="0.25">
      <c r="A2188" s="1">
        <f t="shared" si="272"/>
        <v>46241</v>
      </c>
      <c r="B2188" t="str" cm="1">
        <f t="array" ref="B2188">INDEX(HotelList,MOD(ROW()-2,10)+1)</f>
        <v>H007</v>
      </c>
      <c r="C2188">
        <f>_xlfn.XLOOKUP(B2188,Dim_Hotel!$A$2:$A$11,Dim_Hotel!$F$2:$F$11)</f>
        <v>132</v>
      </c>
      <c r="D2188">
        <f t="shared" si="273"/>
        <v>73</v>
      </c>
      <c r="E2188">
        <f t="shared" si="274"/>
        <v>0.55303030303030298</v>
      </c>
      <c r="F2188">
        <f t="shared" si="275"/>
        <v>165</v>
      </c>
      <c r="G2188">
        <f t="shared" si="276"/>
        <v>91.249999999999986</v>
      </c>
      <c r="H2188" t="str">
        <f>_xlfn.XLOOKUP(A2188,Fact_Events!$D$2:$D$20,Fact_Events!$A$2:$A$20, "")</f>
        <v/>
      </c>
      <c r="I2188">
        <f t="shared" si="277"/>
        <v>0</v>
      </c>
      <c r="J2188" t="str">
        <f>_xlfn.XLOOKUP(H2188, Fact_Events!$A$2:$A$20, Fact_Events!$F$2:$F$20, "")</f>
        <v/>
      </c>
      <c r="K2188" t="str">
        <f t="shared" si="278"/>
        <v>Low</v>
      </c>
      <c r="L2188">
        <f t="shared" si="279"/>
        <v>0.55000000000000004</v>
      </c>
      <c r="M2188">
        <f>_xlfn.XLOOKUP(B2188, Dim_Hotel!$A$2:$A$11, Dim_Hotel!$I$2:$I$11)
 + (IF(J2188="",0,J2188)
    * _xlfn.XLOOKUP(B2188, Dim_Hotel!$A$2:$A$11, Dim_Hotel!$J$2:$J$11))</f>
        <v>165</v>
      </c>
    </row>
    <row r="2189" spans="1:13" x14ac:dyDescent="0.25">
      <c r="A2189" s="1">
        <f t="shared" si="272"/>
        <v>46241</v>
      </c>
      <c r="B2189" t="str" cm="1">
        <f t="array" ref="B2189">INDEX(HotelList,MOD(ROW()-2,10)+1)</f>
        <v>H008</v>
      </c>
      <c r="C2189">
        <f>_xlfn.XLOOKUP(B2189,Dim_Hotel!$A$2:$A$11,Dim_Hotel!$F$2:$F$11)</f>
        <v>103</v>
      </c>
      <c r="D2189">
        <f t="shared" si="273"/>
        <v>57</v>
      </c>
      <c r="E2189">
        <f t="shared" si="274"/>
        <v>0.55339805825242716</v>
      </c>
      <c r="F2189">
        <f t="shared" si="275"/>
        <v>140</v>
      </c>
      <c r="G2189">
        <f t="shared" si="276"/>
        <v>77.475728155339809</v>
      </c>
      <c r="H2189" t="str">
        <f>_xlfn.XLOOKUP(A2189,Fact_Events!$D$2:$D$20,Fact_Events!$A$2:$A$20, "")</f>
        <v/>
      </c>
      <c r="I2189">
        <f t="shared" si="277"/>
        <v>0</v>
      </c>
      <c r="J2189" t="str">
        <f>_xlfn.XLOOKUP(H2189, Fact_Events!$A$2:$A$20, Fact_Events!$F$2:$F$20, "")</f>
        <v/>
      </c>
      <c r="K2189" t="str">
        <f t="shared" si="278"/>
        <v>Low</v>
      </c>
      <c r="L2189">
        <f t="shared" si="279"/>
        <v>0.55000000000000004</v>
      </c>
      <c r="M2189">
        <f>_xlfn.XLOOKUP(B2189, Dim_Hotel!$A$2:$A$11, Dim_Hotel!$I$2:$I$11)
 + (IF(J2189="",0,J2189)
    * _xlfn.XLOOKUP(B2189, Dim_Hotel!$A$2:$A$11, Dim_Hotel!$J$2:$J$11))</f>
        <v>140</v>
      </c>
    </row>
    <row r="2190" spans="1:13" x14ac:dyDescent="0.25">
      <c r="A2190" s="1">
        <f t="shared" si="272"/>
        <v>46241</v>
      </c>
      <c r="B2190" t="str" cm="1">
        <f t="array" ref="B2190">INDEX(HotelList,MOD(ROW()-2,10)+1)</f>
        <v>H009</v>
      </c>
      <c r="C2190">
        <f>_xlfn.XLOOKUP(B2190,Dim_Hotel!$A$2:$A$11,Dim_Hotel!$F$2:$F$11)</f>
        <v>114</v>
      </c>
      <c r="D2190">
        <f t="shared" si="273"/>
        <v>63</v>
      </c>
      <c r="E2190">
        <f t="shared" si="274"/>
        <v>0.55263157894736847</v>
      </c>
      <c r="F2190">
        <f t="shared" si="275"/>
        <v>185</v>
      </c>
      <c r="G2190">
        <f t="shared" si="276"/>
        <v>102.23684210526316</v>
      </c>
      <c r="H2190" t="str">
        <f>_xlfn.XLOOKUP(A2190,Fact_Events!$D$2:$D$20,Fact_Events!$A$2:$A$20, "")</f>
        <v/>
      </c>
      <c r="I2190">
        <f t="shared" si="277"/>
        <v>0</v>
      </c>
      <c r="J2190" t="str">
        <f>_xlfn.XLOOKUP(H2190, Fact_Events!$A$2:$A$20, Fact_Events!$F$2:$F$20, "")</f>
        <v/>
      </c>
      <c r="K2190" t="str">
        <f t="shared" si="278"/>
        <v>Low</v>
      </c>
      <c r="L2190">
        <f t="shared" si="279"/>
        <v>0.55000000000000004</v>
      </c>
      <c r="M2190">
        <f>_xlfn.XLOOKUP(B2190, Dim_Hotel!$A$2:$A$11, Dim_Hotel!$I$2:$I$11)
 + (IF(J2190="",0,J2190)
    * _xlfn.XLOOKUP(B2190, Dim_Hotel!$A$2:$A$11, Dim_Hotel!$J$2:$J$11))</f>
        <v>185</v>
      </c>
    </row>
    <row r="2191" spans="1:13" x14ac:dyDescent="0.25">
      <c r="A2191" s="1">
        <f t="shared" si="272"/>
        <v>46241</v>
      </c>
      <c r="B2191" t="str" cm="1">
        <f t="array" ref="B2191">INDEX(HotelList,MOD(ROW()-2,10)+1)</f>
        <v>H010</v>
      </c>
      <c r="C2191">
        <f>_xlfn.XLOOKUP(B2191,Dim_Hotel!$A$2:$A$11,Dim_Hotel!$F$2:$F$11)</f>
        <v>89</v>
      </c>
      <c r="D2191">
        <f t="shared" si="273"/>
        <v>49</v>
      </c>
      <c r="E2191">
        <f t="shared" si="274"/>
        <v>0.550561797752809</v>
      </c>
      <c r="F2191">
        <f t="shared" si="275"/>
        <v>150</v>
      </c>
      <c r="G2191">
        <f t="shared" si="276"/>
        <v>82.584269662921344</v>
      </c>
      <c r="H2191" t="str">
        <f>_xlfn.XLOOKUP(A2191,Fact_Events!$D$2:$D$20,Fact_Events!$A$2:$A$20, "")</f>
        <v/>
      </c>
      <c r="I2191">
        <f t="shared" si="277"/>
        <v>0</v>
      </c>
      <c r="J2191" t="str">
        <f>_xlfn.XLOOKUP(H2191, Fact_Events!$A$2:$A$20, Fact_Events!$F$2:$F$20, "")</f>
        <v/>
      </c>
      <c r="K2191" t="str">
        <f t="shared" si="278"/>
        <v>Low</v>
      </c>
      <c r="L2191">
        <f t="shared" si="279"/>
        <v>0.55000000000000004</v>
      </c>
      <c r="M2191">
        <f>_xlfn.XLOOKUP(B2191, Dim_Hotel!$A$2:$A$11, Dim_Hotel!$I$2:$I$11)
 + (IF(J2191="",0,J2191)
    * _xlfn.XLOOKUP(B2191, Dim_Hotel!$A$2:$A$11, Dim_Hotel!$J$2:$J$11))</f>
        <v>150</v>
      </c>
    </row>
    <row r="2192" spans="1:13" x14ac:dyDescent="0.25">
      <c r="A2192" s="1">
        <f t="shared" si="272"/>
        <v>46242</v>
      </c>
      <c r="B2192" t="str" cm="1">
        <f t="array" ref="B2192">INDEX(HotelList,MOD(ROW()-2,10)+1)</f>
        <v>H001</v>
      </c>
      <c r="C2192">
        <f>_xlfn.XLOOKUP(B2192,Dim_Hotel!$A$2:$A$11,Dim_Hotel!$F$2:$F$11)</f>
        <v>888</v>
      </c>
      <c r="D2192">
        <f t="shared" si="273"/>
        <v>488</v>
      </c>
      <c r="E2192">
        <f t="shared" si="274"/>
        <v>0.5495495495495496</v>
      </c>
      <c r="F2192">
        <f t="shared" si="275"/>
        <v>260</v>
      </c>
      <c r="G2192">
        <f t="shared" si="276"/>
        <v>142.88288288288288</v>
      </c>
      <c r="H2192" t="str">
        <f>_xlfn.XLOOKUP(A2192,Fact_Events!$D$2:$D$20,Fact_Events!$A$2:$A$20, "")</f>
        <v/>
      </c>
      <c r="I2192">
        <f t="shared" si="277"/>
        <v>0</v>
      </c>
      <c r="J2192" t="str">
        <f>_xlfn.XLOOKUP(H2192, Fact_Events!$A$2:$A$20, Fact_Events!$F$2:$F$20, "")</f>
        <v/>
      </c>
      <c r="K2192" t="str">
        <f t="shared" si="278"/>
        <v>Low</v>
      </c>
      <c r="L2192">
        <f t="shared" si="279"/>
        <v>0.55000000000000004</v>
      </c>
      <c r="M2192">
        <f>_xlfn.XLOOKUP(B2192, Dim_Hotel!$A$2:$A$11, Dim_Hotel!$I$2:$I$11)
 + (IF(J2192="",0,J2192)
    * _xlfn.XLOOKUP(B2192, Dim_Hotel!$A$2:$A$11, Dim_Hotel!$J$2:$J$11))</f>
        <v>260</v>
      </c>
    </row>
    <row r="2193" spans="1:13" x14ac:dyDescent="0.25">
      <c r="A2193" s="1">
        <f t="shared" si="272"/>
        <v>46242</v>
      </c>
      <c r="B2193" t="str" cm="1">
        <f t="array" ref="B2193">INDEX(HotelList,MOD(ROW()-2,10)+1)</f>
        <v>H002</v>
      </c>
      <c r="C2193">
        <f>_xlfn.XLOOKUP(B2193,Dim_Hotel!$A$2:$A$11,Dim_Hotel!$F$2:$F$11)</f>
        <v>147</v>
      </c>
      <c r="D2193">
        <f t="shared" si="273"/>
        <v>81</v>
      </c>
      <c r="E2193">
        <f t="shared" si="274"/>
        <v>0.55102040816326525</v>
      </c>
      <c r="F2193">
        <f t="shared" si="275"/>
        <v>175</v>
      </c>
      <c r="G2193">
        <f t="shared" si="276"/>
        <v>96.428571428571416</v>
      </c>
      <c r="H2193" t="str">
        <f>_xlfn.XLOOKUP(A2193,Fact_Events!$D$2:$D$20,Fact_Events!$A$2:$A$20, "")</f>
        <v/>
      </c>
      <c r="I2193">
        <f t="shared" si="277"/>
        <v>0</v>
      </c>
      <c r="J2193" t="str">
        <f>_xlfn.XLOOKUP(H2193, Fact_Events!$A$2:$A$20, Fact_Events!$F$2:$F$20, "")</f>
        <v/>
      </c>
      <c r="K2193" t="str">
        <f t="shared" si="278"/>
        <v>Low</v>
      </c>
      <c r="L2193">
        <f t="shared" si="279"/>
        <v>0.55000000000000004</v>
      </c>
      <c r="M2193">
        <f>_xlfn.XLOOKUP(B2193, Dim_Hotel!$A$2:$A$11, Dim_Hotel!$I$2:$I$11)
 + (IF(J2193="",0,J2193)
    * _xlfn.XLOOKUP(B2193, Dim_Hotel!$A$2:$A$11, Dim_Hotel!$J$2:$J$11))</f>
        <v>175</v>
      </c>
    </row>
    <row r="2194" spans="1:13" x14ac:dyDescent="0.25">
      <c r="A2194" s="1">
        <f t="shared" si="272"/>
        <v>46242</v>
      </c>
      <c r="B2194" t="str" cm="1">
        <f t="array" ref="B2194">INDEX(HotelList,MOD(ROW()-2,10)+1)</f>
        <v>H003</v>
      </c>
      <c r="C2194">
        <f>_xlfn.XLOOKUP(B2194,Dim_Hotel!$A$2:$A$11,Dim_Hotel!$F$2:$F$11)</f>
        <v>121</v>
      </c>
      <c r="D2194">
        <f t="shared" si="273"/>
        <v>67</v>
      </c>
      <c r="E2194">
        <f t="shared" si="274"/>
        <v>0.55371900826446285</v>
      </c>
      <c r="F2194">
        <f t="shared" si="275"/>
        <v>145</v>
      </c>
      <c r="G2194">
        <f t="shared" si="276"/>
        <v>80.289256198347118</v>
      </c>
      <c r="H2194" t="str">
        <f>_xlfn.XLOOKUP(A2194,Fact_Events!$D$2:$D$20,Fact_Events!$A$2:$A$20, "")</f>
        <v/>
      </c>
      <c r="I2194">
        <f t="shared" si="277"/>
        <v>0</v>
      </c>
      <c r="J2194" t="str">
        <f>_xlfn.XLOOKUP(H2194, Fact_Events!$A$2:$A$20, Fact_Events!$F$2:$F$20, "")</f>
        <v/>
      </c>
      <c r="K2194" t="str">
        <f t="shared" si="278"/>
        <v>Low</v>
      </c>
      <c r="L2194">
        <f t="shared" si="279"/>
        <v>0.55000000000000004</v>
      </c>
      <c r="M2194">
        <f>_xlfn.XLOOKUP(B2194, Dim_Hotel!$A$2:$A$11, Dim_Hotel!$I$2:$I$11)
 + (IF(J2194="",0,J2194)
    * _xlfn.XLOOKUP(B2194, Dim_Hotel!$A$2:$A$11, Dim_Hotel!$J$2:$J$11))</f>
        <v>145</v>
      </c>
    </row>
    <row r="2195" spans="1:13" x14ac:dyDescent="0.25">
      <c r="A2195" s="1">
        <f t="shared" si="272"/>
        <v>46242</v>
      </c>
      <c r="B2195" t="str" cm="1">
        <f t="array" ref="B2195">INDEX(HotelList,MOD(ROW()-2,10)+1)</f>
        <v>H004</v>
      </c>
      <c r="C2195">
        <f>_xlfn.XLOOKUP(B2195,Dim_Hotel!$A$2:$A$11,Dim_Hotel!$F$2:$F$11)</f>
        <v>108</v>
      </c>
      <c r="D2195">
        <f t="shared" si="273"/>
        <v>59</v>
      </c>
      <c r="E2195">
        <f t="shared" si="274"/>
        <v>0.54629629629629628</v>
      </c>
      <c r="F2195">
        <f t="shared" si="275"/>
        <v>135</v>
      </c>
      <c r="G2195">
        <f t="shared" si="276"/>
        <v>73.75</v>
      </c>
      <c r="H2195" t="str">
        <f>_xlfn.XLOOKUP(A2195,Fact_Events!$D$2:$D$20,Fact_Events!$A$2:$A$20, "")</f>
        <v/>
      </c>
      <c r="I2195">
        <f t="shared" si="277"/>
        <v>0</v>
      </c>
      <c r="J2195" t="str">
        <f>_xlfn.XLOOKUP(H2195, Fact_Events!$A$2:$A$20, Fact_Events!$F$2:$F$20, "")</f>
        <v/>
      </c>
      <c r="K2195" t="str">
        <f t="shared" si="278"/>
        <v>Low</v>
      </c>
      <c r="L2195">
        <f t="shared" si="279"/>
        <v>0.55000000000000004</v>
      </c>
      <c r="M2195">
        <f>_xlfn.XLOOKUP(B2195, Dim_Hotel!$A$2:$A$11, Dim_Hotel!$I$2:$I$11)
 + (IF(J2195="",0,J2195)
    * _xlfn.XLOOKUP(B2195, Dim_Hotel!$A$2:$A$11, Dim_Hotel!$J$2:$J$11))</f>
        <v>135</v>
      </c>
    </row>
    <row r="2196" spans="1:13" x14ac:dyDescent="0.25">
      <c r="A2196" s="1">
        <f t="shared" si="272"/>
        <v>46242</v>
      </c>
      <c r="B2196" t="str" cm="1">
        <f t="array" ref="B2196">INDEX(HotelList,MOD(ROW()-2,10)+1)</f>
        <v>H005</v>
      </c>
      <c r="C2196">
        <f>_xlfn.XLOOKUP(B2196,Dim_Hotel!$A$2:$A$11,Dim_Hotel!$F$2:$F$11)</f>
        <v>66</v>
      </c>
      <c r="D2196">
        <f t="shared" si="273"/>
        <v>36</v>
      </c>
      <c r="E2196">
        <f t="shared" si="274"/>
        <v>0.54545454545454541</v>
      </c>
      <c r="F2196">
        <f t="shared" si="275"/>
        <v>82</v>
      </c>
      <c r="G2196">
        <f t="shared" si="276"/>
        <v>44.727272727272727</v>
      </c>
      <c r="H2196" t="str">
        <f>_xlfn.XLOOKUP(A2196,Fact_Events!$D$2:$D$20,Fact_Events!$A$2:$A$20, "")</f>
        <v/>
      </c>
      <c r="I2196">
        <f t="shared" si="277"/>
        <v>0</v>
      </c>
      <c r="J2196" t="str">
        <f>_xlfn.XLOOKUP(H2196, Fact_Events!$A$2:$A$20, Fact_Events!$F$2:$F$20, "")</f>
        <v/>
      </c>
      <c r="K2196" t="str">
        <f t="shared" si="278"/>
        <v>Low</v>
      </c>
      <c r="L2196">
        <f t="shared" si="279"/>
        <v>0.55000000000000004</v>
      </c>
      <c r="M2196">
        <f>_xlfn.XLOOKUP(B2196, Dim_Hotel!$A$2:$A$11, Dim_Hotel!$I$2:$I$11)
 + (IF(J2196="",0,J2196)
    * _xlfn.XLOOKUP(B2196, Dim_Hotel!$A$2:$A$11, Dim_Hotel!$J$2:$J$11))</f>
        <v>82</v>
      </c>
    </row>
    <row r="2197" spans="1:13" x14ac:dyDescent="0.25">
      <c r="A2197" s="1">
        <f t="shared" si="272"/>
        <v>46242</v>
      </c>
      <c r="B2197" t="str" cm="1">
        <f t="array" ref="B2197">INDEX(HotelList,MOD(ROW()-2,10)+1)</f>
        <v>H006</v>
      </c>
      <c r="C2197">
        <f>_xlfn.XLOOKUP(B2197,Dim_Hotel!$A$2:$A$11,Dim_Hotel!$F$2:$F$11)</f>
        <v>311</v>
      </c>
      <c r="D2197">
        <f t="shared" si="273"/>
        <v>171</v>
      </c>
      <c r="E2197">
        <f t="shared" si="274"/>
        <v>0.54983922829581988</v>
      </c>
      <c r="F2197">
        <f t="shared" si="275"/>
        <v>190</v>
      </c>
      <c r="G2197">
        <f t="shared" si="276"/>
        <v>104.46945337620578</v>
      </c>
      <c r="H2197" t="str">
        <f>_xlfn.XLOOKUP(A2197,Fact_Events!$D$2:$D$20,Fact_Events!$A$2:$A$20, "")</f>
        <v/>
      </c>
      <c r="I2197">
        <f t="shared" si="277"/>
        <v>0</v>
      </c>
      <c r="J2197" t="str">
        <f>_xlfn.XLOOKUP(H2197, Fact_Events!$A$2:$A$20, Fact_Events!$F$2:$F$20, "")</f>
        <v/>
      </c>
      <c r="K2197" t="str">
        <f t="shared" si="278"/>
        <v>Low</v>
      </c>
      <c r="L2197">
        <f t="shared" si="279"/>
        <v>0.55000000000000004</v>
      </c>
      <c r="M2197">
        <f>_xlfn.XLOOKUP(B2197, Dim_Hotel!$A$2:$A$11, Dim_Hotel!$I$2:$I$11)
 + (IF(J2197="",0,J2197)
    * _xlfn.XLOOKUP(B2197, Dim_Hotel!$A$2:$A$11, Dim_Hotel!$J$2:$J$11))</f>
        <v>190</v>
      </c>
    </row>
    <row r="2198" spans="1:13" x14ac:dyDescent="0.25">
      <c r="A2198" s="1">
        <f t="shared" si="272"/>
        <v>46242</v>
      </c>
      <c r="B2198" t="str" cm="1">
        <f t="array" ref="B2198">INDEX(HotelList,MOD(ROW()-2,10)+1)</f>
        <v>H007</v>
      </c>
      <c r="C2198">
        <f>_xlfn.XLOOKUP(B2198,Dim_Hotel!$A$2:$A$11,Dim_Hotel!$F$2:$F$11)</f>
        <v>132</v>
      </c>
      <c r="D2198">
        <f t="shared" si="273"/>
        <v>73</v>
      </c>
      <c r="E2198">
        <f t="shared" si="274"/>
        <v>0.55303030303030298</v>
      </c>
      <c r="F2198">
        <f t="shared" si="275"/>
        <v>165</v>
      </c>
      <c r="G2198">
        <f t="shared" si="276"/>
        <v>91.249999999999986</v>
      </c>
      <c r="H2198" t="str">
        <f>_xlfn.XLOOKUP(A2198,Fact_Events!$D$2:$D$20,Fact_Events!$A$2:$A$20, "")</f>
        <v/>
      </c>
      <c r="I2198">
        <f t="shared" si="277"/>
        <v>0</v>
      </c>
      <c r="J2198" t="str">
        <f>_xlfn.XLOOKUP(H2198, Fact_Events!$A$2:$A$20, Fact_Events!$F$2:$F$20, "")</f>
        <v/>
      </c>
      <c r="K2198" t="str">
        <f t="shared" si="278"/>
        <v>Low</v>
      </c>
      <c r="L2198">
        <f t="shared" si="279"/>
        <v>0.55000000000000004</v>
      </c>
      <c r="M2198">
        <f>_xlfn.XLOOKUP(B2198, Dim_Hotel!$A$2:$A$11, Dim_Hotel!$I$2:$I$11)
 + (IF(J2198="",0,J2198)
    * _xlfn.XLOOKUP(B2198, Dim_Hotel!$A$2:$A$11, Dim_Hotel!$J$2:$J$11))</f>
        <v>165</v>
      </c>
    </row>
    <row r="2199" spans="1:13" x14ac:dyDescent="0.25">
      <c r="A2199" s="1">
        <f t="shared" si="272"/>
        <v>46242</v>
      </c>
      <c r="B2199" t="str" cm="1">
        <f t="array" ref="B2199">INDEX(HotelList,MOD(ROW()-2,10)+1)</f>
        <v>H008</v>
      </c>
      <c r="C2199">
        <f>_xlfn.XLOOKUP(B2199,Dim_Hotel!$A$2:$A$11,Dim_Hotel!$F$2:$F$11)</f>
        <v>103</v>
      </c>
      <c r="D2199">
        <f t="shared" si="273"/>
        <v>57</v>
      </c>
      <c r="E2199">
        <f t="shared" si="274"/>
        <v>0.55339805825242716</v>
      </c>
      <c r="F2199">
        <f t="shared" si="275"/>
        <v>140</v>
      </c>
      <c r="G2199">
        <f t="shared" si="276"/>
        <v>77.475728155339809</v>
      </c>
      <c r="H2199" t="str">
        <f>_xlfn.XLOOKUP(A2199,Fact_Events!$D$2:$D$20,Fact_Events!$A$2:$A$20, "")</f>
        <v/>
      </c>
      <c r="I2199">
        <f t="shared" si="277"/>
        <v>0</v>
      </c>
      <c r="J2199" t="str">
        <f>_xlfn.XLOOKUP(H2199, Fact_Events!$A$2:$A$20, Fact_Events!$F$2:$F$20, "")</f>
        <v/>
      </c>
      <c r="K2199" t="str">
        <f t="shared" si="278"/>
        <v>Low</v>
      </c>
      <c r="L2199">
        <f t="shared" si="279"/>
        <v>0.55000000000000004</v>
      </c>
      <c r="M2199">
        <f>_xlfn.XLOOKUP(B2199, Dim_Hotel!$A$2:$A$11, Dim_Hotel!$I$2:$I$11)
 + (IF(J2199="",0,J2199)
    * _xlfn.XLOOKUP(B2199, Dim_Hotel!$A$2:$A$11, Dim_Hotel!$J$2:$J$11))</f>
        <v>140</v>
      </c>
    </row>
    <row r="2200" spans="1:13" x14ac:dyDescent="0.25">
      <c r="A2200" s="1">
        <f t="shared" si="272"/>
        <v>46242</v>
      </c>
      <c r="B2200" t="str" cm="1">
        <f t="array" ref="B2200">INDEX(HotelList,MOD(ROW()-2,10)+1)</f>
        <v>H009</v>
      </c>
      <c r="C2200">
        <f>_xlfn.XLOOKUP(B2200,Dim_Hotel!$A$2:$A$11,Dim_Hotel!$F$2:$F$11)</f>
        <v>114</v>
      </c>
      <c r="D2200">
        <f t="shared" si="273"/>
        <v>63</v>
      </c>
      <c r="E2200">
        <f t="shared" si="274"/>
        <v>0.55263157894736847</v>
      </c>
      <c r="F2200">
        <f t="shared" si="275"/>
        <v>185</v>
      </c>
      <c r="G2200">
        <f t="shared" si="276"/>
        <v>102.23684210526316</v>
      </c>
      <c r="H2200" t="str">
        <f>_xlfn.XLOOKUP(A2200,Fact_Events!$D$2:$D$20,Fact_Events!$A$2:$A$20, "")</f>
        <v/>
      </c>
      <c r="I2200">
        <f t="shared" si="277"/>
        <v>0</v>
      </c>
      <c r="J2200" t="str">
        <f>_xlfn.XLOOKUP(H2200, Fact_Events!$A$2:$A$20, Fact_Events!$F$2:$F$20, "")</f>
        <v/>
      </c>
      <c r="K2200" t="str">
        <f t="shared" si="278"/>
        <v>Low</v>
      </c>
      <c r="L2200">
        <f t="shared" si="279"/>
        <v>0.55000000000000004</v>
      </c>
      <c r="M2200">
        <f>_xlfn.XLOOKUP(B2200, Dim_Hotel!$A$2:$A$11, Dim_Hotel!$I$2:$I$11)
 + (IF(J2200="",0,J2200)
    * _xlfn.XLOOKUP(B2200, Dim_Hotel!$A$2:$A$11, Dim_Hotel!$J$2:$J$11))</f>
        <v>185</v>
      </c>
    </row>
    <row r="2201" spans="1:13" x14ac:dyDescent="0.25">
      <c r="A2201" s="1">
        <f t="shared" si="272"/>
        <v>46242</v>
      </c>
      <c r="B2201" t="str" cm="1">
        <f t="array" ref="B2201">INDEX(HotelList,MOD(ROW()-2,10)+1)</f>
        <v>H010</v>
      </c>
      <c r="C2201">
        <f>_xlfn.XLOOKUP(B2201,Dim_Hotel!$A$2:$A$11,Dim_Hotel!$F$2:$F$11)</f>
        <v>89</v>
      </c>
      <c r="D2201">
        <f t="shared" si="273"/>
        <v>49</v>
      </c>
      <c r="E2201">
        <f t="shared" si="274"/>
        <v>0.550561797752809</v>
      </c>
      <c r="F2201">
        <f t="shared" si="275"/>
        <v>150</v>
      </c>
      <c r="G2201">
        <f t="shared" si="276"/>
        <v>82.584269662921344</v>
      </c>
      <c r="H2201" t="str">
        <f>_xlfn.XLOOKUP(A2201,Fact_Events!$D$2:$D$20,Fact_Events!$A$2:$A$20, "")</f>
        <v/>
      </c>
      <c r="I2201">
        <f t="shared" si="277"/>
        <v>0</v>
      </c>
      <c r="J2201" t="str">
        <f>_xlfn.XLOOKUP(H2201, Fact_Events!$A$2:$A$20, Fact_Events!$F$2:$F$20, "")</f>
        <v/>
      </c>
      <c r="K2201" t="str">
        <f t="shared" si="278"/>
        <v>Low</v>
      </c>
      <c r="L2201">
        <f t="shared" si="279"/>
        <v>0.55000000000000004</v>
      </c>
      <c r="M2201">
        <f>_xlfn.XLOOKUP(B2201, Dim_Hotel!$A$2:$A$11, Dim_Hotel!$I$2:$I$11)
 + (IF(J2201="",0,J2201)
    * _xlfn.XLOOKUP(B2201, Dim_Hotel!$A$2:$A$11, Dim_Hotel!$J$2:$J$11))</f>
        <v>150</v>
      </c>
    </row>
    <row r="2202" spans="1:13" x14ac:dyDescent="0.25">
      <c r="A2202" s="1">
        <f t="shared" si="272"/>
        <v>46243</v>
      </c>
      <c r="B2202" t="str" cm="1">
        <f t="array" ref="B2202">INDEX(HotelList,MOD(ROW()-2,10)+1)</f>
        <v>H001</v>
      </c>
      <c r="C2202">
        <f>_xlfn.XLOOKUP(B2202,Dim_Hotel!$A$2:$A$11,Dim_Hotel!$F$2:$F$11)</f>
        <v>888</v>
      </c>
      <c r="D2202">
        <f t="shared" si="273"/>
        <v>488</v>
      </c>
      <c r="E2202">
        <f t="shared" si="274"/>
        <v>0.5495495495495496</v>
      </c>
      <c r="F2202">
        <f t="shared" si="275"/>
        <v>260</v>
      </c>
      <c r="G2202">
        <f t="shared" si="276"/>
        <v>142.88288288288288</v>
      </c>
      <c r="H2202" t="str">
        <f>_xlfn.XLOOKUP(A2202,Fact_Events!$D$2:$D$20,Fact_Events!$A$2:$A$20, "")</f>
        <v/>
      </c>
      <c r="I2202">
        <f t="shared" si="277"/>
        <v>0</v>
      </c>
      <c r="J2202" t="str">
        <f>_xlfn.XLOOKUP(H2202, Fact_Events!$A$2:$A$20, Fact_Events!$F$2:$F$20, "")</f>
        <v/>
      </c>
      <c r="K2202" t="str">
        <f t="shared" si="278"/>
        <v>Low</v>
      </c>
      <c r="L2202">
        <f t="shared" si="279"/>
        <v>0.55000000000000004</v>
      </c>
      <c r="M2202">
        <f>_xlfn.XLOOKUP(B2202, Dim_Hotel!$A$2:$A$11, Dim_Hotel!$I$2:$I$11)
 + (IF(J2202="",0,J2202)
    * _xlfn.XLOOKUP(B2202, Dim_Hotel!$A$2:$A$11, Dim_Hotel!$J$2:$J$11))</f>
        <v>260</v>
      </c>
    </row>
    <row r="2203" spans="1:13" x14ac:dyDescent="0.25">
      <c r="A2203" s="1">
        <f t="shared" si="272"/>
        <v>46243</v>
      </c>
      <c r="B2203" t="str" cm="1">
        <f t="array" ref="B2203">INDEX(HotelList,MOD(ROW()-2,10)+1)</f>
        <v>H002</v>
      </c>
      <c r="C2203">
        <f>_xlfn.XLOOKUP(B2203,Dim_Hotel!$A$2:$A$11,Dim_Hotel!$F$2:$F$11)</f>
        <v>147</v>
      </c>
      <c r="D2203">
        <f t="shared" si="273"/>
        <v>81</v>
      </c>
      <c r="E2203">
        <f t="shared" si="274"/>
        <v>0.55102040816326525</v>
      </c>
      <c r="F2203">
        <f t="shared" si="275"/>
        <v>175</v>
      </c>
      <c r="G2203">
        <f t="shared" si="276"/>
        <v>96.428571428571416</v>
      </c>
      <c r="H2203" t="str">
        <f>_xlfn.XLOOKUP(A2203,Fact_Events!$D$2:$D$20,Fact_Events!$A$2:$A$20, "")</f>
        <v/>
      </c>
      <c r="I2203">
        <f t="shared" si="277"/>
        <v>0</v>
      </c>
      <c r="J2203" t="str">
        <f>_xlfn.XLOOKUP(H2203, Fact_Events!$A$2:$A$20, Fact_Events!$F$2:$F$20, "")</f>
        <v/>
      </c>
      <c r="K2203" t="str">
        <f t="shared" si="278"/>
        <v>Low</v>
      </c>
      <c r="L2203">
        <f t="shared" si="279"/>
        <v>0.55000000000000004</v>
      </c>
      <c r="M2203">
        <f>_xlfn.XLOOKUP(B2203, Dim_Hotel!$A$2:$A$11, Dim_Hotel!$I$2:$I$11)
 + (IF(J2203="",0,J2203)
    * _xlfn.XLOOKUP(B2203, Dim_Hotel!$A$2:$A$11, Dim_Hotel!$J$2:$J$11))</f>
        <v>175</v>
      </c>
    </row>
    <row r="2204" spans="1:13" x14ac:dyDescent="0.25">
      <c r="A2204" s="1">
        <f t="shared" si="272"/>
        <v>46243</v>
      </c>
      <c r="B2204" t="str" cm="1">
        <f t="array" ref="B2204">INDEX(HotelList,MOD(ROW()-2,10)+1)</f>
        <v>H003</v>
      </c>
      <c r="C2204">
        <f>_xlfn.XLOOKUP(B2204,Dim_Hotel!$A$2:$A$11,Dim_Hotel!$F$2:$F$11)</f>
        <v>121</v>
      </c>
      <c r="D2204">
        <f t="shared" si="273"/>
        <v>67</v>
      </c>
      <c r="E2204">
        <f t="shared" si="274"/>
        <v>0.55371900826446285</v>
      </c>
      <c r="F2204">
        <f t="shared" si="275"/>
        <v>145</v>
      </c>
      <c r="G2204">
        <f t="shared" si="276"/>
        <v>80.289256198347118</v>
      </c>
      <c r="H2204" t="str">
        <f>_xlfn.XLOOKUP(A2204,Fact_Events!$D$2:$D$20,Fact_Events!$A$2:$A$20, "")</f>
        <v/>
      </c>
      <c r="I2204">
        <f t="shared" si="277"/>
        <v>0</v>
      </c>
      <c r="J2204" t="str">
        <f>_xlfn.XLOOKUP(H2204, Fact_Events!$A$2:$A$20, Fact_Events!$F$2:$F$20, "")</f>
        <v/>
      </c>
      <c r="K2204" t="str">
        <f t="shared" si="278"/>
        <v>Low</v>
      </c>
      <c r="L2204">
        <f t="shared" si="279"/>
        <v>0.55000000000000004</v>
      </c>
      <c r="M2204">
        <f>_xlfn.XLOOKUP(B2204, Dim_Hotel!$A$2:$A$11, Dim_Hotel!$I$2:$I$11)
 + (IF(J2204="",0,J2204)
    * _xlfn.XLOOKUP(B2204, Dim_Hotel!$A$2:$A$11, Dim_Hotel!$J$2:$J$11))</f>
        <v>145</v>
      </c>
    </row>
    <row r="2205" spans="1:13" x14ac:dyDescent="0.25">
      <c r="A2205" s="1">
        <f t="shared" si="272"/>
        <v>46243</v>
      </c>
      <c r="B2205" t="str" cm="1">
        <f t="array" ref="B2205">INDEX(HotelList,MOD(ROW()-2,10)+1)</f>
        <v>H004</v>
      </c>
      <c r="C2205">
        <f>_xlfn.XLOOKUP(B2205,Dim_Hotel!$A$2:$A$11,Dim_Hotel!$F$2:$F$11)</f>
        <v>108</v>
      </c>
      <c r="D2205">
        <f t="shared" si="273"/>
        <v>59</v>
      </c>
      <c r="E2205">
        <f t="shared" si="274"/>
        <v>0.54629629629629628</v>
      </c>
      <c r="F2205">
        <f t="shared" si="275"/>
        <v>135</v>
      </c>
      <c r="G2205">
        <f t="shared" si="276"/>
        <v>73.75</v>
      </c>
      <c r="H2205" t="str">
        <f>_xlfn.XLOOKUP(A2205,Fact_Events!$D$2:$D$20,Fact_Events!$A$2:$A$20, "")</f>
        <v/>
      </c>
      <c r="I2205">
        <f t="shared" si="277"/>
        <v>0</v>
      </c>
      <c r="J2205" t="str">
        <f>_xlfn.XLOOKUP(H2205, Fact_Events!$A$2:$A$20, Fact_Events!$F$2:$F$20, "")</f>
        <v/>
      </c>
      <c r="K2205" t="str">
        <f t="shared" si="278"/>
        <v>Low</v>
      </c>
      <c r="L2205">
        <f t="shared" si="279"/>
        <v>0.55000000000000004</v>
      </c>
      <c r="M2205">
        <f>_xlfn.XLOOKUP(B2205, Dim_Hotel!$A$2:$A$11, Dim_Hotel!$I$2:$I$11)
 + (IF(J2205="",0,J2205)
    * _xlfn.XLOOKUP(B2205, Dim_Hotel!$A$2:$A$11, Dim_Hotel!$J$2:$J$11))</f>
        <v>135</v>
      </c>
    </row>
    <row r="2206" spans="1:13" x14ac:dyDescent="0.25">
      <c r="A2206" s="1">
        <f t="shared" si="272"/>
        <v>46243</v>
      </c>
      <c r="B2206" t="str" cm="1">
        <f t="array" ref="B2206">INDEX(HotelList,MOD(ROW()-2,10)+1)</f>
        <v>H005</v>
      </c>
      <c r="C2206">
        <f>_xlfn.XLOOKUP(B2206,Dim_Hotel!$A$2:$A$11,Dim_Hotel!$F$2:$F$11)</f>
        <v>66</v>
      </c>
      <c r="D2206">
        <f t="shared" si="273"/>
        <v>36</v>
      </c>
      <c r="E2206">
        <f t="shared" si="274"/>
        <v>0.54545454545454541</v>
      </c>
      <c r="F2206">
        <f t="shared" si="275"/>
        <v>82</v>
      </c>
      <c r="G2206">
        <f t="shared" si="276"/>
        <v>44.727272727272727</v>
      </c>
      <c r="H2206" t="str">
        <f>_xlfn.XLOOKUP(A2206,Fact_Events!$D$2:$D$20,Fact_Events!$A$2:$A$20, "")</f>
        <v/>
      </c>
      <c r="I2206">
        <f t="shared" si="277"/>
        <v>0</v>
      </c>
      <c r="J2206" t="str">
        <f>_xlfn.XLOOKUP(H2206, Fact_Events!$A$2:$A$20, Fact_Events!$F$2:$F$20, "")</f>
        <v/>
      </c>
      <c r="K2206" t="str">
        <f t="shared" si="278"/>
        <v>Low</v>
      </c>
      <c r="L2206">
        <f t="shared" si="279"/>
        <v>0.55000000000000004</v>
      </c>
      <c r="M2206">
        <f>_xlfn.XLOOKUP(B2206, Dim_Hotel!$A$2:$A$11, Dim_Hotel!$I$2:$I$11)
 + (IF(J2206="",0,J2206)
    * _xlfn.XLOOKUP(B2206, Dim_Hotel!$A$2:$A$11, Dim_Hotel!$J$2:$J$11))</f>
        <v>82</v>
      </c>
    </row>
    <row r="2207" spans="1:13" x14ac:dyDescent="0.25">
      <c r="A2207" s="1">
        <f t="shared" si="272"/>
        <v>46243</v>
      </c>
      <c r="B2207" t="str" cm="1">
        <f t="array" ref="B2207">INDEX(HotelList,MOD(ROW()-2,10)+1)</f>
        <v>H006</v>
      </c>
      <c r="C2207">
        <f>_xlfn.XLOOKUP(B2207,Dim_Hotel!$A$2:$A$11,Dim_Hotel!$F$2:$F$11)</f>
        <v>311</v>
      </c>
      <c r="D2207">
        <f t="shared" si="273"/>
        <v>171</v>
      </c>
      <c r="E2207">
        <f t="shared" si="274"/>
        <v>0.54983922829581988</v>
      </c>
      <c r="F2207">
        <f t="shared" si="275"/>
        <v>190</v>
      </c>
      <c r="G2207">
        <f t="shared" si="276"/>
        <v>104.46945337620578</v>
      </c>
      <c r="H2207" t="str">
        <f>_xlfn.XLOOKUP(A2207,Fact_Events!$D$2:$D$20,Fact_Events!$A$2:$A$20, "")</f>
        <v/>
      </c>
      <c r="I2207">
        <f t="shared" si="277"/>
        <v>0</v>
      </c>
      <c r="J2207" t="str">
        <f>_xlfn.XLOOKUP(H2207, Fact_Events!$A$2:$A$20, Fact_Events!$F$2:$F$20, "")</f>
        <v/>
      </c>
      <c r="K2207" t="str">
        <f t="shared" si="278"/>
        <v>Low</v>
      </c>
      <c r="L2207">
        <f t="shared" si="279"/>
        <v>0.55000000000000004</v>
      </c>
      <c r="M2207">
        <f>_xlfn.XLOOKUP(B2207, Dim_Hotel!$A$2:$A$11, Dim_Hotel!$I$2:$I$11)
 + (IF(J2207="",0,J2207)
    * _xlfn.XLOOKUP(B2207, Dim_Hotel!$A$2:$A$11, Dim_Hotel!$J$2:$J$11))</f>
        <v>190</v>
      </c>
    </row>
    <row r="2208" spans="1:13" x14ac:dyDescent="0.25">
      <c r="A2208" s="1">
        <f t="shared" si="272"/>
        <v>46243</v>
      </c>
      <c r="B2208" t="str" cm="1">
        <f t="array" ref="B2208">INDEX(HotelList,MOD(ROW()-2,10)+1)</f>
        <v>H007</v>
      </c>
      <c r="C2208">
        <f>_xlfn.XLOOKUP(B2208,Dim_Hotel!$A$2:$A$11,Dim_Hotel!$F$2:$F$11)</f>
        <v>132</v>
      </c>
      <c r="D2208">
        <f t="shared" si="273"/>
        <v>73</v>
      </c>
      <c r="E2208">
        <f t="shared" si="274"/>
        <v>0.55303030303030298</v>
      </c>
      <c r="F2208">
        <f t="shared" si="275"/>
        <v>165</v>
      </c>
      <c r="G2208">
        <f t="shared" si="276"/>
        <v>91.249999999999986</v>
      </c>
      <c r="H2208" t="str">
        <f>_xlfn.XLOOKUP(A2208,Fact_Events!$D$2:$D$20,Fact_Events!$A$2:$A$20, "")</f>
        <v/>
      </c>
      <c r="I2208">
        <f t="shared" si="277"/>
        <v>0</v>
      </c>
      <c r="J2208" t="str">
        <f>_xlfn.XLOOKUP(H2208, Fact_Events!$A$2:$A$20, Fact_Events!$F$2:$F$20, "")</f>
        <v/>
      </c>
      <c r="K2208" t="str">
        <f t="shared" si="278"/>
        <v>Low</v>
      </c>
      <c r="L2208">
        <f t="shared" si="279"/>
        <v>0.55000000000000004</v>
      </c>
      <c r="M2208">
        <f>_xlfn.XLOOKUP(B2208, Dim_Hotel!$A$2:$A$11, Dim_Hotel!$I$2:$I$11)
 + (IF(J2208="",0,J2208)
    * _xlfn.XLOOKUP(B2208, Dim_Hotel!$A$2:$A$11, Dim_Hotel!$J$2:$J$11))</f>
        <v>165</v>
      </c>
    </row>
    <row r="2209" spans="1:13" x14ac:dyDescent="0.25">
      <c r="A2209" s="1">
        <f t="shared" si="272"/>
        <v>46243</v>
      </c>
      <c r="B2209" t="str" cm="1">
        <f t="array" ref="B2209">INDEX(HotelList,MOD(ROW()-2,10)+1)</f>
        <v>H008</v>
      </c>
      <c r="C2209">
        <f>_xlfn.XLOOKUP(B2209,Dim_Hotel!$A$2:$A$11,Dim_Hotel!$F$2:$F$11)</f>
        <v>103</v>
      </c>
      <c r="D2209">
        <f t="shared" si="273"/>
        <v>57</v>
      </c>
      <c r="E2209">
        <f t="shared" si="274"/>
        <v>0.55339805825242716</v>
      </c>
      <c r="F2209">
        <f t="shared" si="275"/>
        <v>140</v>
      </c>
      <c r="G2209">
        <f t="shared" si="276"/>
        <v>77.475728155339809</v>
      </c>
      <c r="H2209" t="str">
        <f>_xlfn.XLOOKUP(A2209,Fact_Events!$D$2:$D$20,Fact_Events!$A$2:$A$20, "")</f>
        <v/>
      </c>
      <c r="I2209">
        <f t="shared" si="277"/>
        <v>0</v>
      </c>
      <c r="J2209" t="str">
        <f>_xlfn.XLOOKUP(H2209, Fact_Events!$A$2:$A$20, Fact_Events!$F$2:$F$20, "")</f>
        <v/>
      </c>
      <c r="K2209" t="str">
        <f t="shared" si="278"/>
        <v>Low</v>
      </c>
      <c r="L2209">
        <f t="shared" si="279"/>
        <v>0.55000000000000004</v>
      </c>
      <c r="M2209">
        <f>_xlfn.XLOOKUP(B2209, Dim_Hotel!$A$2:$A$11, Dim_Hotel!$I$2:$I$11)
 + (IF(J2209="",0,J2209)
    * _xlfn.XLOOKUP(B2209, Dim_Hotel!$A$2:$A$11, Dim_Hotel!$J$2:$J$11))</f>
        <v>140</v>
      </c>
    </row>
    <row r="2210" spans="1:13" x14ac:dyDescent="0.25">
      <c r="A2210" s="1">
        <f t="shared" si="272"/>
        <v>46243</v>
      </c>
      <c r="B2210" t="str" cm="1">
        <f t="array" ref="B2210">INDEX(HotelList,MOD(ROW()-2,10)+1)</f>
        <v>H009</v>
      </c>
      <c r="C2210">
        <f>_xlfn.XLOOKUP(B2210,Dim_Hotel!$A$2:$A$11,Dim_Hotel!$F$2:$F$11)</f>
        <v>114</v>
      </c>
      <c r="D2210">
        <f t="shared" si="273"/>
        <v>63</v>
      </c>
      <c r="E2210">
        <f t="shared" si="274"/>
        <v>0.55263157894736847</v>
      </c>
      <c r="F2210">
        <f t="shared" si="275"/>
        <v>185</v>
      </c>
      <c r="G2210">
        <f t="shared" si="276"/>
        <v>102.23684210526316</v>
      </c>
      <c r="H2210" t="str">
        <f>_xlfn.XLOOKUP(A2210,Fact_Events!$D$2:$D$20,Fact_Events!$A$2:$A$20, "")</f>
        <v/>
      </c>
      <c r="I2210">
        <f t="shared" si="277"/>
        <v>0</v>
      </c>
      <c r="J2210" t="str">
        <f>_xlfn.XLOOKUP(H2210, Fact_Events!$A$2:$A$20, Fact_Events!$F$2:$F$20, "")</f>
        <v/>
      </c>
      <c r="K2210" t="str">
        <f t="shared" si="278"/>
        <v>Low</v>
      </c>
      <c r="L2210">
        <f t="shared" si="279"/>
        <v>0.55000000000000004</v>
      </c>
      <c r="M2210">
        <f>_xlfn.XLOOKUP(B2210, Dim_Hotel!$A$2:$A$11, Dim_Hotel!$I$2:$I$11)
 + (IF(J2210="",0,J2210)
    * _xlfn.XLOOKUP(B2210, Dim_Hotel!$A$2:$A$11, Dim_Hotel!$J$2:$J$11))</f>
        <v>185</v>
      </c>
    </row>
    <row r="2211" spans="1:13" x14ac:dyDescent="0.25">
      <c r="A2211" s="1">
        <f t="shared" si="272"/>
        <v>46243</v>
      </c>
      <c r="B2211" t="str" cm="1">
        <f t="array" ref="B2211">INDEX(HotelList,MOD(ROW()-2,10)+1)</f>
        <v>H010</v>
      </c>
      <c r="C2211">
        <f>_xlfn.XLOOKUP(B2211,Dim_Hotel!$A$2:$A$11,Dim_Hotel!$F$2:$F$11)</f>
        <v>89</v>
      </c>
      <c r="D2211">
        <f t="shared" si="273"/>
        <v>49</v>
      </c>
      <c r="E2211">
        <f t="shared" si="274"/>
        <v>0.550561797752809</v>
      </c>
      <c r="F2211">
        <f t="shared" si="275"/>
        <v>150</v>
      </c>
      <c r="G2211">
        <f t="shared" si="276"/>
        <v>82.584269662921344</v>
      </c>
      <c r="H2211" t="str">
        <f>_xlfn.XLOOKUP(A2211,Fact_Events!$D$2:$D$20,Fact_Events!$A$2:$A$20, "")</f>
        <v/>
      </c>
      <c r="I2211">
        <f t="shared" si="277"/>
        <v>0</v>
      </c>
      <c r="J2211" t="str">
        <f>_xlfn.XLOOKUP(H2211, Fact_Events!$A$2:$A$20, Fact_Events!$F$2:$F$20, "")</f>
        <v/>
      </c>
      <c r="K2211" t="str">
        <f t="shared" si="278"/>
        <v>Low</v>
      </c>
      <c r="L2211">
        <f t="shared" si="279"/>
        <v>0.55000000000000004</v>
      </c>
      <c r="M2211">
        <f>_xlfn.XLOOKUP(B2211, Dim_Hotel!$A$2:$A$11, Dim_Hotel!$I$2:$I$11)
 + (IF(J2211="",0,J2211)
    * _xlfn.XLOOKUP(B2211, Dim_Hotel!$A$2:$A$11, Dim_Hotel!$J$2:$J$11))</f>
        <v>150</v>
      </c>
    </row>
    <row r="2212" spans="1:13" x14ac:dyDescent="0.25">
      <c r="A2212" s="1">
        <f t="shared" si="272"/>
        <v>46244</v>
      </c>
      <c r="B2212" t="str" cm="1">
        <f t="array" ref="B2212">INDEX(HotelList,MOD(ROW()-2,10)+1)</f>
        <v>H001</v>
      </c>
      <c r="C2212">
        <f>_xlfn.XLOOKUP(B2212,Dim_Hotel!$A$2:$A$11,Dim_Hotel!$F$2:$F$11)</f>
        <v>888</v>
      </c>
      <c r="D2212">
        <f t="shared" si="273"/>
        <v>488</v>
      </c>
      <c r="E2212">
        <f t="shared" si="274"/>
        <v>0.5495495495495496</v>
      </c>
      <c r="F2212">
        <f t="shared" si="275"/>
        <v>260</v>
      </c>
      <c r="G2212">
        <f t="shared" si="276"/>
        <v>142.88288288288288</v>
      </c>
      <c r="H2212" t="str">
        <f>_xlfn.XLOOKUP(A2212,Fact_Events!$D$2:$D$20,Fact_Events!$A$2:$A$20, "")</f>
        <v/>
      </c>
      <c r="I2212">
        <f t="shared" si="277"/>
        <v>0</v>
      </c>
      <c r="J2212" t="str">
        <f>_xlfn.XLOOKUP(H2212, Fact_Events!$A$2:$A$20, Fact_Events!$F$2:$F$20, "")</f>
        <v/>
      </c>
      <c r="K2212" t="str">
        <f t="shared" si="278"/>
        <v>Low</v>
      </c>
      <c r="L2212">
        <f t="shared" si="279"/>
        <v>0.55000000000000004</v>
      </c>
      <c r="M2212">
        <f>_xlfn.XLOOKUP(B2212, Dim_Hotel!$A$2:$A$11, Dim_Hotel!$I$2:$I$11)
 + (IF(J2212="",0,J2212)
    * _xlfn.XLOOKUP(B2212, Dim_Hotel!$A$2:$A$11, Dim_Hotel!$J$2:$J$11))</f>
        <v>260</v>
      </c>
    </row>
    <row r="2213" spans="1:13" x14ac:dyDescent="0.25">
      <c r="A2213" s="1">
        <f t="shared" si="272"/>
        <v>46244</v>
      </c>
      <c r="B2213" t="str" cm="1">
        <f t="array" ref="B2213">INDEX(HotelList,MOD(ROW()-2,10)+1)</f>
        <v>H002</v>
      </c>
      <c r="C2213">
        <f>_xlfn.XLOOKUP(B2213,Dim_Hotel!$A$2:$A$11,Dim_Hotel!$F$2:$F$11)</f>
        <v>147</v>
      </c>
      <c r="D2213">
        <f t="shared" si="273"/>
        <v>81</v>
      </c>
      <c r="E2213">
        <f t="shared" si="274"/>
        <v>0.55102040816326525</v>
      </c>
      <c r="F2213">
        <f t="shared" si="275"/>
        <v>175</v>
      </c>
      <c r="G2213">
        <f t="shared" si="276"/>
        <v>96.428571428571416</v>
      </c>
      <c r="H2213" t="str">
        <f>_xlfn.XLOOKUP(A2213,Fact_Events!$D$2:$D$20,Fact_Events!$A$2:$A$20, "")</f>
        <v/>
      </c>
      <c r="I2213">
        <f t="shared" si="277"/>
        <v>0</v>
      </c>
      <c r="J2213" t="str">
        <f>_xlfn.XLOOKUP(H2213, Fact_Events!$A$2:$A$20, Fact_Events!$F$2:$F$20, "")</f>
        <v/>
      </c>
      <c r="K2213" t="str">
        <f t="shared" si="278"/>
        <v>Low</v>
      </c>
      <c r="L2213">
        <f t="shared" si="279"/>
        <v>0.55000000000000004</v>
      </c>
      <c r="M2213">
        <f>_xlfn.XLOOKUP(B2213, Dim_Hotel!$A$2:$A$11, Dim_Hotel!$I$2:$I$11)
 + (IF(J2213="",0,J2213)
    * _xlfn.XLOOKUP(B2213, Dim_Hotel!$A$2:$A$11, Dim_Hotel!$J$2:$J$11))</f>
        <v>175</v>
      </c>
    </row>
    <row r="2214" spans="1:13" x14ac:dyDescent="0.25">
      <c r="A2214" s="1">
        <f t="shared" si="272"/>
        <v>46244</v>
      </c>
      <c r="B2214" t="str" cm="1">
        <f t="array" ref="B2214">INDEX(HotelList,MOD(ROW()-2,10)+1)</f>
        <v>H003</v>
      </c>
      <c r="C2214">
        <f>_xlfn.XLOOKUP(B2214,Dim_Hotel!$A$2:$A$11,Dim_Hotel!$F$2:$F$11)</f>
        <v>121</v>
      </c>
      <c r="D2214">
        <f t="shared" si="273"/>
        <v>67</v>
      </c>
      <c r="E2214">
        <f t="shared" si="274"/>
        <v>0.55371900826446285</v>
      </c>
      <c r="F2214">
        <f t="shared" si="275"/>
        <v>145</v>
      </c>
      <c r="G2214">
        <f t="shared" si="276"/>
        <v>80.289256198347118</v>
      </c>
      <c r="H2214" t="str">
        <f>_xlfn.XLOOKUP(A2214,Fact_Events!$D$2:$D$20,Fact_Events!$A$2:$A$20, "")</f>
        <v/>
      </c>
      <c r="I2214">
        <f t="shared" si="277"/>
        <v>0</v>
      </c>
      <c r="J2214" t="str">
        <f>_xlfn.XLOOKUP(H2214, Fact_Events!$A$2:$A$20, Fact_Events!$F$2:$F$20, "")</f>
        <v/>
      </c>
      <c r="K2214" t="str">
        <f t="shared" si="278"/>
        <v>Low</v>
      </c>
      <c r="L2214">
        <f t="shared" si="279"/>
        <v>0.55000000000000004</v>
      </c>
      <c r="M2214">
        <f>_xlfn.XLOOKUP(B2214, Dim_Hotel!$A$2:$A$11, Dim_Hotel!$I$2:$I$11)
 + (IF(J2214="",0,J2214)
    * _xlfn.XLOOKUP(B2214, Dim_Hotel!$A$2:$A$11, Dim_Hotel!$J$2:$J$11))</f>
        <v>145</v>
      </c>
    </row>
    <row r="2215" spans="1:13" x14ac:dyDescent="0.25">
      <c r="A2215" s="1">
        <f t="shared" si="272"/>
        <v>46244</v>
      </c>
      <c r="B2215" t="str" cm="1">
        <f t="array" ref="B2215">INDEX(HotelList,MOD(ROW()-2,10)+1)</f>
        <v>H004</v>
      </c>
      <c r="C2215">
        <f>_xlfn.XLOOKUP(B2215,Dim_Hotel!$A$2:$A$11,Dim_Hotel!$F$2:$F$11)</f>
        <v>108</v>
      </c>
      <c r="D2215">
        <f t="shared" si="273"/>
        <v>59</v>
      </c>
      <c r="E2215">
        <f t="shared" si="274"/>
        <v>0.54629629629629628</v>
      </c>
      <c r="F2215">
        <f t="shared" si="275"/>
        <v>135</v>
      </c>
      <c r="G2215">
        <f t="shared" si="276"/>
        <v>73.75</v>
      </c>
      <c r="H2215" t="str">
        <f>_xlfn.XLOOKUP(A2215,Fact_Events!$D$2:$D$20,Fact_Events!$A$2:$A$20, "")</f>
        <v/>
      </c>
      <c r="I2215">
        <f t="shared" si="277"/>
        <v>0</v>
      </c>
      <c r="J2215" t="str">
        <f>_xlfn.XLOOKUP(H2215, Fact_Events!$A$2:$A$20, Fact_Events!$F$2:$F$20, "")</f>
        <v/>
      </c>
      <c r="K2215" t="str">
        <f t="shared" si="278"/>
        <v>Low</v>
      </c>
      <c r="L2215">
        <f t="shared" si="279"/>
        <v>0.55000000000000004</v>
      </c>
      <c r="M2215">
        <f>_xlfn.XLOOKUP(B2215, Dim_Hotel!$A$2:$A$11, Dim_Hotel!$I$2:$I$11)
 + (IF(J2215="",0,J2215)
    * _xlfn.XLOOKUP(B2215, Dim_Hotel!$A$2:$A$11, Dim_Hotel!$J$2:$J$11))</f>
        <v>135</v>
      </c>
    </row>
    <row r="2216" spans="1:13" x14ac:dyDescent="0.25">
      <c r="A2216" s="1">
        <f t="shared" si="272"/>
        <v>46244</v>
      </c>
      <c r="B2216" t="str" cm="1">
        <f t="array" ref="B2216">INDEX(HotelList,MOD(ROW()-2,10)+1)</f>
        <v>H005</v>
      </c>
      <c r="C2216">
        <f>_xlfn.XLOOKUP(B2216,Dim_Hotel!$A$2:$A$11,Dim_Hotel!$F$2:$F$11)</f>
        <v>66</v>
      </c>
      <c r="D2216">
        <f t="shared" si="273"/>
        <v>36</v>
      </c>
      <c r="E2216">
        <f t="shared" si="274"/>
        <v>0.54545454545454541</v>
      </c>
      <c r="F2216">
        <f t="shared" si="275"/>
        <v>82</v>
      </c>
      <c r="G2216">
        <f t="shared" si="276"/>
        <v>44.727272727272727</v>
      </c>
      <c r="H2216" t="str">
        <f>_xlfn.XLOOKUP(A2216,Fact_Events!$D$2:$D$20,Fact_Events!$A$2:$A$20, "")</f>
        <v/>
      </c>
      <c r="I2216">
        <f t="shared" si="277"/>
        <v>0</v>
      </c>
      <c r="J2216" t="str">
        <f>_xlfn.XLOOKUP(H2216, Fact_Events!$A$2:$A$20, Fact_Events!$F$2:$F$20, "")</f>
        <v/>
      </c>
      <c r="K2216" t="str">
        <f t="shared" si="278"/>
        <v>Low</v>
      </c>
      <c r="L2216">
        <f t="shared" si="279"/>
        <v>0.55000000000000004</v>
      </c>
      <c r="M2216">
        <f>_xlfn.XLOOKUP(B2216, Dim_Hotel!$A$2:$A$11, Dim_Hotel!$I$2:$I$11)
 + (IF(J2216="",0,J2216)
    * _xlfn.XLOOKUP(B2216, Dim_Hotel!$A$2:$A$11, Dim_Hotel!$J$2:$J$11))</f>
        <v>82</v>
      </c>
    </row>
    <row r="2217" spans="1:13" x14ac:dyDescent="0.25">
      <c r="A2217" s="1">
        <f t="shared" si="272"/>
        <v>46244</v>
      </c>
      <c r="B2217" t="str" cm="1">
        <f t="array" ref="B2217">INDEX(HotelList,MOD(ROW()-2,10)+1)</f>
        <v>H006</v>
      </c>
      <c r="C2217">
        <f>_xlfn.XLOOKUP(B2217,Dim_Hotel!$A$2:$A$11,Dim_Hotel!$F$2:$F$11)</f>
        <v>311</v>
      </c>
      <c r="D2217">
        <f t="shared" si="273"/>
        <v>171</v>
      </c>
      <c r="E2217">
        <f t="shared" si="274"/>
        <v>0.54983922829581988</v>
      </c>
      <c r="F2217">
        <f t="shared" si="275"/>
        <v>190</v>
      </c>
      <c r="G2217">
        <f t="shared" si="276"/>
        <v>104.46945337620578</v>
      </c>
      <c r="H2217" t="str">
        <f>_xlfn.XLOOKUP(A2217,Fact_Events!$D$2:$D$20,Fact_Events!$A$2:$A$20, "")</f>
        <v/>
      </c>
      <c r="I2217">
        <f t="shared" si="277"/>
        <v>0</v>
      </c>
      <c r="J2217" t="str">
        <f>_xlfn.XLOOKUP(H2217, Fact_Events!$A$2:$A$20, Fact_Events!$F$2:$F$20, "")</f>
        <v/>
      </c>
      <c r="K2217" t="str">
        <f t="shared" si="278"/>
        <v>Low</v>
      </c>
      <c r="L2217">
        <f t="shared" si="279"/>
        <v>0.55000000000000004</v>
      </c>
      <c r="M2217">
        <f>_xlfn.XLOOKUP(B2217, Dim_Hotel!$A$2:$A$11, Dim_Hotel!$I$2:$I$11)
 + (IF(J2217="",0,J2217)
    * _xlfn.XLOOKUP(B2217, Dim_Hotel!$A$2:$A$11, Dim_Hotel!$J$2:$J$11))</f>
        <v>190</v>
      </c>
    </row>
    <row r="2218" spans="1:13" x14ac:dyDescent="0.25">
      <c r="A2218" s="1">
        <f t="shared" si="272"/>
        <v>46244</v>
      </c>
      <c r="B2218" t="str" cm="1">
        <f t="array" ref="B2218">INDEX(HotelList,MOD(ROW()-2,10)+1)</f>
        <v>H007</v>
      </c>
      <c r="C2218">
        <f>_xlfn.XLOOKUP(B2218,Dim_Hotel!$A$2:$A$11,Dim_Hotel!$F$2:$F$11)</f>
        <v>132</v>
      </c>
      <c r="D2218">
        <f t="shared" si="273"/>
        <v>73</v>
      </c>
      <c r="E2218">
        <f t="shared" si="274"/>
        <v>0.55303030303030298</v>
      </c>
      <c r="F2218">
        <f t="shared" si="275"/>
        <v>165</v>
      </c>
      <c r="G2218">
        <f t="shared" si="276"/>
        <v>91.249999999999986</v>
      </c>
      <c r="H2218" t="str">
        <f>_xlfn.XLOOKUP(A2218,Fact_Events!$D$2:$D$20,Fact_Events!$A$2:$A$20, "")</f>
        <v/>
      </c>
      <c r="I2218">
        <f t="shared" si="277"/>
        <v>0</v>
      </c>
      <c r="J2218" t="str">
        <f>_xlfn.XLOOKUP(H2218, Fact_Events!$A$2:$A$20, Fact_Events!$F$2:$F$20, "")</f>
        <v/>
      </c>
      <c r="K2218" t="str">
        <f t="shared" si="278"/>
        <v>Low</v>
      </c>
      <c r="L2218">
        <f t="shared" si="279"/>
        <v>0.55000000000000004</v>
      </c>
      <c r="M2218">
        <f>_xlfn.XLOOKUP(B2218, Dim_Hotel!$A$2:$A$11, Dim_Hotel!$I$2:$I$11)
 + (IF(J2218="",0,J2218)
    * _xlfn.XLOOKUP(B2218, Dim_Hotel!$A$2:$A$11, Dim_Hotel!$J$2:$J$11))</f>
        <v>165</v>
      </c>
    </row>
    <row r="2219" spans="1:13" x14ac:dyDescent="0.25">
      <c r="A2219" s="1">
        <f t="shared" si="272"/>
        <v>46244</v>
      </c>
      <c r="B2219" t="str" cm="1">
        <f t="array" ref="B2219">INDEX(HotelList,MOD(ROW()-2,10)+1)</f>
        <v>H008</v>
      </c>
      <c r="C2219">
        <f>_xlfn.XLOOKUP(B2219,Dim_Hotel!$A$2:$A$11,Dim_Hotel!$F$2:$F$11)</f>
        <v>103</v>
      </c>
      <c r="D2219">
        <f t="shared" si="273"/>
        <v>57</v>
      </c>
      <c r="E2219">
        <f t="shared" si="274"/>
        <v>0.55339805825242716</v>
      </c>
      <c r="F2219">
        <f t="shared" si="275"/>
        <v>140</v>
      </c>
      <c r="G2219">
        <f t="shared" si="276"/>
        <v>77.475728155339809</v>
      </c>
      <c r="H2219" t="str">
        <f>_xlfn.XLOOKUP(A2219,Fact_Events!$D$2:$D$20,Fact_Events!$A$2:$A$20, "")</f>
        <v/>
      </c>
      <c r="I2219">
        <f t="shared" si="277"/>
        <v>0</v>
      </c>
      <c r="J2219" t="str">
        <f>_xlfn.XLOOKUP(H2219, Fact_Events!$A$2:$A$20, Fact_Events!$F$2:$F$20, "")</f>
        <v/>
      </c>
      <c r="K2219" t="str">
        <f t="shared" si="278"/>
        <v>Low</v>
      </c>
      <c r="L2219">
        <f t="shared" si="279"/>
        <v>0.55000000000000004</v>
      </c>
      <c r="M2219">
        <f>_xlfn.XLOOKUP(B2219, Dim_Hotel!$A$2:$A$11, Dim_Hotel!$I$2:$I$11)
 + (IF(J2219="",0,J2219)
    * _xlfn.XLOOKUP(B2219, Dim_Hotel!$A$2:$A$11, Dim_Hotel!$J$2:$J$11))</f>
        <v>140</v>
      </c>
    </row>
    <row r="2220" spans="1:13" x14ac:dyDescent="0.25">
      <c r="A2220" s="1">
        <f t="shared" si="272"/>
        <v>46244</v>
      </c>
      <c r="B2220" t="str" cm="1">
        <f t="array" ref="B2220">INDEX(HotelList,MOD(ROW()-2,10)+1)</f>
        <v>H009</v>
      </c>
      <c r="C2220">
        <f>_xlfn.XLOOKUP(B2220,Dim_Hotel!$A$2:$A$11,Dim_Hotel!$F$2:$F$11)</f>
        <v>114</v>
      </c>
      <c r="D2220">
        <f t="shared" si="273"/>
        <v>63</v>
      </c>
      <c r="E2220">
        <f t="shared" si="274"/>
        <v>0.55263157894736847</v>
      </c>
      <c r="F2220">
        <f t="shared" si="275"/>
        <v>185</v>
      </c>
      <c r="G2220">
        <f t="shared" si="276"/>
        <v>102.23684210526316</v>
      </c>
      <c r="H2220" t="str">
        <f>_xlfn.XLOOKUP(A2220,Fact_Events!$D$2:$D$20,Fact_Events!$A$2:$A$20, "")</f>
        <v/>
      </c>
      <c r="I2220">
        <f t="shared" si="277"/>
        <v>0</v>
      </c>
      <c r="J2220" t="str">
        <f>_xlfn.XLOOKUP(H2220, Fact_Events!$A$2:$A$20, Fact_Events!$F$2:$F$20, "")</f>
        <v/>
      </c>
      <c r="K2220" t="str">
        <f t="shared" si="278"/>
        <v>Low</v>
      </c>
      <c r="L2220">
        <f t="shared" si="279"/>
        <v>0.55000000000000004</v>
      </c>
      <c r="M2220">
        <f>_xlfn.XLOOKUP(B2220, Dim_Hotel!$A$2:$A$11, Dim_Hotel!$I$2:$I$11)
 + (IF(J2220="",0,J2220)
    * _xlfn.XLOOKUP(B2220, Dim_Hotel!$A$2:$A$11, Dim_Hotel!$J$2:$J$11))</f>
        <v>185</v>
      </c>
    </row>
    <row r="2221" spans="1:13" x14ac:dyDescent="0.25">
      <c r="A2221" s="1">
        <f t="shared" si="272"/>
        <v>46244</v>
      </c>
      <c r="B2221" t="str" cm="1">
        <f t="array" ref="B2221">INDEX(HotelList,MOD(ROW()-2,10)+1)</f>
        <v>H010</v>
      </c>
      <c r="C2221">
        <f>_xlfn.XLOOKUP(B2221,Dim_Hotel!$A$2:$A$11,Dim_Hotel!$F$2:$F$11)</f>
        <v>89</v>
      </c>
      <c r="D2221">
        <f t="shared" si="273"/>
        <v>49</v>
      </c>
      <c r="E2221">
        <f t="shared" si="274"/>
        <v>0.550561797752809</v>
      </c>
      <c r="F2221">
        <f t="shared" si="275"/>
        <v>150</v>
      </c>
      <c r="G2221">
        <f t="shared" si="276"/>
        <v>82.584269662921344</v>
      </c>
      <c r="H2221" t="str">
        <f>_xlfn.XLOOKUP(A2221,Fact_Events!$D$2:$D$20,Fact_Events!$A$2:$A$20, "")</f>
        <v/>
      </c>
      <c r="I2221">
        <f t="shared" si="277"/>
        <v>0</v>
      </c>
      <c r="J2221" t="str">
        <f>_xlfn.XLOOKUP(H2221, Fact_Events!$A$2:$A$20, Fact_Events!$F$2:$F$20, "")</f>
        <v/>
      </c>
      <c r="K2221" t="str">
        <f t="shared" si="278"/>
        <v>Low</v>
      </c>
      <c r="L2221">
        <f t="shared" si="279"/>
        <v>0.55000000000000004</v>
      </c>
      <c r="M2221">
        <f>_xlfn.XLOOKUP(B2221, Dim_Hotel!$A$2:$A$11, Dim_Hotel!$I$2:$I$11)
 + (IF(J2221="",0,J2221)
    * _xlfn.XLOOKUP(B2221, Dim_Hotel!$A$2:$A$11, Dim_Hotel!$J$2:$J$11))</f>
        <v>150</v>
      </c>
    </row>
    <row r="2222" spans="1:13" x14ac:dyDescent="0.25">
      <c r="A2222" s="1">
        <f t="shared" si="272"/>
        <v>46245</v>
      </c>
      <c r="B2222" t="str" cm="1">
        <f t="array" ref="B2222">INDEX(HotelList,MOD(ROW()-2,10)+1)</f>
        <v>H001</v>
      </c>
      <c r="C2222">
        <f>_xlfn.XLOOKUP(B2222,Dim_Hotel!$A$2:$A$11,Dim_Hotel!$F$2:$F$11)</f>
        <v>888</v>
      </c>
      <c r="D2222">
        <f t="shared" si="273"/>
        <v>488</v>
      </c>
      <c r="E2222">
        <f t="shared" si="274"/>
        <v>0.5495495495495496</v>
      </c>
      <c r="F2222">
        <f t="shared" si="275"/>
        <v>260</v>
      </c>
      <c r="G2222">
        <f t="shared" si="276"/>
        <v>142.88288288288288</v>
      </c>
      <c r="H2222" t="str">
        <f>_xlfn.XLOOKUP(A2222,Fact_Events!$D$2:$D$20,Fact_Events!$A$2:$A$20, "")</f>
        <v/>
      </c>
      <c r="I2222">
        <f t="shared" si="277"/>
        <v>0</v>
      </c>
      <c r="J2222" t="str">
        <f>_xlfn.XLOOKUP(H2222, Fact_Events!$A$2:$A$20, Fact_Events!$F$2:$F$20, "")</f>
        <v/>
      </c>
      <c r="K2222" t="str">
        <f t="shared" si="278"/>
        <v>Low</v>
      </c>
      <c r="L2222">
        <f t="shared" si="279"/>
        <v>0.55000000000000004</v>
      </c>
      <c r="M2222">
        <f>_xlfn.XLOOKUP(B2222, Dim_Hotel!$A$2:$A$11, Dim_Hotel!$I$2:$I$11)
 + (IF(J2222="",0,J2222)
    * _xlfn.XLOOKUP(B2222, Dim_Hotel!$A$2:$A$11, Dim_Hotel!$J$2:$J$11))</f>
        <v>260</v>
      </c>
    </row>
    <row r="2223" spans="1:13" x14ac:dyDescent="0.25">
      <c r="A2223" s="1">
        <f t="shared" si="272"/>
        <v>46245</v>
      </c>
      <c r="B2223" t="str" cm="1">
        <f t="array" ref="B2223">INDEX(HotelList,MOD(ROW()-2,10)+1)</f>
        <v>H002</v>
      </c>
      <c r="C2223">
        <f>_xlfn.XLOOKUP(B2223,Dim_Hotel!$A$2:$A$11,Dim_Hotel!$F$2:$F$11)</f>
        <v>147</v>
      </c>
      <c r="D2223">
        <f t="shared" si="273"/>
        <v>81</v>
      </c>
      <c r="E2223">
        <f t="shared" si="274"/>
        <v>0.55102040816326525</v>
      </c>
      <c r="F2223">
        <f t="shared" si="275"/>
        <v>175</v>
      </c>
      <c r="G2223">
        <f t="shared" si="276"/>
        <v>96.428571428571416</v>
      </c>
      <c r="H2223" t="str">
        <f>_xlfn.XLOOKUP(A2223,Fact_Events!$D$2:$D$20,Fact_Events!$A$2:$A$20, "")</f>
        <v/>
      </c>
      <c r="I2223">
        <f t="shared" si="277"/>
        <v>0</v>
      </c>
      <c r="J2223" t="str">
        <f>_xlfn.XLOOKUP(H2223, Fact_Events!$A$2:$A$20, Fact_Events!$F$2:$F$20, "")</f>
        <v/>
      </c>
      <c r="K2223" t="str">
        <f t="shared" si="278"/>
        <v>Low</v>
      </c>
      <c r="L2223">
        <f t="shared" si="279"/>
        <v>0.55000000000000004</v>
      </c>
      <c r="M2223">
        <f>_xlfn.XLOOKUP(B2223, Dim_Hotel!$A$2:$A$11, Dim_Hotel!$I$2:$I$11)
 + (IF(J2223="",0,J2223)
    * _xlfn.XLOOKUP(B2223, Dim_Hotel!$A$2:$A$11, Dim_Hotel!$J$2:$J$11))</f>
        <v>175</v>
      </c>
    </row>
    <row r="2224" spans="1:13" x14ac:dyDescent="0.25">
      <c r="A2224" s="1">
        <f t="shared" si="272"/>
        <v>46245</v>
      </c>
      <c r="B2224" t="str" cm="1">
        <f t="array" ref="B2224">INDEX(HotelList,MOD(ROW()-2,10)+1)</f>
        <v>H003</v>
      </c>
      <c r="C2224">
        <f>_xlfn.XLOOKUP(B2224,Dim_Hotel!$A$2:$A$11,Dim_Hotel!$F$2:$F$11)</f>
        <v>121</v>
      </c>
      <c r="D2224">
        <f t="shared" si="273"/>
        <v>67</v>
      </c>
      <c r="E2224">
        <f t="shared" si="274"/>
        <v>0.55371900826446285</v>
      </c>
      <c r="F2224">
        <f t="shared" si="275"/>
        <v>145</v>
      </c>
      <c r="G2224">
        <f t="shared" si="276"/>
        <v>80.289256198347118</v>
      </c>
      <c r="H2224" t="str">
        <f>_xlfn.XLOOKUP(A2224,Fact_Events!$D$2:$D$20,Fact_Events!$A$2:$A$20, "")</f>
        <v/>
      </c>
      <c r="I2224">
        <f t="shared" si="277"/>
        <v>0</v>
      </c>
      <c r="J2224" t="str">
        <f>_xlfn.XLOOKUP(H2224, Fact_Events!$A$2:$A$20, Fact_Events!$F$2:$F$20, "")</f>
        <v/>
      </c>
      <c r="K2224" t="str">
        <f t="shared" si="278"/>
        <v>Low</v>
      </c>
      <c r="L2224">
        <f t="shared" si="279"/>
        <v>0.55000000000000004</v>
      </c>
      <c r="M2224">
        <f>_xlfn.XLOOKUP(B2224, Dim_Hotel!$A$2:$A$11, Dim_Hotel!$I$2:$I$11)
 + (IF(J2224="",0,J2224)
    * _xlfn.XLOOKUP(B2224, Dim_Hotel!$A$2:$A$11, Dim_Hotel!$J$2:$J$11))</f>
        <v>145</v>
      </c>
    </row>
    <row r="2225" spans="1:13" x14ac:dyDescent="0.25">
      <c r="A2225" s="1">
        <f t="shared" si="272"/>
        <v>46245</v>
      </c>
      <c r="B2225" t="str" cm="1">
        <f t="array" ref="B2225">INDEX(HotelList,MOD(ROW()-2,10)+1)</f>
        <v>H004</v>
      </c>
      <c r="C2225">
        <f>_xlfn.XLOOKUP(B2225,Dim_Hotel!$A$2:$A$11,Dim_Hotel!$F$2:$F$11)</f>
        <v>108</v>
      </c>
      <c r="D2225">
        <f t="shared" si="273"/>
        <v>59</v>
      </c>
      <c r="E2225">
        <f t="shared" si="274"/>
        <v>0.54629629629629628</v>
      </c>
      <c r="F2225">
        <f t="shared" si="275"/>
        <v>135</v>
      </c>
      <c r="G2225">
        <f t="shared" si="276"/>
        <v>73.75</v>
      </c>
      <c r="H2225" t="str">
        <f>_xlfn.XLOOKUP(A2225,Fact_Events!$D$2:$D$20,Fact_Events!$A$2:$A$20, "")</f>
        <v/>
      </c>
      <c r="I2225">
        <f t="shared" si="277"/>
        <v>0</v>
      </c>
      <c r="J2225" t="str">
        <f>_xlfn.XLOOKUP(H2225, Fact_Events!$A$2:$A$20, Fact_Events!$F$2:$F$20, "")</f>
        <v/>
      </c>
      <c r="K2225" t="str">
        <f t="shared" si="278"/>
        <v>Low</v>
      </c>
      <c r="L2225">
        <f t="shared" si="279"/>
        <v>0.55000000000000004</v>
      </c>
      <c r="M2225">
        <f>_xlfn.XLOOKUP(B2225, Dim_Hotel!$A$2:$A$11, Dim_Hotel!$I$2:$I$11)
 + (IF(J2225="",0,J2225)
    * _xlfn.XLOOKUP(B2225, Dim_Hotel!$A$2:$A$11, Dim_Hotel!$J$2:$J$11))</f>
        <v>135</v>
      </c>
    </row>
    <row r="2226" spans="1:13" x14ac:dyDescent="0.25">
      <c r="A2226" s="1">
        <f t="shared" si="272"/>
        <v>46245</v>
      </c>
      <c r="B2226" t="str" cm="1">
        <f t="array" ref="B2226">INDEX(HotelList,MOD(ROW()-2,10)+1)</f>
        <v>H005</v>
      </c>
      <c r="C2226">
        <f>_xlfn.XLOOKUP(B2226,Dim_Hotel!$A$2:$A$11,Dim_Hotel!$F$2:$F$11)</f>
        <v>66</v>
      </c>
      <c r="D2226">
        <f t="shared" si="273"/>
        <v>36</v>
      </c>
      <c r="E2226">
        <f t="shared" si="274"/>
        <v>0.54545454545454541</v>
      </c>
      <c r="F2226">
        <f t="shared" si="275"/>
        <v>82</v>
      </c>
      <c r="G2226">
        <f t="shared" si="276"/>
        <v>44.727272727272727</v>
      </c>
      <c r="H2226" t="str">
        <f>_xlfn.XLOOKUP(A2226,Fact_Events!$D$2:$D$20,Fact_Events!$A$2:$A$20, "")</f>
        <v/>
      </c>
      <c r="I2226">
        <f t="shared" si="277"/>
        <v>0</v>
      </c>
      <c r="J2226" t="str">
        <f>_xlfn.XLOOKUP(H2226, Fact_Events!$A$2:$A$20, Fact_Events!$F$2:$F$20, "")</f>
        <v/>
      </c>
      <c r="K2226" t="str">
        <f t="shared" si="278"/>
        <v>Low</v>
      </c>
      <c r="L2226">
        <f t="shared" si="279"/>
        <v>0.55000000000000004</v>
      </c>
      <c r="M2226">
        <f>_xlfn.XLOOKUP(B2226, Dim_Hotel!$A$2:$A$11, Dim_Hotel!$I$2:$I$11)
 + (IF(J2226="",0,J2226)
    * _xlfn.XLOOKUP(B2226, Dim_Hotel!$A$2:$A$11, Dim_Hotel!$J$2:$J$11))</f>
        <v>82</v>
      </c>
    </row>
    <row r="2227" spans="1:13" x14ac:dyDescent="0.25">
      <c r="A2227" s="1">
        <f t="shared" si="272"/>
        <v>46245</v>
      </c>
      <c r="B2227" t="str" cm="1">
        <f t="array" ref="B2227">INDEX(HotelList,MOD(ROW()-2,10)+1)</f>
        <v>H006</v>
      </c>
      <c r="C2227">
        <f>_xlfn.XLOOKUP(B2227,Dim_Hotel!$A$2:$A$11,Dim_Hotel!$F$2:$F$11)</f>
        <v>311</v>
      </c>
      <c r="D2227">
        <f t="shared" si="273"/>
        <v>171</v>
      </c>
      <c r="E2227">
        <f t="shared" si="274"/>
        <v>0.54983922829581988</v>
      </c>
      <c r="F2227">
        <f t="shared" si="275"/>
        <v>190</v>
      </c>
      <c r="G2227">
        <f t="shared" si="276"/>
        <v>104.46945337620578</v>
      </c>
      <c r="H2227" t="str">
        <f>_xlfn.XLOOKUP(A2227,Fact_Events!$D$2:$D$20,Fact_Events!$A$2:$A$20, "")</f>
        <v/>
      </c>
      <c r="I2227">
        <f t="shared" si="277"/>
        <v>0</v>
      </c>
      <c r="J2227" t="str">
        <f>_xlfn.XLOOKUP(H2227, Fact_Events!$A$2:$A$20, Fact_Events!$F$2:$F$20, "")</f>
        <v/>
      </c>
      <c r="K2227" t="str">
        <f t="shared" si="278"/>
        <v>Low</v>
      </c>
      <c r="L2227">
        <f t="shared" si="279"/>
        <v>0.55000000000000004</v>
      </c>
      <c r="M2227">
        <f>_xlfn.XLOOKUP(B2227, Dim_Hotel!$A$2:$A$11, Dim_Hotel!$I$2:$I$11)
 + (IF(J2227="",0,J2227)
    * _xlfn.XLOOKUP(B2227, Dim_Hotel!$A$2:$A$11, Dim_Hotel!$J$2:$J$11))</f>
        <v>190</v>
      </c>
    </row>
    <row r="2228" spans="1:13" x14ac:dyDescent="0.25">
      <c r="A2228" s="1">
        <f t="shared" si="272"/>
        <v>46245</v>
      </c>
      <c r="B2228" t="str" cm="1">
        <f t="array" ref="B2228">INDEX(HotelList,MOD(ROW()-2,10)+1)</f>
        <v>H007</v>
      </c>
      <c r="C2228">
        <f>_xlfn.XLOOKUP(B2228,Dim_Hotel!$A$2:$A$11,Dim_Hotel!$F$2:$F$11)</f>
        <v>132</v>
      </c>
      <c r="D2228">
        <f t="shared" si="273"/>
        <v>73</v>
      </c>
      <c r="E2228">
        <f t="shared" si="274"/>
        <v>0.55303030303030298</v>
      </c>
      <c r="F2228">
        <f t="shared" si="275"/>
        <v>165</v>
      </c>
      <c r="G2228">
        <f t="shared" si="276"/>
        <v>91.249999999999986</v>
      </c>
      <c r="H2228" t="str">
        <f>_xlfn.XLOOKUP(A2228,Fact_Events!$D$2:$D$20,Fact_Events!$A$2:$A$20, "")</f>
        <v/>
      </c>
      <c r="I2228">
        <f t="shared" si="277"/>
        <v>0</v>
      </c>
      <c r="J2228" t="str">
        <f>_xlfn.XLOOKUP(H2228, Fact_Events!$A$2:$A$20, Fact_Events!$F$2:$F$20, "")</f>
        <v/>
      </c>
      <c r="K2228" t="str">
        <f t="shared" si="278"/>
        <v>Low</v>
      </c>
      <c r="L2228">
        <f t="shared" si="279"/>
        <v>0.55000000000000004</v>
      </c>
      <c r="M2228">
        <f>_xlfn.XLOOKUP(B2228, Dim_Hotel!$A$2:$A$11, Dim_Hotel!$I$2:$I$11)
 + (IF(J2228="",0,J2228)
    * _xlfn.XLOOKUP(B2228, Dim_Hotel!$A$2:$A$11, Dim_Hotel!$J$2:$J$11))</f>
        <v>165</v>
      </c>
    </row>
    <row r="2229" spans="1:13" x14ac:dyDescent="0.25">
      <c r="A2229" s="1">
        <f t="shared" si="272"/>
        <v>46245</v>
      </c>
      <c r="B2229" t="str" cm="1">
        <f t="array" ref="B2229">INDEX(HotelList,MOD(ROW()-2,10)+1)</f>
        <v>H008</v>
      </c>
      <c r="C2229">
        <f>_xlfn.XLOOKUP(B2229,Dim_Hotel!$A$2:$A$11,Dim_Hotel!$F$2:$F$11)</f>
        <v>103</v>
      </c>
      <c r="D2229">
        <f t="shared" si="273"/>
        <v>57</v>
      </c>
      <c r="E2229">
        <f t="shared" si="274"/>
        <v>0.55339805825242716</v>
      </c>
      <c r="F2229">
        <f t="shared" si="275"/>
        <v>140</v>
      </c>
      <c r="G2229">
        <f t="shared" si="276"/>
        <v>77.475728155339809</v>
      </c>
      <c r="H2229" t="str">
        <f>_xlfn.XLOOKUP(A2229,Fact_Events!$D$2:$D$20,Fact_Events!$A$2:$A$20, "")</f>
        <v/>
      </c>
      <c r="I2229">
        <f t="shared" si="277"/>
        <v>0</v>
      </c>
      <c r="J2229" t="str">
        <f>_xlfn.XLOOKUP(H2229, Fact_Events!$A$2:$A$20, Fact_Events!$F$2:$F$20, "")</f>
        <v/>
      </c>
      <c r="K2229" t="str">
        <f t="shared" si="278"/>
        <v>Low</v>
      </c>
      <c r="L2229">
        <f t="shared" si="279"/>
        <v>0.55000000000000004</v>
      </c>
      <c r="M2229">
        <f>_xlfn.XLOOKUP(B2229, Dim_Hotel!$A$2:$A$11, Dim_Hotel!$I$2:$I$11)
 + (IF(J2229="",0,J2229)
    * _xlfn.XLOOKUP(B2229, Dim_Hotel!$A$2:$A$11, Dim_Hotel!$J$2:$J$11))</f>
        <v>140</v>
      </c>
    </row>
    <row r="2230" spans="1:13" x14ac:dyDescent="0.25">
      <c r="A2230" s="1">
        <f t="shared" si="272"/>
        <v>46245</v>
      </c>
      <c r="B2230" t="str" cm="1">
        <f t="array" ref="B2230">INDEX(HotelList,MOD(ROW()-2,10)+1)</f>
        <v>H009</v>
      </c>
      <c r="C2230">
        <f>_xlfn.XLOOKUP(B2230,Dim_Hotel!$A$2:$A$11,Dim_Hotel!$F$2:$F$11)</f>
        <v>114</v>
      </c>
      <c r="D2230">
        <f t="shared" si="273"/>
        <v>63</v>
      </c>
      <c r="E2230">
        <f t="shared" si="274"/>
        <v>0.55263157894736847</v>
      </c>
      <c r="F2230">
        <f t="shared" si="275"/>
        <v>185</v>
      </c>
      <c r="G2230">
        <f t="shared" si="276"/>
        <v>102.23684210526316</v>
      </c>
      <c r="H2230" t="str">
        <f>_xlfn.XLOOKUP(A2230,Fact_Events!$D$2:$D$20,Fact_Events!$A$2:$A$20, "")</f>
        <v/>
      </c>
      <c r="I2230">
        <f t="shared" si="277"/>
        <v>0</v>
      </c>
      <c r="J2230" t="str">
        <f>_xlfn.XLOOKUP(H2230, Fact_Events!$A$2:$A$20, Fact_Events!$F$2:$F$20, "")</f>
        <v/>
      </c>
      <c r="K2230" t="str">
        <f t="shared" si="278"/>
        <v>Low</v>
      </c>
      <c r="L2230">
        <f t="shared" si="279"/>
        <v>0.55000000000000004</v>
      </c>
      <c r="M2230">
        <f>_xlfn.XLOOKUP(B2230, Dim_Hotel!$A$2:$A$11, Dim_Hotel!$I$2:$I$11)
 + (IF(J2230="",0,J2230)
    * _xlfn.XLOOKUP(B2230, Dim_Hotel!$A$2:$A$11, Dim_Hotel!$J$2:$J$11))</f>
        <v>185</v>
      </c>
    </row>
    <row r="2231" spans="1:13" x14ac:dyDescent="0.25">
      <c r="A2231" s="1">
        <f t="shared" si="272"/>
        <v>46245</v>
      </c>
      <c r="B2231" t="str" cm="1">
        <f t="array" ref="B2231">INDEX(HotelList,MOD(ROW()-2,10)+1)</f>
        <v>H010</v>
      </c>
      <c r="C2231">
        <f>_xlfn.XLOOKUP(B2231,Dim_Hotel!$A$2:$A$11,Dim_Hotel!$F$2:$F$11)</f>
        <v>89</v>
      </c>
      <c r="D2231">
        <f t="shared" si="273"/>
        <v>49</v>
      </c>
      <c r="E2231">
        <f t="shared" si="274"/>
        <v>0.550561797752809</v>
      </c>
      <c r="F2231">
        <f t="shared" si="275"/>
        <v>150</v>
      </c>
      <c r="G2231">
        <f t="shared" si="276"/>
        <v>82.584269662921344</v>
      </c>
      <c r="H2231" t="str">
        <f>_xlfn.XLOOKUP(A2231,Fact_Events!$D$2:$D$20,Fact_Events!$A$2:$A$20, "")</f>
        <v/>
      </c>
      <c r="I2231">
        <f t="shared" si="277"/>
        <v>0</v>
      </c>
      <c r="J2231" t="str">
        <f>_xlfn.XLOOKUP(H2231, Fact_Events!$A$2:$A$20, Fact_Events!$F$2:$F$20, "")</f>
        <v/>
      </c>
      <c r="K2231" t="str">
        <f t="shared" si="278"/>
        <v>Low</v>
      </c>
      <c r="L2231">
        <f t="shared" si="279"/>
        <v>0.55000000000000004</v>
      </c>
      <c r="M2231">
        <f>_xlfn.XLOOKUP(B2231, Dim_Hotel!$A$2:$A$11, Dim_Hotel!$I$2:$I$11)
 + (IF(J2231="",0,J2231)
    * _xlfn.XLOOKUP(B2231, Dim_Hotel!$A$2:$A$11, Dim_Hotel!$J$2:$J$11))</f>
        <v>150</v>
      </c>
    </row>
    <row r="2232" spans="1:13" x14ac:dyDescent="0.25">
      <c r="A2232" s="1">
        <f t="shared" si="272"/>
        <v>46246</v>
      </c>
      <c r="B2232" t="str" cm="1">
        <f t="array" ref="B2232">INDEX(HotelList,MOD(ROW()-2,10)+1)</f>
        <v>H001</v>
      </c>
      <c r="C2232">
        <f>_xlfn.XLOOKUP(B2232,Dim_Hotel!$A$2:$A$11,Dim_Hotel!$F$2:$F$11)</f>
        <v>888</v>
      </c>
      <c r="D2232">
        <f t="shared" si="273"/>
        <v>488</v>
      </c>
      <c r="E2232">
        <f t="shared" si="274"/>
        <v>0.5495495495495496</v>
      </c>
      <c r="F2232">
        <f t="shared" si="275"/>
        <v>260</v>
      </c>
      <c r="G2232">
        <f t="shared" si="276"/>
        <v>142.88288288288288</v>
      </c>
      <c r="H2232" t="str">
        <f>_xlfn.XLOOKUP(A2232,Fact_Events!$D$2:$D$20,Fact_Events!$A$2:$A$20, "")</f>
        <v/>
      </c>
      <c r="I2232">
        <f t="shared" si="277"/>
        <v>0</v>
      </c>
      <c r="J2232" t="str">
        <f>_xlfn.XLOOKUP(H2232, Fact_Events!$A$2:$A$20, Fact_Events!$F$2:$F$20, "")</f>
        <v/>
      </c>
      <c r="K2232" t="str">
        <f t="shared" si="278"/>
        <v>Low</v>
      </c>
      <c r="L2232">
        <f t="shared" si="279"/>
        <v>0.55000000000000004</v>
      </c>
      <c r="M2232">
        <f>_xlfn.XLOOKUP(B2232, Dim_Hotel!$A$2:$A$11, Dim_Hotel!$I$2:$I$11)
 + (IF(J2232="",0,J2232)
    * _xlfn.XLOOKUP(B2232, Dim_Hotel!$A$2:$A$11, Dim_Hotel!$J$2:$J$11))</f>
        <v>260</v>
      </c>
    </row>
    <row r="2233" spans="1:13" x14ac:dyDescent="0.25">
      <c r="A2233" s="1">
        <f t="shared" si="272"/>
        <v>46246</v>
      </c>
      <c r="B2233" t="str" cm="1">
        <f t="array" ref="B2233">INDEX(HotelList,MOD(ROW()-2,10)+1)</f>
        <v>H002</v>
      </c>
      <c r="C2233">
        <f>_xlfn.XLOOKUP(B2233,Dim_Hotel!$A$2:$A$11,Dim_Hotel!$F$2:$F$11)</f>
        <v>147</v>
      </c>
      <c r="D2233">
        <f t="shared" si="273"/>
        <v>81</v>
      </c>
      <c r="E2233">
        <f t="shared" si="274"/>
        <v>0.55102040816326525</v>
      </c>
      <c r="F2233">
        <f t="shared" si="275"/>
        <v>175</v>
      </c>
      <c r="G2233">
        <f t="shared" si="276"/>
        <v>96.428571428571416</v>
      </c>
      <c r="H2233" t="str">
        <f>_xlfn.XLOOKUP(A2233,Fact_Events!$D$2:$D$20,Fact_Events!$A$2:$A$20, "")</f>
        <v/>
      </c>
      <c r="I2233">
        <f t="shared" si="277"/>
        <v>0</v>
      </c>
      <c r="J2233" t="str">
        <f>_xlfn.XLOOKUP(H2233, Fact_Events!$A$2:$A$20, Fact_Events!$F$2:$F$20, "")</f>
        <v/>
      </c>
      <c r="K2233" t="str">
        <f t="shared" si="278"/>
        <v>Low</v>
      </c>
      <c r="L2233">
        <f t="shared" si="279"/>
        <v>0.55000000000000004</v>
      </c>
      <c r="M2233">
        <f>_xlfn.XLOOKUP(B2233, Dim_Hotel!$A$2:$A$11, Dim_Hotel!$I$2:$I$11)
 + (IF(J2233="",0,J2233)
    * _xlfn.XLOOKUP(B2233, Dim_Hotel!$A$2:$A$11, Dim_Hotel!$J$2:$J$11))</f>
        <v>175</v>
      </c>
    </row>
    <row r="2234" spans="1:13" x14ac:dyDescent="0.25">
      <c r="A2234" s="1">
        <f t="shared" si="272"/>
        <v>46246</v>
      </c>
      <c r="B2234" t="str" cm="1">
        <f t="array" ref="B2234">INDEX(HotelList,MOD(ROW()-2,10)+1)</f>
        <v>H003</v>
      </c>
      <c r="C2234">
        <f>_xlfn.XLOOKUP(B2234,Dim_Hotel!$A$2:$A$11,Dim_Hotel!$F$2:$F$11)</f>
        <v>121</v>
      </c>
      <c r="D2234">
        <f t="shared" si="273"/>
        <v>67</v>
      </c>
      <c r="E2234">
        <f t="shared" si="274"/>
        <v>0.55371900826446285</v>
      </c>
      <c r="F2234">
        <f t="shared" si="275"/>
        <v>145</v>
      </c>
      <c r="G2234">
        <f t="shared" si="276"/>
        <v>80.289256198347118</v>
      </c>
      <c r="H2234" t="str">
        <f>_xlfn.XLOOKUP(A2234,Fact_Events!$D$2:$D$20,Fact_Events!$A$2:$A$20, "")</f>
        <v/>
      </c>
      <c r="I2234">
        <f t="shared" si="277"/>
        <v>0</v>
      </c>
      <c r="J2234" t="str">
        <f>_xlfn.XLOOKUP(H2234, Fact_Events!$A$2:$A$20, Fact_Events!$F$2:$F$20, "")</f>
        <v/>
      </c>
      <c r="K2234" t="str">
        <f t="shared" si="278"/>
        <v>Low</v>
      </c>
      <c r="L2234">
        <f t="shared" si="279"/>
        <v>0.55000000000000004</v>
      </c>
      <c r="M2234">
        <f>_xlfn.XLOOKUP(B2234, Dim_Hotel!$A$2:$A$11, Dim_Hotel!$I$2:$I$11)
 + (IF(J2234="",0,J2234)
    * _xlfn.XLOOKUP(B2234, Dim_Hotel!$A$2:$A$11, Dim_Hotel!$J$2:$J$11))</f>
        <v>145</v>
      </c>
    </row>
    <row r="2235" spans="1:13" x14ac:dyDescent="0.25">
      <c r="A2235" s="1">
        <f t="shared" si="272"/>
        <v>46246</v>
      </c>
      <c r="B2235" t="str" cm="1">
        <f t="array" ref="B2235">INDEX(HotelList,MOD(ROW()-2,10)+1)</f>
        <v>H004</v>
      </c>
      <c r="C2235">
        <f>_xlfn.XLOOKUP(B2235,Dim_Hotel!$A$2:$A$11,Dim_Hotel!$F$2:$F$11)</f>
        <v>108</v>
      </c>
      <c r="D2235">
        <f t="shared" si="273"/>
        <v>59</v>
      </c>
      <c r="E2235">
        <f t="shared" si="274"/>
        <v>0.54629629629629628</v>
      </c>
      <c r="F2235">
        <f t="shared" si="275"/>
        <v>135</v>
      </c>
      <c r="G2235">
        <f t="shared" si="276"/>
        <v>73.75</v>
      </c>
      <c r="H2235" t="str">
        <f>_xlfn.XLOOKUP(A2235,Fact_Events!$D$2:$D$20,Fact_Events!$A$2:$A$20, "")</f>
        <v/>
      </c>
      <c r="I2235">
        <f t="shared" si="277"/>
        <v>0</v>
      </c>
      <c r="J2235" t="str">
        <f>_xlfn.XLOOKUP(H2235, Fact_Events!$A$2:$A$20, Fact_Events!$F$2:$F$20, "")</f>
        <v/>
      </c>
      <c r="K2235" t="str">
        <f t="shared" si="278"/>
        <v>Low</v>
      </c>
      <c r="L2235">
        <f t="shared" si="279"/>
        <v>0.55000000000000004</v>
      </c>
      <c r="M2235">
        <f>_xlfn.XLOOKUP(B2235, Dim_Hotel!$A$2:$A$11, Dim_Hotel!$I$2:$I$11)
 + (IF(J2235="",0,J2235)
    * _xlfn.XLOOKUP(B2235, Dim_Hotel!$A$2:$A$11, Dim_Hotel!$J$2:$J$11))</f>
        <v>135</v>
      </c>
    </row>
    <row r="2236" spans="1:13" x14ac:dyDescent="0.25">
      <c r="A2236" s="1">
        <f t="shared" si="272"/>
        <v>46246</v>
      </c>
      <c r="B2236" t="str" cm="1">
        <f t="array" ref="B2236">INDEX(HotelList,MOD(ROW()-2,10)+1)</f>
        <v>H005</v>
      </c>
      <c r="C2236">
        <f>_xlfn.XLOOKUP(B2236,Dim_Hotel!$A$2:$A$11,Dim_Hotel!$F$2:$F$11)</f>
        <v>66</v>
      </c>
      <c r="D2236">
        <f t="shared" si="273"/>
        <v>36</v>
      </c>
      <c r="E2236">
        <f t="shared" si="274"/>
        <v>0.54545454545454541</v>
      </c>
      <c r="F2236">
        <f t="shared" si="275"/>
        <v>82</v>
      </c>
      <c r="G2236">
        <f t="shared" si="276"/>
        <v>44.727272727272727</v>
      </c>
      <c r="H2236" t="str">
        <f>_xlfn.XLOOKUP(A2236,Fact_Events!$D$2:$D$20,Fact_Events!$A$2:$A$20, "")</f>
        <v/>
      </c>
      <c r="I2236">
        <f t="shared" si="277"/>
        <v>0</v>
      </c>
      <c r="J2236" t="str">
        <f>_xlfn.XLOOKUP(H2236, Fact_Events!$A$2:$A$20, Fact_Events!$F$2:$F$20, "")</f>
        <v/>
      </c>
      <c r="K2236" t="str">
        <f t="shared" si="278"/>
        <v>Low</v>
      </c>
      <c r="L2236">
        <f t="shared" si="279"/>
        <v>0.55000000000000004</v>
      </c>
      <c r="M2236">
        <f>_xlfn.XLOOKUP(B2236, Dim_Hotel!$A$2:$A$11, Dim_Hotel!$I$2:$I$11)
 + (IF(J2236="",0,J2236)
    * _xlfn.XLOOKUP(B2236, Dim_Hotel!$A$2:$A$11, Dim_Hotel!$J$2:$J$11))</f>
        <v>82</v>
      </c>
    </row>
    <row r="2237" spans="1:13" x14ac:dyDescent="0.25">
      <c r="A2237" s="1">
        <f t="shared" si="272"/>
        <v>46246</v>
      </c>
      <c r="B2237" t="str" cm="1">
        <f t="array" ref="B2237">INDEX(HotelList,MOD(ROW()-2,10)+1)</f>
        <v>H006</v>
      </c>
      <c r="C2237">
        <f>_xlfn.XLOOKUP(B2237,Dim_Hotel!$A$2:$A$11,Dim_Hotel!$F$2:$F$11)</f>
        <v>311</v>
      </c>
      <c r="D2237">
        <f t="shared" si="273"/>
        <v>171</v>
      </c>
      <c r="E2237">
        <f t="shared" si="274"/>
        <v>0.54983922829581988</v>
      </c>
      <c r="F2237">
        <f t="shared" si="275"/>
        <v>190</v>
      </c>
      <c r="G2237">
        <f t="shared" si="276"/>
        <v>104.46945337620578</v>
      </c>
      <c r="H2237" t="str">
        <f>_xlfn.XLOOKUP(A2237,Fact_Events!$D$2:$D$20,Fact_Events!$A$2:$A$20, "")</f>
        <v/>
      </c>
      <c r="I2237">
        <f t="shared" si="277"/>
        <v>0</v>
      </c>
      <c r="J2237" t="str">
        <f>_xlfn.XLOOKUP(H2237, Fact_Events!$A$2:$A$20, Fact_Events!$F$2:$F$20, "")</f>
        <v/>
      </c>
      <c r="K2237" t="str">
        <f t="shared" si="278"/>
        <v>Low</v>
      </c>
      <c r="L2237">
        <f t="shared" si="279"/>
        <v>0.55000000000000004</v>
      </c>
      <c r="M2237">
        <f>_xlfn.XLOOKUP(B2237, Dim_Hotel!$A$2:$A$11, Dim_Hotel!$I$2:$I$11)
 + (IF(J2237="",0,J2237)
    * _xlfn.XLOOKUP(B2237, Dim_Hotel!$A$2:$A$11, Dim_Hotel!$J$2:$J$11))</f>
        <v>190</v>
      </c>
    </row>
    <row r="2238" spans="1:13" x14ac:dyDescent="0.25">
      <c r="A2238" s="1">
        <f t="shared" si="272"/>
        <v>46246</v>
      </c>
      <c r="B2238" t="str" cm="1">
        <f t="array" ref="B2238">INDEX(HotelList,MOD(ROW()-2,10)+1)</f>
        <v>H007</v>
      </c>
      <c r="C2238">
        <f>_xlfn.XLOOKUP(B2238,Dim_Hotel!$A$2:$A$11,Dim_Hotel!$F$2:$F$11)</f>
        <v>132</v>
      </c>
      <c r="D2238">
        <f t="shared" si="273"/>
        <v>73</v>
      </c>
      <c r="E2238">
        <f t="shared" si="274"/>
        <v>0.55303030303030298</v>
      </c>
      <c r="F2238">
        <f t="shared" si="275"/>
        <v>165</v>
      </c>
      <c r="G2238">
        <f t="shared" si="276"/>
        <v>91.249999999999986</v>
      </c>
      <c r="H2238" t="str">
        <f>_xlfn.XLOOKUP(A2238,Fact_Events!$D$2:$D$20,Fact_Events!$A$2:$A$20, "")</f>
        <v/>
      </c>
      <c r="I2238">
        <f t="shared" si="277"/>
        <v>0</v>
      </c>
      <c r="J2238" t="str">
        <f>_xlfn.XLOOKUP(H2238, Fact_Events!$A$2:$A$20, Fact_Events!$F$2:$F$20, "")</f>
        <v/>
      </c>
      <c r="K2238" t="str">
        <f t="shared" si="278"/>
        <v>Low</v>
      </c>
      <c r="L2238">
        <f t="shared" si="279"/>
        <v>0.55000000000000004</v>
      </c>
      <c r="M2238">
        <f>_xlfn.XLOOKUP(B2238, Dim_Hotel!$A$2:$A$11, Dim_Hotel!$I$2:$I$11)
 + (IF(J2238="",0,J2238)
    * _xlfn.XLOOKUP(B2238, Dim_Hotel!$A$2:$A$11, Dim_Hotel!$J$2:$J$11))</f>
        <v>165</v>
      </c>
    </row>
    <row r="2239" spans="1:13" x14ac:dyDescent="0.25">
      <c r="A2239" s="1">
        <f t="shared" si="272"/>
        <v>46246</v>
      </c>
      <c r="B2239" t="str" cm="1">
        <f t="array" ref="B2239">INDEX(HotelList,MOD(ROW()-2,10)+1)</f>
        <v>H008</v>
      </c>
      <c r="C2239">
        <f>_xlfn.XLOOKUP(B2239,Dim_Hotel!$A$2:$A$11,Dim_Hotel!$F$2:$F$11)</f>
        <v>103</v>
      </c>
      <c r="D2239">
        <f t="shared" si="273"/>
        <v>57</v>
      </c>
      <c r="E2239">
        <f t="shared" si="274"/>
        <v>0.55339805825242716</v>
      </c>
      <c r="F2239">
        <f t="shared" si="275"/>
        <v>140</v>
      </c>
      <c r="G2239">
        <f t="shared" si="276"/>
        <v>77.475728155339809</v>
      </c>
      <c r="H2239" t="str">
        <f>_xlfn.XLOOKUP(A2239,Fact_Events!$D$2:$D$20,Fact_Events!$A$2:$A$20, "")</f>
        <v/>
      </c>
      <c r="I2239">
        <f t="shared" si="277"/>
        <v>0</v>
      </c>
      <c r="J2239" t="str">
        <f>_xlfn.XLOOKUP(H2239, Fact_Events!$A$2:$A$20, Fact_Events!$F$2:$F$20, "")</f>
        <v/>
      </c>
      <c r="K2239" t="str">
        <f t="shared" si="278"/>
        <v>Low</v>
      </c>
      <c r="L2239">
        <f t="shared" si="279"/>
        <v>0.55000000000000004</v>
      </c>
      <c r="M2239">
        <f>_xlfn.XLOOKUP(B2239, Dim_Hotel!$A$2:$A$11, Dim_Hotel!$I$2:$I$11)
 + (IF(J2239="",0,J2239)
    * _xlfn.XLOOKUP(B2239, Dim_Hotel!$A$2:$A$11, Dim_Hotel!$J$2:$J$11))</f>
        <v>140</v>
      </c>
    </row>
    <row r="2240" spans="1:13" x14ac:dyDescent="0.25">
      <c r="A2240" s="1">
        <f t="shared" si="272"/>
        <v>46246</v>
      </c>
      <c r="B2240" t="str" cm="1">
        <f t="array" ref="B2240">INDEX(HotelList,MOD(ROW()-2,10)+1)</f>
        <v>H009</v>
      </c>
      <c r="C2240">
        <f>_xlfn.XLOOKUP(B2240,Dim_Hotel!$A$2:$A$11,Dim_Hotel!$F$2:$F$11)</f>
        <v>114</v>
      </c>
      <c r="D2240">
        <f t="shared" si="273"/>
        <v>63</v>
      </c>
      <c r="E2240">
        <f t="shared" si="274"/>
        <v>0.55263157894736847</v>
      </c>
      <c r="F2240">
        <f t="shared" si="275"/>
        <v>185</v>
      </c>
      <c r="G2240">
        <f t="shared" si="276"/>
        <v>102.23684210526316</v>
      </c>
      <c r="H2240" t="str">
        <f>_xlfn.XLOOKUP(A2240,Fact_Events!$D$2:$D$20,Fact_Events!$A$2:$A$20, "")</f>
        <v/>
      </c>
      <c r="I2240">
        <f t="shared" si="277"/>
        <v>0</v>
      </c>
      <c r="J2240" t="str">
        <f>_xlfn.XLOOKUP(H2240, Fact_Events!$A$2:$A$20, Fact_Events!$F$2:$F$20, "")</f>
        <v/>
      </c>
      <c r="K2240" t="str">
        <f t="shared" si="278"/>
        <v>Low</v>
      </c>
      <c r="L2240">
        <f t="shared" si="279"/>
        <v>0.55000000000000004</v>
      </c>
      <c r="M2240">
        <f>_xlfn.XLOOKUP(B2240, Dim_Hotel!$A$2:$A$11, Dim_Hotel!$I$2:$I$11)
 + (IF(J2240="",0,J2240)
    * _xlfn.XLOOKUP(B2240, Dim_Hotel!$A$2:$A$11, Dim_Hotel!$J$2:$J$11))</f>
        <v>185</v>
      </c>
    </row>
    <row r="2241" spans="1:13" x14ac:dyDescent="0.25">
      <c r="A2241" s="1">
        <f t="shared" si="272"/>
        <v>46246</v>
      </c>
      <c r="B2241" t="str" cm="1">
        <f t="array" ref="B2241">INDEX(HotelList,MOD(ROW()-2,10)+1)</f>
        <v>H010</v>
      </c>
      <c r="C2241">
        <f>_xlfn.XLOOKUP(B2241,Dim_Hotel!$A$2:$A$11,Dim_Hotel!$F$2:$F$11)</f>
        <v>89</v>
      </c>
      <c r="D2241">
        <f t="shared" si="273"/>
        <v>49</v>
      </c>
      <c r="E2241">
        <f t="shared" si="274"/>
        <v>0.550561797752809</v>
      </c>
      <c r="F2241">
        <f t="shared" si="275"/>
        <v>150</v>
      </c>
      <c r="G2241">
        <f t="shared" si="276"/>
        <v>82.584269662921344</v>
      </c>
      <c r="H2241" t="str">
        <f>_xlfn.XLOOKUP(A2241,Fact_Events!$D$2:$D$20,Fact_Events!$A$2:$A$20, "")</f>
        <v/>
      </c>
      <c r="I2241">
        <f t="shared" si="277"/>
        <v>0</v>
      </c>
      <c r="J2241" t="str">
        <f>_xlfn.XLOOKUP(H2241, Fact_Events!$A$2:$A$20, Fact_Events!$F$2:$F$20, "")</f>
        <v/>
      </c>
      <c r="K2241" t="str">
        <f t="shared" si="278"/>
        <v>Low</v>
      </c>
      <c r="L2241">
        <f t="shared" si="279"/>
        <v>0.55000000000000004</v>
      </c>
      <c r="M2241">
        <f>_xlfn.XLOOKUP(B2241, Dim_Hotel!$A$2:$A$11, Dim_Hotel!$I$2:$I$11)
 + (IF(J2241="",0,J2241)
    * _xlfn.XLOOKUP(B2241, Dim_Hotel!$A$2:$A$11, Dim_Hotel!$J$2:$J$11))</f>
        <v>150</v>
      </c>
    </row>
    <row r="2242" spans="1:13" x14ac:dyDescent="0.25">
      <c r="A2242" s="1">
        <f t="shared" si="272"/>
        <v>46247</v>
      </c>
      <c r="B2242" t="str" cm="1">
        <f t="array" ref="B2242">INDEX(HotelList,MOD(ROW()-2,10)+1)</f>
        <v>H001</v>
      </c>
      <c r="C2242">
        <f>_xlfn.XLOOKUP(B2242,Dim_Hotel!$A$2:$A$11,Dim_Hotel!$F$2:$F$11)</f>
        <v>888</v>
      </c>
      <c r="D2242">
        <f t="shared" si="273"/>
        <v>488</v>
      </c>
      <c r="E2242">
        <f t="shared" si="274"/>
        <v>0.5495495495495496</v>
      </c>
      <c r="F2242">
        <f t="shared" si="275"/>
        <v>260</v>
      </c>
      <c r="G2242">
        <f t="shared" si="276"/>
        <v>142.88288288288288</v>
      </c>
      <c r="H2242" t="str">
        <f>_xlfn.XLOOKUP(A2242,Fact_Events!$D$2:$D$20,Fact_Events!$A$2:$A$20, "")</f>
        <v/>
      </c>
      <c r="I2242">
        <f t="shared" si="277"/>
        <v>0</v>
      </c>
      <c r="J2242" t="str">
        <f>_xlfn.XLOOKUP(H2242, Fact_Events!$A$2:$A$20, Fact_Events!$F$2:$F$20, "")</f>
        <v/>
      </c>
      <c r="K2242" t="str">
        <f t="shared" si="278"/>
        <v>Low</v>
      </c>
      <c r="L2242">
        <f t="shared" si="279"/>
        <v>0.55000000000000004</v>
      </c>
      <c r="M2242">
        <f>_xlfn.XLOOKUP(B2242, Dim_Hotel!$A$2:$A$11, Dim_Hotel!$I$2:$I$11)
 + (IF(J2242="",0,J2242)
    * _xlfn.XLOOKUP(B2242, Dim_Hotel!$A$2:$A$11, Dim_Hotel!$J$2:$J$11))</f>
        <v>260</v>
      </c>
    </row>
    <row r="2243" spans="1:13" x14ac:dyDescent="0.25">
      <c r="A2243" s="1">
        <f t="shared" ref="A2243:A2306" si="280">DATE(2026,1,1) + INT((ROW()-2)/10)</f>
        <v>46247</v>
      </c>
      <c r="B2243" t="str" cm="1">
        <f t="array" ref="B2243">INDEX(HotelList,MOD(ROW()-2,10)+1)</f>
        <v>H002</v>
      </c>
      <c r="C2243">
        <f>_xlfn.XLOOKUP(B2243,Dim_Hotel!$A$2:$A$11,Dim_Hotel!$F$2:$F$11)</f>
        <v>147</v>
      </c>
      <c r="D2243">
        <f t="shared" ref="D2243:D2306" si="281">ROUND(L2243 * C2243, 0)</f>
        <v>81</v>
      </c>
      <c r="E2243">
        <f t="shared" ref="E2243:E2306" si="282">D2243/C2243</f>
        <v>0.55102040816326525</v>
      </c>
      <c r="F2243">
        <f t="shared" ref="F2243:F2306" si="283">M2243</f>
        <v>175</v>
      </c>
      <c r="G2243">
        <f t="shared" ref="G2243:G2306" si="284">E2243*F2243</f>
        <v>96.428571428571416</v>
      </c>
      <c r="H2243" t="str">
        <f>_xlfn.XLOOKUP(A2243,Fact_Events!$D$2:$D$20,Fact_Events!$A$2:$A$20, "")</f>
        <v/>
      </c>
      <c r="I2243">
        <f t="shared" ref="I2243:I2306" si="285">IF(H2243="",0,1)</f>
        <v>0</v>
      </c>
      <c r="J2243" t="str">
        <f>_xlfn.XLOOKUP(H2243, Fact_Events!$A$2:$A$20, Fact_Events!$F$2:$F$20, "")</f>
        <v/>
      </c>
      <c r="K2243" t="str">
        <f t="shared" ref="K2243:K2306" si="286">IF(I2243=0,"Low",
   IF(J2243&gt;=9,"High","Medium"))</f>
        <v>Low</v>
      </c>
      <c r="L2243">
        <f t="shared" ref="L2243:L2306" si="287">MIN(1,
  0.55
  + (I2243 * 0.25)
  + (IF(J2243="",0,J2243) / 100)
)</f>
        <v>0.55000000000000004</v>
      </c>
      <c r="M2243">
        <f>_xlfn.XLOOKUP(B2243, Dim_Hotel!$A$2:$A$11, Dim_Hotel!$I$2:$I$11)
 + (IF(J2243="",0,J2243)
    * _xlfn.XLOOKUP(B2243, Dim_Hotel!$A$2:$A$11, Dim_Hotel!$J$2:$J$11))</f>
        <v>175</v>
      </c>
    </row>
    <row r="2244" spans="1:13" x14ac:dyDescent="0.25">
      <c r="A2244" s="1">
        <f t="shared" si="280"/>
        <v>46247</v>
      </c>
      <c r="B2244" t="str" cm="1">
        <f t="array" ref="B2244">INDEX(HotelList,MOD(ROW()-2,10)+1)</f>
        <v>H003</v>
      </c>
      <c r="C2244">
        <f>_xlfn.XLOOKUP(B2244,Dim_Hotel!$A$2:$A$11,Dim_Hotel!$F$2:$F$11)</f>
        <v>121</v>
      </c>
      <c r="D2244">
        <f t="shared" si="281"/>
        <v>67</v>
      </c>
      <c r="E2244">
        <f t="shared" si="282"/>
        <v>0.55371900826446285</v>
      </c>
      <c r="F2244">
        <f t="shared" si="283"/>
        <v>145</v>
      </c>
      <c r="G2244">
        <f t="shared" si="284"/>
        <v>80.289256198347118</v>
      </c>
      <c r="H2244" t="str">
        <f>_xlfn.XLOOKUP(A2244,Fact_Events!$D$2:$D$20,Fact_Events!$A$2:$A$20, "")</f>
        <v/>
      </c>
      <c r="I2244">
        <f t="shared" si="285"/>
        <v>0</v>
      </c>
      <c r="J2244" t="str">
        <f>_xlfn.XLOOKUP(H2244, Fact_Events!$A$2:$A$20, Fact_Events!$F$2:$F$20, "")</f>
        <v/>
      </c>
      <c r="K2244" t="str">
        <f t="shared" si="286"/>
        <v>Low</v>
      </c>
      <c r="L2244">
        <f t="shared" si="287"/>
        <v>0.55000000000000004</v>
      </c>
      <c r="M2244">
        <f>_xlfn.XLOOKUP(B2244, Dim_Hotel!$A$2:$A$11, Dim_Hotel!$I$2:$I$11)
 + (IF(J2244="",0,J2244)
    * _xlfn.XLOOKUP(B2244, Dim_Hotel!$A$2:$A$11, Dim_Hotel!$J$2:$J$11))</f>
        <v>145</v>
      </c>
    </row>
    <row r="2245" spans="1:13" x14ac:dyDescent="0.25">
      <c r="A2245" s="1">
        <f t="shared" si="280"/>
        <v>46247</v>
      </c>
      <c r="B2245" t="str" cm="1">
        <f t="array" ref="B2245">INDEX(HotelList,MOD(ROW()-2,10)+1)</f>
        <v>H004</v>
      </c>
      <c r="C2245">
        <f>_xlfn.XLOOKUP(B2245,Dim_Hotel!$A$2:$A$11,Dim_Hotel!$F$2:$F$11)</f>
        <v>108</v>
      </c>
      <c r="D2245">
        <f t="shared" si="281"/>
        <v>59</v>
      </c>
      <c r="E2245">
        <f t="shared" si="282"/>
        <v>0.54629629629629628</v>
      </c>
      <c r="F2245">
        <f t="shared" si="283"/>
        <v>135</v>
      </c>
      <c r="G2245">
        <f t="shared" si="284"/>
        <v>73.75</v>
      </c>
      <c r="H2245" t="str">
        <f>_xlfn.XLOOKUP(A2245,Fact_Events!$D$2:$D$20,Fact_Events!$A$2:$A$20, "")</f>
        <v/>
      </c>
      <c r="I2245">
        <f t="shared" si="285"/>
        <v>0</v>
      </c>
      <c r="J2245" t="str">
        <f>_xlfn.XLOOKUP(H2245, Fact_Events!$A$2:$A$20, Fact_Events!$F$2:$F$20, "")</f>
        <v/>
      </c>
      <c r="K2245" t="str">
        <f t="shared" si="286"/>
        <v>Low</v>
      </c>
      <c r="L2245">
        <f t="shared" si="287"/>
        <v>0.55000000000000004</v>
      </c>
      <c r="M2245">
        <f>_xlfn.XLOOKUP(B2245, Dim_Hotel!$A$2:$A$11, Dim_Hotel!$I$2:$I$11)
 + (IF(J2245="",0,J2245)
    * _xlfn.XLOOKUP(B2245, Dim_Hotel!$A$2:$A$11, Dim_Hotel!$J$2:$J$11))</f>
        <v>135</v>
      </c>
    </row>
    <row r="2246" spans="1:13" x14ac:dyDescent="0.25">
      <c r="A2246" s="1">
        <f t="shared" si="280"/>
        <v>46247</v>
      </c>
      <c r="B2246" t="str" cm="1">
        <f t="array" ref="B2246">INDEX(HotelList,MOD(ROW()-2,10)+1)</f>
        <v>H005</v>
      </c>
      <c r="C2246">
        <f>_xlfn.XLOOKUP(B2246,Dim_Hotel!$A$2:$A$11,Dim_Hotel!$F$2:$F$11)</f>
        <v>66</v>
      </c>
      <c r="D2246">
        <f t="shared" si="281"/>
        <v>36</v>
      </c>
      <c r="E2246">
        <f t="shared" si="282"/>
        <v>0.54545454545454541</v>
      </c>
      <c r="F2246">
        <f t="shared" si="283"/>
        <v>82</v>
      </c>
      <c r="G2246">
        <f t="shared" si="284"/>
        <v>44.727272727272727</v>
      </c>
      <c r="H2246" t="str">
        <f>_xlfn.XLOOKUP(A2246,Fact_Events!$D$2:$D$20,Fact_Events!$A$2:$A$20, "")</f>
        <v/>
      </c>
      <c r="I2246">
        <f t="shared" si="285"/>
        <v>0</v>
      </c>
      <c r="J2246" t="str">
        <f>_xlfn.XLOOKUP(H2246, Fact_Events!$A$2:$A$20, Fact_Events!$F$2:$F$20, "")</f>
        <v/>
      </c>
      <c r="K2246" t="str">
        <f t="shared" si="286"/>
        <v>Low</v>
      </c>
      <c r="L2246">
        <f t="shared" si="287"/>
        <v>0.55000000000000004</v>
      </c>
      <c r="M2246">
        <f>_xlfn.XLOOKUP(B2246, Dim_Hotel!$A$2:$A$11, Dim_Hotel!$I$2:$I$11)
 + (IF(J2246="",0,J2246)
    * _xlfn.XLOOKUP(B2246, Dim_Hotel!$A$2:$A$11, Dim_Hotel!$J$2:$J$11))</f>
        <v>82</v>
      </c>
    </row>
    <row r="2247" spans="1:13" x14ac:dyDescent="0.25">
      <c r="A2247" s="1">
        <f t="shared" si="280"/>
        <v>46247</v>
      </c>
      <c r="B2247" t="str" cm="1">
        <f t="array" ref="B2247">INDEX(HotelList,MOD(ROW()-2,10)+1)</f>
        <v>H006</v>
      </c>
      <c r="C2247">
        <f>_xlfn.XLOOKUP(B2247,Dim_Hotel!$A$2:$A$11,Dim_Hotel!$F$2:$F$11)</f>
        <v>311</v>
      </c>
      <c r="D2247">
        <f t="shared" si="281"/>
        <v>171</v>
      </c>
      <c r="E2247">
        <f t="shared" si="282"/>
        <v>0.54983922829581988</v>
      </c>
      <c r="F2247">
        <f t="shared" si="283"/>
        <v>190</v>
      </c>
      <c r="G2247">
        <f t="shared" si="284"/>
        <v>104.46945337620578</v>
      </c>
      <c r="H2247" t="str">
        <f>_xlfn.XLOOKUP(A2247,Fact_Events!$D$2:$D$20,Fact_Events!$A$2:$A$20, "")</f>
        <v/>
      </c>
      <c r="I2247">
        <f t="shared" si="285"/>
        <v>0</v>
      </c>
      <c r="J2247" t="str">
        <f>_xlfn.XLOOKUP(H2247, Fact_Events!$A$2:$A$20, Fact_Events!$F$2:$F$20, "")</f>
        <v/>
      </c>
      <c r="K2247" t="str">
        <f t="shared" si="286"/>
        <v>Low</v>
      </c>
      <c r="L2247">
        <f t="shared" si="287"/>
        <v>0.55000000000000004</v>
      </c>
      <c r="M2247">
        <f>_xlfn.XLOOKUP(B2247, Dim_Hotel!$A$2:$A$11, Dim_Hotel!$I$2:$I$11)
 + (IF(J2247="",0,J2247)
    * _xlfn.XLOOKUP(B2247, Dim_Hotel!$A$2:$A$11, Dim_Hotel!$J$2:$J$11))</f>
        <v>190</v>
      </c>
    </row>
    <row r="2248" spans="1:13" x14ac:dyDescent="0.25">
      <c r="A2248" s="1">
        <f t="shared" si="280"/>
        <v>46247</v>
      </c>
      <c r="B2248" t="str" cm="1">
        <f t="array" ref="B2248">INDEX(HotelList,MOD(ROW()-2,10)+1)</f>
        <v>H007</v>
      </c>
      <c r="C2248">
        <f>_xlfn.XLOOKUP(B2248,Dim_Hotel!$A$2:$A$11,Dim_Hotel!$F$2:$F$11)</f>
        <v>132</v>
      </c>
      <c r="D2248">
        <f t="shared" si="281"/>
        <v>73</v>
      </c>
      <c r="E2248">
        <f t="shared" si="282"/>
        <v>0.55303030303030298</v>
      </c>
      <c r="F2248">
        <f t="shared" si="283"/>
        <v>165</v>
      </c>
      <c r="G2248">
        <f t="shared" si="284"/>
        <v>91.249999999999986</v>
      </c>
      <c r="H2248" t="str">
        <f>_xlfn.XLOOKUP(A2248,Fact_Events!$D$2:$D$20,Fact_Events!$A$2:$A$20, "")</f>
        <v/>
      </c>
      <c r="I2248">
        <f t="shared" si="285"/>
        <v>0</v>
      </c>
      <c r="J2248" t="str">
        <f>_xlfn.XLOOKUP(H2248, Fact_Events!$A$2:$A$20, Fact_Events!$F$2:$F$20, "")</f>
        <v/>
      </c>
      <c r="K2248" t="str">
        <f t="shared" si="286"/>
        <v>Low</v>
      </c>
      <c r="L2248">
        <f t="shared" si="287"/>
        <v>0.55000000000000004</v>
      </c>
      <c r="M2248">
        <f>_xlfn.XLOOKUP(B2248, Dim_Hotel!$A$2:$A$11, Dim_Hotel!$I$2:$I$11)
 + (IF(J2248="",0,J2248)
    * _xlfn.XLOOKUP(B2248, Dim_Hotel!$A$2:$A$11, Dim_Hotel!$J$2:$J$11))</f>
        <v>165</v>
      </c>
    </row>
    <row r="2249" spans="1:13" x14ac:dyDescent="0.25">
      <c r="A2249" s="1">
        <f t="shared" si="280"/>
        <v>46247</v>
      </c>
      <c r="B2249" t="str" cm="1">
        <f t="array" ref="B2249">INDEX(HotelList,MOD(ROW()-2,10)+1)</f>
        <v>H008</v>
      </c>
      <c r="C2249">
        <f>_xlfn.XLOOKUP(B2249,Dim_Hotel!$A$2:$A$11,Dim_Hotel!$F$2:$F$11)</f>
        <v>103</v>
      </c>
      <c r="D2249">
        <f t="shared" si="281"/>
        <v>57</v>
      </c>
      <c r="E2249">
        <f t="shared" si="282"/>
        <v>0.55339805825242716</v>
      </c>
      <c r="F2249">
        <f t="shared" si="283"/>
        <v>140</v>
      </c>
      <c r="G2249">
        <f t="shared" si="284"/>
        <v>77.475728155339809</v>
      </c>
      <c r="H2249" t="str">
        <f>_xlfn.XLOOKUP(A2249,Fact_Events!$D$2:$D$20,Fact_Events!$A$2:$A$20, "")</f>
        <v/>
      </c>
      <c r="I2249">
        <f t="shared" si="285"/>
        <v>0</v>
      </c>
      <c r="J2249" t="str">
        <f>_xlfn.XLOOKUP(H2249, Fact_Events!$A$2:$A$20, Fact_Events!$F$2:$F$20, "")</f>
        <v/>
      </c>
      <c r="K2249" t="str">
        <f t="shared" si="286"/>
        <v>Low</v>
      </c>
      <c r="L2249">
        <f t="shared" si="287"/>
        <v>0.55000000000000004</v>
      </c>
      <c r="M2249">
        <f>_xlfn.XLOOKUP(B2249, Dim_Hotel!$A$2:$A$11, Dim_Hotel!$I$2:$I$11)
 + (IF(J2249="",0,J2249)
    * _xlfn.XLOOKUP(B2249, Dim_Hotel!$A$2:$A$11, Dim_Hotel!$J$2:$J$11))</f>
        <v>140</v>
      </c>
    </row>
    <row r="2250" spans="1:13" x14ac:dyDescent="0.25">
      <c r="A2250" s="1">
        <f t="shared" si="280"/>
        <v>46247</v>
      </c>
      <c r="B2250" t="str" cm="1">
        <f t="array" ref="B2250">INDEX(HotelList,MOD(ROW()-2,10)+1)</f>
        <v>H009</v>
      </c>
      <c r="C2250">
        <f>_xlfn.XLOOKUP(B2250,Dim_Hotel!$A$2:$A$11,Dim_Hotel!$F$2:$F$11)</f>
        <v>114</v>
      </c>
      <c r="D2250">
        <f t="shared" si="281"/>
        <v>63</v>
      </c>
      <c r="E2250">
        <f t="shared" si="282"/>
        <v>0.55263157894736847</v>
      </c>
      <c r="F2250">
        <f t="shared" si="283"/>
        <v>185</v>
      </c>
      <c r="G2250">
        <f t="shared" si="284"/>
        <v>102.23684210526316</v>
      </c>
      <c r="H2250" t="str">
        <f>_xlfn.XLOOKUP(A2250,Fact_Events!$D$2:$D$20,Fact_Events!$A$2:$A$20, "")</f>
        <v/>
      </c>
      <c r="I2250">
        <f t="shared" si="285"/>
        <v>0</v>
      </c>
      <c r="J2250" t="str">
        <f>_xlfn.XLOOKUP(H2250, Fact_Events!$A$2:$A$20, Fact_Events!$F$2:$F$20, "")</f>
        <v/>
      </c>
      <c r="K2250" t="str">
        <f t="shared" si="286"/>
        <v>Low</v>
      </c>
      <c r="L2250">
        <f t="shared" si="287"/>
        <v>0.55000000000000004</v>
      </c>
      <c r="M2250">
        <f>_xlfn.XLOOKUP(B2250, Dim_Hotel!$A$2:$A$11, Dim_Hotel!$I$2:$I$11)
 + (IF(J2250="",0,J2250)
    * _xlfn.XLOOKUP(B2250, Dim_Hotel!$A$2:$A$11, Dim_Hotel!$J$2:$J$11))</f>
        <v>185</v>
      </c>
    </row>
    <row r="2251" spans="1:13" x14ac:dyDescent="0.25">
      <c r="A2251" s="1">
        <f t="shared" si="280"/>
        <v>46247</v>
      </c>
      <c r="B2251" t="str" cm="1">
        <f t="array" ref="B2251">INDEX(HotelList,MOD(ROW()-2,10)+1)</f>
        <v>H010</v>
      </c>
      <c r="C2251">
        <f>_xlfn.XLOOKUP(B2251,Dim_Hotel!$A$2:$A$11,Dim_Hotel!$F$2:$F$11)</f>
        <v>89</v>
      </c>
      <c r="D2251">
        <f t="shared" si="281"/>
        <v>49</v>
      </c>
      <c r="E2251">
        <f t="shared" si="282"/>
        <v>0.550561797752809</v>
      </c>
      <c r="F2251">
        <f t="shared" si="283"/>
        <v>150</v>
      </c>
      <c r="G2251">
        <f t="shared" si="284"/>
        <v>82.584269662921344</v>
      </c>
      <c r="H2251" t="str">
        <f>_xlfn.XLOOKUP(A2251,Fact_Events!$D$2:$D$20,Fact_Events!$A$2:$A$20, "")</f>
        <v/>
      </c>
      <c r="I2251">
        <f t="shared" si="285"/>
        <v>0</v>
      </c>
      <c r="J2251" t="str">
        <f>_xlfn.XLOOKUP(H2251, Fact_Events!$A$2:$A$20, Fact_Events!$F$2:$F$20, "")</f>
        <v/>
      </c>
      <c r="K2251" t="str">
        <f t="shared" si="286"/>
        <v>Low</v>
      </c>
      <c r="L2251">
        <f t="shared" si="287"/>
        <v>0.55000000000000004</v>
      </c>
      <c r="M2251">
        <f>_xlfn.XLOOKUP(B2251, Dim_Hotel!$A$2:$A$11, Dim_Hotel!$I$2:$I$11)
 + (IF(J2251="",0,J2251)
    * _xlfn.XLOOKUP(B2251, Dim_Hotel!$A$2:$A$11, Dim_Hotel!$J$2:$J$11))</f>
        <v>150</v>
      </c>
    </row>
    <row r="2252" spans="1:13" x14ac:dyDescent="0.25">
      <c r="A2252" s="1">
        <f t="shared" si="280"/>
        <v>46248</v>
      </c>
      <c r="B2252" t="str" cm="1">
        <f t="array" ref="B2252">INDEX(HotelList,MOD(ROW()-2,10)+1)</f>
        <v>H001</v>
      </c>
      <c r="C2252">
        <f>_xlfn.XLOOKUP(B2252,Dim_Hotel!$A$2:$A$11,Dim_Hotel!$F$2:$F$11)</f>
        <v>888</v>
      </c>
      <c r="D2252">
        <f t="shared" si="281"/>
        <v>488</v>
      </c>
      <c r="E2252">
        <f t="shared" si="282"/>
        <v>0.5495495495495496</v>
      </c>
      <c r="F2252">
        <f t="shared" si="283"/>
        <v>260</v>
      </c>
      <c r="G2252">
        <f t="shared" si="284"/>
        <v>142.88288288288288</v>
      </c>
      <c r="H2252" t="str">
        <f>_xlfn.XLOOKUP(A2252,Fact_Events!$D$2:$D$20,Fact_Events!$A$2:$A$20, "")</f>
        <v/>
      </c>
      <c r="I2252">
        <f t="shared" si="285"/>
        <v>0</v>
      </c>
      <c r="J2252" t="str">
        <f>_xlfn.XLOOKUP(H2252, Fact_Events!$A$2:$A$20, Fact_Events!$F$2:$F$20, "")</f>
        <v/>
      </c>
      <c r="K2252" t="str">
        <f t="shared" si="286"/>
        <v>Low</v>
      </c>
      <c r="L2252">
        <f t="shared" si="287"/>
        <v>0.55000000000000004</v>
      </c>
      <c r="M2252">
        <f>_xlfn.XLOOKUP(B2252, Dim_Hotel!$A$2:$A$11, Dim_Hotel!$I$2:$I$11)
 + (IF(J2252="",0,J2252)
    * _xlfn.XLOOKUP(B2252, Dim_Hotel!$A$2:$A$11, Dim_Hotel!$J$2:$J$11))</f>
        <v>260</v>
      </c>
    </row>
    <row r="2253" spans="1:13" x14ac:dyDescent="0.25">
      <c r="A2253" s="1">
        <f t="shared" si="280"/>
        <v>46248</v>
      </c>
      <c r="B2253" t="str" cm="1">
        <f t="array" ref="B2253">INDEX(HotelList,MOD(ROW()-2,10)+1)</f>
        <v>H002</v>
      </c>
      <c r="C2253">
        <f>_xlfn.XLOOKUP(B2253,Dim_Hotel!$A$2:$A$11,Dim_Hotel!$F$2:$F$11)</f>
        <v>147</v>
      </c>
      <c r="D2253">
        <f t="shared" si="281"/>
        <v>81</v>
      </c>
      <c r="E2253">
        <f t="shared" si="282"/>
        <v>0.55102040816326525</v>
      </c>
      <c r="F2253">
        <f t="shared" si="283"/>
        <v>175</v>
      </c>
      <c r="G2253">
        <f t="shared" si="284"/>
        <v>96.428571428571416</v>
      </c>
      <c r="H2253" t="str">
        <f>_xlfn.XLOOKUP(A2253,Fact_Events!$D$2:$D$20,Fact_Events!$A$2:$A$20, "")</f>
        <v/>
      </c>
      <c r="I2253">
        <f t="shared" si="285"/>
        <v>0</v>
      </c>
      <c r="J2253" t="str">
        <f>_xlfn.XLOOKUP(H2253, Fact_Events!$A$2:$A$20, Fact_Events!$F$2:$F$20, "")</f>
        <v/>
      </c>
      <c r="K2253" t="str">
        <f t="shared" si="286"/>
        <v>Low</v>
      </c>
      <c r="L2253">
        <f t="shared" si="287"/>
        <v>0.55000000000000004</v>
      </c>
      <c r="M2253">
        <f>_xlfn.XLOOKUP(B2253, Dim_Hotel!$A$2:$A$11, Dim_Hotel!$I$2:$I$11)
 + (IF(J2253="",0,J2253)
    * _xlfn.XLOOKUP(B2253, Dim_Hotel!$A$2:$A$11, Dim_Hotel!$J$2:$J$11))</f>
        <v>175</v>
      </c>
    </row>
    <row r="2254" spans="1:13" x14ac:dyDescent="0.25">
      <c r="A2254" s="1">
        <f t="shared" si="280"/>
        <v>46248</v>
      </c>
      <c r="B2254" t="str" cm="1">
        <f t="array" ref="B2254">INDEX(HotelList,MOD(ROW()-2,10)+1)</f>
        <v>H003</v>
      </c>
      <c r="C2254">
        <f>_xlfn.XLOOKUP(B2254,Dim_Hotel!$A$2:$A$11,Dim_Hotel!$F$2:$F$11)</f>
        <v>121</v>
      </c>
      <c r="D2254">
        <f t="shared" si="281"/>
        <v>67</v>
      </c>
      <c r="E2254">
        <f t="shared" si="282"/>
        <v>0.55371900826446285</v>
      </c>
      <c r="F2254">
        <f t="shared" si="283"/>
        <v>145</v>
      </c>
      <c r="G2254">
        <f t="shared" si="284"/>
        <v>80.289256198347118</v>
      </c>
      <c r="H2254" t="str">
        <f>_xlfn.XLOOKUP(A2254,Fact_Events!$D$2:$D$20,Fact_Events!$A$2:$A$20, "")</f>
        <v/>
      </c>
      <c r="I2254">
        <f t="shared" si="285"/>
        <v>0</v>
      </c>
      <c r="J2254" t="str">
        <f>_xlfn.XLOOKUP(H2254, Fact_Events!$A$2:$A$20, Fact_Events!$F$2:$F$20, "")</f>
        <v/>
      </c>
      <c r="K2254" t="str">
        <f t="shared" si="286"/>
        <v>Low</v>
      </c>
      <c r="L2254">
        <f t="shared" si="287"/>
        <v>0.55000000000000004</v>
      </c>
      <c r="M2254">
        <f>_xlfn.XLOOKUP(B2254, Dim_Hotel!$A$2:$A$11, Dim_Hotel!$I$2:$I$11)
 + (IF(J2254="",0,J2254)
    * _xlfn.XLOOKUP(B2254, Dim_Hotel!$A$2:$A$11, Dim_Hotel!$J$2:$J$11))</f>
        <v>145</v>
      </c>
    </row>
    <row r="2255" spans="1:13" x14ac:dyDescent="0.25">
      <c r="A2255" s="1">
        <f t="shared" si="280"/>
        <v>46248</v>
      </c>
      <c r="B2255" t="str" cm="1">
        <f t="array" ref="B2255">INDEX(HotelList,MOD(ROW()-2,10)+1)</f>
        <v>H004</v>
      </c>
      <c r="C2255">
        <f>_xlfn.XLOOKUP(B2255,Dim_Hotel!$A$2:$A$11,Dim_Hotel!$F$2:$F$11)</f>
        <v>108</v>
      </c>
      <c r="D2255">
        <f t="shared" si="281"/>
        <v>59</v>
      </c>
      <c r="E2255">
        <f t="shared" si="282"/>
        <v>0.54629629629629628</v>
      </c>
      <c r="F2255">
        <f t="shared" si="283"/>
        <v>135</v>
      </c>
      <c r="G2255">
        <f t="shared" si="284"/>
        <v>73.75</v>
      </c>
      <c r="H2255" t="str">
        <f>_xlfn.XLOOKUP(A2255,Fact_Events!$D$2:$D$20,Fact_Events!$A$2:$A$20, "")</f>
        <v/>
      </c>
      <c r="I2255">
        <f t="shared" si="285"/>
        <v>0</v>
      </c>
      <c r="J2255" t="str">
        <f>_xlfn.XLOOKUP(H2255, Fact_Events!$A$2:$A$20, Fact_Events!$F$2:$F$20, "")</f>
        <v/>
      </c>
      <c r="K2255" t="str">
        <f t="shared" si="286"/>
        <v>Low</v>
      </c>
      <c r="L2255">
        <f t="shared" si="287"/>
        <v>0.55000000000000004</v>
      </c>
      <c r="M2255">
        <f>_xlfn.XLOOKUP(B2255, Dim_Hotel!$A$2:$A$11, Dim_Hotel!$I$2:$I$11)
 + (IF(J2255="",0,J2255)
    * _xlfn.XLOOKUP(B2255, Dim_Hotel!$A$2:$A$11, Dim_Hotel!$J$2:$J$11))</f>
        <v>135</v>
      </c>
    </row>
    <row r="2256" spans="1:13" x14ac:dyDescent="0.25">
      <c r="A2256" s="1">
        <f t="shared" si="280"/>
        <v>46248</v>
      </c>
      <c r="B2256" t="str" cm="1">
        <f t="array" ref="B2256">INDEX(HotelList,MOD(ROW()-2,10)+1)</f>
        <v>H005</v>
      </c>
      <c r="C2256">
        <f>_xlfn.XLOOKUP(B2256,Dim_Hotel!$A$2:$A$11,Dim_Hotel!$F$2:$F$11)</f>
        <v>66</v>
      </c>
      <c r="D2256">
        <f t="shared" si="281"/>
        <v>36</v>
      </c>
      <c r="E2256">
        <f t="shared" si="282"/>
        <v>0.54545454545454541</v>
      </c>
      <c r="F2256">
        <f t="shared" si="283"/>
        <v>82</v>
      </c>
      <c r="G2256">
        <f t="shared" si="284"/>
        <v>44.727272727272727</v>
      </c>
      <c r="H2256" t="str">
        <f>_xlfn.XLOOKUP(A2256,Fact_Events!$D$2:$D$20,Fact_Events!$A$2:$A$20, "")</f>
        <v/>
      </c>
      <c r="I2256">
        <f t="shared" si="285"/>
        <v>0</v>
      </c>
      <c r="J2256" t="str">
        <f>_xlfn.XLOOKUP(H2256, Fact_Events!$A$2:$A$20, Fact_Events!$F$2:$F$20, "")</f>
        <v/>
      </c>
      <c r="K2256" t="str">
        <f t="shared" si="286"/>
        <v>Low</v>
      </c>
      <c r="L2256">
        <f t="shared" si="287"/>
        <v>0.55000000000000004</v>
      </c>
      <c r="M2256">
        <f>_xlfn.XLOOKUP(B2256, Dim_Hotel!$A$2:$A$11, Dim_Hotel!$I$2:$I$11)
 + (IF(J2256="",0,J2256)
    * _xlfn.XLOOKUP(B2256, Dim_Hotel!$A$2:$A$11, Dim_Hotel!$J$2:$J$11))</f>
        <v>82</v>
      </c>
    </row>
    <row r="2257" spans="1:13" x14ac:dyDescent="0.25">
      <c r="A2257" s="1">
        <f t="shared" si="280"/>
        <v>46248</v>
      </c>
      <c r="B2257" t="str" cm="1">
        <f t="array" ref="B2257">INDEX(HotelList,MOD(ROW()-2,10)+1)</f>
        <v>H006</v>
      </c>
      <c r="C2257">
        <f>_xlfn.XLOOKUP(B2257,Dim_Hotel!$A$2:$A$11,Dim_Hotel!$F$2:$F$11)</f>
        <v>311</v>
      </c>
      <c r="D2257">
        <f t="shared" si="281"/>
        <v>171</v>
      </c>
      <c r="E2257">
        <f t="shared" si="282"/>
        <v>0.54983922829581988</v>
      </c>
      <c r="F2257">
        <f t="shared" si="283"/>
        <v>190</v>
      </c>
      <c r="G2257">
        <f t="shared" si="284"/>
        <v>104.46945337620578</v>
      </c>
      <c r="H2257" t="str">
        <f>_xlfn.XLOOKUP(A2257,Fact_Events!$D$2:$D$20,Fact_Events!$A$2:$A$20, "")</f>
        <v/>
      </c>
      <c r="I2257">
        <f t="shared" si="285"/>
        <v>0</v>
      </c>
      <c r="J2257" t="str">
        <f>_xlfn.XLOOKUP(H2257, Fact_Events!$A$2:$A$20, Fact_Events!$F$2:$F$20, "")</f>
        <v/>
      </c>
      <c r="K2257" t="str">
        <f t="shared" si="286"/>
        <v>Low</v>
      </c>
      <c r="L2257">
        <f t="shared" si="287"/>
        <v>0.55000000000000004</v>
      </c>
      <c r="M2257">
        <f>_xlfn.XLOOKUP(B2257, Dim_Hotel!$A$2:$A$11, Dim_Hotel!$I$2:$I$11)
 + (IF(J2257="",0,J2257)
    * _xlfn.XLOOKUP(B2257, Dim_Hotel!$A$2:$A$11, Dim_Hotel!$J$2:$J$11))</f>
        <v>190</v>
      </c>
    </row>
    <row r="2258" spans="1:13" x14ac:dyDescent="0.25">
      <c r="A2258" s="1">
        <f t="shared" si="280"/>
        <v>46248</v>
      </c>
      <c r="B2258" t="str" cm="1">
        <f t="array" ref="B2258">INDEX(HotelList,MOD(ROW()-2,10)+1)</f>
        <v>H007</v>
      </c>
      <c r="C2258">
        <f>_xlfn.XLOOKUP(B2258,Dim_Hotel!$A$2:$A$11,Dim_Hotel!$F$2:$F$11)</f>
        <v>132</v>
      </c>
      <c r="D2258">
        <f t="shared" si="281"/>
        <v>73</v>
      </c>
      <c r="E2258">
        <f t="shared" si="282"/>
        <v>0.55303030303030298</v>
      </c>
      <c r="F2258">
        <f t="shared" si="283"/>
        <v>165</v>
      </c>
      <c r="G2258">
        <f t="shared" si="284"/>
        <v>91.249999999999986</v>
      </c>
      <c r="H2258" t="str">
        <f>_xlfn.XLOOKUP(A2258,Fact_Events!$D$2:$D$20,Fact_Events!$A$2:$A$20, "")</f>
        <v/>
      </c>
      <c r="I2258">
        <f t="shared" si="285"/>
        <v>0</v>
      </c>
      <c r="J2258" t="str">
        <f>_xlfn.XLOOKUP(H2258, Fact_Events!$A$2:$A$20, Fact_Events!$F$2:$F$20, "")</f>
        <v/>
      </c>
      <c r="K2258" t="str">
        <f t="shared" si="286"/>
        <v>Low</v>
      </c>
      <c r="L2258">
        <f t="shared" si="287"/>
        <v>0.55000000000000004</v>
      </c>
      <c r="M2258">
        <f>_xlfn.XLOOKUP(B2258, Dim_Hotel!$A$2:$A$11, Dim_Hotel!$I$2:$I$11)
 + (IF(J2258="",0,J2258)
    * _xlfn.XLOOKUP(B2258, Dim_Hotel!$A$2:$A$11, Dim_Hotel!$J$2:$J$11))</f>
        <v>165</v>
      </c>
    </row>
    <row r="2259" spans="1:13" x14ac:dyDescent="0.25">
      <c r="A2259" s="1">
        <f t="shared" si="280"/>
        <v>46248</v>
      </c>
      <c r="B2259" t="str" cm="1">
        <f t="array" ref="B2259">INDEX(HotelList,MOD(ROW()-2,10)+1)</f>
        <v>H008</v>
      </c>
      <c r="C2259">
        <f>_xlfn.XLOOKUP(B2259,Dim_Hotel!$A$2:$A$11,Dim_Hotel!$F$2:$F$11)</f>
        <v>103</v>
      </c>
      <c r="D2259">
        <f t="shared" si="281"/>
        <v>57</v>
      </c>
      <c r="E2259">
        <f t="shared" si="282"/>
        <v>0.55339805825242716</v>
      </c>
      <c r="F2259">
        <f t="shared" si="283"/>
        <v>140</v>
      </c>
      <c r="G2259">
        <f t="shared" si="284"/>
        <v>77.475728155339809</v>
      </c>
      <c r="H2259" t="str">
        <f>_xlfn.XLOOKUP(A2259,Fact_Events!$D$2:$D$20,Fact_Events!$A$2:$A$20, "")</f>
        <v/>
      </c>
      <c r="I2259">
        <f t="shared" si="285"/>
        <v>0</v>
      </c>
      <c r="J2259" t="str">
        <f>_xlfn.XLOOKUP(H2259, Fact_Events!$A$2:$A$20, Fact_Events!$F$2:$F$20, "")</f>
        <v/>
      </c>
      <c r="K2259" t="str">
        <f t="shared" si="286"/>
        <v>Low</v>
      </c>
      <c r="L2259">
        <f t="shared" si="287"/>
        <v>0.55000000000000004</v>
      </c>
      <c r="M2259">
        <f>_xlfn.XLOOKUP(B2259, Dim_Hotel!$A$2:$A$11, Dim_Hotel!$I$2:$I$11)
 + (IF(J2259="",0,J2259)
    * _xlfn.XLOOKUP(B2259, Dim_Hotel!$A$2:$A$11, Dim_Hotel!$J$2:$J$11))</f>
        <v>140</v>
      </c>
    </row>
    <row r="2260" spans="1:13" x14ac:dyDescent="0.25">
      <c r="A2260" s="1">
        <f t="shared" si="280"/>
        <v>46248</v>
      </c>
      <c r="B2260" t="str" cm="1">
        <f t="array" ref="B2260">INDEX(HotelList,MOD(ROW()-2,10)+1)</f>
        <v>H009</v>
      </c>
      <c r="C2260">
        <f>_xlfn.XLOOKUP(B2260,Dim_Hotel!$A$2:$A$11,Dim_Hotel!$F$2:$F$11)</f>
        <v>114</v>
      </c>
      <c r="D2260">
        <f t="shared" si="281"/>
        <v>63</v>
      </c>
      <c r="E2260">
        <f t="shared" si="282"/>
        <v>0.55263157894736847</v>
      </c>
      <c r="F2260">
        <f t="shared" si="283"/>
        <v>185</v>
      </c>
      <c r="G2260">
        <f t="shared" si="284"/>
        <v>102.23684210526316</v>
      </c>
      <c r="H2260" t="str">
        <f>_xlfn.XLOOKUP(A2260,Fact_Events!$D$2:$D$20,Fact_Events!$A$2:$A$20, "")</f>
        <v/>
      </c>
      <c r="I2260">
        <f t="shared" si="285"/>
        <v>0</v>
      </c>
      <c r="J2260" t="str">
        <f>_xlfn.XLOOKUP(H2260, Fact_Events!$A$2:$A$20, Fact_Events!$F$2:$F$20, "")</f>
        <v/>
      </c>
      <c r="K2260" t="str">
        <f t="shared" si="286"/>
        <v>Low</v>
      </c>
      <c r="L2260">
        <f t="shared" si="287"/>
        <v>0.55000000000000004</v>
      </c>
      <c r="M2260">
        <f>_xlfn.XLOOKUP(B2260, Dim_Hotel!$A$2:$A$11, Dim_Hotel!$I$2:$I$11)
 + (IF(J2260="",0,J2260)
    * _xlfn.XLOOKUP(B2260, Dim_Hotel!$A$2:$A$11, Dim_Hotel!$J$2:$J$11))</f>
        <v>185</v>
      </c>
    </row>
    <row r="2261" spans="1:13" x14ac:dyDescent="0.25">
      <c r="A2261" s="1">
        <f t="shared" si="280"/>
        <v>46248</v>
      </c>
      <c r="B2261" t="str" cm="1">
        <f t="array" ref="B2261">INDEX(HotelList,MOD(ROW()-2,10)+1)</f>
        <v>H010</v>
      </c>
      <c r="C2261">
        <f>_xlfn.XLOOKUP(B2261,Dim_Hotel!$A$2:$A$11,Dim_Hotel!$F$2:$F$11)</f>
        <v>89</v>
      </c>
      <c r="D2261">
        <f t="shared" si="281"/>
        <v>49</v>
      </c>
      <c r="E2261">
        <f t="shared" si="282"/>
        <v>0.550561797752809</v>
      </c>
      <c r="F2261">
        <f t="shared" si="283"/>
        <v>150</v>
      </c>
      <c r="G2261">
        <f t="shared" si="284"/>
        <v>82.584269662921344</v>
      </c>
      <c r="H2261" t="str">
        <f>_xlfn.XLOOKUP(A2261,Fact_Events!$D$2:$D$20,Fact_Events!$A$2:$A$20, "")</f>
        <v/>
      </c>
      <c r="I2261">
        <f t="shared" si="285"/>
        <v>0</v>
      </c>
      <c r="J2261" t="str">
        <f>_xlfn.XLOOKUP(H2261, Fact_Events!$A$2:$A$20, Fact_Events!$F$2:$F$20, "")</f>
        <v/>
      </c>
      <c r="K2261" t="str">
        <f t="shared" si="286"/>
        <v>Low</v>
      </c>
      <c r="L2261">
        <f t="shared" si="287"/>
        <v>0.55000000000000004</v>
      </c>
      <c r="M2261">
        <f>_xlfn.XLOOKUP(B2261, Dim_Hotel!$A$2:$A$11, Dim_Hotel!$I$2:$I$11)
 + (IF(J2261="",0,J2261)
    * _xlfn.XLOOKUP(B2261, Dim_Hotel!$A$2:$A$11, Dim_Hotel!$J$2:$J$11))</f>
        <v>150</v>
      </c>
    </row>
    <row r="2262" spans="1:13" x14ac:dyDescent="0.25">
      <c r="A2262" s="1">
        <f t="shared" si="280"/>
        <v>46249</v>
      </c>
      <c r="B2262" t="str" cm="1">
        <f t="array" ref="B2262">INDEX(HotelList,MOD(ROW()-2,10)+1)</f>
        <v>H001</v>
      </c>
      <c r="C2262">
        <f>_xlfn.XLOOKUP(B2262,Dim_Hotel!$A$2:$A$11,Dim_Hotel!$F$2:$F$11)</f>
        <v>888</v>
      </c>
      <c r="D2262">
        <f t="shared" si="281"/>
        <v>790</v>
      </c>
      <c r="E2262">
        <f t="shared" si="282"/>
        <v>0.88963963963963966</v>
      </c>
      <c r="F2262">
        <f t="shared" si="283"/>
        <v>422</v>
      </c>
      <c r="G2262">
        <f t="shared" si="284"/>
        <v>375.42792792792795</v>
      </c>
      <c r="H2262" t="str">
        <f>_xlfn.XLOOKUP(A2262,Fact_Events!$D$2:$D$20,Fact_Events!$A$2:$A$20, "")</f>
        <v>E018</v>
      </c>
      <c r="I2262">
        <f t="shared" si="285"/>
        <v>1</v>
      </c>
      <c r="J2262">
        <f>_xlfn.XLOOKUP(H2262, Fact_Events!$A$2:$A$20, Fact_Events!$F$2:$F$20, "")</f>
        <v>9</v>
      </c>
      <c r="K2262" t="str">
        <f t="shared" si="286"/>
        <v>High</v>
      </c>
      <c r="L2262">
        <f t="shared" si="287"/>
        <v>0.89</v>
      </c>
      <c r="M2262">
        <f>_xlfn.XLOOKUP(B2262, Dim_Hotel!$A$2:$A$11, Dim_Hotel!$I$2:$I$11)
 + (IF(J2262="",0,J2262)
    * _xlfn.XLOOKUP(B2262, Dim_Hotel!$A$2:$A$11, Dim_Hotel!$J$2:$J$11))</f>
        <v>422</v>
      </c>
    </row>
    <row r="2263" spans="1:13" x14ac:dyDescent="0.25">
      <c r="A2263" s="1">
        <f t="shared" si="280"/>
        <v>46249</v>
      </c>
      <c r="B2263" t="str" cm="1">
        <f t="array" ref="B2263">INDEX(HotelList,MOD(ROW()-2,10)+1)</f>
        <v>H002</v>
      </c>
      <c r="C2263">
        <f>_xlfn.XLOOKUP(B2263,Dim_Hotel!$A$2:$A$11,Dim_Hotel!$F$2:$F$11)</f>
        <v>147</v>
      </c>
      <c r="D2263">
        <f t="shared" si="281"/>
        <v>131</v>
      </c>
      <c r="E2263">
        <f t="shared" si="282"/>
        <v>0.891156462585034</v>
      </c>
      <c r="F2263">
        <f t="shared" si="283"/>
        <v>301</v>
      </c>
      <c r="G2263">
        <f t="shared" si="284"/>
        <v>268.23809523809524</v>
      </c>
      <c r="H2263" t="str">
        <f>_xlfn.XLOOKUP(A2263,Fact_Events!$D$2:$D$20,Fact_Events!$A$2:$A$20, "")</f>
        <v>E018</v>
      </c>
      <c r="I2263">
        <f t="shared" si="285"/>
        <v>1</v>
      </c>
      <c r="J2263">
        <f>_xlfn.XLOOKUP(H2263, Fact_Events!$A$2:$A$20, Fact_Events!$F$2:$F$20, "")</f>
        <v>9</v>
      </c>
      <c r="K2263" t="str">
        <f t="shared" si="286"/>
        <v>High</v>
      </c>
      <c r="L2263">
        <f t="shared" si="287"/>
        <v>0.89</v>
      </c>
      <c r="M2263">
        <f>_xlfn.XLOOKUP(B2263, Dim_Hotel!$A$2:$A$11, Dim_Hotel!$I$2:$I$11)
 + (IF(J2263="",0,J2263)
    * _xlfn.XLOOKUP(B2263, Dim_Hotel!$A$2:$A$11, Dim_Hotel!$J$2:$J$11))</f>
        <v>301</v>
      </c>
    </row>
    <row r="2264" spans="1:13" x14ac:dyDescent="0.25">
      <c r="A2264" s="1">
        <f t="shared" si="280"/>
        <v>46249</v>
      </c>
      <c r="B2264" t="str" cm="1">
        <f t="array" ref="B2264">INDEX(HotelList,MOD(ROW()-2,10)+1)</f>
        <v>H003</v>
      </c>
      <c r="C2264">
        <f>_xlfn.XLOOKUP(B2264,Dim_Hotel!$A$2:$A$11,Dim_Hotel!$F$2:$F$11)</f>
        <v>121</v>
      </c>
      <c r="D2264">
        <f t="shared" si="281"/>
        <v>108</v>
      </c>
      <c r="E2264">
        <f t="shared" si="282"/>
        <v>0.8925619834710744</v>
      </c>
      <c r="F2264">
        <f t="shared" si="283"/>
        <v>253</v>
      </c>
      <c r="G2264">
        <f t="shared" si="284"/>
        <v>225.81818181818181</v>
      </c>
      <c r="H2264" t="str">
        <f>_xlfn.XLOOKUP(A2264,Fact_Events!$D$2:$D$20,Fact_Events!$A$2:$A$20, "")</f>
        <v>E018</v>
      </c>
      <c r="I2264">
        <f t="shared" si="285"/>
        <v>1</v>
      </c>
      <c r="J2264">
        <f>_xlfn.XLOOKUP(H2264, Fact_Events!$A$2:$A$20, Fact_Events!$F$2:$F$20, "")</f>
        <v>9</v>
      </c>
      <c r="K2264" t="str">
        <f t="shared" si="286"/>
        <v>High</v>
      </c>
      <c r="L2264">
        <f t="shared" si="287"/>
        <v>0.89</v>
      </c>
      <c r="M2264">
        <f>_xlfn.XLOOKUP(B2264, Dim_Hotel!$A$2:$A$11, Dim_Hotel!$I$2:$I$11)
 + (IF(J2264="",0,J2264)
    * _xlfn.XLOOKUP(B2264, Dim_Hotel!$A$2:$A$11, Dim_Hotel!$J$2:$J$11))</f>
        <v>253</v>
      </c>
    </row>
    <row r="2265" spans="1:13" x14ac:dyDescent="0.25">
      <c r="A2265" s="1">
        <f t="shared" si="280"/>
        <v>46249</v>
      </c>
      <c r="B2265" t="str" cm="1">
        <f t="array" ref="B2265">INDEX(HotelList,MOD(ROW()-2,10)+1)</f>
        <v>H004</v>
      </c>
      <c r="C2265">
        <f>_xlfn.XLOOKUP(B2265,Dim_Hotel!$A$2:$A$11,Dim_Hotel!$F$2:$F$11)</f>
        <v>108</v>
      </c>
      <c r="D2265">
        <f t="shared" si="281"/>
        <v>96</v>
      </c>
      <c r="E2265">
        <f t="shared" si="282"/>
        <v>0.88888888888888884</v>
      </c>
      <c r="F2265">
        <f t="shared" si="283"/>
        <v>243</v>
      </c>
      <c r="G2265">
        <f t="shared" si="284"/>
        <v>216</v>
      </c>
      <c r="H2265" t="str">
        <f>_xlfn.XLOOKUP(A2265,Fact_Events!$D$2:$D$20,Fact_Events!$A$2:$A$20, "")</f>
        <v>E018</v>
      </c>
      <c r="I2265">
        <f t="shared" si="285"/>
        <v>1</v>
      </c>
      <c r="J2265">
        <f>_xlfn.XLOOKUP(H2265, Fact_Events!$A$2:$A$20, Fact_Events!$F$2:$F$20, "")</f>
        <v>9</v>
      </c>
      <c r="K2265" t="str">
        <f t="shared" si="286"/>
        <v>High</v>
      </c>
      <c r="L2265">
        <f t="shared" si="287"/>
        <v>0.89</v>
      </c>
      <c r="M2265">
        <f>_xlfn.XLOOKUP(B2265, Dim_Hotel!$A$2:$A$11, Dim_Hotel!$I$2:$I$11)
 + (IF(J2265="",0,J2265)
    * _xlfn.XLOOKUP(B2265, Dim_Hotel!$A$2:$A$11, Dim_Hotel!$J$2:$J$11))</f>
        <v>243</v>
      </c>
    </row>
    <row r="2266" spans="1:13" x14ac:dyDescent="0.25">
      <c r="A2266" s="1">
        <f t="shared" si="280"/>
        <v>46249</v>
      </c>
      <c r="B2266" t="str" cm="1">
        <f t="array" ref="B2266">INDEX(HotelList,MOD(ROW()-2,10)+1)</f>
        <v>H005</v>
      </c>
      <c r="C2266">
        <f>_xlfn.XLOOKUP(B2266,Dim_Hotel!$A$2:$A$11,Dim_Hotel!$F$2:$F$11)</f>
        <v>66</v>
      </c>
      <c r="D2266">
        <f t="shared" si="281"/>
        <v>59</v>
      </c>
      <c r="E2266">
        <f t="shared" si="282"/>
        <v>0.89393939393939392</v>
      </c>
      <c r="F2266">
        <f t="shared" si="283"/>
        <v>154</v>
      </c>
      <c r="G2266">
        <f t="shared" si="284"/>
        <v>137.66666666666666</v>
      </c>
      <c r="H2266" t="str">
        <f>_xlfn.XLOOKUP(A2266,Fact_Events!$D$2:$D$20,Fact_Events!$A$2:$A$20, "")</f>
        <v>E018</v>
      </c>
      <c r="I2266">
        <f t="shared" si="285"/>
        <v>1</v>
      </c>
      <c r="J2266">
        <f>_xlfn.XLOOKUP(H2266, Fact_Events!$A$2:$A$20, Fact_Events!$F$2:$F$20, "")</f>
        <v>9</v>
      </c>
      <c r="K2266" t="str">
        <f t="shared" si="286"/>
        <v>High</v>
      </c>
      <c r="L2266">
        <f t="shared" si="287"/>
        <v>0.89</v>
      </c>
      <c r="M2266">
        <f>_xlfn.XLOOKUP(B2266, Dim_Hotel!$A$2:$A$11, Dim_Hotel!$I$2:$I$11)
 + (IF(J2266="",0,J2266)
    * _xlfn.XLOOKUP(B2266, Dim_Hotel!$A$2:$A$11, Dim_Hotel!$J$2:$J$11))</f>
        <v>154</v>
      </c>
    </row>
    <row r="2267" spans="1:13" x14ac:dyDescent="0.25">
      <c r="A2267" s="1">
        <f t="shared" si="280"/>
        <v>46249</v>
      </c>
      <c r="B2267" t="str" cm="1">
        <f t="array" ref="B2267">INDEX(HotelList,MOD(ROW()-2,10)+1)</f>
        <v>H006</v>
      </c>
      <c r="C2267">
        <f>_xlfn.XLOOKUP(B2267,Dim_Hotel!$A$2:$A$11,Dim_Hotel!$F$2:$F$11)</f>
        <v>311</v>
      </c>
      <c r="D2267">
        <f t="shared" si="281"/>
        <v>277</v>
      </c>
      <c r="E2267">
        <f t="shared" si="282"/>
        <v>0.89067524115755625</v>
      </c>
      <c r="F2267">
        <f t="shared" si="283"/>
        <v>325</v>
      </c>
      <c r="G2267">
        <f t="shared" si="284"/>
        <v>289.46945337620576</v>
      </c>
      <c r="H2267" t="str">
        <f>_xlfn.XLOOKUP(A2267,Fact_Events!$D$2:$D$20,Fact_Events!$A$2:$A$20, "")</f>
        <v>E018</v>
      </c>
      <c r="I2267">
        <f t="shared" si="285"/>
        <v>1</v>
      </c>
      <c r="J2267">
        <f>_xlfn.XLOOKUP(H2267, Fact_Events!$A$2:$A$20, Fact_Events!$F$2:$F$20, "")</f>
        <v>9</v>
      </c>
      <c r="K2267" t="str">
        <f t="shared" si="286"/>
        <v>High</v>
      </c>
      <c r="L2267">
        <f t="shared" si="287"/>
        <v>0.89</v>
      </c>
      <c r="M2267">
        <f>_xlfn.XLOOKUP(B2267, Dim_Hotel!$A$2:$A$11, Dim_Hotel!$I$2:$I$11)
 + (IF(J2267="",0,J2267)
    * _xlfn.XLOOKUP(B2267, Dim_Hotel!$A$2:$A$11, Dim_Hotel!$J$2:$J$11))</f>
        <v>325</v>
      </c>
    </row>
    <row r="2268" spans="1:13" x14ac:dyDescent="0.25">
      <c r="A2268" s="1">
        <f t="shared" si="280"/>
        <v>46249</v>
      </c>
      <c r="B2268" t="str" cm="1">
        <f t="array" ref="B2268">INDEX(HotelList,MOD(ROW()-2,10)+1)</f>
        <v>H007</v>
      </c>
      <c r="C2268">
        <f>_xlfn.XLOOKUP(B2268,Dim_Hotel!$A$2:$A$11,Dim_Hotel!$F$2:$F$11)</f>
        <v>132</v>
      </c>
      <c r="D2268">
        <f t="shared" si="281"/>
        <v>117</v>
      </c>
      <c r="E2268">
        <f t="shared" si="282"/>
        <v>0.88636363636363635</v>
      </c>
      <c r="F2268">
        <f t="shared" si="283"/>
        <v>282</v>
      </c>
      <c r="G2268">
        <f t="shared" si="284"/>
        <v>249.95454545454544</v>
      </c>
      <c r="H2268" t="str">
        <f>_xlfn.XLOOKUP(A2268,Fact_Events!$D$2:$D$20,Fact_Events!$A$2:$A$20, "")</f>
        <v>E018</v>
      </c>
      <c r="I2268">
        <f t="shared" si="285"/>
        <v>1</v>
      </c>
      <c r="J2268">
        <f>_xlfn.XLOOKUP(H2268, Fact_Events!$A$2:$A$20, Fact_Events!$F$2:$F$20, "")</f>
        <v>9</v>
      </c>
      <c r="K2268" t="str">
        <f t="shared" si="286"/>
        <v>High</v>
      </c>
      <c r="L2268">
        <f t="shared" si="287"/>
        <v>0.89</v>
      </c>
      <c r="M2268">
        <f>_xlfn.XLOOKUP(B2268, Dim_Hotel!$A$2:$A$11, Dim_Hotel!$I$2:$I$11)
 + (IF(J2268="",0,J2268)
    * _xlfn.XLOOKUP(B2268, Dim_Hotel!$A$2:$A$11, Dim_Hotel!$J$2:$J$11))</f>
        <v>282</v>
      </c>
    </row>
    <row r="2269" spans="1:13" x14ac:dyDescent="0.25">
      <c r="A2269" s="1">
        <f t="shared" si="280"/>
        <v>46249</v>
      </c>
      <c r="B2269" t="str" cm="1">
        <f t="array" ref="B2269">INDEX(HotelList,MOD(ROW()-2,10)+1)</f>
        <v>H008</v>
      </c>
      <c r="C2269">
        <f>_xlfn.XLOOKUP(B2269,Dim_Hotel!$A$2:$A$11,Dim_Hotel!$F$2:$F$11)</f>
        <v>103</v>
      </c>
      <c r="D2269">
        <f t="shared" si="281"/>
        <v>92</v>
      </c>
      <c r="E2269">
        <f t="shared" si="282"/>
        <v>0.89320388349514568</v>
      </c>
      <c r="F2269">
        <f t="shared" si="283"/>
        <v>248</v>
      </c>
      <c r="G2269">
        <f t="shared" si="284"/>
        <v>221.51456310679612</v>
      </c>
      <c r="H2269" t="str">
        <f>_xlfn.XLOOKUP(A2269,Fact_Events!$D$2:$D$20,Fact_Events!$A$2:$A$20, "")</f>
        <v>E018</v>
      </c>
      <c r="I2269">
        <f t="shared" si="285"/>
        <v>1</v>
      </c>
      <c r="J2269">
        <f>_xlfn.XLOOKUP(H2269, Fact_Events!$A$2:$A$20, Fact_Events!$F$2:$F$20, "")</f>
        <v>9</v>
      </c>
      <c r="K2269" t="str">
        <f t="shared" si="286"/>
        <v>High</v>
      </c>
      <c r="L2269">
        <f t="shared" si="287"/>
        <v>0.89</v>
      </c>
      <c r="M2269">
        <f>_xlfn.XLOOKUP(B2269, Dim_Hotel!$A$2:$A$11, Dim_Hotel!$I$2:$I$11)
 + (IF(J2269="",0,J2269)
    * _xlfn.XLOOKUP(B2269, Dim_Hotel!$A$2:$A$11, Dim_Hotel!$J$2:$J$11))</f>
        <v>248</v>
      </c>
    </row>
    <row r="2270" spans="1:13" x14ac:dyDescent="0.25">
      <c r="A2270" s="1">
        <f t="shared" si="280"/>
        <v>46249</v>
      </c>
      <c r="B2270" t="str" cm="1">
        <f t="array" ref="B2270">INDEX(HotelList,MOD(ROW()-2,10)+1)</f>
        <v>H009</v>
      </c>
      <c r="C2270">
        <f>_xlfn.XLOOKUP(B2270,Dim_Hotel!$A$2:$A$11,Dim_Hotel!$F$2:$F$11)</f>
        <v>114</v>
      </c>
      <c r="D2270">
        <f t="shared" si="281"/>
        <v>101</v>
      </c>
      <c r="E2270">
        <f t="shared" si="282"/>
        <v>0.88596491228070173</v>
      </c>
      <c r="F2270">
        <f t="shared" si="283"/>
        <v>275</v>
      </c>
      <c r="G2270">
        <f t="shared" si="284"/>
        <v>243.64035087719299</v>
      </c>
      <c r="H2270" t="str">
        <f>_xlfn.XLOOKUP(A2270,Fact_Events!$D$2:$D$20,Fact_Events!$A$2:$A$20, "")</f>
        <v>E018</v>
      </c>
      <c r="I2270">
        <f t="shared" si="285"/>
        <v>1</v>
      </c>
      <c r="J2270">
        <f>_xlfn.XLOOKUP(H2270, Fact_Events!$A$2:$A$20, Fact_Events!$F$2:$F$20, "")</f>
        <v>9</v>
      </c>
      <c r="K2270" t="str">
        <f t="shared" si="286"/>
        <v>High</v>
      </c>
      <c r="L2270">
        <f t="shared" si="287"/>
        <v>0.89</v>
      </c>
      <c r="M2270">
        <f>_xlfn.XLOOKUP(B2270, Dim_Hotel!$A$2:$A$11, Dim_Hotel!$I$2:$I$11)
 + (IF(J2270="",0,J2270)
    * _xlfn.XLOOKUP(B2270, Dim_Hotel!$A$2:$A$11, Dim_Hotel!$J$2:$J$11))</f>
        <v>275</v>
      </c>
    </row>
    <row r="2271" spans="1:13" x14ac:dyDescent="0.25">
      <c r="A2271" s="1">
        <f t="shared" si="280"/>
        <v>46249</v>
      </c>
      <c r="B2271" t="str" cm="1">
        <f t="array" ref="B2271">INDEX(HotelList,MOD(ROW()-2,10)+1)</f>
        <v>H010</v>
      </c>
      <c r="C2271">
        <f>_xlfn.XLOOKUP(B2271,Dim_Hotel!$A$2:$A$11,Dim_Hotel!$F$2:$F$11)</f>
        <v>89</v>
      </c>
      <c r="D2271">
        <f t="shared" si="281"/>
        <v>79</v>
      </c>
      <c r="E2271">
        <f t="shared" si="282"/>
        <v>0.88764044943820219</v>
      </c>
      <c r="F2271">
        <f t="shared" si="283"/>
        <v>240</v>
      </c>
      <c r="G2271">
        <f t="shared" si="284"/>
        <v>213.03370786516854</v>
      </c>
      <c r="H2271" t="str">
        <f>_xlfn.XLOOKUP(A2271,Fact_Events!$D$2:$D$20,Fact_Events!$A$2:$A$20, "")</f>
        <v>E018</v>
      </c>
      <c r="I2271">
        <f t="shared" si="285"/>
        <v>1</v>
      </c>
      <c r="J2271">
        <f>_xlfn.XLOOKUP(H2271, Fact_Events!$A$2:$A$20, Fact_Events!$F$2:$F$20, "")</f>
        <v>9</v>
      </c>
      <c r="K2271" t="str">
        <f t="shared" si="286"/>
        <v>High</v>
      </c>
      <c r="L2271">
        <f t="shared" si="287"/>
        <v>0.89</v>
      </c>
      <c r="M2271">
        <f>_xlfn.XLOOKUP(B2271, Dim_Hotel!$A$2:$A$11, Dim_Hotel!$I$2:$I$11)
 + (IF(J2271="",0,J2271)
    * _xlfn.XLOOKUP(B2271, Dim_Hotel!$A$2:$A$11, Dim_Hotel!$J$2:$J$11))</f>
        <v>240</v>
      </c>
    </row>
    <row r="2272" spans="1:13" x14ac:dyDescent="0.25">
      <c r="A2272" s="1">
        <f t="shared" si="280"/>
        <v>46250</v>
      </c>
      <c r="B2272" t="str" cm="1">
        <f t="array" ref="B2272">INDEX(HotelList,MOD(ROW()-2,10)+1)</f>
        <v>H001</v>
      </c>
      <c r="C2272">
        <f>_xlfn.XLOOKUP(B2272,Dim_Hotel!$A$2:$A$11,Dim_Hotel!$F$2:$F$11)</f>
        <v>888</v>
      </c>
      <c r="D2272">
        <f t="shared" si="281"/>
        <v>790</v>
      </c>
      <c r="E2272">
        <f t="shared" si="282"/>
        <v>0.88963963963963966</v>
      </c>
      <c r="F2272">
        <f t="shared" si="283"/>
        <v>422</v>
      </c>
      <c r="G2272">
        <f t="shared" si="284"/>
        <v>375.42792792792795</v>
      </c>
      <c r="H2272" t="str">
        <f>_xlfn.XLOOKUP(A2272,Fact_Events!$D$2:$D$20,Fact_Events!$A$2:$A$20, "")</f>
        <v>E019</v>
      </c>
      <c r="I2272">
        <f t="shared" si="285"/>
        <v>1</v>
      </c>
      <c r="J2272">
        <f>_xlfn.XLOOKUP(H2272, Fact_Events!$A$2:$A$20, Fact_Events!$F$2:$F$20, "")</f>
        <v>9</v>
      </c>
      <c r="K2272" t="str">
        <f t="shared" si="286"/>
        <v>High</v>
      </c>
      <c r="L2272">
        <f t="shared" si="287"/>
        <v>0.89</v>
      </c>
      <c r="M2272">
        <f>_xlfn.XLOOKUP(B2272, Dim_Hotel!$A$2:$A$11, Dim_Hotel!$I$2:$I$11)
 + (IF(J2272="",0,J2272)
    * _xlfn.XLOOKUP(B2272, Dim_Hotel!$A$2:$A$11, Dim_Hotel!$J$2:$J$11))</f>
        <v>422</v>
      </c>
    </row>
    <row r="2273" spans="1:13" x14ac:dyDescent="0.25">
      <c r="A2273" s="1">
        <f t="shared" si="280"/>
        <v>46250</v>
      </c>
      <c r="B2273" t="str" cm="1">
        <f t="array" ref="B2273">INDEX(HotelList,MOD(ROW()-2,10)+1)</f>
        <v>H002</v>
      </c>
      <c r="C2273">
        <f>_xlfn.XLOOKUP(B2273,Dim_Hotel!$A$2:$A$11,Dim_Hotel!$F$2:$F$11)</f>
        <v>147</v>
      </c>
      <c r="D2273">
        <f t="shared" si="281"/>
        <v>131</v>
      </c>
      <c r="E2273">
        <f t="shared" si="282"/>
        <v>0.891156462585034</v>
      </c>
      <c r="F2273">
        <f t="shared" si="283"/>
        <v>301</v>
      </c>
      <c r="G2273">
        <f t="shared" si="284"/>
        <v>268.23809523809524</v>
      </c>
      <c r="H2273" t="str">
        <f>_xlfn.XLOOKUP(A2273,Fact_Events!$D$2:$D$20,Fact_Events!$A$2:$A$20, "")</f>
        <v>E019</v>
      </c>
      <c r="I2273">
        <f t="shared" si="285"/>
        <v>1</v>
      </c>
      <c r="J2273">
        <f>_xlfn.XLOOKUP(H2273, Fact_Events!$A$2:$A$20, Fact_Events!$F$2:$F$20, "")</f>
        <v>9</v>
      </c>
      <c r="K2273" t="str">
        <f t="shared" si="286"/>
        <v>High</v>
      </c>
      <c r="L2273">
        <f t="shared" si="287"/>
        <v>0.89</v>
      </c>
      <c r="M2273">
        <f>_xlfn.XLOOKUP(B2273, Dim_Hotel!$A$2:$A$11, Dim_Hotel!$I$2:$I$11)
 + (IF(J2273="",0,J2273)
    * _xlfn.XLOOKUP(B2273, Dim_Hotel!$A$2:$A$11, Dim_Hotel!$J$2:$J$11))</f>
        <v>301</v>
      </c>
    </row>
    <row r="2274" spans="1:13" x14ac:dyDescent="0.25">
      <c r="A2274" s="1">
        <f t="shared" si="280"/>
        <v>46250</v>
      </c>
      <c r="B2274" t="str" cm="1">
        <f t="array" ref="B2274">INDEX(HotelList,MOD(ROW()-2,10)+1)</f>
        <v>H003</v>
      </c>
      <c r="C2274">
        <f>_xlfn.XLOOKUP(B2274,Dim_Hotel!$A$2:$A$11,Dim_Hotel!$F$2:$F$11)</f>
        <v>121</v>
      </c>
      <c r="D2274">
        <f t="shared" si="281"/>
        <v>108</v>
      </c>
      <c r="E2274">
        <f t="shared" si="282"/>
        <v>0.8925619834710744</v>
      </c>
      <c r="F2274">
        <f t="shared" si="283"/>
        <v>253</v>
      </c>
      <c r="G2274">
        <f t="shared" si="284"/>
        <v>225.81818181818181</v>
      </c>
      <c r="H2274" t="str">
        <f>_xlfn.XLOOKUP(A2274,Fact_Events!$D$2:$D$20,Fact_Events!$A$2:$A$20, "")</f>
        <v>E019</v>
      </c>
      <c r="I2274">
        <f t="shared" si="285"/>
        <v>1</v>
      </c>
      <c r="J2274">
        <f>_xlfn.XLOOKUP(H2274, Fact_Events!$A$2:$A$20, Fact_Events!$F$2:$F$20, "")</f>
        <v>9</v>
      </c>
      <c r="K2274" t="str">
        <f t="shared" si="286"/>
        <v>High</v>
      </c>
      <c r="L2274">
        <f t="shared" si="287"/>
        <v>0.89</v>
      </c>
      <c r="M2274">
        <f>_xlfn.XLOOKUP(B2274, Dim_Hotel!$A$2:$A$11, Dim_Hotel!$I$2:$I$11)
 + (IF(J2274="",0,J2274)
    * _xlfn.XLOOKUP(B2274, Dim_Hotel!$A$2:$A$11, Dim_Hotel!$J$2:$J$11))</f>
        <v>253</v>
      </c>
    </row>
    <row r="2275" spans="1:13" x14ac:dyDescent="0.25">
      <c r="A2275" s="1">
        <f t="shared" si="280"/>
        <v>46250</v>
      </c>
      <c r="B2275" t="str" cm="1">
        <f t="array" ref="B2275">INDEX(HotelList,MOD(ROW()-2,10)+1)</f>
        <v>H004</v>
      </c>
      <c r="C2275">
        <f>_xlfn.XLOOKUP(B2275,Dim_Hotel!$A$2:$A$11,Dim_Hotel!$F$2:$F$11)</f>
        <v>108</v>
      </c>
      <c r="D2275">
        <f t="shared" si="281"/>
        <v>96</v>
      </c>
      <c r="E2275">
        <f t="shared" si="282"/>
        <v>0.88888888888888884</v>
      </c>
      <c r="F2275">
        <f t="shared" si="283"/>
        <v>243</v>
      </c>
      <c r="G2275">
        <f t="shared" si="284"/>
        <v>216</v>
      </c>
      <c r="H2275" t="str">
        <f>_xlfn.XLOOKUP(A2275,Fact_Events!$D$2:$D$20,Fact_Events!$A$2:$A$20, "")</f>
        <v>E019</v>
      </c>
      <c r="I2275">
        <f t="shared" si="285"/>
        <v>1</v>
      </c>
      <c r="J2275">
        <f>_xlfn.XLOOKUP(H2275, Fact_Events!$A$2:$A$20, Fact_Events!$F$2:$F$20, "")</f>
        <v>9</v>
      </c>
      <c r="K2275" t="str">
        <f t="shared" si="286"/>
        <v>High</v>
      </c>
      <c r="L2275">
        <f t="shared" si="287"/>
        <v>0.89</v>
      </c>
      <c r="M2275">
        <f>_xlfn.XLOOKUP(B2275, Dim_Hotel!$A$2:$A$11, Dim_Hotel!$I$2:$I$11)
 + (IF(J2275="",0,J2275)
    * _xlfn.XLOOKUP(B2275, Dim_Hotel!$A$2:$A$11, Dim_Hotel!$J$2:$J$11))</f>
        <v>243</v>
      </c>
    </row>
    <row r="2276" spans="1:13" x14ac:dyDescent="0.25">
      <c r="A2276" s="1">
        <f t="shared" si="280"/>
        <v>46250</v>
      </c>
      <c r="B2276" t="str" cm="1">
        <f t="array" ref="B2276">INDEX(HotelList,MOD(ROW()-2,10)+1)</f>
        <v>H005</v>
      </c>
      <c r="C2276">
        <f>_xlfn.XLOOKUP(B2276,Dim_Hotel!$A$2:$A$11,Dim_Hotel!$F$2:$F$11)</f>
        <v>66</v>
      </c>
      <c r="D2276">
        <f t="shared" si="281"/>
        <v>59</v>
      </c>
      <c r="E2276">
        <f t="shared" si="282"/>
        <v>0.89393939393939392</v>
      </c>
      <c r="F2276">
        <f t="shared" si="283"/>
        <v>154</v>
      </c>
      <c r="G2276">
        <f t="shared" si="284"/>
        <v>137.66666666666666</v>
      </c>
      <c r="H2276" t="str">
        <f>_xlfn.XLOOKUP(A2276,Fact_Events!$D$2:$D$20,Fact_Events!$A$2:$A$20, "")</f>
        <v>E019</v>
      </c>
      <c r="I2276">
        <f t="shared" si="285"/>
        <v>1</v>
      </c>
      <c r="J2276">
        <f>_xlfn.XLOOKUP(H2276, Fact_Events!$A$2:$A$20, Fact_Events!$F$2:$F$20, "")</f>
        <v>9</v>
      </c>
      <c r="K2276" t="str">
        <f t="shared" si="286"/>
        <v>High</v>
      </c>
      <c r="L2276">
        <f t="shared" si="287"/>
        <v>0.89</v>
      </c>
      <c r="M2276">
        <f>_xlfn.XLOOKUP(B2276, Dim_Hotel!$A$2:$A$11, Dim_Hotel!$I$2:$I$11)
 + (IF(J2276="",0,J2276)
    * _xlfn.XLOOKUP(B2276, Dim_Hotel!$A$2:$A$11, Dim_Hotel!$J$2:$J$11))</f>
        <v>154</v>
      </c>
    </row>
    <row r="2277" spans="1:13" x14ac:dyDescent="0.25">
      <c r="A2277" s="1">
        <f t="shared" si="280"/>
        <v>46250</v>
      </c>
      <c r="B2277" t="str" cm="1">
        <f t="array" ref="B2277">INDEX(HotelList,MOD(ROW()-2,10)+1)</f>
        <v>H006</v>
      </c>
      <c r="C2277">
        <f>_xlfn.XLOOKUP(B2277,Dim_Hotel!$A$2:$A$11,Dim_Hotel!$F$2:$F$11)</f>
        <v>311</v>
      </c>
      <c r="D2277">
        <f t="shared" si="281"/>
        <v>277</v>
      </c>
      <c r="E2277">
        <f t="shared" si="282"/>
        <v>0.89067524115755625</v>
      </c>
      <c r="F2277">
        <f t="shared" si="283"/>
        <v>325</v>
      </c>
      <c r="G2277">
        <f t="shared" si="284"/>
        <v>289.46945337620576</v>
      </c>
      <c r="H2277" t="str">
        <f>_xlfn.XLOOKUP(A2277,Fact_Events!$D$2:$D$20,Fact_Events!$A$2:$A$20, "")</f>
        <v>E019</v>
      </c>
      <c r="I2277">
        <f t="shared" si="285"/>
        <v>1</v>
      </c>
      <c r="J2277">
        <f>_xlfn.XLOOKUP(H2277, Fact_Events!$A$2:$A$20, Fact_Events!$F$2:$F$20, "")</f>
        <v>9</v>
      </c>
      <c r="K2277" t="str">
        <f t="shared" si="286"/>
        <v>High</v>
      </c>
      <c r="L2277">
        <f t="shared" si="287"/>
        <v>0.89</v>
      </c>
      <c r="M2277">
        <f>_xlfn.XLOOKUP(B2277, Dim_Hotel!$A$2:$A$11, Dim_Hotel!$I$2:$I$11)
 + (IF(J2277="",0,J2277)
    * _xlfn.XLOOKUP(B2277, Dim_Hotel!$A$2:$A$11, Dim_Hotel!$J$2:$J$11))</f>
        <v>325</v>
      </c>
    </row>
    <row r="2278" spans="1:13" x14ac:dyDescent="0.25">
      <c r="A2278" s="1">
        <f t="shared" si="280"/>
        <v>46250</v>
      </c>
      <c r="B2278" t="str" cm="1">
        <f t="array" ref="B2278">INDEX(HotelList,MOD(ROW()-2,10)+1)</f>
        <v>H007</v>
      </c>
      <c r="C2278">
        <f>_xlfn.XLOOKUP(B2278,Dim_Hotel!$A$2:$A$11,Dim_Hotel!$F$2:$F$11)</f>
        <v>132</v>
      </c>
      <c r="D2278">
        <f t="shared" si="281"/>
        <v>117</v>
      </c>
      <c r="E2278">
        <f t="shared" si="282"/>
        <v>0.88636363636363635</v>
      </c>
      <c r="F2278">
        <f t="shared" si="283"/>
        <v>282</v>
      </c>
      <c r="G2278">
        <f t="shared" si="284"/>
        <v>249.95454545454544</v>
      </c>
      <c r="H2278" t="str">
        <f>_xlfn.XLOOKUP(A2278,Fact_Events!$D$2:$D$20,Fact_Events!$A$2:$A$20, "")</f>
        <v>E019</v>
      </c>
      <c r="I2278">
        <f t="shared" si="285"/>
        <v>1</v>
      </c>
      <c r="J2278">
        <f>_xlfn.XLOOKUP(H2278, Fact_Events!$A$2:$A$20, Fact_Events!$F$2:$F$20, "")</f>
        <v>9</v>
      </c>
      <c r="K2278" t="str">
        <f t="shared" si="286"/>
        <v>High</v>
      </c>
      <c r="L2278">
        <f t="shared" si="287"/>
        <v>0.89</v>
      </c>
      <c r="M2278">
        <f>_xlfn.XLOOKUP(B2278, Dim_Hotel!$A$2:$A$11, Dim_Hotel!$I$2:$I$11)
 + (IF(J2278="",0,J2278)
    * _xlfn.XLOOKUP(B2278, Dim_Hotel!$A$2:$A$11, Dim_Hotel!$J$2:$J$11))</f>
        <v>282</v>
      </c>
    </row>
    <row r="2279" spans="1:13" x14ac:dyDescent="0.25">
      <c r="A2279" s="1">
        <f t="shared" si="280"/>
        <v>46250</v>
      </c>
      <c r="B2279" t="str" cm="1">
        <f t="array" ref="B2279">INDEX(HotelList,MOD(ROW()-2,10)+1)</f>
        <v>H008</v>
      </c>
      <c r="C2279">
        <f>_xlfn.XLOOKUP(B2279,Dim_Hotel!$A$2:$A$11,Dim_Hotel!$F$2:$F$11)</f>
        <v>103</v>
      </c>
      <c r="D2279">
        <f t="shared" si="281"/>
        <v>92</v>
      </c>
      <c r="E2279">
        <f t="shared" si="282"/>
        <v>0.89320388349514568</v>
      </c>
      <c r="F2279">
        <f t="shared" si="283"/>
        <v>248</v>
      </c>
      <c r="G2279">
        <f t="shared" si="284"/>
        <v>221.51456310679612</v>
      </c>
      <c r="H2279" t="str">
        <f>_xlfn.XLOOKUP(A2279,Fact_Events!$D$2:$D$20,Fact_Events!$A$2:$A$20, "")</f>
        <v>E019</v>
      </c>
      <c r="I2279">
        <f t="shared" si="285"/>
        <v>1</v>
      </c>
      <c r="J2279">
        <f>_xlfn.XLOOKUP(H2279, Fact_Events!$A$2:$A$20, Fact_Events!$F$2:$F$20, "")</f>
        <v>9</v>
      </c>
      <c r="K2279" t="str">
        <f t="shared" si="286"/>
        <v>High</v>
      </c>
      <c r="L2279">
        <f t="shared" si="287"/>
        <v>0.89</v>
      </c>
      <c r="M2279">
        <f>_xlfn.XLOOKUP(B2279, Dim_Hotel!$A$2:$A$11, Dim_Hotel!$I$2:$I$11)
 + (IF(J2279="",0,J2279)
    * _xlfn.XLOOKUP(B2279, Dim_Hotel!$A$2:$A$11, Dim_Hotel!$J$2:$J$11))</f>
        <v>248</v>
      </c>
    </row>
    <row r="2280" spans="1:13" x14ac:dyDescent="0.25">
      <c r="A2280" s="1">
        <f t="shared" si="280"/>
        <v>46250</v>
      </c>
      <c r="B2280" t="str" cm="1">
        <f t="array" ref="B2280">INDEX(HotelList,MOD(ROW()-2,10)+1)</f>
        <v>H009</v>
      </c>
      <c r="C2280">
        <f>_xlfn.XLOOKUP(B2280,Dim_Hotel!$A$2:$A$11,Dim_Hotel!$F$2:$F$11)</f>
        <v>114</v>
      </c>
      <c r="D2280">
        <f t="shared" si="281"/>
        <v>101</v>
      </c>
      <c r="E2280">
        <f t="shared" si="282"/>
        <v>0.88596491228070173</v>
      </c>
      <c r="F2280">
        <f t="shared" si="283"/>
        <v>275</v>
      </c>
      <c r="G2280">
        <f t="shared" si="284"/>
        <v>243.64035087719299</v>
      </c>
      <c r="H2280" t="str">
        <f>_xlfn.XLOOKUP(A2280,Fact_Events!$D$2:$D$20,Fact_Events!$A$2:$A$20, "")</f>
        <v>E019</v>
      </c>
      <c r="I2280">
        <f t="shared" si="285"/>
        <v>1</v>
      </c>
      <c r="J2280">
        <f>_xlfn.XLOOKUP(H2280, Fact_Events!$A$2:$A$20, Fact_Events!$F$2:$F$20, "")</f>
        <v>9</v>
      </c>
      <c r="K2280" t="str">
        <f t="shared" si="286"/>
        <v>High</v>
      </c>
      <c r="L2280">
        <f t="shared" si="287"/>
        <v>0.89</v>
      </c>
      <c r="M2280">
        <f>_xlfn.XLOOKUP(B2280, Dim_Hotel!$A$2:$A$11, Dim_Hotel!$I$2:$I$11)
 + (IF(J2280="",0,J2280)
    * _xlfn.XLOOKUP(B2280, Dim_Hotel!$A$2:$A$11, Dim_Hotel!$J$2:$J$11))</f>
        <v>275</v>
      </c>
    </row>
    <row r="2281" spans="1:13" x14ac:dyDescent="0.25">
      <c r="A2281" s="1">
        <f t="shared" si="280"/>
        <v>46250</v>
      </c>
      <c r="B2281" t="str" cm="1">
        <f t="array" ref="B2281">INDEX(HotelList,MOD(ROW()-2,10)+1)</f>
        <v>H010</v>
      </c>
      <c r="C2281">
        <f>_xlfn.XLOOKUP(B2281,Dim_Hotel!$A$2:$A$11,Dim_Hotel!$F$2:$F$11)</f>
        <v>89</v>
      </c>
      <c r="D2281">
        <f t="shared" si="281"/>
        <v>79</v>
      </c>
      <c r="E2281">
        <f t="shared" si="282"/>
        <v>0.88764044943820219</v>
      </c>
      <c r="F2281">
        <f t="shared" si="283"/>
        <v>240</v>
      </c>
      <c r="G2281">
        <f t="shared" si="284"/>
        <v>213.03370786516854</v>
      </c>
      <c r="H2281" t="str">
        <f>_xlfn.XLOOKUP(A2281,Fact_Events!$D$2:$D$20,Fact_Events!$A$2:$A$20, "")</f>
        <v>E019</v>
      </c>
      <c r="I2281">
        <f t="shared" si="285"/>
        <v>1</v>
      </c>
      <c r="J2281">
        <f>_xlfn.XLOOKUP(H2281, Fact_Events!$A$2:$A$20, Fact_Events!$F$2:$F$20, "")</f>
        <v>9</v>
      </c>
      <c r="K2281" t="str">
        <f t="shared" si="286"/>
        <v>High</v>
      </c>
      <c r="L2281">
        <f t="shared" si="287"/>
        <v>0.89</v>
      </c>
      <c r="M2281">
        <f>_xlfn.XLOOKUP(B2281, Dim_Hotel!$A$2:$A$11, Dim_Hotel!$I$2:$I$11)
 + (IF(J2281="",0,J2281)
    * _xlfn.XLOOKUP(B2281, Dim_Hotel!$A$2:$A$11, Dim_Hotel!$J$2:$J$11))</f>
        <v>240</v>
      </c>
    </row>
    <row r="2282" spans="1:13" x14ac:dyDescent="0.25">
      <c r="A2282" s="1">
        <f t="shared" si="280"/>
        <v>46251</v>
      </c>
      <c r="B2282" t="str" cm="1">
        <f t="array" ref="B2282">INDEX(HotelList,MOD(ROW()-2,10)+1)</f>
        <v>H001</v>
      </c>
      <c r="C2282">
        <f>_xlfn.XLOOKUP(B2282,Dim_Hotel!$A$2:$A$11,Dim_Hotel!$F$2:$F$11)</f>
        <v>888</v>
      </c>
      <c r="D2282">
        <f t="shared" si="281"/>
        <v>488</v>
      </c>
      <c r="E2282">
        <f t="shared" si="282"/>
        <v>0.5495495495495496</v>
      </c>
      <c r="F2282">
        <f t="shared" si="283"/>
        <v>260</v>
      </c>
      <c r="G2282">
        <f t="shared" si="284"/>
        <v>142.88288288288288</v>
      </c>
      <c r="H2282" t="str">
        <f>_xlfn.XLOOKUP(A2282,Fact_Events!$D$2:$D$20,Fact_Events!$A$2:$A$20, "")</f>
        <v/>
      </c>
      <c r="I2282">
        <f t="shared" si="285"/>
        <v>0</v>
      </c>
      <c r="J2282" t="str">
        <f>_xlfn.XLOOKUP(H2282, Fact_Events!$A$2:$A$20, Fact_Events!$F$2:$F$20, "")</f>
        <v/>
      </c>
      <c r="K2282" t="str">
        <f t="shared" si="286"/>
        <v>Low</v>
      </c>
      <c r="L2282">
        <f t="shared" si="287"/>
        <v>0.55000000000000004</v>
      </c>
      <c r="M2282">
        <f>_xlfn.XLOOKUP(B2282, Dim_Hotel!$A$2:$A$11, Dim_Hotel!$I$2:$I$11)
 + (IF(J2282="",0,J2282)
    * _xlfn.XLOOKUP(B2282, Dim_Hotel!$A$2:$A$11, Dim_Hotel!$J$2:$J$11))</f>
        <v>260</v>
      </c>
    </row>
    <row r="2283" spans="1:13" x14ac:dyDescent="0.25">
      <c r="A2283" s="1">
        <f t="shared" si="280"/>
        <v>46251</v>
      </c>
      <c r="B2283" t="str" cm="1">
        <f t="array" ref="B2283">INDEX(HotelList,MOD(ROW()-2,10)+1)</f>
        <v>H002</v>
      </c>
      <c r="C2283">
        <f>_xlfn.XLOOKUP(B2283,Dim_Hotel!$A$2:$A$11,Dim_Hotel!$F$2:$F$11)</f>
        <v>147</v>
      </c>
      <c r="D2283">
        <f t="shared" si="281"/>
        <v>81</v>
      </c>
      <c r="E2283">
        <f t="shared" si="282"/>
        <v>0.55102040816326525</v>
      </c>
      <c r="F2283">
        <f t="shared" si="283"/>
        <v>175</v>
      </c>
      <c r="G2283">
        <f t="shared" si="284"/>
        <v>96.428571428571416</v>
      </c>
      <c r="H2283" t="str">
        <f>_xlfn.XLOOKUP(A2283,Fact_Events!$D$2:$D$20,Fact_Events!$A$2:$A$20, "")</f>
        <v/>
      </c>
      <c r="I2283">
        <f t="shared" si="285"/>
        <v>0</v>
      </c>
      <c r="J2283" t="str">
        <f>_xlfn.XLOOKUP(H2283, Fact_Events!$A$2:$A$20, Fact_Events!$F$2:$F$20, "")</f>
        <v/>
      </c>
      <c r="K2283" t="str">
        <f t="shared" si="286"/>
        <v>Low</v>
      </c>
      <c r="L2283">
        <f t="shared" si="287"/>
        <v>0.55000000000000004</v>
      </c>
      <c r="M2283">
        <f>_xlfn.XLOOKUP(B2283, Dim_Hotel!$A$2:$A$11, Dim_Hotel!$I$2:$I$11)
 + (IF(J2283="",0,J2283)
    * _xlfn.XLOOKUP(B2283, Dim_Hotel!$A$2:$A$11, Dim_Hotel!$J$2:$J$11))</f>
        <v>175</v>
      </c>
    </row>
    <row r="2284" spans="1:13" x14ac:dyDescent="0.25">
      <c r="A2284" s="1">
        <f t="shared" si="280"/>
        <v>46251</v>
      </c>
      <c r="B2284" t="str" cm="1">
        <f t="array" ref="B2284">INDEX(HotelList,MOD(ROW()-2,10)+1)</f>
        <v>H003</v>
      </c>
      <c r="C2284">
        <f>_xlfn.XLOOKUP(B2284,Dim_Hotel!$A$2:$A$11,Dim_Hotel!$F$2:$F$11)</f>
        <v>121</v>
      </c>
      <c r="D2284">
        <f t="shared" si="281"/>
        <v>67</v>
      </c>
      <c r="E2284">
        <f t="shared" si="282"/>
        <v>0.55371900826446285</v>
      </c>
      <c r="F2284">
        <f t="shared" si="283"/>
        <v>145</v>
      </c>
      <c r="G2284">
        <f t="shared" si="284"/>
        <v>80.289256198347118</v>
      </c>
      <c r="H2284" t="str">
        <f>_xlfn.XLOOKUP(A2284,Fact_Events!$D$2:$D$20,Fact_Events!$A$2:$A$20, "")</f>
        <v/>
      </c>
      <c r="I2284">
        <f t="shared" si="285"/>
        <v>0</v>
      </c>
      <c r="J2284" t="str">
        <f>_xlfn.XLOOKUP(H2284, Fact_Events!$A$2:$A$20, Fact_Events!$F$2:$F$20, "")</f>
        <v/>
      </c>
      <c r="K2284" t="str">
        <f t="shared" si="286"/>
        <v>Low</v>
      </c>
      <c r="L2284">
        <f t="shared" si="287"/>
        <v>0.55000000000000004</v>
      </c>
      <c r="M2284">
        <f>_xlfn.XLOOKUP(B2284, Dim_Hotel!$A$2:$A$11, Dim_Hotel!$I$2:$I$11)
 + (IF(J2284="",0,J2284)
    * _xlfn.XLOOKUP(B2284, Dim_Hotel!$A$2:$A$11, Dim_Hotel!$J$2:$J$11))</f>
        <v>145</v>
      </c>
    </row>
    <row r="2285" spans="1:13" x14ac:dyDescent="0.25">
      <c r="A2285" s="1">
        <f t="shared" si="280"/>
        <v>46251</v>
      </c>
      <c r="B2285" t="str" cm="1">
        <f t="array" ref="B2285">INDEX(HotelList,MOD(ROW()-2,10)+1)</f>
        <v>H004</v>
      </c>
      <c r="C2285">
        <f>_xlfn.XLOOKUP(B2285,Dim_Hotel!$A$2:$A$11,Dim_Hotel!$F$2:$F$11)</f>
        <v>108</v>
      </c>
      <c r="D2285">
        <f t="shared" si="281"/>
        <v>59</v>
      </c>
      <c r="E2285">
        <f t="shared" si="282"/>
        <v>0.54629629629629628</v>
      </c>
      <c r="F2285">
        <f t="shared" si="283"/>
        <v>135</v>
      </c>
      <c r="G2285">
        <f t="shared" si="284"/>
        <v>73.75</v>
      </c>
      <c r="H2285" t="str">
        <f>_xlfn.XLOOKUP(A2285,Fact_Events!$D$2:$D$20,Fact_Events!$A$2:$A$20, "")</f>
        <v/>
      </c>
      <c r="I2285">
        <f t="shared" si="285"/>
        <v>0</v>
      </c>
      <c r="J2285" t="str">
        <f>_xlfn.XLOOKUP(H2285, Fact_Events!$A$2:$A$20, Fact_Events!$F$2:$F$20, "")</f>
        <v/>
      </c>
      <c r="K2285" t="str">
        <f t="shared" si="286"/>
        <v>Low</v>
      </c>
      <c r="L2285">
        <f t="shared" si="287"/>
        <v>0.55000000000000004</v>
      </c>
      <c r="M2285">
        <f>_xlfn.XLOOKUP(B2285, Dim_Hotel!$A$2:$A$11, Dim_Hotel!$I$2:$I$11)
 + (IF(J2285="",0,J2285)
    * _xlfn.XLOOKUP(B2285, Dim_Hotel!$A$2:$A$11, Dim_Hotel!$J$2:$J$11))</f>
        <v>135</v>
      </c>
    </row>
    <row r="2286" spans="1:13" x14ac:dyDescent="0.25">
      <c r="A2286" s="1">
        <f t="shared" si="280"/>
        <v>46251</v>
      </c>
      <c r="B2286" t="str" cm="1">
        <f t="array" ref="B2286">INDEX(HotelList,MOD(ROW()-2,10)+1)</f>
        <v>H005</v>
      </c>
      <c r="C2286">
        <f>_xlfn.XLOOKUP(B2286,Dim_Hotel!$A$2:$A$11,Dim_Hotel!$F$2:$F$11)</f>
        <v>66</v>
      </c>
      <c r="D2286">
        <f t="shared" si="281"/>
        <v>36</v>
      </c>
      <c r="E2286">
        <f t="shared" si="282"/>
        <v>0.54545454545454541</v>
      </c>
      <c r="F2286">
        <f t="shared" si="283"/>
        <v>82</v>
      </c>
      <c r="G2286">
        <f t="shared" si="284"/>
        <v>44.727272727272727</v>
      </c>
      <c r="H2286" t="str">
        <f>_xlfn.XLOOKUP(A2286,Fact_Events!$D$2:$D$20,Fact_Events!$A$2:$A$20, "")</f>
        <v/>
      </c>
      <c r="I2286">
        <f t="shared" si="285"/>
        <v>0</v>
      </c>
      <c r="J2286" t="str">
        <f>_xlfn.XLOOKUP(H2286, Fact_Events!$A$2:$A$20, Fact_Events!$F$2:$F$20, "")</f>
        <v/>
      </c>
      <c r="K2286" t="str">
        <f t="shared" si="286"/>
        <v>Low</v>
      </c>
      <c r="L2286">
        <f t="shared" si="287"/>
        <v>0.55000000000000004</v>
      </c>
      <c r="M2286">
        <f>_xlfn.XLOOKUP(B2286, Dim_Hotel!$A$2:$A$11, Dim_Hotel!$I$2:$I$11)
 + (IF(J2286="",0,J2286)
    * _xlfn.XLOOKUP(B2286, Dim_Hotel!$A$2:$A$11, Dim_Hotel!$J$2:$J$11))</f>
        <v>82</v>
      </c>
    </row>
    <row r="2287" spans="1:13" x14ac:dyDescent="0.25">
      <c r="A2287" s="1">
        <f t="shared" si="280"/>
        <v>46251</v>
      </c>
      <c r="B2287" t="str" cm="1">
        <f t="array" ref="B2287">INDEX(HotelList,MOD(ROW()-2,10)+1)</f>
        <v>H006</v>
      </c>
      <c r="C2287">
        <f>_xlfn.XLOOKUP(B2287,Dim_Hotel!$A$2:$A$11,Dim_Hotel!$F$2:$F$11)</f>
        <v>311</v>
      </c>
      <c r="D2287">
        <f t="shared" si="281"/>
        <v>171</v>
      </c>
      <c r="E2287">
        <f t="shared" si="282"/>
        <v>0.54983922829581988</v>
      </c>
      <c r="F2287">
        <f t="shared" si="283"/>
        <v>190</v>
      </c>
      <c r="G2287">
        <f t="shared" si="284"/>
        <v>104.46945337620578</v>
      </c>
      <c r="H2287" t="str">
        <f>_xlfn.XLOOKUP(A2287,Fact_Events!$D$2:$D$20,Fact_Events!$A$2:$A$20, "")</f>
        <v/>
      </c>
      <c r="I2287">
        <f t="shared" si="285"/>
        <v>0</v>
      </c>
      <c r="J2287" t="str">
        <f>_xlfn.XLOOKUP(H2287, Fact_Events!$A$2:$A$20, Fact_Events!$F$2:$F$20, "")</f>
        <v/>
      </c>
      <c r="K2287" t="str">
        <f t="shared" si="286"/>
        <v>Low</v>
      </c>
      <c r="L2287">
        <f t="shared" si="287"/>
        <v>0.55000000000000004</v>
      </c>
      <c r="M2287">
        <f>_xlfn.XLOOKUP(B2287, Dim_Hotel!$A$2:$A$11, Dim_Hotel!$I$2:$I$11)
 + (IF(J2287="",0,J2287)
    * _xlfn.XLOOKUP(B2287, Dim_Hotel!$A$2:$A$11, Dim_Hotel!$J$2:$J$11))</f>
        <v>190</v>
      </c>
    </row>
    <row r="2288" spans="1:13" x14ac:dyDescent="0.25">
      <c r="A2288" s="1">
        <f t="shared" si="280"/>
        <v>46251</v>
      </c>
      <c r="B2288" t="str" cm="1">
        <f t="array" ref="B2288">INDEX(HotelList,MOD(ROW()-2,10)+1)</f>
        <v>H007</v>
      </c>
      <c r="C2288">
        <f>_xlfn.XLOOKUP(B2288,Dim_Hotel!$A$2:$A$11,Dim_Hotel!$F$2:$F$11)</f>
        <v>132</v>
      </c>
      <c r="D2288">
        <f t="shared" si="281"/>
        <v>73</v>
      </c>
      <c r="E2288">
        <f t="shared" si="282"/>
        <v>0.55303030303030298</v>
      </c>
      <c r="F2288">
        <f t="shared" si="283"/>
        <v>165</v>
      </c>
      <c r="G2288">
        <f t="shared" si="284"/>
        <v>91.249999999999986</v>
      </c>
      <c r="H2288" t="str">
        <f>_xlfn.XLOOKUP(A2288,Fact_Events!$D$2:$D$20,Fact_Events!$A$2:$A$20, "")</f>
        <v/>
      </c>
      <c r="I2288">
        <f t="shared" si="285"/>
        <v>0</v>
      </c>
      <c r="J2288" t="str">
        <f>_xlfn.XLOOKUP(H2288, Fact_Events!$A$2:$A$20, Fact_Events!$F$2:$F$20, "")</f>
        <v/>
      </c>
      <c r="K2288" t="str">
        <f t="shared" si="286"/>
        <v>Low</v>
      </c>
      <c r="L2288">
        <f t="shared" si="287"/>
        <v>0.55000000000000004</v>
      </c>
      <c r="M2288">
        <f>_xlfn.XLOOKUP(B2288, Dim_Hotel!$A$2:$A$11, Dim_Hotel!$I$2:$I$11)
 + (IF(J2288="",0,J2288)
    * _xlfn.XLOOKUP(B2288, Dim_Hotel!$A$2:$A$11, Dim_Hotel!$J$2:$J$11))</f>
        <v>165</v>
      </c>
    </row>
    <row r="2289" spans="1:13" x14ac:dyDescent="0.25">
      <c r="A2289" s="1">
        <f t="shared" si="280"/>
        <v>46251</v>
      </c>
      <c r="B2289" t="str" cm="1">
        <f t="array" ref="B2289">INDEX(HotelList,MOD(ROW()-2,10)+1)</f>
        <v>H008</v>
      </c>
      <c r="C2289">
        <f>_xlfn.XLOOKUP(B2289,Dim_Hotel!$A$2:$A$11,Dim_Hotel!$F$2:$F$11)</f>
        <v>103</v>
      </c>
      <c r="D2289">
        <f t="shared" si="281"/>
        <v>57</v>
      </c>
      <c r="E2289">
        <f t="shared" si="282"/>
        <v>0.55339805825242716</v>
      </c>
      <c r="F2289">
        <f t="shared" si="283"/>
        <v>140</v>
      </c>
      <c r="G2289">
        <f t="shared" si="284"/>
        <v>77.475728155339809</v>
      </c>
      <c r="H2289" t="str">
        <f>_xlfn.XLOOKUP(A2289,Fact_Events!$D$2:$D$20,Fact_Events!$A$2:$A$20, "")</f>
        <v/>
      </c>
      <c r="I2289">
        <f t="shared" si="285"/>
        <v>0</v>
      </c>
      <c r="J2289" t="str">
        <f>_xlfn.XLOOKUP(H2289, Fact_Events!$A$2:$A$20, Fact_Events!$F$2:$F$20, "")</f>
        <v/>
      </c>
      <c r="K2289" t="str">
        <f t="shared" si="286"/>
        <v>Low</v>
      </c>
      <c r="L2289">
        <f t="shared" si="287"/>
        <v>0.55000000000000004</v>
      </c>
      <c r="M2289">
        <f>_xlfn.XLOOKUP(B2289, Dim_Hotel!$A$2:$A$11, Dim_Hotel!$I$2:$I$11)
 + (IF(J2289="",0,J2289)
    * _xlfn.XLOOKUP(B2289, Dim_Hotel!$A$2:$A$11, Dim_Hotel!$J$2:$J$11))</f>
        <v>140</v>
      </c>
    </row>
    <row r="2290" spans="1:13" x14ac:dyDescent="0.25">
      <c r="A2290" s="1">
        <f t="shared" si="280"/>
        <v>46251</v>
      </c>
      <c r="B2290" t="str" cm="1">
        <f t="array" ref="B2290">INDEX(HotelList,MOD(ROW()-2,10)+1)</f>
        <v>H009</v>
      </c>
      <c r="C2290">
        <f>_xlfn.XLOOKUP(B2290,Dim_Hotel!$A$2:$A$11,Dim_Hotel!$F$2:$F$11)</f>
        <v>114</v>
      </c>
      <c r="D2290">
        <f t="shared" si="281"/>
        <v>63</v>
      </c>
      <c r="E2290">
        <f t="shared" si="282"/>
        <v>0.55263157894736847</v>
      </c>
      <c r="F2290">
        <f t="shared" si="283"/>
        <v>185</v>
      </c>
      <c r="G2290">
        <f t="shared" si="284"/>
        <v>102.23684210526316</v>
      </c>
      <c r="H2290" t="str">
        <f>_xlfn.XLOOKUP(A2290,Fact_Events!$D$2:$D$20,Fact_Events!$A$2:$A$20, "")</f>
        <v/>
      </c>
      <c r="I2290">
        <f t="shared" si="285"/>
        <v>0</v>
      </c>
      <c r="J2290" t="str">
        <f>_xlfn.XLOOKUP(H2290, Fact_Events!$A$2:$A$20, Fact_Events!$F$2:$F$20, "")</f>
        <v/>
      </c>
      <c r="K2290" t="str">
        <f t="shared" si="286"/>
        <v>Low</v>
      </c>
      <c r="L2290">
        <f t="shared" si="287"/>
        <v>0.55000000000000004</v>
      </c>
      <c r="M2290">
        <f>_xlfn.XLOOKUP(B2290, Dim_Hotel!$A$2:$A$11, Dim_Hotel!$I$2:$I$11)
 + (IF(J2290="",0,J2290)
    * _xlfn.XLOOKUP(B2290, Dim_Hotel!$A$2:$A$11, Dim_Hotel!$J$2:$J$11))</f>
        <v>185</v>
      </c>
    </row>
    <row r="2291" spans="1:13" x14ac:dyDescent="0.25">
      <c r="A2291" s="1">
        <f t="shared" si="280"/>
        <v>46251</v>
      </c>
      <c r="B2291" t="str" cm="1">
        <f t="array" ref="B2291">INDEX(HotelList,MOD(ROW()-2,10)+1)</f>
        <v>H010</v>
      </c>
      <c r="C2291">
        <f>_xlfn.XLOOKUP(B2291,Dim_Hotel!$A$2:$A$11,Dim_Hotel!$F$2:$F$11)</f>
        <v>89</v>
      </c>
      <c r="D2291">
        <f t="shared" si="281"/>
        <v>49</v>
      </c>
      <c r="E2291">
        <f t="shared" si="282"/>
        <v>0.550561797752809</v>
      </c>
      <c r="F2291">
        <f t="shared" si="283"/>
        <v>150</v>
      </c>
      <c r="G2291">
        <f t="shared" si="284"/>
        <v>82.584269662921344</v>
      </c>
      <c r="H2291" t="str">
        <f>_xlfn.XLOOKUP(A2291,Fact_Events!$D$2:$D$20,Fact_Events!$A$2:$A$20, "")</f>
        <v/>
      </c>
      <c r="I2291">
        <f t="shared" si="285"/>
        <v>0</v>
      </c>
      <c r="J2291" t="str">
        <f>_xlfn.XLOOKUP(H2291, Fact_Events!$A$2:$A$20, Fact_Events!$F$2:$F$20, "")</f>
        <v/>
      </c>
      <c r="K2291" t="str">
        <f t="shared" si="286"/>
        <v>Low</v>
      </c>
      <c r="L2291">
        <f t="shared" si="287"/>
        <v>0.55000000000000004</v>
      </c>
      <c r="M2291">
        <f>_xlfn.XLOOKUP(B2291, Dim_Hotel!$A$2:$A$11, Dim_Hotel!$I$2:$I$11)
 + (IF(J2291="",0,J2291)
    * _xlfn.XLOOKUP(B2291, Dim_Hotel!$A$2:$A$11, Dim_Hotel!$J$2:$J$11))</f>
        <v>150</v>
      </c>
    </row>
    <row r="2292" spans="1:13" x14ac:dyDescent="0.25">
      <c r="A2292" s="1">
        <f t="shared" si="280"/>
        <v>46252</v>
      </c>
      <c r="B2292" t="str" cm="1">
        <f t="array" ref="B2292">INDEX(HotelList,MOD(ROW()-2,10)+1)</f>
        <v>H001</v>
      </c>
      <c r="C2292">
        <f>_xlfn.XLOOKUP(B2292,Dim_Hotel!$A$2:$A$11,Dim_Hotel!$F$2:$F$11)</f>
        <v>888</v>
      </c>
      <c r="D2292">
        <f t="shared" si="281"/>
        <v>488</v>
      </c>
      <c r="E2292">
        <f t="shared" si="282"/>
        <v>0.5495495495495496</v>
      </c>
      <c r="F2292">
        <f t="shared" si="283"/>
        <v>260</v>
      </c>
      <c r="G2292">
        <f t="shared" si="284"/>
        <v>142.88288288288288</v>
      </c>
      <c r="H2292" t="str">
        <f>_xlfn.XLOOKUP(A2292,Fact_Events!$D$2:$D$20,Fact_Events!$A$2:$A$20, "")</f>
        <v/>
      </c>
      <c r="I2292">
        <f t="shared" si="285"/>
        <v>0</v>
      </c>
      <c r="J2292" t="str">
        <f>_xlfn.XLOOKUP(H2292, Fact_Events!$A$2:$A$20, Fact_Events!$F$2:$F$20, "")</f>
        <v/>
      </c>
      <c r="K2292" t="str">
        <f t="shared" si="286"/>
        <v>Low</v>
      </c>
      <c r="L2292">
        <f t="shared" si="287"/>
        <v>0.55000000000000004</v>
      </c>
      <c r="M2292">
        <f>_xlfn.XLOOKUP(B2292, Dim_Hotel!$A$2:$A$11, Dim_Hotel!$I$2:$I$11)
 + (IF(J2292="",0,J2292)
    * _xlfn.XLOOKUP(B2292, Dim_Hotel!$A$2:$A$11, Dim_Hotel!$J$2:$J$11))</f>
        <v>260</v>
      </c>
    </row>
    <row r="2293" spans="1:13" x14ac:dyDescent="0.25">
      <c r="A2293" s="1">
        <f t="shared" si="280"/>
        <v>46252</v>
      </c>
      <c r="B2293" t="str" cm="1">
        <f t="array" ref="B2293">INDEX(HotelList,MOD(ROW()-2,10)+1)</f>
        <v>H002</v>
      </c>
      <c r="C2293">
        <f>_xlfn.XLOOKUP(B2293,Dim_Hotel!$A$2:$A$11,Dim_Hotel!$F$2:$F$11)</f>
        <v>147</v>
      </c>
      <c r="D2293">
        <f t="shared" si="281"/>
        <v>81</v>
      </c>
      <c r="E2293">
        <f t="shared" si="282"/>
        <v>0.55102040816326525</v>
      </c>
      <c r="F2293">
        <f t="shared" si="283"/>
        <v>175</v>
      </c>
      <c r="G2293">
        <f t="shared" si="284"/>
        <v>96.428571428571416</v>
      </c>
      <c r="H2293" t="str">
        <f>_xlfn.XLOOKUP(A2293,Fact_Events!$D$2:$D$20,Fact_Events!$A$2:$A$20, "")</f>
        <v/>
      </c>
      <c r="I2293">
        <f t="shared" si="285"/>
        <v>0</v>
      </c>
      <c r="J2293" t="str">
        <f>_xlfn.XLOOKUP(H2293, Fact_Events!$A$2:$A$20, Fact_Events!$F$2:$F$20, "")</f>
        <v/>
      </c>
      <c r="K2293" t="str">
        <f t="shared" si="286"/>
        <v>Low</v>
      </c>
      <c r="L2293">
        <f t="shared" si="287"/>
        <v>0.55000000000000004</v>
      </c>
      <c r="M2293">
        <f>_xlfn.XLOOKUP(B2293, Dim_Hotel!$A$2:$A$11, Dim_Hotel!$I$2:$I$11)
 + (IF(J2293="",0,J2293)
    * _xlfn.XLOOKUP(B2293, Dim_Hotel!$A$2:$A$11, Dim_Hotel!$J$2:$J$11))</f>
        <v>175</v>
      </c>
    </row>
    <row r="2294" spans="1:13" x14ac:dyDescent="0.25">
      <c r="A2294" s="1">
        <f t="shared" si="280"/>
        <v>46252</v>
      </c>
      <c r="B2294" t="str" cm="1">
        <f t="array" ref="B2294">INDEX(HotelList,MOD(ROW()-2,10)+1)</f>
        <v>H003</v>
      </c>
      <c r="C2294">
        <f>_xlfn.XLOOKUP(B2294,Dim_Hotel!$A$2:$A$11,Dim_Hotel!$F$2:$F$11)</f>
        <v>121</v>
      </c>
      <c r="D2294">
        <f t="shared" si="281"/>
        <v>67</v>
      </c>
      <c r="E2294">
        <f t="shared" si="282"/>
        <v>0.55371900826446285</v>
      </c>
      <c r="F2294">
        <f t="shared" si="283"/>
        <v>145</v>
      </c>
      <c r="G2294">
        <f t="shared" si="284"/>
        <v>80.289256198347118</v>
      </c>
      <c r="H2294" t="str">
        <f>_xlfn.XLOOKUP(A2294,Fact_Events!$D$2:$D$20,Fact_Events!$A$2:$A$20, "")</f>
        <v/>
      </c>
      <c r="I2294">
        <f t="shared" si="285"/>
        <v>0</v>
      </c>
      <c r="J2294" t="str">
        <f>_xlfn.XLOOKUP(H2294, Fact_Events!$A$2:$A$20, Fact_Events!$F$2:$F$20, "")</f>
        <v/>
      </c>
      <c r="K2294" t="str">
        <f t="shared" si="286"/>
        <v>Low</v>
      </c>
      <c r="L2294">
        <f t="shared" si="287"/>
        <v>0.55000000000000004</v>
      </c>
      <c r="M2294">
        <f>_xlfn.XLOOKUP(B2294, Dim_Hotel!$A$2:$A$11, Dim_Hotel!$I$2:$I$11)
 + (IF(J2294="",0,J2294)
    * _xlfn.XLOOKUP(B2294, Dim_Hotel!$A$2:$A$11, Dim_Hotel!$J$2:$J$11))</f>
        <v>145</v>
      </c>
    </row>
    <row r="2295" spans="1:13" x14ac:dyDescent="0.25">
      <c r="A2295" s="1">
        <f t="shared" si="280"/>
        <v>46252</v>
      </c>
      <c r="B2295" t="str" cm="1">
        <f t="array" ref="B2295">INDEX(HotelList,MOD(ROW()-2,10)+1)</f>
        <v>H004</v>
      </c>
      <c r="C2295">
        <f>_xlfn.XLOOKUP(B2295,Dim_Hotel!$A$2:$A$11,Dim_Hotel!$F$2:$F$11)</f>
        <v>108</v>
      </c>
      <c r="D2295">
        <f t="shared" si="281"/>
        <v>59</v>
      </c>
      <c r="E2295">
        <f t="shared" si="282"/>
        <v>0.54629629629629628</v>
      </c>
      <c r="F2295">
        <f t="shared" si="283"/>
        <v>135</v>
      </c>
      <c r="G2295">
        <f t="shared" si="284"/>
        <v>73.75</v>
      </c>
      <c r="H2295" t="str">
        <f>_xlfn.XLOOKUP(A2295,Fact_Events!$D$2:$D$20,Fact_Events!$A$2:$A$20, "")</f>
        <v/>
      </c>
      <c r="I2295">
        <f t="shared" si="285"/>
        <v>0</v>
      </c>
      <c r="J2295" t="str">
        <f>_xlfn.XLOOKUP(H2295, Fact_Events!$A$2:$A$20, Fact_Events!$F$2:$F$20, "")</f>
        <v/>
      </c>
      <c r="K2295" t="str">
        <f t="shared" si="286"/>
        <v>Low</v>
      </c>
      <c r="L2295">
        <f t="shared" si="287"/>
        <v>0.55000000000000004</v>
      </c>
      <c r="M2295">
        <f>_xlfn.XLOOKUP(B2295, Dim_Hotel!$A$2:$A$11, Dim_Hotel!$I$2:$I$11)
 + (IF(J2295="",0,J2295)
    * _xlfn.XLOOKUP(B2295, Dim_Hotel!$A$2:$A$11, Dim_Hotel!$J$2:$J$11))</f>
        <v>135</v>
      </c>
    </row>
    <row r="2296" spans="1:13" x14ac:dyDescent="0.25">
      <c r="A2296" s="1">
        <f t="shared" si="280"/>
        <v>46252</v>
      </c>
      <c r="B2296" t="str" cm="1">
        <f t="array" ref="B2296">INDEX(HotelList,MOD(ROW()-2,10)+1)</f>
        <v>H005</v>
      </c>
      <c r="C2296">
        <f>_xlfn.XLOOKUP(B2296,Dim_Hotel!$A$2:$A$11,Dim_Hotel!$F$2:$F$11)</f>
        <v>66</v>
      </c>
      <c r="D2296">
        <f t="shared" si="281"/>
        <v>36</v>
      </c>
      <c r="E2296">
        <f t="shared" si="282"/>
        <v>0.54545454545454541</v>
      </c>
      <c r="F2296">
        <f t="shared" si="283"/>
        <v>82</v>
      </c>
      <c r="G2296">
        <f t="shared" si="284"/>
        <v>44.727272727272727</v>
      </c>
      <c r="H2296" t="str">
        <f>_xlfn.XLOOKUP(A2296,Fact_Events!$D$2:$D$20,Fact_Events!$A$2:$A$20, "")</f>
        <v/>
      </c>
      <c r="I2296">
        <f t="shared" si="285"/>
        <v>0</v>
      </c>
      <c r="J2296" t="str">
        <f>_xlfn.XLOOKUP(H2296, Fact_Events!$A$2:$A$20, Fact_Events!$F$2:$F$20, "")</f>
        <v/>
      </c>
      <c r="K2296" t="str">
        <f t="shared" si="286"/>
        <v>Low</v>
      </c>
      <c r="L2296">
        <f t="shared" si="287"/>
        <v>0.55000000000000004</v>
      </c>
      <c r="M2296">
        <f>_xlfn.XLOOKUP(B2296, Dim_Hotel!$A$2:$A$11, Dim_Hotel!$I$2:$I$11)
 + (IF(J2296="",0,J2296)
    * _xlfn.XLOOKUP(B2296, Dim_Hotel!$A$2:$A$11, Dim_Hotel!$J$2:$J$11))</f>
        <v>82</v>
      </c>
    </row>
    <row r="2297" spans="1:13" x14ac:dyDescent="0.25">
      <c r="A2297" s="1">
        <f t="shared" si="280"/>
        <v>46252</v>
      </c>
      <c r="B2297" t="str" cm="1">
        <f t="array" ref="B2297">INDEX(HotelList,MOD(ROW()-2,10)+1)</f>
        <v>H006</v>
      </c>
      <c r="C2297">
        <f>_xlfn.XLOOKUP(B2297,Dim_Hotel!$A$2:$A$11,Dim_Hotel!$F$2:$F$11)</f>
        <v>311</v>
      </c>
      <c r="D2297">
        <f t="shared" si="281"/>
        <v>171</v>
      </c>
      <c r="E2297">
        <f t="shared" si="282"/>
        <v>0.54983922829581988</v>
      </c>
      <c r="F2297">
        <f t="shared" si="283"/>
        <v>190</v>
      </c>
      <c r="G2297">
        <f t="shared" si="284"/>
        <v>104.46945337620578</v>
      </c>
      <c r="H2297" t="str">
        <f>_xlfn.XLOOKUP(A2297,Fact_Events!$D$2:$D$20,Fact_Events!$A$2:$A$20, "")</f>
        <v/>
      </c>
      <c r="I2297">
        <f t="shared" si="285"/>
        <v>0</v>
      </c>
      <c r="J2297" t="str">
        <f>_xlfn.XLOOKUP(H2297, Fact_Events!$A$2:$A$20, Fact_Events!$F$2:$F$20, "")</f>
        <v/>
      </c>
      <c r="K2297" t="str">
        <f t="shared" si="286"/>
        <v>Low</v>
      </c>
      <c r="L2297">
        <f t="shared" si="287"/>
        <v>0.55000000000000004</v>
      </c>
      <c r="M2297">
        <f>_xlfn.XLOOKUP(B2297, Dim_Hotel!$A$2:$A$11, Dim_Hotel!$I$2:$I$11)
 + (IF(J2297="",0,J2297)
    * _xlfn.XLOOKUP(B2297, Dim_Hotel!$A$2:$A$11, Dim_Hotel!$J$2:$J$11))</f>
        <v>190</v>
      </c>
    </row>
    <row r="2298" spans="1:13" x14ac:dyDescent="0.25">
      <c r="A2298" s="1">
        <f t="shared" si="280"/>
        <v>46252</v>
      </c>
      <c r="B2298" t="str" cm="1">
        <f t="array" ref="B2298">INDEX(HotelList,MOD(ROW()-2,10)+1)</f>
        <v>H007</v>
      </c>
      <c r="C2298">
        <f>_xlfn.XLOOKUP(B2298,Dim_Hotel!$A$2:$A$11,Dim_Hotel!$F$2:$F$11)</f>
        <v>132</v>
      </c>
      <c r="D2298">
        <f t="shared" si="281"/>
        <v>73</v>
      </c>
      <c r="E2298">
        <f t="shared" si="282"/>
        <v>0.55303030303030298</v>
      </c>
      <c r="F2298">
        <f t="shared" si="283"/>
        <v>165</v>
      </c>
      <c r="G2298">
        <f t="shared" si="284"/>
        <v>91.249999999999986</v>
      </c>
      <c r="H2298" t="str">
        <f>_xlfn.XLOOKUP(A2298,Fact_Events!$D$2:$D$20,Fact_Events!$A$2:$A$20, "")</f>
        <v/>
      </c>
      <c r="I2298">
        <f t="shared" si="285"/>
        <v>0</v>
      </c>
      <c r="J2298" t="str">
        <f>_xlfn.XLOOKUP(H2298, Fact_Events!$A$2:$A$20, Fact_Events!$F$2:$F$20, "")</f>
        <v/>
      </c>
      <c r="K2298" t="str">
        <f t="shared" si="286"/>
        <v>Low</v>
      </c>
      <c r="L2298">
        <f t="shared" si="287"/>
        <v>0.55000000000000004</v>
      </c>
      <c r="M2298">
        <f>_xlfn.XLOOKUP(B2298, Dim_Hotel!$A$2:$A$11, Dim_Hotel!$I$2:$I$11)
 + (IF(J2298="",0,J2298)
    * _xlfn.XLOOKUP(B2298, Dim_Hotel!$A$2:$A$11, Dim_Hotel!$J$2:$J$11))</f>
        <v>165</v>
      </c>
    </row>
    <row r="2299" spans="1:13" x14ac:dyDescent="0.25">
      <c r="A2299" s="1">
        <f t="shared" si="280"/>
        <v>46252</v>
      </c>
      <c r="B2299" t="str" cm="1">
        <f t="array" ref="B2299">INDEX(HotelList,MOD(ROW()-2,10)+1)</f>
        <v>H008</v>
      </c>
      <c r="C2299">
        <f>_xlfn.XLOOKUP(B2299,Dim_Hotel!$A$2:$A$11,Dim_Hotel!$F$2:$F$11)</f>
        <v>103</v>
      </c>
      <c r="D2299">
        <f t="shared" si="281"/>
        <v>57</v>
      </c>
      <c r="E2299">
        <f t="shared" si="282"/>
        <v>0.55339805825242716</v>
      </c>
      <c r="F2299">
        <f t="shared" si="283"/>
        <v>140</v>
      </c>
      <c r="G2299">
        <f t="shared" si="284"/>
        <v>77.475728155339809</v>
      </c>
      <c r="H2299" t="str">
        <f>_xlfn.XLOOKUP(A2299,Fact_Events!$D$2:$D$20,Fact_Events!$A$2:$A$20, "")</f>
        <v/>
      </c>
      <c r="I2299">
        <f t="shared" si="285"/>
        <v>0</v>
      </c>
      <c r="J2299" t="str">
        <f>_xlfn.XLOOKUP(H2299, Fact_Events!$A$2:$A$20, Fact_Events!$F$2:$F$20, "")</f>
        <v/>
      </c>
      <c r="K2299" t="str">
        <f t="shared" si="286"/>
        <v>Low</v>
      </c>
      <c r="L2299">
        <f t="shared" si="287"/>
        <v>0.55000000000000004</v>
      </c>
      <c r="M2299">
        <f>_xlfn.XLOOKUP(B2299, Dim_Hotel!$A$2:$A$11, Dim_Hotel!$I$2:$I$11)
 + (IF(J2299="",0,J2299)
    * _xlfn.XLOOKUP(B2299, Dim_Hotel!$A$2:$A$11, Dim_Hotel!$J$2:$J$11))</f>
        <v>140</v>
      </c>
    </row>
    <row r="2300" spans="1:13" x14ac:dyDescent="0.25">
      <c r="A2300" s="1">
        <f t="shared" si="280"/>
        <v>46252</v>
      </c>
      <c r="B2300" t="str" cm="1">
        <f t="array" ref="B2300">INDEX(HotelList,MOD(ROW()-2,10)+1)</f>
        <v>H009</v>
      </c>
      <c r="C2300">
        <f>_xlfn.XLOOKUP(B2300,Dim_Hotel!$A$2:$A$11,Dim_Hotel!$F$2:$F$11)</f>
        <v>114</v>
      </c>
      <c r="D2300">
        <f t="shared" si="281"/>
        <v>63</v>
      </c>
      <c r="E2300">
        <f t="shared" si="282"/>
        <v>0.55263157894736847</v>
      </c>
      <c r="F2300">
        <f t="shared" si="283"/>
        <v>185</v>
      </c>
      <c r="G2300">
        <f t="shared" si="284"/>
        <v>102.23684210526316</v>
      </c>
      <c r="H2300" t="str">
        <f>_xlfn.XLOOKUP(A2300,Fact_Events!$D$2:$D$20,Fact_Events!$A$2:$A$20, "")</f>
        <v/>
      </c>
      <c r="I2300">
        <f t="shared" si="285"/>
        <v>0</v>
      </c>
      <c r="J2300" t="str">
        <f>_xlfn.XLOOKUP(H2300, Fact_Events!$A$2:$A$20, Fact_Events!$F$2:$F$20, "")</f>
        <v/>
      </c>
      <c r="K2300" t="str">
        <f t="shared" si="286"/>
        <v>Low</v>
      </c>
      <c r="L2300">
        <f t="shared" si="287"/>
        <v>0.55000000000000004</v>
      </c>
      <c r="M2300">
        <f>_xlfn.XLOOKUP(B2300, Dim_Hotel!$A$2:$A$11, Dim_Hotel!$I$2:$I$11)
 + (IF(J2300="",0,J2300)
    * _xlfn.XLOOKUP(B2300, Dim_Hotel!$A$2:$A$11, Dim_Hotel!$J$2:$J$11))</f>
        <v>185</v>
      </c>
    </row>
    <row r="2301" spans="1:13" x14ac:dyDescent="0.25">
      <c r="A2301" s="1">
        <f t="shared" si="280"/>
        <v>46252</v>
      </c>
      <c r="B2301" t="str" cm="1">
        <f t="array" ref="B2301">INDEX(HotelList,MOD(ROW()-2,10)+1)</f>
        <v>H010</v>
      </c>
      <c r="C2301">
        <f>_xlfn.XLOOKUP(B2301,Dim_Hotel!$A$2:$A$11,Dim_Hotel!$F$2:$F$11)</f>
        <v>89</v>
      </c>
      <c r="D2301">
        <f t="shared" si="281"/>
        <v>49</v>
      </c>
      <c r="E2301">
        <f t="shared" si="282"/>
        <v>0.550561797752809</v>
      </c>
      <c r="F2301">
        <f t="shared" si="283"/>
        <v>150</v>
      </c>
      <c r="G2301">
        <f t="shared" si="284"/>
        <v>82.584269662921344</v>
      </c>
      <c r="H2301" t="str">
        <f>_xlfn.XLOOKUP(A2301,Fact_Events!$D$2:$D$20,Fact_Events!$A$2:$A$20, "")</f>
        <v/>
      </c>
      <c r="I2301">
        <f t="shared" si="285"/>
        <v>0</v>
      </c>
      <c r="J2301" t="str">
        <f>_xlfn.XLOOKUP(H2301, Fact_Events!$A$2:$A$20, Fact_Events!$F$2:$F$20, "")</f>
        <v/>
      </c>
      <c r="K2301" t="str">
        <f t="shared" si="286"/>
        <v>Low</v>
      </c>
      <c r="L2301">
        <f t="shared" si="287"/>
        <v>0.55000000000000004</v>
      </c>
      <c r="M2301">
        <f>_xlfn.XLOOKUP(B2301, Dim_Hotel!$A$2:$A$11, Dim_Hotel!$I$2:$I$11)
 + (IF(J2301="",0,J2301)
    * _xlfn.XLOOKUP(B2301, Dim_Hotel!$A$2:$A$11, Dim_Hotel!$J$2:$J$11))</f>
        <v>150</v>
      </c>
    </row>
    <row r="2302" spans="1:13" x14ac:dyDescent="0.25">
      <c r="A2302" s="1">
        <f t="shared" si="280"/>
        <v>46253</v>
      </c>
      <c r="B2302" t="str" cm="1">
        <f t="array" ref="B2302">INDEX(HotelList,MOD(ROW()-2,10)+1)</f>
        <v>H001</v>
      </c>
      <c r="C2302">
        <f>_xlfn.XLOOKUP(B2302,Dim_Hotel!$A$2:$A$11,Dim_Hotel!$F$2:$F$11)</f>
        <v>888</v>
      </c>
      <c r="D2302">
        <f t="shared" si="281"/>
        <v>488</v>
      </c>
      <c r="E2302">
        <f t="shared" si="282"/>
        <v>0.5495495495495496</v>
      </c>
      <c r="F2302">
        <f t="shared" si="283"/>
        <v>260</v>
      </c>
      <c r="G2302">
        <f t="shared" si="284"/>
        <v>142.88288288288288</v>
      </c>
      <c r="H2302" t="str">
        <f>_xlfn.XLOOKUP(A2302,Fact_Events!$D$2:$D$20,Fact_Events!$A$2:$A$20, "")</f>
        <v/>
      </c>
      <c r="I2302">
        <f t="shared" si="285"/>
        <v>0</v>
      </c>
      <c r="J2302" t="str">
        <f>_xlfn.XLOOKUP(H2302, Fact_Events!$A$2:$A$20, Fact_Events!$F$2:$F$20, "")</f>
        <v/>
      </c>
      <c r="K2302" t="str">
        <f t="shared" si="286"/>
        <v>Low</v>
      </c>
      <c r="L2302">
        <f t="shared" si="287"/>
        <v>0.55000000000000004</v>
      </c>
      <c r="M2302">
        <f>_xlfn.XLOOKUP(B2302, Dim_Hotel!$A$2:$A$11, Dim_Hotel!$I$2:$I$11)
 + (IF(J2302="",0,J2302)
    * _xlfn.XLOOKUP(B2302, Dim_Hotel!$A$2:$A$11, Dim_Hotel!$J$2:$J$11))</f>
        <v>260</v>
      </c>
    </row>
    <row r="2303" spans="1:13" x14ac:dyDescent="0.25">
      <c r="A2303" s="1">
        <f t="shared" si="280"/>
        <v>46253</v>
      </c>
      <c r="B2303" t="str" cm="1">
        <f t="array" ref="B2303">INDEX(HotelList,MOD(ROW()-2,10)+1)</f>
        <v>H002</v>
      </c>
      <c r="C2303">
        <f>_xlfn.XLOOKUP(B2303,Dim_Hotel!$A$2:$A$11,Dim_Hotel!$F$2:$F$11)</f>
        <v>147</v>
      </c>
      <c r="D2303">
        <f t="shared" si="281"/>
        <v>81</v>
      </c>
      <c r="E2303">
        <f t="shared" si="282"/>
        <v>0.55102040816326525</v>
      </c>
      <c r="F2303">
        <f t="shared" si="283"/>
        <v>175</v>
      </c>
      <c r="G2303">
        <f t="shared" si="284"/>
        <v>96.428571428571416</v>
      </c>
      <c r="H2303" t="str">
        <f>_xlfn.XLOOKUP(A2303,Fact_Events!$D$2:$D$20,Fact_Events!$A$2:$A$20, "")</f>
        <v/>
      </c>
      <c r="I2303">
        <f t="shared" si="285"/>
        <v>0</v>
      </c>
      <c r="J2303" t="str">
        <f>_xlfn.XLOOKUP(H2303, Fact_Events!$A$2:$A$20, Fact_Events!$F$2:$F$20, "")</f>
        <v/>
      </c>
      <c r="K2303" t="str">
        <f t="shared" si="286"/>
        <v>Low</v>
      </c>
      <c r="L2303">
        <f t="shared" si="287"/>
        <v>0.55000000000000004</v>
      </c>
      <c r="M2303">
        <f>_xlfn.XLOOKUP(B2303, Dim_Hotel!$A$2:$A$11, Dim_Hotel!$I$2:$I$11)
 + (IF(J2303="",0,J2303)
    * _xlfn.XLOOKUP(B2303, Dim_Hotel!$A$2:$A$11, Dim_Hotel!$J$2:$J$11))</f>
        <v>175</v>
      </c>
    </row>
    <row r="2304" spans="1:13" x14ac:dyDescent="0.25">
      <c r="A2304" s="1">
        <f t="shared" si="280"/>
        <v>46253</v>
      </c>
      <c r="B2304" t="str" cm="1">
        <f t="array" ref="B2304">INDEX(HotelList,MOD(ROW()-2,10)+1)</f>
        <v>H003</v>
      </c>
      <c r="C2304">
        <f>_xlfn.XLOOKUP(B2304,Dim_Hotel!$A$2:$A$11,Dim_Hotel!$F$2:$F$11)</f>
        <v>121</v>
      </c>
      <c r="D2304">
        <f t="shared" si="281"/>
        <v>67</v>
      </c>
      <c r="E2304">
        <f t="shared" si="282"/>
        <v>0.55371900826446285</v>
      </c>
      <c r="F2304">
        <f t="shared" si="283"/>
        <v>145</v>
      </c>
      <c r="G2304">
        <f t="shared" si="284"/>
        <v>80.289256198347118</v>
      </c>
      <c r="H2304" t="str">
        <f>_xlfn.XLOOKUP(A2304,Fact_Events!$D$2:$D$20,Fact_Events!$A$2:$A$20, "")</f>
        <v/>
      </c>
      <c r="I2304">
        <f t="shared" si="285"/>
        <v>0</v>
      </c>
      <c r="J2304" t="str">
        <f>_xlfn.XLOOKUP(H2304, Fact_Events!$A$2:$A$20, Fact_Events!$F$2:$F$20, "")</f>
        <v/>
      </c>
      <c r="K2304" t="str">
        <f t="shared" si="286"/>
        <v>Low</v>
      </c>
      <c r="L2304">
        <f t="shared" si="287"/>
        <v>0.55000000000000004</v>
      </c>
      <c r="M2304">
        <f>_xlfn.XLOOKUP(B2304, Dim_Hotel!$A$2:$A$11, Dim_Hotel!$I$2:$I$11)
 + (IF(J2304="",0,J2304)
    * _xlfn.XLOOKUP(B2304, Dim_Hotel!$A$2:$A$11, Dim_Hotel!$J$2:$J$11))</f>
        <v>145</v>
      </c>
    </row>
    <row r="2305" spans="1:13" x14ac:dyDescent="0.25">
      <c r="A2305" s="1">
        <f t="shared" si="280"/>
        <v>46253</v>
      </c>
      <c r="B2305" t="str" cm="1">
        <f t="array" ref="B2305">INDEX(HotelList,MOD(ROW()-2,10)+1)</f>
        <v>H004</v>
      </c>
      <c r="C2305">
        <f>_xlfn.XLOOKUP(B2305,Dim_Hotel!$A$2:$A$11,Dim_Hotel!$F$2:$F$11)</f>
        <v>108</v>
      </c>
      <c r="D2305">
        <f t="shared" si="281"/>
        <v>59</v>
      </c>
      <c r="E2305">
        <f t="shared" si="282"/>
        <v>0.54629629629629628</v>
      </c>
      <c r="F2305">
        <f t="shared" si="283"/>
        <v>135</v>
      </c>
      <c r="G2305">
        <f t="shared" si="284"/>
        <v>73.75</v>
      </c>
      <c r="H2305" t="str">
        <f>_xlfn.XLOOKUP(A2305,Fact_Events!$D$2:$D$20,Fact_Events!$A$2:$A$20, "")</f>
        <v/>
      </c>
      <c r="I2305">
        <f t="shared" si="285"/>
        <v>0</v>
      </c>
      <c r="J2305" t="str">
        <f>_xlfn.XLOOKUP(H2305, Fact_Events!$A$2:$A$20, Fact_Events!$F$2:$F$20, "")</f>
        <v/>
      </c>
      <c r="K2305" t="str">
        <f t="shared" si="286"/>
        <v>Low</v>
      </c>
      <c r="L2305">
        <f t="shared" si="287"/>
        <v>0.55000000000000004</v>
      </c>
      <c r="M2305">
        <f>_xlfn.XLOOKUP(B2305, Dim_Hotel!$A$2:$A$11, Dim_Hotel!$I$2:$I$11)
 + (IF(J2305="",0,J2305)
    * _xlfn.XLOOKUP(B2305, Dim_Hotel!$A$2:$A$11, Dim_Hotel!$J$2:$J$11))</f>
        <v>135</v>
      </c>
    </row>
    <row r="2306" spans="1:13" x14ac:dyDescent="0.25">
      <c r="A2306" s="1">
        <f t="shared" si="280"/>
        <v>46253</v>
      </c>
      <c r="B2306" t="str" cm="1">
        <f t="array" ref="B2306">INDEX(HotelList,MOD(ROW()-2,10)+1)</f>
        <v>H005</v>
      </c>
      <c r="C2306">
        <f>_xlfn.XLOOKUP(B2306,Dim_Hotel!$A$2:$A$11,Dim_Hotel!$F$2:$F$11)</f>
        <v>66</v>
      </c>
      <c r="D2306">
        <f t="shared" si="281"/>
        <v>36</v>
      </c>
      <c r="E2306">
        <f t="shared" si="282"/>
        <v>0.54545454545454541</v>
      </c>
      <c r="F2306">
        <f t="shared" si="283"/>
        <v>82</v>
      </c>
      <c r="G2306">
        <f t="shared" si="284"/>
        <v>44.727272727272727</v>
      </c>
      <c r="H2306" t="str">
        <f>_xlfn.XLOOKUP(A2306,Fact_Events!$D$2:$D$20,Fact_Events!$A$2:$A$20, "")</f>
        <v/>
      </c>
      <c r="I2306">
        <f t="shared" si="285"/>
        <v>0</v>
      </c>
      <c r="J2306" t="str">
        <f>_xlfn.XLOOKUP(H2306, Fact_Events!$A$2:$A$20, Fact_Events!$F$2:$F$20, "")</f>
        <v/>
      </c>
      <c r="K2306" t="str">
        <f t="shared" si="286"/>
        <v>Low</v>
      </c>
      <c r="L2306">
        <f t="shared" si="287"/>
        <v>0.55000000000000004</v>
      </c>
      <c r="M2306">
        <f>_xlfn.XLOOKUP(B2306, Dim_Hotel!$A$2:$A$11, Dim_Hotel!$I$2:$I$11)
 + (IF(J2306="",0,J2306)
    * _xlfn.XLOOKUP(B2306, Dim_Hotel!$A$2:$A$11, Dim_Hotel!$J$2:$J$11))</f>
        <v>82</v>
      </c>
    </row>
    <row r="2307" spans="1:13" x14ac:dyDescent="0.25">
      <c r="A2307" s="1">
        <f t="shared" ref="A2307:A2370" si="288">DATE(2026,1,1) + INT((ROW()-2)/10)</f>
        <v>46253</v>
      </c>
      <c r="B2307" t="str" cm="1">
        <f t="array" ref="B2307">INDEX(HotelList,MOD(ROW()-2,10)+1)</f>
        <v>H006</v>
      </c>
      <c r="C2307">
        <f>_xlfn.XLOOKUP(B2307,Dim_Hotel!$A$2:$A$11,Dim_Hotel!$F$2:$F$11)</f>
        <v>311</v>
      </c>
      <c r="D2307">
        <f t="shared" ref="D2307:D2370" si="289">ROUND(L2307 * C2307, 0)</f>
        <v>171</v>
      </c>
      <c r="E2307">
        <f t="shared" ref="E2307:E2370" si="290">D2307/C2307</f>
        <v>0.54983922829581988</v>
      </c>
      <c r="F2307">
        <f t="shared" ref="F2307:F2370" si="291">M2307</f>
        <v>190</v>
      </c>
      <c r="G2307">
        <f t="shared" ref="G2307:G2370" si="292">E2307*F2307</f>
        <v>104.46945337620578</v>
      </c>
      <c r="H2307" t="str">
        <f>_xlfn.XLOOKUP(A2307,Fact_Events!$D$2:$D$20,Fact_Events!$A$2:$A$20, "")</f>
        <v/>
      </c>
      <c r="I2307">
        <f t="shared" ref="I2307:I2370" si="293">IF(H2307="",0,1)</f>
        <v>0</v>
      </c>
      <c r="J2307" t="str">
        <f>_xlfn.XLOOKUP(H2307, Fact_Events!$A$2:$A$20, Fact_Events!$F$2:$F$20, "")</f>
        <v/>
      </c>
      <c r="K2307" t="str">
        <f t="shared" ref="K2307:K2370" si="294">IF(I2307=0,"Low",
   IF(J2307&gt;=9,"High","Medium"))</f>
        <v>Low</v>
      </c>
      <c r="L2307">
        <f t="shared" ref="L2307:L2370" si="295">MIN(1,
  0.55
  + (I2307 * 0.25)
  + (IF(J2307="",0,J2307) / 100)
)</f>
        <v>0.55000000000000004</v>
      </c>
      <c r="M2307">
        <f>_xlfn.XLOOKUP(B2307, Dim_Hotel!$A$2:$A$11, Dim_Hotel!$I$2:$I$11)
 + (IF(J2307="",0,J2307)
    * _xlfn.XLOOKUP(B2307, Dim_Hotel!$A$2:$A$11, Dim_Hotel!$J$2:$J$11))</f>
        <v>190</v>
      </c>
    </row>
    <row r="2308" spans="1:13" x14ac:dyDescent="0.25">
      <c r="A2308" s="1">
        <f t="shared" si="288"/>
        <v>46253</v>
      </c>
      <c r="B2308" t="str" cm="1">
        <f t="array" ref="B2308">INDEX(HotelList,MOD(ROW()-2,10)+1)</f>
        <v>H007</v>
      </c>
      <c r="C2308">
        <f>_xlfn.XLOOKUP(B2308,Dim_Hotel!$A$2:$A$11,Dim_Hotel!$F$2:$F$11)</f>
        <v>132</v>
      </c>
      <c r="D2308">
        <f t="shared" si="289"/>
        <v>73</v>
      </c>
      <c r="E2308">
        <f t="shared" si="290"/>
        <v>0.55303030303030298</v>
      </c>
      <c r="F2308">
        <f t="shared" si="291"/>
        <v>165</v>
      </c>
      <c r="G2308">
        <f t="shared" si="292"/>
        <v>91.249999999999986</v>
      </c>
      <c r="H2308" t="str">
        <f>_xlfn.XLOOKUP(A2308,Fact_Events!$D$2:$D$20,Fact_Events!$A$2:$A$20, "")</f>
        <v/>
      </c>
      <c r="I2308">
        <f t="shared" si="293"/>
        <v>0</v>
      </c>
      <c r="J2308" t="str">
        <f>_xlfn.XLOOKUP(H2308, Fact_Events!$A$2:$A$20, Fact_Events!$F$2:$F$20, "")</f>
        <v/>
      </c>
      <c r="K2308" t="str">
        <f t="shared" si="294"/>
        <v>Low</v>
      </c>
      <c r="L2308">
        <f t="shared" si="295"/>
        <v>0.55000000000000004</v>
      </c>
      <c r="M2308">
        <f>_xlfn.XLOOKUP(B2308, Dim_Hotel!$A$2:$A$11, Dim_Hotel!$I$2:$I$11)
 + (IF(J2308="",0,J2308)
    * _xlfn.XLOOKUP(B2308, Dim_Hotel!$A$2:$A$11, Dim_Hotel!$J$2:$J$11))</f>
        <v>165</v>
      </c>
    </row>
    <row r="2309" spans="1:13" x14ac:dyDescent="0.25">
      <c r="A2309" s="1">
        <f t="shared" si="288"/>
        <v>46253</v>
      </c>
      <c r="B2309" t="str" cm="1">
        <f t="array" ref="B2309">INDEX(HotelList,MOD(ROW()-2,10)+1)</f>
        <v>H008</v>
      </c>
      <c r="C2309">
        <f>_xlfn.XLOOKUP(B2309,Dim_Hotel!$A$2:$A$11,Dim_Hotel!$F$2:$F$11)</f>
        <v>103</v>
      </c>
      <c r="D2309">
        <f t="shared" si="289"/>
        <v>57</v>
      </c>
      <c r="E2309">
        <f t="shared" si="290"/>
        <v>0.55339805825242716</v>
      </c>
      <c r="F2309">
        <f t="shared" si="291"/>
        <v>140</v>
      </c>
      <c r="G2309">
        <f t="shared" si="292"/>
        <v>77.475728155339809</v>
      </c>
      <c r="H2309" t="str">
        <f>_xlfn.XLOOKUP(A2309,Fact_Events!$D$2:$D$20,Fact_Events!$A$2:$A$20, "")</f>
        <v/>
      </c>
      <c r="I2309">
        <f t="shared" si="293"/>
        <v>0</v>
      </c>
      <c r="J2309" t="str">
        <f>_xlfn.XLOOKUP(H2309, Fact_Events!$A$2:$A$20, Fact_Events!$F$2:$F$20, "")</f>
        <v/>
      </c>
      <c r="K2309" t="str">
        <f t="shared" si="294"/>
        <v>Low</v>
      </c>
      <c r="L2309">
        <f t="shared" si="295"/>
        <v>0.55000000000000004</v>
      </c>
      <c r="M2309">
        <f>_xlfn.XLOOKUP(B2309, Dim_Hotel!$A$2:$A$11, Dim_Hotel!$I$2:$I$11)
 + (IF(J2309="",0,J2309)
    * _xlfn.XLOOKUP(B2309, Dim_Hotel!$A$2:$A$11, Dim_Hotel!$J$2:$J$11))</f>
        <v>140</v>
      </c>
    </row>
    <row r="2310" spans="1:13" x14ac:dyDescent="0.25">
      <c r="A2310" s="1">
        <f t="shared" si="288"/>
        <v>46253</v>
      </c>
      <c r="B2310" t="str" cm="1">
        <f t="array" ref="B2310">INDEX(HotelList,MOD(ROW()-2,10)+1)</f>
        <v>H009</v>
      </c>
      <c r="C2310">
        <f>_xlfn.XLOOKUP(B2310,Dim_Hotel!$A$2:$A$11,Dim_Hotel!$F$2:$F$11)</f>
        <v>114</v>
      </c>
      <c r="D2310">
        <f t="shared" si="289"/>
        <v>63</v>
      </c>
      <c r="E2310">
        <f t="shared" si="290"/>
        <v>0.55263157894736847</v>
      </c>
      <c r="F2310">
        <f t="shared" si="291"/>
        <v>185</v>
      </c>
      <c r="G2310">
        <f t="shared" si="292"/>
        <v>102.23684210526316</v>
      </c>
      <c r="H2310" t="str">
        <f>_xlfn.XLOOKUP(A2310,Fact_Events!$D$2:$D$20,Fact_Events!$A$2:$A$20, "")</f>
        <v/>
      </c>
      <c r="I2310">
        <f t="shared" si="293"/>
        <v>0</v>
      </c>
      <c r="J2310" t="str">
        <f>_xlfn.XLOOKUP(H2310, Fact_Events!$A$2:$A$20, Fact_Events!$F$2:$F$20, "")</f>
        <v/>
      </c>
      <c r="K2310" t="str">
        <f t="shared" si="294"/>
        <v>Low</v>
      </c>
      <c r="L2310">
        <f t="shared" si="295"/>
        <v>0.55000000000000004</v>
      </c>
      <c r="M2310">
        <f>_xlfn.XLOOKUP(B2310, Dim_Hotel!$A$2:$A$11, Dim_Hotel!$I$2:$I$11)
 + (IF(J2310="",0,J2310)
    * _xlfn.XLOOKUP(B2310, Dim_Hotel!$A$2:$A$11, Dim_Hotel!$J$2:$J$11))</f>
        <v>185</v>
      </c>
    </row>
    <row r="2311" spans="1:13" x14ac:dyDescent="0.25">
      <c r="A2311" s="1">
        <f t="shared" si="288"/>
        <v>46253</v>
      </c>
      <c r="B2311" t="str" cm="1">
        <f t="array" ref="B2311">INDEX(HotelList,MOD(ROW()-2,10)+1)</f>
        <v>H010</v>
      </c>
      <c r="C2311">
        <f>_xlfn.XLOOKUP(B2311,Dim_Hotel!$A$2:$A$11,Dim_Hotel!$F$2:$F$11)</f>
        <v>89</v>
      </c>
      <c r="D2311">
        <f t="shared" si="289"/>
        <v>49</v>
      </c>
      <c r="E2311">
        <f t="shared" si="290"/>
        <v>0.550561797752809</v>
      </c>
      <c r="F2311">
        <f t="shared" si="291"/>
        <v>150</v>
      </c>
      <c r="G2311">
        <f t="shared" si="292"/>
        <v>82.584269662921344</v>
      </c>
      <c r="H2311" t="str">
        <f>_xlfn.XLOOKUP(A2311,Fact_Events!$D$2:$D$20,Fact_Events!$A$2:$A$20, "")</f>
        <v/>
      </c>
      <c r="I2311">
        <f t="shared" si="293"/>
        <v>0</v>
      </c>
      <c r="J2311" t="str">
        <f>_xlfn.XLOOKUP(H2311, Fact_Events!$A$2:$A$20, Fact_Events!$F$2:$F$20, "")</f>
        <v/>
      </c>
      <c r="K2311" t="str">
        <f t="shared" si="294"/>
        <v>Low</v>
      </c>
      <c r="L2311">
        <f t="shared" si="295"/>
        <v>0.55000000000000004</v>
      </c>
      <c r="M2311">
        <f>_xlfn.XLOOKUP(B2311, Dim_Hotel!$A$2:$A$11, Dim_Hotel!$I$2:$I$11)
 + (IF(J2311="",0,J2311)
    * _xlfn.XLOOKUP(B2311, Dim_Hotel!$A$2:$A$11, Dim_Hotel!$J$2:$J$11))</f>
        <v>150</v>
      </c>
    </row>
    <row r="2312" spans="1:13" x14ac:dyDescent="0.25">
      <c r="A2312" s="1">
        <f t="shared" si="288"/>
        <v>46254</v>
      </c>
      <c r="B2312" t="str" cm="1">
        <f t="array" ref="B2312">INDEX(HotelList,MOD(ROW()-2,10)+1)</f>
        <v>H001</v>
      </c>
      <c r="C2312">
        <f>_xlfn.XLOOKUP(B2312,Dim_Hotel!$A$2:$A$11,Dim_Hotel!$F$2:$F$11)</f>
        <v>888</v>
      </c>
      <c r="D2312">
        <f t="shared" si="289"/>
        <v>488</v>
      </c>
      <c r="E2312">
        <f t="shared" si="290"/>
        <v>0.5495495495495496</v>
      </c>
      <c r="F2312">
        <f t="shared" si="291"/>
        <v>260</v>
      </c>
      <c r="G2312">
        <f t="shared" si="292"/>
        <v>142.88288288288288</v>
      </c>
      <c r="H2312" t="str">
        <f>_xlfn.XLOOKUP(A2312,Fact_Events!$D$2:$D$20,Fact_Events!$A$2:$A$20, "")</f>
        <v/>
      </c>
      <c r="I2312">
        <f t="shared" si="293"/>
        <v>0</v>
      </c>
      <c r="J2312" t="str">
        <f>_xlfn.XLOOKUP(H2312, Fact_Events!$A$2:$A$20, Fact_Events!$F$2:$F$20, "")</f>
        <v/>
      </c>
      <c r="K2312" t="str">
        <f t="shared" si="294"/>
        <v>Low</v>
      </c>
      <c r="L2312">
        <f t="shared" si="295"/>
        <v>0.55000000000000004</v>
      </c>
      <c r="M2312">
        <f>_xlfn.XLOOKUP(B2312, Dim_Hotel!$A$2:$A$11, Dim_Hotel!$I$2:$I$11)
 + (IF(J2312="",0,J2312)
    * _xlfn.XLOOKUP(B2312, Dim_Hotel!$A$2:$A$11, Dim_Hotel!$J$2:$J$11))</f>
        <v>260</v>
      </c>
    </row>
    <row r="2313" spans="1:13" x14ac:dyDescent="0.25">
      <c r="A2313" s="1">
        <f t="shared" si="288"/>
        <v>46254</v>
      </c>
      <c r="B2313" t="str" cm="1">
        <f t="array" ref="B2313">INDEX(HotelList,MOD(ROW()-2,10)+1)</f>
        <v>H002</v>
      </c>
      <c r="C2313">
        <f>_xlfn.XLOOKUP(B2313,Dim_Hotel!$A$2:$A$11,Dim_Hotel!$F$2:$F$11)</f>
        <v>147</v>
      </c>
      <c r="D2313">
        <f t="shared" si="289"/>
        <v>81</v>
      </c>
      <c r="E2313">
        <f t="shared" si="290"/>
        <v>0.55102040816326525</v>
      </c>
      <c r="F2313">
        <f t="shared" si="291"/>
        <v>175</v>
      </c>
      <c r="G2313">
        <f t="shared" si="292"/>
        <v>96.428571428571416</v>
      </c>
      <c r="H2313" t="str">
        <f>_xlfn.XLOOKUP(A2313,Fact_Events!$D$2:$D$20,Fact_Events!$A$2:$A$20, "")</f>
        <v/>
      </c>
      <c r="I2313">
        <f t="shared" si="293"/>
        <v>0</v>
      </c>
      <c r="J2313" t="str">
        <f>_xlfn.XLOOKUP(H2313, Fact_Events!$A$2:$A$20, Fact_Events!$F$2:$F$20, "")</f>
        <v/>
      </c>
      <c r="K2313" t="str">
        <f t="shared" si="294"/>
        <v>Low</v>
      </c>
      <c r="L2313">
        <f t="shared" si="295"/>
        <v>0.55000000000000004</v>
      </c>
      <c r="M2313">
        <f>_xlfn.XLOOKUP(B2313, Dim_Hotel!$A$2:$A$11, Dim_Hotel!$I$2:$I$11)
 + (IF(J2313="",0,J2313)
    * _xlfn.XLOOKUP(B2313, Dim_Hotel!$A$2:$A$11, Dim_Hotel!$J$2:$J$11))</f>
        <v>175</v>
      </c>
    </row>
    <row r="2314" spans="1:13" x14ac:dyDescent="0.25">
      <c r="A2314" s="1">
        <f t="shared" si="288"/>
        <v>46254</v>
      </c>
      <c r="B2314" t="str" cm="1">
        <f t="array" ref="B2314">INDEX(HotelList,MOD(ROW()-2,10)+1)</f>
        <v>H003</v>
      </c>
      <c r="C2314">
        <f>_xlfn.XLOOKUP(B2314,Dim_Hotel!$A$2:$A$11,Dim_Hotel!$F$2:$F$11)</f>
        <v>121</v>
      </c>
      <c r="D2314">
        <f t="shared" si="289"/>
        <v>67</v>
      </c>
      <c r="E2314">
        <f t="shared" si="290"/>
        <v>0.55371900826446285</v>
      </c>
      <c r="F2314">
        <f t="shared" si="291"/>
        <v>145</v>
      </c>
      <c r="G2314">
        <f t="shared" si="292"/>
        <v>80.289256198347118</v>
      </c>
      <c r="H2314" t="str">
        <f>_xlfn.XLOOKUP(A2314,Fact_Events!$D$2:$D$20,Fact_Events!$A$2:$A$20, "")</f>
        <v/>
      </c>
      <c r="I2314">
        <f t="shared" si="293"/>
        <v>0</v>
      </c>
      <c r="J2314" t="str">
        <f>_xlfn.XLOOKUP(H2314, Fact_Events!$A$2:$A$20, Fact_Events!$F$2:$F$20, "")</f>
        <v/>
      </c>
      <c r="K2314" t="str">
        <f t="shared" si="294"/>
        <v>Low</v>
      </c>
      <c r="L2314">
        <f t="shared" si="295"/>
        <v>0.55000000000000004</v>
      </c>
      <c r="M2314">
        <f>_xlfn.XLOOKUP(B2314, Dim_Hotel!$A$2:$A$11, Dim_Hotel!$I$2:$I$11)
 + (IF(J2314="",0,J2314)
    * _xlfn.XLOOKUP(B2314, Dim_Hotel!$A$2:$A$11, Dim_Hotel!$J$2:$J$11))</f>
        <v>145</v>
      </c>
    </row>
    <row r="2315" spans="1:13" x14ac:dyDescent="0.25">
      <c r="A2315" s="1">
        <f t="shared" si="288"/>
        <v>46254</v>
      </c>
      <c r="B2315" t="str" cm="1">
        <f t="array" ref="B2315">INDEX(HotelList,MOD(ROW()-2,10)+1)</f>
        <v>H004</v>
      </c>
      <c r="C2315">
        <f>_xlfn.XLOOKUP(B2315,Dim_Hotel!$A$2:$A$11,Dim_Hotel!$F$2:$F$11)</f>
        <v>108</v>
      </c>
      <c r="D2315">
        <f t="shared" si="289"/>
        <v>59</v>
      </c>
      <c r="E2315">
        <f t="shared" si="290"/>
        <v>0.54629629629629628</v>
      </c>
      <c r="F2315">
        <f t="shared" si="291"/>
        <v>135</v>
      </c>
      <c r="G2315">
        <f t="shared" si="292"/>
        <v>73.75</v>
      </c>
      <c r="H2315" t="str">
        <f>_xlfn.XLOOKUP(A2315,Fact_Events!$D$2:$D$20,Fact_Events!$A$2:$A$20, "")</f>
        <v/>
      </c>
      <c r="I2315">
        <f t="shared" si="293"/>
        <v>0</v>
      </c>
      <c r="J2315" t="str">
        <f>_xlfn.XLOOKUP(H2315, Fact_Events!$A$2:$A$20, Fact_Events!$F$2:$F$20, "")</f>
        <v/>
      </c>
      <c r="K2315" t="str">
        <f t="shared" si="294"/>
        <v>Low</v>
      </c>
      <c r="L2315">
        <f t="shared" si="295"/>
        <v>0.55000000000000004</v>
      </c>
      <c r="M2315">
        <f>_xlfn.XLOOKUP(B2315, Dim_Hotel!$A$2:$A$11, Dim_Hotel!$I$2:$I$11)
 + (IF(J2315="",0,J2315)
    * _xlfn.XLOOKUP(B2315, Dim_Hotel!$A$2:$A$11, Dim_Hotel!$J$2:$J$11))</f>
        <v>135</v>
      </c>
    </row>
    <row r="2316" spans="1:13" x14ac:dyDescent="0.25">
      <c r="A2316" s="1">
        <f t="shared" si="288"/>
        <v>46254</v>
      </c>
      <c r="B2316" t="str" cm="1">
        <f t="array" ref="B2316">INDEX(HotelList,MOD(ROW()-2,10)+1)</f>
        <v>H005</v>
      </c>
      <c r="C2316">
        <f>_xlfn.XLOOKUP(B2316,Dim_Hotel!$A$2:$A$11,Dim_Hotel!$F$2:$F$11)</f>
        <v>66</v>
      </c>
      <c r="D2316">
        <f t="shared" si="289"/>
        <v>36</v>
      </c>
      <c r="E2316">
        <f t="shared" si="290"/>
        <v>0.54545454545454541</v>
      </c>
      <c r="F2316">
        <f t="shared" si="291"/>
        <v>82</v>
      </c>
      <c r="G2316">
        <f t="shared" si="292"/>
        <v>44.727272727272727</v>
      </c>
      <c r="H2316" t="str">
        <f>_xlfn.XLOOKUP(A2316,Fact_Events!$D$2:$D$20,Fact_Events!$A$2:$A$20, "")</f>
        <v/>
      </c>
      <c r="I2316">
        <f t="shared" si="293"/>
        <v>0</v>
      </c>
      <c r="J2316" t="str">
        <f>_xlfn.XLOOKUP(H2316, Fact_Events!$A$2:$A$20, Fact_Events!$F$2:$F$20, "")</f>
        <v/>
      </c>
      <c r="K2316" t="str">
        <f t="shared" si="294"/>
        <v>Low</v>
      </c>
      <c r="L2316">
        <f t="shared" si="295"/>
        <v>0.55000000000000004</v>
      </c>
      <c r="M2316">
        <f>_xlfn.XLOOKUP(B2316, Dim_Hotel!$A$2:$A$11, Dim_Hotel!$I$2:$I$11)
 + (IF(J2316="",0,J2316)
    * _xlfn.XLOOKUP(B2316, Dim_Hotel!$A$2:$A$11, Dim_Hotel!$J$2:$J$11))</f>
        <v>82</v>
      </c>
    </row>
    <row r="2317" spans="1:13" x14ac:dyDescent="0.25">
      <c r="A2317" s="1">
        <f t="shared" si="288"/>
        <v>46254</v>
      </c>
      <c r="B2317" t="str" cm="1">
        <f t="array" ref="B2317">INDEX(HotelList,MOD(ROW()-2,10)+1)</f>
        <v>H006</v>
      </c>
      <c r="C2317">
        <f>_xlfn.XLOOKUP(B2317,Dim_Hotel!$A$2:$A$11,Dim_Hotel!$F$2:$F$11)</f>
        <v>311</v>
      </c>
      <c r="D2317">
        <f t="shared" si="289"/>
        <v>171</v>
      </c>
      <c r="E2317">
        <f t="shared" si="290"/>
        <v>0.54983922829581988</v>
      </c>
      <c r="F2317">
        <f t="shared" si="291"/>
        <v>190</v>
      </c>
      <c r="G2317">
        <f t="shared" si="292"/>
        <v>104.46945337620578</v>
      </c>
      <c r="H2317" t="str">
        <f>_xlfn.XLOOKUP(A2317,Fact_Events!$D$2:$D$20,Fact_Events!$A$2:$A$20, "")</f>
        <v/>
      </c>
      <c r="I2317">
        <f t="shared" si="293"/>
        <v>0</v>
      </c>
      <c r="J2317" t="str">
        <f>_xlfn.XLOOKUP(H2317, Fact_Events!$A$2:$A$20, Fact_Events!$F$2:$F$20, "")</f>
        <v/>
      </c>
      <c r="K2317" t="str">
        <f t="shared" si="294"/>
        <v>Low</v>
      </c>
      <c r="L2317">
        <f t="shared" si="295"/>
        <v>0.55000000000000004</v>
      </c>
      <c r="M2317">
        <f>_xlfn.XLOOKUP(B2317, Dim_Hotel!$A$2:$A$11, Dim_Hotel!$I$2:$I$11)
 + (IF(J2317="",0,J2317)
    * _xlfn.XLOOKUP(B2317, Dim_Hotel!$A$2:$A$11, Dim_Hotel!$J$2:$J$11))</f>
        <v>190</v>
      </c>
    </row>
    <row r="2318" spans="1:13" x14ac:dyDescent="0.25">
      <c r="A2318" s="1">
        <f t="shared" si="288"/>
        <v>46254</v>
      </c>
      <c r="B2318" t="str" cm="1">
        <f t="array" ref="B2318">INDEX(HotelList,MOD(ROW()-2,10)+1)</f>
        <v>H007</v>
      </c>
      <c r="C2318">
        <f>_xlfn.XLOOKUP(B2318,Dim_Hotel!$A$2:$A$11,Dim_Hotel!$F$2:$F$11)</f>
        <v>132</v>
      </c>
      <c r="D2318">
        <f t="shared" si="289"/>
        <v>73</v>
      </c>
      <c r="E2318">
        <f t="shared" si="290"/>
        <v>0.55303030303030298</v>
      </c>
      <c r="F2318">
        <f t="shared" si="291"/>
        <v>165</v>
      </c>
      <c r="G2318">
        <f t="shared" si="292"/>
        <v>91.249999999999986</v>
      </c>
      <c r="H2318" t="str">
        <f>_xlfn.XLOOKUP(A2318,Fact_Events!$D$2:$D$20,Fact_Events!$A$2:$A$20, "")</f>
        <v/>
      </c>
      <c r="I2318">
        <f t="shared" si="293"/>
        <v>0</v>
      </c>
      <c r="J2318" t="str">
        <f>_xlfn.XLOOKUP(H2318, Fact_Events!$A$2:$A$20, Fact_Events!$F$2:$F$20, "")</f>
        <v/>
      </c>
      <c r="K2318" t="str">
        <f t="shared" si="294"/>
        <v>Low</v>
      </c>
      <c r="L2318">
        <f t="shared" si="295"/>
        <v>0.55000000000000004</v>
      </c>
      <c r="M2318">
        <f>_xlfn.XLOOKUP(B2318, Dim_Hotel!$A$2:$A$11, Dim_Hotel!$I$2:$I$11)
 + (IF(J2318="",0,J2318)
    * _xlfn.XLOOKUP(B2318, Dim_Hotel!$A$2:$A$11, Dim_Hotel!$J$2:$J$11))</f>
        <v>165</v>
      </c>
    </row>
    <row r="2319" spans="1:13" x14ac:dyDescent="0.25">
      <c r="A2319" s="1">
        <f t="shared" si="288"/>
        <v>46254</v>
      </c>
      <c r="B2319" t="str" cm="1">
        <f t="array" ref="B2319">INDEX(HotelList,MOD(ROW()-2,10)+1)</f>
        <v>H008</v>
      </c>
      <c r="C2319">
        <f>_xlfn.XLOOKUP(B2319,Dim_Hotel!$A$2:$A$11,Dim_Hotel!$F$2:$F$11)</f>
        <v>103</v>
      </c>
      <c r="D2319">
        <f t="shared" si="289"/>
        <v>57</v>
      </c>
      <c r="E2319">
        <f t="shared" si="290"/>
        <v>0.55339805825242716</v>
      </c>
      <c r="F2319">
        <f t="shared" si="291"/>
        <v>140</v>
      </c>
      <c r="G2319">
        <f t="shared" si="292"/>
        <v>77.475728155339809</v>
      </c>
      <c r="H2319" t="str">
        <f>_xlfn.XLOOKUP(A2319,Fact_Events!$D$2:$D$20,Fact_Events!$A$2:$A$20, "")</f>
        <v/>
      </c>
      <c r="I2319">
        <f t="shared" si="293"/>
        <v>0</v>
      </c>
      <c r="J2319" t="str">
        <f>_xlfn.XLOOKUP(H2319, Fact_Events!$A$2:$A$20, Fact_Events!$F$2:$F$20, "")</f>
        <v/>
      </c>
      <c r="K2319" t="str">
        <f t="shared" si="294"/>
        <v>Low</v>
      </c>
      <c r="L2319">
        <f t="shared" si="295"/>
        <v>0.55000000000000004</v>
      </c>
      <c r="M2319">
        <f>_xlfn.XLOOKUP(B2319, Dim_Hotel!$A$2:$A$11, Dim_Hotel!$I$2:$I$11)
 + (IF(J2319="",0,J2319)
    * _xlfn.XLOOKUP(B2319, Dim_Hotel!$A$2:$A$11, Dim_Hotel!$J$2:$J$11))</f>
        <v>140</v>
      </c>
    </row>
    <row r="2320" spans="1:13" x14ac:dyDescent="0.25">
      <c r="A2320" s="1">
        <f t="shared" si="288"/>
        <v>46254</v>
      </c>
      <c r="B2320" t="str" cm="1">
        <f t="array" ref="B2320">INDEX(HotelList,MOD(ROW()-2,10)+1)</f>
        <v>H009</v>
      </c>
      <c r="C2320">
        <f>_xlfn.XLOOKUP(B2320,Dim_Hotel!$A$2:$A$11,Dim_Hotel!$F$2:$F$11)</f>
        <v>114</v>
      </c>
      <c r="D2320">
        <f t="shared" si="289"/>
        <v>63</v>
      </c>
      <c r="E2320">
        <f t="shared" si="290"/>
        <v>0.55263157894736847</v>
      </c>
      <c r="F2320">
        <f t="shared" si="291"/>
        <v>185</v>
      </c>
      <c r="G2320">
        <f t="shared" si="292"/>
        <v>102.23684210526316</v>
      </c>
      <c r="H2320" t="str">
        <f>_xlfn.XLOOKUP(A2320,Fact_Events!$D$2:$D$20,Fact_Events!$A$2:$A$20, "")</f>
        <v/>
      </c>
      <c r="I2320">
        <f t="shared" si="293"/>
        <v>0</v>
      </c>
      <c r="J2320" t="str">
        <f>_xlfn.XLOOKUP(H2320, Fact_Events!$A$2:$A$20, Fact_Events!$F$2:$F$20, "")</f>
        <v/>
      </c>
      <c r="K2320" t="str">
        <f t="shared" si="294"/>
        <v>Low</v>
      </c>
      <c r="L2320">
        <f t="shared" si="295"/>
        <v>0.55000000000000004</v>
      </c>
      <c r="M2320">
        <f>_xlfn.XLOOKUP(B2320, Dim_Hotel!$A$2:$A$11, Dim_Hotel!$I$2:$I$11)
 + (IF(J2320="",0,J2320)
    * _xlfn.XLOOKUP(B2320, Dim_Hotel!$A$2:$A$11, Dim_Hotel!$J$2:$J$11))</f>
        <v>185</v>
      </c>
    </row>
    <row r="2321" spans="1:13" x14ac:dyDescent="0.25">
      <c r="A2321" s="1">
        <f t="shared" si="288"/>
        <v>46254</v>
      </c>
      <c r="B2321" t="str" cm="1">
        <f t="array" ref="B2321">INDEX(HotelList,MOD(ROW()-2,10)+1)</f>
        <v>H010</v>
      </c>
      <c r="C2321">
        <f>_xlfn.XLOOKUP(B2321,Dim_Hotel!$A$2:$A$11,Dim_Hotel!$F$2:$F$11)</f>
        <v>89</v>
      </c>
      <c r="D2321">
        <f t="shared" si="289"/>
        <v>49</v>
      </c>
      <c r="E2321">
        <f t="shared" si="290"/>
        <v>0.550561797752809</v>
      </c>
      <c r="F2321">
        <f t="shared" si="291"/>
        <v>150</v>
      </c>
      <c r="G2321">
        <f t="shared" si="292"/>
        <v>82.584269662921344</v>
      </c>
      <c r="H2321" t="str">
        <f>_xlfn.XLOOKUP(A2321,Fact_Events!$D$2:$D$20,Fact_Events!$A$2:$A$20, "")</f>
        <v/>
      </c>
      <c r="I2321">
        <f t="shared" si="293"/>
        <v>0</v>
      </c>
      <c r="J2321" t="str">
        <f>_xlfn.XLOOKUP(H2321, Fact_Events!$A$2:$A$20, Fact_Events!$F$2:$F$20, "")</f>
        <v/>
      </c>
      <c r="K2321" t="str">
        <f t="shared" si="294"/>
        <v>Low</v>
      </c>
      <c r="L2321">
        <f t="shared" si="295"/>
        <v>0.55000000000000004</v>
      </c>
      <c r="M2321">
        <f>_xlfn.XLOOKUP(B2321, Dim_Hotel!$A$2:$A$11, Dim_Hotel!$I$2:$I$11)
 + (IF(J2321="",0,J2321)
    * _xlfn.XLOOKUP(B2321, Dim_Hotel!$A$2:$A$11, Dim_Hotel!$J$2:$J$11))</f>
        <v>150</v>
      </c>
    </row>
    <row r="2322" spans="1:13" x14ac:dyDescent="0.25">
      <c r="A2322" s="1">
        <f t="shared" si="288"/>
        <v>46255</v>
      </c>
      <c r="B2322" t="str" cm="1">
        <f t="array" ref="B2322">INDEX(HotelList,MOD(ROW()-2,10)+1)</f>
        <v>H001</v>
      </c>
      <c r="C2322">
        <f>_xlfn.XLOOKUP(B2322,Dim_Hotel!$A$2:$A$11,Dim_Hotel!$F$2:$F$11)</f>
        <v>888</v>
      </c>
      <c r="D2322">
        <f t="shared" si="289"/>
        <v>488</v>
      </c>
      <c r="E2322">
        <f t="shared" si="290"/>
        <v>0.5495495495495496</v>
      </c>
      <c r="F2322">
        <f t="shared" si="291"/>
        <v>260</v>
      </c>
      <c r="G2322">
        <f t="shared" si="292"/>
        <v>142.88288288288288</v>
      </c>
      <c r="H2322" t="str">
        <f>_xlfn.XLOOKUP(A2322,Fact_Events!$D$2:$D$20,Fact_Events!$A$2:$A$20, "")</f>
        <v/>
      </c>
      <c r="I2322">
        <f t="shared" si="293"/>
        <v>0</v>
      </c>
      <c r="J2322" t="str">
        <f>_xlfn.XLOOKUP(H2322, Fact_Events!$A$2:$A$20, Fact_Events!$F$2:$F$20, "")</f>
        <v/>
      </c>
      <c r="K2322" t="str">
        <f t="shared" si="294"/>
        <v>Low</v>
      </c>
      <c r="L2322">
        <f t="shared" si="295"/>
        <v>0.55000000000000004</v>
      </c>
      <c r="M2322">
        <f>_xlfn.XLOOKUP(B2322, Dim_Hotel!$A$2:$A$11, Dim_Hotel!$I$2:$I$11)
 + (IF(J2322="",0,J2322)
    * _xlfn.XLOOKUP(B2322, Dim_Hotel!$A$2:$A$11, Dim_Hotel!$J$2:$J$11))</f>
        <v>260</v>
      </c>
    </row>
    <row r="2323" spans="1:13" x14ac:dyDescent="0.25">
      <c r="A2323" s="1">
        <f t="shared" si="288"/>
        <v>46255</v>
      </c>
      <c r="B2323" t="str" cm="1">
        <f t="array" ref="B2323">INDEX(HotelList,MOD(ROW()-2,10)+1)</f>
        <v>H002</v>
      </c>
      <c r="C2323">
        <f>_xlfn.XLOOKUP(B2323,Dim_Hotel!$A$2:$A$11,Dim_Hotel!$F$2:$F$11)</f>
        <v>147</v>
      </c>
      <c r="D2323">
        <f t="shared" si="289"/>
        <v>81</v>
      </c>
      <c r="E2323">
        <f t="shared" si="290"/>
        <v>0.55102040816326525</v>
      </c>
      <c r="F2323">
        <f t="shared" si="291"/>
        <v>175</v>
      </c>
      <c r="G2323">
        <f t="shared" si="292"/>
        <v>96.428571428571416</v>
      </c>
      <c r="H2323" t="str">
        <f>_xlfn.XLOOKUP(A2323,Fact_Events!$D$2:$D$20,Fact_Events!$A$2:$A$20, "")</f>
        <v/>
      </c>
      <c r="I2323">
        <f t="shared" si="293"/>
        <v>0</v>
      </c>
      <c r="J2323" t="str">
        <f>_xlfn.XLOOKUP(H2323, Fact_Events!$A$2:$A$20, Fact_Events!$F$2:$F$20, "")</f>
        <v/>
      </c>
      <c r="K2323" t="str">
        <f t="shared" si="294"/>
        <v>Low</v>
      </c>
      <c r="L2323">
        <f t="shared" si="295"/>
        <v>0.55000000000000004</v>
      </c>
      <c r="M2323">
        <f>_xlfn.XLOOKUP(B2323, Dim_Hotel!$A$2:$A$11, Dim_Hotel!$I$2:$I$11)
 + (IF(J2323="",0,J2323)
    * _xlfn.XLOOKUP(B2323, Dim_Hotel!$A$2:$A$11, Dim_Hotel!$J$2:$J$11))</f>
        <v>175</v>
      </c>
    </row>
    <row r="2324" spans="1:13" x14ac:dyDescent="0.25">
      <c r="A2324" s="1">
        <f t="shared" si="288"/>
        <v>46255</v>
      </c>
      <c r="B2324" t="str" cm="1">
        <f t="array" ref="B2324">INDEX(HotelList,MOD(ROW()-2,10)+1)</f>
        <v>H003</v>
      </c>
      <c r="C2324">
        <f>_xlfn.XLOOKUP(B2324,Dim_Hotel!$A$2:$A$11,Dim_Hotel!$F$2:$F$11)</f>
        <v>121</v>
      </c>
      <c r="D2324">
        <f t="shared" si="289"/>
        <v>67</v>
      </c>
      <c r="E2324">
        <f t="shared" si="290"/>
        <v>0.55371900826446285</v>
      </c>
      <c r="F2324">
        <f t="shared" si="291"/>
        <v>145</v>
      </c>
      <c r="G2324">
        <f t="shared" si="292"/>
        <v>80.289256198347118</v>
      </c>
      <c r="H2324" t="str">
        <f>_xlfn.XLOOKUP(A2324,Fact_Events!$D$2:$D$20,Fact_Events!$A$2:$A$20, "")</f>
        <v/>
      </c>
      <c r="I2324">
        <f t="shared" si="293"/>
        <v>0</v>
      </c>
      <c r="J2324" t="str">
        <f>_xlfn.XLOOKUP(H2324, Fact_Events!$A$2:$A$20, Fact_Events!$F$2:$F$20, "")</f>
        <v/>
      </c>
      <c r="K2324" t="str">
        <f t="shared" si="294"/>
        <v>Low</v>
      </c>
      <c r="L2324">
        <f t="shared" si="295"/>
        <v>0.55000000000000004</v>
      </c>
      <c r="M2324">
        <f>_xlfn.XLOOKUP(B2324, Dim_Hotel!$A$2:$A$11, Dim_Hotel!$I$2:$I$11)
 + (IF(J2324="",0,J2324)
    * _xlfn.XLOOKUP(B2324, Dim_Hotel!$A$2:$A$11, Dim_Hotel!$J$2:$J$11))</f>
        <v>145</v>
      </c>
    </row>
    <row r="2325" spans="1:13" x14ac:dyDescent="0.25">
      <c r="A2325" s="1">
        <f t="shared" si="288"/>
        <v>46255</v>
      </c>
      <c r="B2325" t="str" cm="1">
        <f t="array" ref="B2325">INDEX(HotelList,MOD(ROW()-2,10)+1)</f>
        <v>H004</v>
      </c>
      <c r="C2325">
        <f>_xlfn.XLOOKUP(B2325,Dim_Hotel!$A$2:$A$11,Dim_Hotel!$F$2:$F$11)</f>
        <v>108</v>
      </c>
      <c r="D2325">
        <f t="shared" si="289"/>
        <v>59</v>
      </c>
      <c r="E2325">
        <f t="shared" si="290"/>
        <v>0.54629629629629628</v>
      </c>
      <c r="F2325">
        <f t="shared" si="291"/>
        <v>135</v>
      </c>
      <c r="G2325">
        <f t="shared" si="292"/>
        <v>73.75</v>
      </c>
      <c r="H2325" t="str">
        <f>_xlfn.XLOOKUP(A2325,Fact_Events!$D$2:$D$20,Fact_Events!$A$2:$A$20, "")</f>
        <v/>
      </c>
      <c r="I2325">
        <f t="shared" si="293"/>
        <v>0</v>
      </c>
      <c r="J2325" t="str">
        <f>_xlfn.XLOOKUP(H2325, Fact_Events!$A$2:$A$20, Fact_Events!$F$2:$F$20, "")</f>
        <v/>
      </c>
      <c r="K2325" t="str">
        <f t="shared" si="294"/>
        <v>Low</v>
      </c>
      <c r="L2325">
        <f t="shared" si="295"/>
        <v>0.55000000000000004</v>
      </c>
      <c r="M2325">
        <f>_xlfn.XLOOKUP(B2325, Dim_Hotel!$A$2:$A$11, Dim_Hotel!$I$2:$I$11)
 + (IF(J2325="",0,J2325)
    * _xlfn.XLOOKUP(B2325, Dim_Hotel!$A$2:$A$11, Dim_Hotel!$J$2:$J$11))</f>
        <v>135</v>
      </c>
    </row>
    <row r="2326" spans="1:13" x14ac:dyDescent="0.25">
      <c r="A2326" s="1">
        <f t="shared" si="288"/>
        <v>46255</v>
      </c>
      <c r="B2326" t="str" cm="1">
        <f t="array" ref="B2326">INDEX(HotelList,MOD(ROW()-2,10)+1)</f>
        <v>H005</v>
      </c>
      <c r="C2326">
        <f>_xlfn.XLOOKUP(B2326,Dim_Hotel!$A$2:$A$11,Dim_Hotel!$F$2:$F$11)</f>
        <v>66</v>
      </c>
      <c r="D2326">
        <f t="shared" si="289"/>
        <v>36</v>
      </c>
      <c r="E2326">
        <f t="shared" si="290"/>
        <v>0.54545454545454541</v>
      </c>
      <c r="F2326">
        <f t="shared" si="291"/>
        <v>82</v>
      </c>
      <c r="G2326">
        <f t="shared" si="292"/>
        <v>44.727272727272727</v>
      </c>
      <c r="H2326" t="str">
        <f>_xlfn.XLOOKUP(A2326,Fact_Events!$D$2:$D$20,Fact_Events!$A$2:$A$20, "")</f>
        <v/>
      </c>
      <c r="I2326">
        <f t="shared" si="293"/>
        <v>0</v>
      </c>
      <c r="J2326" t="str">
        <f>_xlfn.XLOOKUP(H2326, Fact_Events!$A$2:$A$20, Fact_Events!$F$2:$F$20, "")</f>
        <v/>
      </c>
      <c r="K2326" t="str">
        <f t="shared" si="294"/>
        <v>Low</v>
      </c>
      <c r="L2326">
        <f t="shared" si="295"/>
        <v>0.55000000000000004</v>
      </c>
      <c r="M2326">
        <f>_xlfn.XLOOKUP(B2326, Dim_Hotel!$A$2:$A$11, Dim_Hotel!$I$2:$I$11)
 + (IF(J2326="",0,J2326)
    * _xlfn.XLOOKUP(B2326, Dim_Hotel!$A$2:$A$11, Dim_Hotel!$J$2:$J$11))</f>
        <v>82</v>
      </c>
    </row>
    <row r="2327" spans="1:13" x14ac:dyDescent="0.25">
      <c r="A2327" s="1">
        <f t="shared" si="288"/>
        <v>46255</v>
      </c>
      <c r="B2327" t="str" cm="1">
        <f t="array" ref="B2327">INDEX(HotelList,MOD(ROW()-2,10)+1)</f>
        <v>H006</v>
      </c>
      <c r="C2327">
        <f>_xlfn.XLOOKUP(B2327,Dim_Hotel!$A$2:$A$11,Dim_Hotel!$F$2:$F$11)</f>
        <v>311</v>
      </c>
      <c r="D2327">
        <f t="shared" si="289"/>
        <v>171</v>
      </c>
      <c r="E2327">
        <f t="shared" si="290"/>
        <v>0.54983922829581988</v>
      </c>
      <c r="F2327">
        <f t="shared" si="291"/>
        <v>190</v>
      </c>
      <c r="G2327">
        <f t="shared" si="292"/>
        <v>104.46945337620578</v>
      </c>
      <c r="H2327" t="str">
        <f>_xlfn.XLOOKUP(A2327,Fact_Events!$D$2:$D$20,Fact_Events!$A$2:$A$20, "")</f>
        <v/>
      </c>
      <c r="I2327">
        <f t="shared" si="293"/>
        <v>0</v>
      </c>
      <c r="J2327" t="str">
        <f>_xlfn.XLOOKUP(H2327, Fact_Events!$A$2:$A$20, Fact_Events!$F$2:$F$20, "")</f>
        <v/>
      </c>
      <c r="K2327" t="str">
        <f t="shared" si="294"/>
        <v>Low</v>
      </c>
      <c r="L2327">
        <f t="shared" si="295"/>
        <v>0.55000000000000004</v>
      </c>
      <c r="M2327">
        <f>_xlfn.XLOOKUP(B2327, Dim_Hotel!$A$2:$A$11, Dim_Hotel!$I$2:$I$11)
 + (IF(J2327="",0,J2327)
    * _xlfn.XLOOKUP(B2327, Dim_Hotel!$A$2:$A$11, Dim_Hotel!$J$2:$J$11))</f>
        <v>190</v>
      </c>
    </row>
    <row r="2328" spans="1:13" x14ac:dyDescent="0.25">
      <c r="A2328" s="1">
        <f t="shared" si="288"/>
        <v>46255</v>
      </c>
      <c r="B2328" t="str" cm="1">
        <f t="array" ref="B2328">INDEX(HotelList,MOD(ROW()-2,10)+1)</f>
        <v>H007</v>
      </c>
      <c r="C2328">
        <f>_xlfn.XLOOKUP(B2328,Dim_Hotel!$A$2:$A$11,Dim_Hotel!$F$2:$F$11)</f>
        <v>132</v>
      </c>
      <c r="D2328">
        <f t="shared" si="289"/>
        <v>73</v>
      </c>
      <c r="E2328">
        <f t="shared" si="290"/>
        <v>0.55303030303030298</v>
      </c>
      <c r="F2328">
        <f t="shared" si="291"/>
        <v>165</v>
      </c>
      <c r="G2328">
        <f t="shared" si="292"/>
        <v>91.249999999999986</v>
      </c>
      <c r="H2328" t="str">
        <f>_xlfn.XLOOKUP(A2328,Fact_Events!$D$2:$D$20,Fact_Events!$A$2:$A$20, "")</f>
        <v/>
      </c>
      <c r="I2328">
        <f t="shared" si="293"/>
        <v>0</v>
      </c>
      <c r="J2328" t="str">
        <f>_xlfn.XLOOKUP(H2328, Fact_Events!$A$2:$A$20, Fact_Events!$F$2:$F$20, "")</f>
        <v/>
      </c>
      <c r="K2328" t="str">
        <f t="shared" si="294"/>
        <v>Low</v>
      </c>
      <c r="L2328">
        <f t="shared" si="295"/>
        <v>0.55000000000000004</v>
      </c>
      <c r="M2328">
        <f>_xlfn.XLOOKUP(B2328, Dim_Hotel!$A$2:$A$11, Dim_Hotel!$I$2:$I$11)
 + (IF(J2328="",0,J2328)
    * _xlfn.XLOOKUP(B2328, Dim_Hotel!$A$2:$A$11, Dim_Hotel!$J$2:$J$11))</f>
        <v>165</v>
      </c>
    </row>
    <row r="2329" spans="1:13" x14ac:dyDescent="0.25">
      <c r="A2329" s="1">
        <f t="shared" si="288"/>
        <v>46255</v>
      </c>
      <c r="B2329" t="str" cm="1">
        <f t="array" ref="B2329">INDEX(HotelList,MOD(ROW()-2,10)+1)</f>
        <v>H008</v>
      </c>
      <c r="C2329">
        <f>_xlfn.XLOOKUP(B2329,Dim_Hotel!$A$2:$A$11,Dim_Hotel!$F$2:$F$11)</f>
        <v>103</v>
      </c>
      <c r="D2329">
        <f t="shared" si="289"/>
        <v>57</v>
      </c>
      <c r="E2329">
        <f t="shared" si="290"/>
        <v>0.55339805825242716</v>
      </c>
      <c r="F2329">
        <f t="shared" si="291"/>
        <v>140</v>
      </c>
      <c r="G2329">
        <f t="shared" si="292"/>
        <v>77.475728155339809</v>
      </c>
      <c r="H2329" t="str">
        <f>_xlfn.XLOOKUP(A2329,Fact_Events!$D$2:$D$20,Fact_Events!$A$2:$A$20, "")</f>
        <v/>
      </c>
      <c r="I2329">
        <f t="shared" si="293"/>
        <v>0</v>
      </c>
      <c r="J2329" t="str">
        <f>_xlfn.XLOOKUP(H2329, Fact_Events!$A$2:$A$20, Fact_Events!$F$2:$F$20, "")</f>
        <v/>
      </c>
      <c r="K2329" t="str">
        <f t="shared" si="294"/>
        <v>Low</v>
      </c>
      <c r="L2329">
        <f t="shared" si="295"/>
        <v>0.55000000000000004</v>
      </c>
      <c r="M2329">
        <f>_xlfn.XLOOKUP(B2329, Dim_Hotel!$A$2:$A$11, Dim_Hotel!$I$2:$I$11)
 + (IF(J2329="",0,J2329)
    * _xlfn.XLOOKUP(B2329, Dim_Hotel!$A$2:$A$11, Dim_Hotel!$J$2:$J$11))</f>
        <v>140</v>
      </c>
    </row>
    <row r="2330" spans="1:13" x14ac:dyDescent="0.25">
      <c r="A2330" s="1">
        <f t="shared" si="288"/>
        <v>46255</v>
      </c>
      <c r="B2330" t="str" cm="1">
        <f t="array" ref="B2330">INDEX(HotelList,MOD(ROW()-2,10)+1)</f>
        <v>H009</v>
      </c>
      <c r="C2330">
        <f>_xlfn.XLOOKUP(B2330,Dim_Hotel!$A$2:$A$11,Dim_Hotel!$F$2:$F$11)</f>
        <v>114</v>
      </c>
      <c r="D2330">
        <f t="shared" si="289"/>
        <v>63</v>
      </c>
      <c r="E2330">
        <f t="shared" si="290"/>
        <v>0.55263157894736847</v>
      </c>
      <c r="F2330">
        <f t="shared" si="291"/>
        <v>185</v>
      </c>
      <c r="G2330">
        <f t="shared" si="292"/>
        <v>102.23684210526316</v>
      </c>
      <c r="H2330" t="str">
        <f>_xlfn.XLOOKUP(A2330,Fact_Events!$D$2:$D$20,Fact_Events!$A$2:$A$20, "")</f>
        <v/>
      </c>
      <c r="I2330">
        <f t="shared" si="293"/>
        <v>0</v>
      </c>
      <c r="J2330" t="str">
        <f>_xlfn.XLOOKUP(H2330, Fact_Events!$A$2:$A$20, Fact_Events!$F$2:$F$20, "")</f>
        <v/>
      </c>
      <c r="K2330" t="str">
        <f t="shared" si="294"/>
        <v>Low</v>
      </c>
      <c r="L2330">
        <f t="shared" si="295"/>
        <v>0.55000000000000004</v>
      </c>
      <c r="M2330">
        <f>_xlfn.XLOOKUP(B2330, Dim_Hotel!$A$2:$A$11, Dim_Hotel!$I$2:$I$11)
 + (IF(J2330="",0,J2330)
    * _xlfn.XLOOKUP(B2330, Dim_Hotel!$A$2:$A$11, Dim_Hotel!$J$2:$J$11))</f>
        <v>185</v>
      </c>
    </row>
    <row r="2331" spans="1:13" x14ac:dyDescent="0.25">
      <c r="A2331" s="1">
        <f t="shared" si="288"/>
        <v>46255</v>
      </c>
      <c r="B2331" t="str" cm="1">
        <f t="array" ref="B2331">INDEX(HotelList,MOD(ROW()-2,10)+1)</f>
        <v>H010</v>
      </c>
      <c r="C2331">
        <f>_xlfn.XLOOKUP(B2331,Dim_Hotel!$A$2:$A$11,Dim_Hotel!$F$2:$F$11)</f>
        <v>89</v>
      </c>
      <c r="D2331">
        <f t="shared" si="289"/>
        <v>49</v>
      </c>
      <c r="E2331">
        <f t="shared" si="290"/>
        <v>0.550561797752809</v>
      </c>
      <c r="F2331">
        <f t="shared" si="291"/>
        <v>150</v>
      </c>
      <c r="G2331">
        <f t="shared" si="292"/>
        <v>82.584269662921344</v>
      </c>
      <c r="H2331" t="str">
        <f>_xlfn.XLOOKUP(A2331,Fact_Events!$D$2:$D$20,Fact_Events!$A$2:$A$20, "")</f>
        <v/>
      </c>
      <c r="I2331">
        <f t="shared" si="293"/>
        <v>0</v>
      </c>
      <c r="J2331" t="str">
        <f>_xlfn.XLOOKUP(H2331, Fact_Events!$A$2:$A$20, Fact_Events!$F$2:$F$20, "")</f>
        <v/>
      </c>
      <c r="K2331" t="str">
        <f t="shared" si="294"/>
        <v>Low</v>
      </c>
      <c r="L2331">
        <f t="shared" si="295"/>
        <v>0.55000000000000004</v>
      </c>
      <c r="M2331">
        <f>_xlfn.XLOOKUP(B2331, Dim_Hotel!$A$2:$A$11, Dim_Hotel!$I$2:$I$11)
 + (IF(J2331="",0,J2331)
    * _xlfn.XLOOKUP(B2331, Dim_Hotel!$A$2:$A$11, Dim_Hotel!$J$2:$J$11))</f>
        <v>150</v>
      </c>
    </row>
    <row r="2332" spans="1:13" x14ac:dyDescent="0.25">
      <c r="A2332" s="1">
        <f t="shared" si="288"/>
        <v>46256</v>
      </c>
      <c r="B2332" t="str" cm="1">
        <f t="array" ref="B2332">INDEX(HotelList,MOD(ROW()-2,10)+1)</f>
        <v>H001</v>
      </c>
      <c r="C2332">
        <f>_xlfn.XLOOKUP(B2332,Dim_Hotel!$A$2:$A$11,Dim_Hotel!$F$2:$F$11)</f>
        <v>888</v>
      </c>
      <c r="D2332">
        <f t="shared" si="289"/>
        <v>488</v>
      </c>
      <c r="E2332">
        <f t="shared" si="290"/>
        <v>0.5495495495495496</v>
      </c>
      <c r="F2332">
        <f t="shared" si="291"/>
        <v>260</v>
      </c>
      <c r="G2332">
        <f t="shared" si="292"/>
        <v>142.88288288288288</v>
      </c>
      <c r="H2332" t="str">
        <f>_xlfn.XLOOKUP(A2332,Fact_Events!$D$2:$D$20,Fact_Events!$A$2:$A$20, "")</f>
        <v/>
      </c>
      <c r="I2332">
        <f t="shared" si="293"/>
        <v>0</v>
      </c>
      <c r="J2332" t="str">
        <f>_xlfn.XLOOKUP(H2332, Fact_Events!$A$2:$A$20, Fact_Events!$F$2:$F$20, "")</f>
        <v/>
      </c>
      <c r="K2332" t="str">
        <f t="shared" si="294"/>
        <v>Low</v>
      </c>
      <c r="L2332">
        <f t="shared" si="295"/>
        <v>0.55000000000000004</v>
      </c>
      <c r="M2332">
        <f>_xlfn.XLOOKUP(B2332, Dim_Hotel!$A$2:$A$11, Dim_Hotel!$I$2:$I$11)
 + (IF(J2332="",0,J2332)
    * _xlfn.XLOOKUP(B2332, Dim_Hotel!$A$2:$A$11, Dim_Hotel!$J$2:$J$11))</f>
        <v>260</v>
      </c>
    </row>
    <row r="2333" spans="1:13" x14ac:dyDescent="0.25">
      <c r="A2333" s="1">
        <f t="shared" si="288"/>
        <v>46256</v>
      </c>
      <c r="B2333" t="str" cm="1">
        <f t="array" ref="B2333">INDEX(HotelList,MOD(ROW()-2,10)+1)</f>
        <v>H002</v>
      </c>
      <c r="C2333">
        <f>_xlfn.XLOOKUP(B2333,Dim_Hotel!$A$2:$A$11,Dim_Hotel!$F$2:$F$11)</f>
        <v>147</v>
      </c>
      <c r="D2333">
        <f t="shared" si="289"/>
        <v>81</v>
      </c>
      <c r="E2333">
        <f t="shared" si="290"/>
        <v>0.55102040816326525</v>
      </c>
      <c r="F2333">
        <f t="shared" si="291"/>
        <v>175</v>
      </c>
      <c r="G2333">
        <f t="shared" si="292"/>
        <v>96.428571428571416</v>
      </c>
      <c r="H2333" t="str">
        <f>_xlfn.XLOOKUP(A2333,Fact_Events!$D$2:$D$20,Fact_Events!$A$2:$A$20, "")</f>
        <v/>
      </c>
      <c r="I2333">
        <f t="shared" si="293"/>
        <v>0</v>
      </c>
      <c r="J2333" t="str">
        <f>_xlfn.XLOOKUP(H2333, Fact_Events!$A$2:$A$20, Fact_Events!$F$2:$F$20, "")</f>
        <v/>
      </c>
      <c r="K2333" t="str">
        <f t="shared" si="294"/>
        <v>Low</v>
      </c>
      <c r="L2333">
        <f t="shared" si="295"/>
        <v>0.55000000000000004</v>
      </c>
      <c r="M2333">
        <f>_xlfn.XLOOKUP(B2333, Dim_Hotel!$A$2:$A$11, Dim_Hotel!$I$2:$I$11)
 + (IF(J2333="",0,J2333)
    * _xlfn.XLOOKUP(B2333, Dim_Hotel!$A$2:$A$11, Dim_Hotel!$J$2:$J$11))</f>
        <v>175</v>
      </c>
    </row>
    <row r="2334" spans="1:13" x14ac:dyDescent="0.25">
      <c r="A2334" s="1">
        <f t="shared" si="288"/>
        <v>46256</v>
      </c>
      <c r="B2334" t="str" cm="1">
        <f t="array" ref="B2334">INDEX(HotelList,MOD(ROW()-2,10)+1)</f>
        <v>H003</v>
      </c>
      <c r="C2334">
        <f>_xlfn.XLOOKUP(B2334,Dim_Hotel!$A$2:$A$11,Dim_Hotel!$F$2:$F$11)</f>
        <v>121</v>
      </c>
      <c r="D2334">
        <f t="shared" si="289"/>
        <v>67</v>
      </c>
      <c r="E2334">
        <f t="shared" si="290"/>
        <v>0.55371900826446285</v>
      </c>
      <c r="F2334">
        <f t="shared" si="291"/>
        <v>145</v>
      </c>
      <c r="G2334">
        <f t="shared" si="292"/>
        <v>80.289256198347118</v>
      </c>
      <c r="H2334" t="str">
        <f>_xlfn.XLOOKUP(A2334,Fact_Events!$D$2:$D$20,Fact_Events!$A$2:$A$20, "")</f>
        <v/>
      </c>
      <c r="I2334">
        <f t="shared" si="293"/>
        <v>0</v>
      </c>
      <c r="J2334" t="str">
        <f>_xlfn.XLOOKUP(H2334, Fact_Events!$A$2:$A$20, Fact_Events!$F$2:$F$20, "")</f>
        <v/>
      </c>
      <c r="K2334" t="str">
        <f t="shared" si="294"/>
        <v>Low</v>
      </c>
      <c r="L2334">
        <f t="shared" si="295"/>
        <v>0.55000000000000004</v>
      </c>
      <c r="M2334">
        <f>_xlfn.XLOOKUP(B2334, Dim_Hotel!$A$2:$A$11, Dim_Hotel!$I$2:$I$11)
 + (IF(J2334="",0,J2334)
    * _xlfn.XLOOKUP(B2334, Dim_Hotel!$A$2:$A$11, Dim_Hotel!$J$2:$J$11))</f>
        <v>145</v>
      </c>
    </row>
    <row r="2335" spans="1:13" x14ac:dyDescent="0.25">
      <c r="A2335" s="1">
        <f t="shared" si="288"/>
        <v>46256</v>
      </c>
      <c r="B2335" t="str" cm="1">
        <f t="array" ref="B2335">INDEX(HotelList,MOD(ROW()-2,10)+1)</f>
        <v>H004</v>
      </c>
      <c r="C2335">
        <f>_xlfn.XLOOKUP(B2335,Dim_Hotel!$A$2:$A$11,Dim_Hotel!$F$2:$F$11)</f>
        <v>108</v>
      </c>
      <c r="D2335">
        <f t="shared" si="289"/>
        <v>59</v>
      </c>
      <c r="E2335">
        <f t="shared" si="290"/>
        <v>0.54629629629629628</v>
      </c>
      <c r="F2335">
        <f t="shared" si="291"/>
        <v>135</v>
      </c>
      <c r="G2335">
        <f t="shared" si="292"/>
        <v>73.75</v>
      </c>
      <c r="H2335" t="str">
        <f>_xlfn.XLOOKUP(A2335,Fact_Events!$D$2:$D$20,Fact_Events!$A$2:$A$20, "")</f>
        <v/>
      </c>
      <c r="I2335">
        <f t="shared" si="293"/>
        <v>0</v>
      </c>
      <c r="J2335" t="str">
        <f>_xlfn.XLOOKUP(H2335, Fact_Events!$A$2:$A$20, Fact_Events!$F$2:$F$20, "")</f>
        <v/>
      </c>
      <c r="K2335" t="str">
        <f t="shared" si="294"/>
        <v>Low</v>
      </c>
      <c r="L2335">
        <f t="shared" si="295"/>
        <v>0.55000000000000004</v>
      </c>
      <c r="M2335">
        <f>_xlfn.XLOOKUP(B2335, Dim_Hotel!$A$2:$A$11, Dim_Hotel!$I$2:$I$11)
 + (IF(J2335="",0,J2335)
    * _xlfn.XLOOKUP(B2335, Dim_Hotel!$A$2:$A$11, Dim_Hotel!$J$2:$J$11))</f>
        <v>135</v>
      </c>
    </row>
    <row r="2336" spans="1:13" x14ac:dyDescent="0.25">
      <c r="A2336" s="1">
        <f t="shared" si="288"/>
        <v>46256</v>
      </c>
      <c r="B2336" t="str" cm="1">
        <f t="array" ref="B2336">INDEX(HotelList,MOD(ROW()-2,10)+1)</f>
        <v>H005</v>
      </c>
      <c r="C2336">
        <f>_xlfn.XLOOKUP(B2336,Dim_Hotel!$A$2:$A$11,Dim_Hotel!$F$2:$F$11)</f>
        <v>66</v>
      </c>
      <c r="D2336">
        <f t="shared" si="289"/>
        <v>36</v>
      </c>
      <c r="E2336">
        <f t="shared" si="290"/>
        <v>0.54545454545454541</v>
      </c>
      <c r="F2336">
        <f t="shared" si="291"/>
        <v>82</v>
      </c>
      <c r="G2336">
        <f t="shared" si="292"/>
        <v>44.727272727272727</v>
      </c>
      <c r="H2336" t="str">
        <f>_xlfn.XLOOKUP(A2336,Fact_Events!$D$2:$D$20,Fact_Events!$A$2:$A$20, "")</f>
        <v/>
      </c>
      <c r="I2336">
        <f t="shared" si="293"/>
        <v>0</v>
      </c>
      <c r="J2336" t="str">
        <f>_xlfn.XLOOKUP(H2336, Fact_Events!$A$2:$A$20, Fact_Events!$F$2:$F$20, "")</f>
        <v/>
      </c>
      <c r="K2336" t="str">
        <f t="shared" si="294"/>
        <v>Low</v>
      </c>
      <c r="L2336">
        <f t="shared" si="295"/>
        <v>0.55000000000000004</v>
      </c>
      <c r="M2336">
        <f>_xlfn.XLOOKUP(B2336, Dim_Hotel!$A$2:$A$11, Dim_Hotel!$I$2:$I$11)
 + (IF(J2336="",0,J2336)
    * _xlfn.XLOOKUP(B2336, Dim_Hotel!$A$2:$A$11, Dim_Hotel!$J$2:$J$11))</f>
        <v>82</v>
      </c>
    </row>
    <row r="2337" spans="1:13" x14ac:dyDescent="0.25">
      <c r="A2337" s="1">
        <f t="shared" si="288"/>
        <v>46256</v>
      </c>
      <c r="B2337" t="str" cm="1">
        <f t="array" ref="B2337">INDEX(HotelList,MOD(ROW()-2,10)+1)</f>
        <v>H006</v>
      </c>
      <c r="C2337">
        <f>_xlfn.XLOOKUP(B2337,Dim_Hotel!$A$2:$A$11,Dim_Hotel!$F$2:$F$11)</f>
        <v>311</v>
      </c>
      <c r="D2337">
        <f t="shared" si="289"/>
        <v>171</v>
      </c>
      <c r="E2337">
        <f t="shared" si="290"/>
        <v>0.54983922829581988</v>
      </c>
      <c r="F2337">
        <f t="shared" si="291"/>
        <v>190</v>
      </c>
      <c r="G2337">
        <f t="shared" si="292"/>
        <v>104.46945337620578</v>
      </c>
      <c r="H2337" t="str">
        <f>_xlfn.XLOOKUP(A2337,Fact_Events!$D$2:$D$20,Fact_Events!$A$2:$A$20, "")</f>
        <v/>
      </c>
      <c r="I2337">
        <f t="shared" si="293"/>
        <v>0</v>
      </c>
      <c r="J2337" t="str">
        <f>_xlfn.XLOOKUP(H2337, Fact_Events!$A$2:$A$20, Fact_Events!$F$2:$F$20, "")</f>
        <v/>
      </c>
      <c r="K2337" t="str">
        <f t="shared" si="294"/>
        <v>Low</v>
      </c>
      <c r="L2337">
        <f t="shared" si="295"/>
        <v>0.55000000000000004</v>
      </c>
      <c r="M2337">
        <f>_xlfn.XLOOKUP(B2337, Dim_Hotel!$A$2:$A$11, Dim_Hotel!$I$2:$I$11)
 + (IF(J2337="",0,J2337)
    * _xlfn.XLOOKUP(B2337, Dim_Hotel!$A$2:$A$11, Dim_Hotel!$J$2:$J$11))</f>
        <v>190</v>
      </c>
    </row>
    <row r="2338" spans="1:13" x14ac:dyDescent="0.25">
      <c r="A2338" s="1">
        <f t="shared" si="288"/>
        <v>46256</v>
      </c>
      <c r="B2338" t="str" cm="1">
        <f t="array" ref="B2338">INDEX(HotelList,MOD(ROW()-2,10)+1)</f>
        <v>H007</v>
      </c>
      <c r="C2338">
        <f>_xlfn.XLOOKUP(B2338,Dim_Hotel!$A$2:$A$11,Dim_Hotel!$F$2:$F$11)</f>
        <v>132</v>
      </c>
      <c r="D2338">
        <f t="shared" si="289"/>
        <v>73</v>
      </c>
      <c r="E2338">
        <f t="shared" si="290"/>
        <v>0.55303030303030298</v>
      </c>
      <c r="F2338">
        <f t="shared" si="291"/>
        <v>165</v>
      </c>
      <c r="G2338">
        <f t="shared" si="292"/>
        <v>91.249999999999986</v>
      </c>
      <c r="H2338" t="str">
        <f>_xlfn.XLOOKUP(A2338,Fact_Events!$D$2:$D$20,Fact_Events!$A$2:$A$20, "")</f>
        <v/>
      </c>
      <c r="I2338">
        <f t="shared" si="293"/>
        <v>0</v>
      </c>
      <c r="J2338" t="str">
        <f>_xlfn.XLOOKUP(H2338, Fact_Events!$A$2:$A$20, Fact_Events!$F$2:$F$20, "")</f>
        <v/>
      </c>
      <c r="K2338" t="str">
        <f t="shared" si="294"/>
        <v>Low</v>
      </c>
      <c r="L2338">
        <f t="shared" si="295"/>
        <v>0.55000000000000004</v>
      </c>
      <c r="M2338">
        <f>_xlfn.XLOOKUP(B2338, Dim_Hotel!$A$2:$A$11, Dim_Hotel!$I$2:$I$11)
 + (IF(J2338="",0,J2338)
    * _xlfn.XLOOKUP(B2338, Dim_Hotel!$A$2:$A$11, Dim_Hotel!$J$2:$J$11))</f>
        <v>165</v>
      </c>
    </row>
    <row r="2339" spans="1:13" x14ac:dyDescent="0.25">
      <c r="A2339" s="1">
        <f t="shared" si="288"/>
        <v>46256</v>
      </c>
      <c r="B2339" t="str" cm="1">
        <f t="array" ref="B2339">INDEX(HotelList,MOD(ROW()-2,10)+1)</f>
        <v>H008</v>
      </c>
      <c r="C2339">
        <f>_xlfn.XLOOKUP(B2339,Dim_Hotel!$A$2:$A$11,Dim_Hotel!$F$2:$F$11)</f>
        <v>103</v>
      </c>
      <c r="D2339">
        <f t="shared" si="289"/>
        <v>57</v>
      </c>
      <c r="E2339">
        <f t="shared" si="290"/>
        <v>0.55339805825242716</v>
      </c>
      <c r="F2339">
        <f t="shared" si="291"/>
        <v>140</v>
      </c>
      <c r="G2339">
        <f t="shared" si="292"/>
        <v>77.475728155339809</v>
      </c>
      <c r="H2339" t="str">
        <f>_xlfn.XLOOKUP(A2339,Fact_Events!$D$2:$D$20,Fact_Events!$A$2:$A$20, "")</f>
        <v/>
      </c>
      <c r="I2339">
        <f t="shared" si="293"/>
        <v>0</v>
      </c>
      <c r="J2339" t="str">
        <f>_xlfn.XLOOKUP(H2339, Fact_Events!$A$2:$A$20, Fact_Events!$F$2:$F$20, "")</f>
        <v/>
      </c>
      <c r="K2339" t="str">
        <f t="shared" si="294"/>
        <v>Low</v>
      </c>
      <c r="L2339">
        <f t="shared" si="295"/>
        <v>0.55000000000000004</v>
      </c>
      <c r="M2339">
        <f>_xlfn.XLOOKUP(B2339, Dim_Hotel!$A$2:$A$11, Dim_Hotel!$I$2:$I$11)
 + (IF(J2339="",0,J2339)
    * _xlfn.XLOOKUP(B2339, Dim_Hotel!$A$2:$A$11, Dim_Hotel!$J$2:$J$11))</f>
        <v>140</v>
      </c>
    </row>
    <row r="2340" spans="1:13" x14ac:dyDescent="0.25">
      <c r="A2340" s="1">
        <f t="shared" si="288"/>
        <v>46256</v>
      </c>
      <c r="B2340" t="str" cm="1">
        <f t="array" ref="B2340">INDEX(HotelList,MOD(ROW()-2,10)+1)</f>
        <v>H009</v>
      </c>
      <c r="C2340">
        <f>_xlfn.XLOOKUP(B2340,Dim_Hotel!$A$2:$A$11,Dim_Hotel!$F$2:$F$11)</f>
        <v>114</v>
      </c>
      <c r="D2340">
        <f t="shared" si="289"/>
        <v>63</v>
      </c>
      <c r="E2340">
        <f t="shared" si="290"/>
        <v>0.55263157894736847</v>
      </c>
      <c r="F2340">
        <f t="shared" si="291"/>
        <v>185</v>
      </c>
      <c r="G2340">
        <f t="shared" si="292"/>
        <v>102.23684210526316</v>
      </c>
      <c r="H2340" t="str">
        <f>_xlfn.XLOOKUP(A2340,Fact_Events!$D$2:$D$20,Fact_Events!$A$2:$A$20, "")</f>
        <v/>
      </c>
      <c r="I2340">
        <f t="shared" si="293"/>
        <v>0</v>
      </c>
      <c r="J2340" t="str">
        <f>_xlfn.XLOOKUP(H2340, Fact_Events!$A$2:$A$20, Fact_Events!$F$2:$F$20, "")</f>
        <v/>
      </c>
      <c r="K2340" t="str">
        <f t="shared" si="294"/>
        <v>Low</v>
      </c>
      <c r="L2340">
        <f t="shared" si="295"/>
        <v>0.55000000000000004</v>
      </c>
      <c r="M2340">
        <f>_xlfn.XLOOKUP(B2340, Dim_Hotel!$A$2:$A$11, Dim_Hotel!$I$2:$I$11)
 + (IF(J2340="",0,J2340)
    * _xlfn.XLOOKUP(B2340, Dim_Hotel!$A$2:$A$11, Dim_Hotel!$J$2:$J$11))</f>
        <v>185</v>
      </c>
    </row>
    <row r="2341" spans="1:13" x14ac:dyDescent="0.25">
      <c r="A2341" s="1">
        <f t="shared" si="288"/>
        <v>46256</v>
      </c>
      <c r="B2341" t="str" cm="1">
        <f t="array" ref="B2341">INDEX(HotelList,MOD(ROW()-2,10)+1)</f>
        <v>H010</v>
      </c>
      <c r="C2341">
        <f>_xlfn.XLOOKUP(B2341,Dim_Hotel!$A$2:$A$11,Dim_Hotel!$F$2:$F$11)</f>
        <v>89</v>
      </c>
      <c r="D2341">
        <f t="shared" si="289"/>
        <v>49</v>
      </c>
      <c r="E2341">
        <f t="shared" si="290"/>
        <v>0.550561797752809</v>
      </c>
      <c r="F2341">
        <f t="shared" si="291"/>
        <v>150</v>
      </c>
      <c r="G2341">
        <f t="shared" si="292"/>
        <v>82.584269662921344</v>
      </c>
      <c r="H2341" t="str">
        <f>_xlfn.XLOOKUP(A2341,Fact_Events!$D$2:$D$20,Fact_Events!$A$2:$A$20, "")</f>
        <v/>
      </c>
      <c r="I2341">
        <f t="shared" si="293"/>
        <v>0</v>
      </c>
      <c r="J2341" t="str">
        <f>_xlfn.XLOOKUP(H2341, Fact_Events!$A$2:$A$20, Fact_Events!$F$2:$F$20, "")</f>
        <v/>
      </c>
      <c r="K2341" t="str">
        <f t="shared" si="294"/>
        <v>Low</v>
      </c>
      <c r="L2341">
        <f t="shared" si="295"/>
        <v>0.55000000000000004</v>
      </c>
      <c r="M2341">
        <f>_xlfn.XLOOKUP(B2341, Dim_Hotel!$A$2:$A$11, Dim_Hotel!$I$2:$I$11)
 + (IF(J2341="",0,J2341)
    * _xlfn.XLOOKUP(B2341, Dim_Hotel!$A$2:$A$11, Dim_Hotel!$J$2:$J$11))</f>
        <v>150</v>
      </c>
    </row>
    <row r="2342" spans="1:13" x14ac:dyDescent="0.25">
      <c r="A2342" s="1">
        <f t="shared" si="288"/>
        <v>46257</v>
      </c>
      <c r="B2342" t="str" cm="1">
        <f t="array" ref="B2342">INDEX(HotelList,MOD(ROW()-2,10)+1)</f>
        <v>H001</v>
      </c>
      <c r="C2342">
        <f>_xlfn.XLOOKUP(B2342,Dim_Hotel!$A$2:$A$11,Dim_Hotel!$F$2:$F$11)</f>
        <v>888</v>
      </c>
      <c r="D2342">
        <f t="shared" si="289"/>
        <v>488</v>
      </c>
      <c r="E2342">
        <f t="shared" si="290"/>
        <v>0.5495495495495496</v>
      </c>
      <c r="F2342">
        <f t="shared" si="291"/>
        <v>260</v>
      </c>
      <c r="G2342">
        <f t="shared" si="292"/>
        <v>142.88288288288288</v>
      </c>
      <c r="H2342" t="str">
        <f>_xlfn.XLOOKUP(A2342,Fact_Events!$D$2:$D$20,Fact_Events!$A$2:$A$20, "")</f>
        <v/>
      </c>
      <c r="I2342">
        <f t="shared" si="293"/>
        <v>0</v>
      </c>
      <c r="J2342" t="str">
        <f>_xlfn.XLOOKUP(H2342, Fact_Events!$A$2:$A$20, Fact_Events!$F$2:$F$20, "")</f>
        <v/>
      </c>
      <c r="K2342" t="str">
        <f t="shared" si="294"/>
        <v>Low</v>
      </c>
      <c r="L2342">
        <f t="shared" si="295"/>
        <v>0.55000000000000004</v>
      </c>
      <c r="M2342">
        <f>_xlfn.XLOOKUP(B2342, Dim_Hotel!$A$2:$A$11, Dim_Hotel!$I$2:$I$11)
 + (IF(J2342="",0,J2342)
    * _xlfn.XLOOKUP(B2342, Dim_Hotel!$A$2:$A$11, Dim_Hotel!$J$2:$J$11))</f>
        <v>260</v>
      </c>
    </row>
    <row r="2343" spans="1:13" x14ac:dyDescent="0.25">
      <c r="A2343" s="1">
        <f t="shared" si="288"/>
        <v>46257</v>
      </c>
      <c r="B2343" t="str" cm="1">
        <f t="array" ref="B2343">INDEX(HotelList,MOD(ROW()-2,10)+1)</f>
        <v>H002</v>
      </c>
      <c r="C2343">
        <f>_xlfn.XLOOKUP(B2343,Dim_Hotel!$A$2:$A$11,Dim_Hotel!$F$2:$F$11)</f>
        <v>147</v>
      </c>
      <c r="D2343">
        <f t="shared" si="289"/>
        <v>81</v>
      </c>
      <c r="E2343">
        <f t="shared" si="290"/>
        <v>0.55102040816326525</v>
      </c>
      <c r="F2343">
        <f t="shared" si="291"/>
        <v>175</v>
      </c>
      <c r="G2343">
        <f t="shared" si="292"/>
        <v>96.428571428571416</v>
      </c>
      <c r="H2343" t="str">
        <f>_xlfn.XLOOKUP(A2343,Fact_Events!$D$2:$D$20,Fact_Events!$A$2:$A$20, "")</f>
        <v/>
      </c>
      <c r="I2343">
        <f t="shared" si="293"/>
        <v>0</v>
      </c>
      <c r="J2343" t="str">
        <f>_xlfn.XLOOKUP(H2343, Fact_Events!$A$2:$A$20, Fact_Events!$F$2:$F$20, "")</f>
        <v/>
      </c>
      <c r="K2343" t="str">
        <f t="shared" si="294"/>
        <v>Low</v>
      </c>
      <c r="L2343">
        <f t="shared" si="295"/>
        <v>0.55000000000000004</v>
      </c>
      <c r="M2343">
        <f>_xlfn.XLOOKUP(B2343, Dim_Hotel!$A$2:$A$11, Dim_Hotel!$I$2:$I$11)
 + (IF(J2343="",0,J2343)
    * _xlfn.XLOOKUP(B2343, Dim_Hotel!$A$2:$A$11, Dim_Hotel!$J$2:$J$11))</f>
        <v>175</v>
      </c>
    </row>
    <row r="2344" spans="1:13" x14ac:dyDescent="0.25">
      <c r="A2344" s="1">
        <f t="shared" si="288"/>
        <v>46257</v>
      </c>
      <c r="B2344" t="str" cm="1">
        <f t="array" ref="B2344">INDEX(HotelList,MOD(ROW()-2,10)+1)</f>
        <v>H003</v>
      </c>
      <c r="C2344">
        <f>_xlfn.XLOOKUP(B2344,Dim_Hotel!$A$2:$A$11,Dim_Hotel!$F$2:$F$11)</f>
        <v>121</v>
      </c>
      <c r="D2344">
        <f t="shared" si="289"/>
        <v>67</v>
      </c>
      <c r="E2344">
        <f t="shared" si="290"/>
        <v>0.55371900826446285</v>
      </c>
      <c r="F2344">
        <f t="shared" si="291"/>
        <v>145</v>
      </c>
      <c r="G2344">
        <f t="shared" si="292"/>
        <v>80.289256198347118</v>
      </c>
      <c r="H2344" t="str">
        <f>_xlfn.XLOOKUP(A2344,Fact_Events!$D$2:$D$20,Fact_Events!$A$2:$A$20, "")</f>
        <v/>
      </c>
      <c r="I2344">
        <f t="shared" si="293"/>
        <v>0</v>
      </c>
      <c r="J2344" t="str">
        <f>_xlfn.XLOOKUP(H2344, Fact_Events!$A$2:$A$20, Fact_Events!$F$2:$F$20, "")</f>
        <v/>
      </c>
      <c r="K2344" t="str">
        <f t="shared" si="294"/>
        <v>Low</v>
      </c>
      <c r="L2344">
        <f t="shared" si="295"/>
        <v>0.55000000000000004</v>
      </c>
      <c r="M2344">
        <f>_xlfn.XLOOKUP(B2344, Dim_Hotel!$A$2:$A$11, Dim_Hotel!$I$2:$I$11)
 + (IF(J2344="",0,J2344)
    * _xlfn.XLOOKUP(B2344, Dim_Hotel!$A$2:$A$11, Dim_Hotel!$J$2:$J$11))</f>
        <v>145</v>
      </c>
    </row>
    <row r="2345" spans="1:13" x14ac:dyDescent="0.25">
      <c r="A2345" s="1">
        <f t="shared" si="288"/>
        <v>46257</v>
      </c>
      <c r="B2345" t="str" cm="1">
        <f t="array" ref="B2345">INDEX(HotelList,MOD(ROW()-2,10)+1)</f>
        <v>H004</v>
      </c>
      <c r="C2345">
        <f>_xlfn.XLOOKUP(B2345,Dim_Hotel!$A$2:$A$11,Dim_Hotel!$F$2:$F$11)</f>
        <v>108</v>
      </c>
      <c r="D2345">
        <f t="shared" si="289"/>
        <v>59</v>
      </c>
      <c r="E2345">
        <f t="shared" si="290"/>
        <v>0.54629629629629628</v>
      </c>
      <c r="F2345">
        <f t="shared" si="291"/>
        <v>135</v>
      </c>
      <c r="G2345">
        <f t="shared" si="292"/>
        <v>73.75</v>
      </c>
      <c r="H2345" t="str">
        <f>_xlfn.XLOOKUP(A2345,Fact_Events!$D$2:$D$20,Fact_Events!$A$2:$A$20, "")</f>
        <v/>
      </c>
      <c r="I2345">
        <f t="shared" si="293"/>
        <v>0</v>
      </c>
      <c r="J2345" t="str">
        <f>_xlfn.XLOOKUP(H2345, Fact_Events!$A$2:$A$20, Fact_Events!$F$2:$F$20, "")</f>
        <v/>
      </c>
      <c r="K2345" t="str">
        <f t="shared" si="294"/>
        <v>Low</v>
      </c>
      <c r="L2345">
        <f t="shared" si="295"/>
        <v>0.55000000000000004</v>
      </c>
      <c r="M2345">
        <f>_xlfn.XLOOKUP(B2345, Dim_Hotel!$A$2:$A$11, Dim_Hotel!$I$2:$I$11)
 + (IF(J2345="",0,J2345)
    * _xlfn.XLOOKUP(B2345, Dim_Hotel!$A$2:$A$11, Dim_Hotel!$J$2:$J$11))</f>
        <v>135</v>
      </c>
    </row>
    <row r="2346" spans="1:13" x14ac:dyDescent="0.25">
      <c r="A2346" s="1">
        <f t="shared" si="288"/>
        <v>46257</v>
      </c>
      <c r="B2346" t="str" cm="1">
        <f t="array" ref="B2346">INDEX(HotelList,MOD(ROW()-2,10)+1)</f>
        <v>H005</v>
      </c>
      <c r="C2346">
        <f>_xlfn.XLOOKUP(B2346,Dim_Hotel!$A$2:$A$11,Dim_Hotel!$F$2:$F$11)</f>
        <v>66</v>
      </c>
      <c r="D2346">
        <f t="shared" si="289"/>
        <v>36</v>
      </c>
      <c r="E2346">
        <f t="shared" si="290"/>
        <v>0.54545454545454541</v>
      </c>
      <c r="F2346">
        <f t="shared" si="291"/>
        <v>82</v>
      </c>
      <c r="G2346">
        <f t="shared" si="292"/>
        <v>44.727272727272727</v>
      </c>
      <c r="H2346" t="str">
        <f>_xlfn.XLOOKUP(A2346,Fact_Events!$D$2:$D$20,Fact_Events!$A$2:$A$20, "")</f>
        <v/>
      </c>
      <c r="I2346">
        <f t="shared" si="293"/>
        <v>0</v>
      </c>
      <c r="J2346" t="str">
        <f>_xlfn.XLOOKUP(H2346, Fact_Events!$A$2:$A$20, Fact_Events!$F$2:$F$20, "")</f>
        <v/>
      </c>
      <c r="K2346" t="str">
        <f t="shared" si="294"/>
        <v>Low</v>
      </c>
      <c r="L2346">
        <f t="shared" si="295"/>
        <v>0.55000000000000004</v>
      </c>
      <c r="M2346">
        <f>_xlfn.XLOOKUP(B2346, Dim_Hotel!$A$2:$A$11, Dim_Hotel!$I$2:$I$11)
 + (IF(J2346="",0,J2346)
    * _xlfn.XLOOKUP(B2346, Dim_Hotel!$A$2:$A$11, Dim_Hotel!$J$2:$J$11))</f>
        <v>82</v>
      </c>
    </row>
    <row r="2347" spans="1:13" x14ac:dyDescent="0.25">
      <c r="A2347" s="1">
        <f t="shared" si="288"/>
        <v>46257</v>
      </c>
      <c r="B2347" t="str" cm="1">
        <f t="array" ref="B2347">INDEX(HotelList,MOD(ROW()-2,10)+1)</f>
        <v>H006</v>
      </c>
      <c r="C2347">
        <f>_xlfn.XLOOKUP(B2347,Dim_Hotel!$A$2:$A$11,Dim_Hotel!$F$2:$F$11)</f>
        <v>311</v>
      </c>
      <c r="D2347">
        <f t="shared" si="289"/>
        <v>171</v>
      </c>
      <c r="E2347">
        <f t="shared" si="290"/>
        <v>0.54983922829581988</v>
      </c>
      <c r="F2347">
        <f t="shared" si="291"/>
        <v>190</v>
      </c>
      <c r="G2347">
        <f t="shared" si="292"/>
        <v>104.46945337620578</v>
      </c>
      <c r="H2347" t="str">
        <f>_xlfn.XLOOKUP(A2347,Fact_Events!$D$2:$D$20,Fact_Events!$A$2:$A$20, "")</f>
        <v/>
      </c>
      <c r="I2347">
        <f t="shared" si="293"/>
        <v>0</v>
      </c>
      <c r="J2347" t="str">
        <f>_xlfn.XLOOKUP(H2347, Fact_Events!$A$2:$A$20, Fact_Events!$F$2:$F$20, "")</f>
        <v/>
      </c>
      <c r="K2347" t="str">
        <f t="shared" si="294"/>
        <v>Low</v>
      </c>
      <c r="L2347">
        <f t="shared" si="295"/>
        <v>0.55000000000000004</v>
      </c>
      <c r="M2347">
        <f>_xlfn.XLOOKUP(B2347, Dim_Hotel!$A$2:$A$11, Dim_Hotel!$I$2:$I$11)
 + (IF(J2347="",0,J2347)
    * _xlfn.XLOOKUP(B2347, Dim_Hotel!$A$2:$A$11, Dim_Hotel!$J$2:$J$11))</f>
        <v>190</v>
      </c>
    </row>
    <row r="2348" spans="1:13" x14ac:dyDescent="0.25">
      <c r="A2348" s="1">
        <f t="shared" si="288"/>
        <v>46257</v>
      </c>
      <c r="B2348" t="str" cm="1">
        <f t="array" ref="B2348">INDEX(HotelList,MOD(ROW()-2,10)+1)</f>
        <v>H007</v>
      </c>
      <c r="C2348">
        <f>_xlfn.XLOOKUP(B2348,Dim_Hotel!$A$2:$A$11,Dim_Hotel!$F$2:$F$11)</f>
        <v>132</v>
      </c>
      <c r="D2348">
        <f t="shared" si="289"/>
        <v>73</v>
      </c>
      <c r="E2348">
        <f t="shared" si="290"/>
        <v>0.55303030303030298</v>
      </c>
      <c r="F2348">
        <f t="shared" si="291"/>
        <v>165</v>
      </c>
      <c r="G2348">
        <f t="shared" si="292"/>
        <v>91.249999999999986</v>
      </c>
      <c r="H2348" t="str">
        <f>_xlfn.XLOOKUP(A2348,Fact_Events!$D$2:$D$20,Fact_Events!$A$2:$A$20, "")</f>
        <v/>
      </c>
      <c r="I2348">
        <f t="shared" si="293"/>
        <v>0</v>
      </c>
      <c r="J2348" t="str">
        <f>_xlfn.XLOOKUP(H2348, Fact_Events!$A$2:$A$20, Fact_Events!$F$2:$F$20, "")</f>
        <v/>
      </c>
      <c r="K2348" t="str">
        <f t="shared" si="294"/>
        <v>Low</v>
      </c>
      <c r="L2348">
        <f t="shared" si="295"/>
        <v>0.55000000000000004</v>
      </c>
      <c r="M2348">
        <f>_xlfn.XLOOKUP(B2348, Dim_Hotel!$A$2:$A$11, Dim_Hotel!$I$2:$I$11)
 + (IF(J2348="",0,J2348)
    * _xlfn.XLOOKUP(B2348, Dim_Hotel!$A$2:$A$11, Dim_Hotel!$J$2:$J$11))</f>
        <v>165</v>
      </c>
    </row>
    <row r="2349" spans="1:13" x14ac:dyDescent="0.25">
      <c r="A2349" s="1">
        <f t="shared" si="288"/>
        <v>46257</v>
      </c>
      <c r="B2349" t="str" cm="1">
        <f t="array" ref="B2349">INDEX(HotelList,MOD(ROW()-2,10)+1)</f>
        <v>H008</v>
      </c>
      <c r="C2349">
        <f>_xlfn.XLOOKUP(B2349,Dim_Hotel!$A$2:$A$11,Dim_Hotel!$F$2:$F$11)</f>
        <v>103</v>
      </c>
      <c r="D2349">
        <f t="shared" si="289"/>
        <v>57</v>
      </c>
      <c r="E2349">
        <f t="shared" si="290"/>
        <v>0.55339805825242716</v>
      </c>
      <c r="F2349">
        <f t="shared" si="291"/>
        <v>140</v>
      </c>
      <c r="G2349">
        <f t="shared" si="292"/>
        <v>77.475728155339809</v>
      </c>
      <c r="H2349" t="str">
        <f>_xlfn.XLOOKUP(A2349,Fact_Events!$D$2:$D$20,Fact_Events!$A$2:$A$20, "")</f>
        <v/>
      </c>
      <c r="I2349">
        <f t="shared" si="293"/>
        <v>0</v>
      </c>
      <c r="J2349" t="str">
        <f>_xlfn.XLOOKUP(H2349, Fact_Events!$A$2:$A$20, Fact_Events!$F$2:$F$20, "")</f>
        <v/>
      </c>
      <c r="K2349" t="str">
        <f t="shared" si="294"/>
        <v>Low</v>
      </c>
      <c r="L2349">
        <f t="shared" si="295"/>
        <v>0.55000000000000004</v>
      </c>
      <c r="M2349">
        <f>_xlfn.XLOOKUP(B2349, Dim_Hotel!$A$2:$A$11, Dim_Hotel!$I$2:$I$11)
 + (IF(J2349="",0,J2349)
    * _xlfn.XLOOKUP(B2349, Dim_Hotel!$A$2:$A$11, Dim_Hotel!$J$2:$J$11))</f>
        <v>140</v>
      </c>
    </row>
    <row r="2350" spans="1:13" x14ac:dyDescent="0.25">
      <c r="A2350" s="1">
        <f t="shared" si="288"/>
        <v>46257</v>
      </c>
      <c r="B2350" t="str" cm="1">
        <f t="array" ref="B2350">INDEX(HotelList,MOD(ROW()-2,10)+1)</f>
        <v>H009</v>
      </c>
      <c r="C2350">
        <f>_xlfn.XLOOKUP(B2350,Dim_Hotel!$A$2:$A$11,Dim_Hotel!$F$2:$F$11)</f>
        <v>114</v>
      </c>
      <c r="D2350">
        <f t="shared" si="289"/>
        <v>63</v>
      </c>
      <c r="E2350">
        <f t="shared" si="290"/>
        <v>0.55263157894736847</v>
      </c>
      <c r="F2350">
        <f t="shared" si="291"/>
        <v>185</v>
      </c>
      <c r="G2350">
        <f t="shared" si="292"/>
        <v>102.23684210526316</v>
      </c>
      <c r="H2350" t="str">
        <f>_xlfn.XLOOKUP(A2350,Fact_Events!$D$2:$D$20,Fact_Events!$A$2:$A$20, "")</f>
        <v/>
      </c>
      <c r="I2350">
        <f t="shared" si="293"/>
        <v>0</v>
      </c>
      <c r="J2350" t="str">
        <f>_xlfn.XLOOKUP(H2350, Fact_Events!$A$2:$A$20, Fact_Events!$F$2:$F$20, "")</f>
        <v/>
      </c>
      <c r="K2350" t="str">
        <f t="shared" si="294"/>
        <v>Low</v>
      </c>
      <c r="L2350">
        <f t="shared" si="295"/>
        <v>0.55000000000000004</v>
      </c>
      <c r="M2350">
        <f>_xlfn.XLOOKUP(B2350, Dim_Hotel!$A$2:$A$11, Dim_Hotel!$I$2:$I$11)
 + (IF(J2350="",0,J2350)
    * _xlfn.XLOOKUP(B2350, Dim_Hotel!$A$2:$A$11, Dim_Hotel!$J$2:$J$11))</f>
        <v>185</v>
      </c>
    </row>
    <row r="2351" spans="1:13" x14ac:dyDescent="0.25">
      <c r="A2351" s="1">
        <f t="shared" si="288"/>
        <v>46257</v>
      </c>
      <c r="B2351" t="str" cm="1">
        <f t="array" ref="B2351">INDEX(HotelList,MOD(ROW()-2,10)+1)</f>
        <v>H010</v>
      </c>
      <c r="C2351">
        <f>_xlfn.XLOOKUP(B2351,Dim_Hotel!$A$2:$A$11,Dim_Hotel!$F$2:$F$11)</f>
        <v>89</v>
      </c>
      <c r="D2351">
        <f t="shared" si="289"/>
        <v>49</v>
      </c>
      <c r="E2351">
        <f t="shared" si="290"/>
        <v>0.550561797752809</v>
      </c>
      <c r="F2351">
        <f t="shared" si="291"/>
        <v>150</v>
      </c>
      <c r="G2351">
        <f t="shared" si="292"/>
        <v>82.584269662921344</v>
      </c>
      <c r="H2351" t="str">
        <f>_xlfn.XLOOKUP(A2351,Fact_Events!$D$2:$D$20,Fact_Events!$A$2:$A$20, "")</f>
        <v/>
      </c>
      <c r="I2351">
        <f t="shared" si="293"/>
        <v>0</v>
      </c>
      <c r="J2351" t="str">
        <f>_xlfn.XLOOKUP(H2351, Fact_Events!$A$2:$A$20, Fact_Events!$F$2:$F$20, "")</f>
        <v/>
      </c>
      <c r="K2351" t="str">
        <f t="shared" si="294"/>
        <v>Low</v>
      </c>
      <c r="L2351">
        <f t="shared" si="295"/>
        <v>0.55000000000000004</v>
      </c>
      <c r="M2351">
        <f>_xlfn.XLOOKUP(B2351, Dim_Hotel!$A$2:$A$11, Dim_Hotel!$I$2:$I$11)
 + (IF(J2351="",0,J2351)
    * _xlfn.XLOOKUP(B2351, Dim_Hotel!$A$2:$A$11, Dim_Hotel!$J$2:$J$11))</f>
        <v>150</v>
      </c>
    </row>
    <row r="2352" spans="1:13" x14ac:dyDescent="0.25">
      <c r="A2352" s="1">
        <f t="shared" si="288"/>
        <v>46258</v>
      </c>
      <c r="B2352" t="str" cm="1">
        <f t="array" ref="B2352">INDEX(HotelList,MOD(ROW()-2,10)+1)</f>
        <v>H001</v>
      </c>
      <c r="C2352">
        <f>_xlfn.XLOOKUP(B2352,Dim_Hotel!$A$2:$A$11,Dim_Hotel!$F$2:$F$11)</f>
        <v>888</v>
      </c>
      <c r="D2352">
        <f t="shared" si="289"/>
        <v>488</v>
      </c>
      <c r="E2352">
        <f t="shared" si="290"/>
        <v>0.5495495495495496</v>
      </c>
      <c r="F2352">
        <f t="shared" si="291"/>
        <v>260</v>
      </c>
      <c r="G2352">
        <f t="shared" si="292"/>
        <v>142.88288288288288</v>
      </c>
      <c r="H2352" t="str">
        <f>_xlfn.XLOOKUP(A2352,Fact_Events!$D$2:$D$20,Fact_Events!$A$2:$A$20, "")</f>
        <v/>
      </c>
      <c r="I2352">
        <f t="shared" si="293"/>
        <v>0</v>
      </c>
      <c r="J2352" t="str">
        <f>_xlfn.XLOOKUP(H2352, Fact_Events!$A$2:$A$20, Fact_Events!$F$2:$F$20, "")</f>
        <v/>
      </c>
      <c r="K2352" t="str">
        <f t="shared" si="294"/>
        <v>Low</v>
      </c>
      <c r="L2352">
        <f t="shared" si="295"/>
        <v>0.55000000000000004</v>
      </c>
      <c r="M2352">
        <f>_xlfn.XLOOKUP(B2352, Dim_Hotel!$A$2:$A$11, Dim_Hotel!$I$2:$I$11)
 + (IF(J2352="",0,J2352)
    * _xlfn.XLOOKUP(B2352, Dim_Hotel!$A$2:$A$11, Dim_Hotel!$J$2:$J$11))</f>
        <v>260</v>
      </c>
    </row>
    <row r="2353" spans="1:13" x14ac:dyDescent="0.25">
      <c r="A2353" s="1">
        <f t="shared" si="288"/>
        <v>46258</v>
      </c>
      <c r="B2353" t="str" cm="1">
        <f t="array" ref="B2353">INDEX(HotelList,MOD(ROW()-2,10)+1)</f>
        <v>H002</v>
      </c>
      <c r="C2353">
        <f>_xlfn.XLOOKUP(B2353,Dim_Hotel!$A$2:$A$11,Dim_Hotel!$F$2:$F$11)</f>
        <v>147</v>
      </c>
      <c r="D2353">
        <f t="shared" si="289"/>
        <v>81</v>
      </c>
      <c r="E2353">
        <f t="shared" si="290"/>
        <v>0.55102040816326525</v>
      </c>
      <c r="F2353">
        <f t="shared" si="291"/>
        <v>175</v>
      </c>
      <c r="G2353">
        <f t="shared" si="292"/>
        <v>96.428571428571416</v>
      </c>
      <c r="H2353" t="str">
        <f>_xlfn.XLOOKUP(A2353,Fact_Events!$D$2:$D$20,Fact_Events!$A$2:$A$20, "")</f>
        <v/>
      </c>
      <c r="I2353">
        <f t="shared" si="293"/>
        <v>0</v>
      </c>
      <c r="J2353" t="str">
        <f>_xlfn.XLOOKUP(H2353, Fact_Events!$A$2:$A$20, Fact_Events!$F$2:$F$20, "")</f>
        <v/>
      </c>
      <c r="K2353" t="str">
        <f t="shared" si="294"/>
        <v>Low</v>
      </c>
      <c r="L2353">
        <f t="shared" si="295"/>
        <v>0.55000000000000004</v>
      </c>
      <c r="M2353">
        <f>_xlfn.XLOOKUP(B2353, Dim_Hotel!$A$2:$A$11, Dim_Hotel!$I$2:$I$11)
 + (IF(J2353="",0,J2353)
    * _xlfn.XLOOKUP(B2353, Dim_Hotel!$A$2:$A$11, Dim_Hotel!$J$2:$J$11))</f>
        <v>175</v>
      </c>
    </row>
    <row r="2354" spans="1:13" x14ac:dyDescent="0.25">
      <c r="A2354" s="1">
        <f t="shared" si="288"/>
        <v>46258</v>
      </c>
      <c r="B2354" t="str" cm="1">
        <f t="array" ref="B2354">INDEX(HotelList,MOD(ROW()-2,10)+1)</f>
        <v>H003</v>
      </c>
      <c r="C2354">
        <f>_xlfn.XLOOKUP(B2354,Dim_Hotel!$A$2:$A$11,Dim_Hotel!$F$2:$F$11)</f>
        <v>121</v>
      </c>
      <c r="D2354">
        <f t="shared" si="289"/>
        <v>67</v>
      </c>
      <c r="E2354">
        <f t="shared" si="290"/>
        <v>0.55371900826446285</v>
      </c>
      <c r="F2354">
        <f t="shared" si="291"/>
        <v>145</v>
      </c>
      <c r="G2354">
        <f t="shared" si="292"/>
        <v>80.289256198347118</v>
      </c>
      <c r="H2354" t="str">
        <f>_xlfn.XLOOKUP(A2354,Fact_Events!$D$2:$D$20,Fact_Events!$A$2:$A$20, "")</f>
        <v/>
      </c>
      <c r="I2354">
        <f t="shared" si="293"/>
        <v>0</v>
      </c>
      <c r="J2354" t="str">
        <f>_xlfn.XLOOKUP(H2354, Fact_Events!$A$2:$A$20, Fact_Events!$F$2:$F$20, "")</f>
        <v/>
      </c>
      <c r="K2354" t="str">
        <f t="shared" si="294"/>
        <v>Low</v>
      </c>
      <c r="L2354">
        <f t="shared" si="295"/>
        <v>0.55000000000000004</v>
      </c>
      <c r="M2354">
        <f>_xlfn.XLOOKUP(B2354, Dim_Hotel!$A$2:$A$11, Dim_Hotel!$I$2:$I$11)
 + (IF(J2354="",0,J2354)
    * _xlfn.XLOOKUP(B2354, Dim_Hotel!$A$2:$A$11, Dim_Hotel!$J$2:$J$11))</f>
        <v>145</v>
      </c>
    </row>
    <row r="2355" spans="1:13" x14ac:dyDescent="0.25">
      <c r="A2355" s="1">
        <f t="shared" si="288"/>
        <v>46258</v>
      </c>
      <c r="B2355" t="str" cm="1">
        <f t="array" ref="B2355">INDEX(HotelList,MOD(ROW()-2,10)+1)</f>
        <v>H004</v>
      </c>
      <c r="C2355">
        <f>_xlfn.XLOOKUP(B2355,Dim_Hotel!$A$2:$A$11,Dim_Hotel!$F$2:$F$11)</f>
        <v>108</v>
      </c>
      <c r="D2355">
        <f t="shared" si="289"/>
        <v>59</v>
      </c>
      <c r="E2355">
        <f t="shared" si="290"/>
        <v>0.54629629629629628</v>
      </c>
      <c r="F2355">
        <f t="shared" si="291"/>
        <v>135</v>
      </c>
      <c r="G2355">
        <f t="shared" si="292"/>
        <v>73.75</v>
      </c>
      <c r="H2355" t="str">
        <f>_xlfn.XLOOKUP(A2355,Fact_Events!$D$2:$D$20,Fact_Events!$A$2:$A$20, "")</f>
        <v/>
      </c>
      <c r="I2355">
        <f t="shared" si="293"/>
        <v>0</v>
      </c>
      <c r="J2355" t="str">
        <f>_xlfn.XLOOKUP(H2355, Fact_Events!$A$2:$A$20, Fact_Events!$F$2:$F$20, "")</f>
        <v/>
      </c>
      <c r="K2355" t="str">
        <f t="shared" si="294"/>
        <v>Low</v>
      </c>
      <c r="L2355">
        <f t="shared" si="295"/>
        <v>0.55000000000000004</v>
      </c>
      <c r="M2355">
        <f>_xlfn.XLOOKUP(B2355, Dim_Hotel!$A$2:$A$11, Dim_Hotel!$I$2:$I$11)
 + (IF(J2355="",0,J2355)
    * _xlfn.XLOOKUP(B2355, Dim_Hotel!$A$2:$A$11, Dim_Hotel!$J$2:$J$11))</f>
        <v>135</v>
      </c>
    </row>
    <row r="2356" spans="1:13" x14ac:dyDescent="0.25">
      <c r="A2356" s="1">
        <f t="shared" si="288"/>
        <v>46258</v>
      </c>
      <c r="B2356" t="str" cm="1">
        <f t="array" ref="B2356">INDEX(HotelList,MOD(ROW()-2,10)+1)</f>
        <v>H005</v>
      </c>
      <c r="C2356">
        <f>_xlfn.XLOOKUP(B2356,Dim_Hotel!$A$2:$A$11,Dim_Hotel!$F$2:$F$11)</f>
        <v>66</v>
      </c>
      <c r="D2356">
        <f t="shared" si="289"/>
        <v>36</v>
      </c>
      <c r="E2356">
        <f t="shared" si="290"/>
        <v>0.54545454545454541</v>
      </c>
      <c r="F2356">
        <f t="shared" si="291"/>
        <v>82</v>
      </c>
      <c r="G2356">
        <f t="shared" si="292"/>
        <v>44.727272727272727</v>
      </c>
      <c r="H2356" t="str">
        <f>_xlfn.XLOOKUP(A2356,Fact_Events!$D$2:$D$20,Fact_Events!$A$2:$A$20, "")</f>
        <v/>
      </c>
      <c r="I2356">
        <f t="shared" si="293"/>
        <v>0</v>
      </c>
      <c r="J2356" t="str">
        <f>_xlfn.XLOOKUP(H2356, Fact_Events!$A$2:$A$20, Fact_Events!$F$2:$F$20, "")</f>
        <v/>
      </c>
      <c r="K2356" t="str">
        <f t="shared" si="294"/>
        <v>Low</v>
      </c>
      <c r="L2356">
        <f t="shared" si="295"/>
        <v>0.55000000000000004</v>
      </c>
      <c r="M2356">
        <f>_xlfn.XLOOKUP(B2356, Dim_Hotel!$A$2:$A$11, Dim_Hotel!$I$2:$I$11)
 + (IF(J2356="",0,J2356)
    * _xlfn.XLOOKUP(B2356, Dim_Hotel!$A$2:$A$11, Dim_Hotel!$J$2:$J$11))</f>
        <v>82</v>
      </c>
    </row>
    <row r="2357" spans="1:13" x14ac:dyDescent="0.25">
      <c r="A2357" s="1">
        <f t="shared" si="288"/>
        <v>46258</v>
      </c>
      <c r="B2357" t="str" cm="1">
        <f t="array" ref="B2357">INDEX(HotelList,MOD(ROW()-2,10)+1)</f>
        <v>H006</v>
      </c>
      <c r="C2357">
        <f>_xlfn.XLOOKUP(B2357,Dim_Hotel!$A$2:$A$11,Dim_Hotel!$F$2:$F$11)</f>
        <v>311</v>
      </c>
      <c r="D2357">
        <f t="shared" si="289"/>
        <v>171</v>
      </c>
      <c r="E2357">
        <f t="shared" si="290"/>
        <v>0.54983922829581988</v>
      </c>
      <c r="F2357">
        <f t="shared" si="291"/>
        <v>190</v>
      </c>
      <c r="G2357">
        <f t="shared" si="292"/>
        <v>104.46945337620578</v>
      </c>
      <c r="H2357" t="str">
        <f>_xlfn.XLOOKUP(A2357,Fact_Events!$D$2:$D$20,Fact_Events!$A$2:$A$20, "")</f>
        <v/>
      </c>
      <c r="I2357">
        <f t="shared" si="293"/>
        <v>0</v>
      </c>
      <c r="J2357" t="str">
        <f>_xlfn.XLOOKUP(H2357, Fact_Events!$A$2:$A$20, Fact_Events!$F$2:$F$20, "")</f>
        <v/>
      </c>
      <c r="K2357" t="str">
        <f t="shared" si="294"/>
        <v>Low</v>
      </c>
      <c r="L2357">
        <f t="shared" si="295"/>
        <v>0.55000000000000004</v>
      </c>
      <c r="M2357">
        <f>_xlfn.XLOOKUP(B2357, Dim_Hotel!$A$2:$A$11, Dim_Hotel!$I$2:$I$11)
 + (IF(J2357="",0,J2357)
    * _xlfn.XLOOKUP(B2357, Dim_Hotel!$A$2:$A$11, Dim_Hotel!$J$2:$J$11))</f>
        <v>190</v>
      </c>
    </row>
    <row r="2358" spans="1:13" x14ac:dyDescent="0.25">
      <c r="A2358" s="1">
        <f t="shared" si="288"/>
        <v>46258</v>
      </c>
      <c r="B2358" t="str" cm="1">
        <f t="array" ref="B2358">INDEX(HotelList,MOD(ROW()-2,10)+1)</f>
        <v>H007</v>
      </c>
      <c r="C2358">
        <f>_xlfn.XLOOKUP(B2358,Dim_Hotel!$A$2:$A$11,Dim_Hotel!$F$2:$F$11)</f>
        <v>132</v>
      </c>
      <c r="D2358">
        <f t="shared" si="289"/>
        <v>73</v>
      </c>
      <c r="E2358">
        <f t="shared" si="290"/>
        <v>0.55303030303030298</v>
      </c>
      <c r="F2358">
        <f t="shared" si="291"/>
        <v>165</v>
      </c>
      <c r="G2358">
        <f t="shared" si="292"/>
        <v>91.249999999999986</v>
      </c>
      <c r="H2358" t="str">
        <f>_xlfn.XLOOKUP(A2358,Fact_Events!$D$2:$D$20,Fact_Events!$A$2:$A$20, "")</f>
        <v/>
      </c>
      <c r="I2358">
        <f t="shared" si="293"/>
        <v>0</v>
      </c>
      <c r="J2358" t="str">
        <f>_xlfn.XLOOKUP(H2358, Fact_Events!$A$2:$A$20, Fact_Events!$F$2:$F$20, "")</f>
        <v/>
      </c>
      <c r="K2358" t="str">
        <f t="shared" si="294"/>
        <v>Low</v>
      </c>
      <c r="L2358">
        <f t="shared" si="295"/>
        <v>0.55000000000000004</v>
      </c>
      <c r="M2358">
        <f>_xlfn.XLOOKUP(B2358, Dim_Hotel!$A$2:$A$11, Dim_Hotel!$I$2:$I$11)
 + (IF(J2358="",0,J2358)
    * _xlfn.XLOOKUP(B2358, Dim_Hotel!$A$2:$A$11, Dim_Hotel!$J$2:$J$11))</f>
        <v>165</v>
      </c>
    </row>
    <row r="2359" spans="1:13" x14ac:dyDescent="0.25">
      <c r="A2359" s="1">
        <f t="shared" si="288"/>
        <v>46258</v>
      </c>
      <c r="B2359" t="str" cm="1">
        <f t="array" ref="B2359">INDEX(HotelList,MOD(ROW()-2,10)+1)</f>
        <v>H008</v>
      </c>
      <c r="C2359">
        <f>_xlfn.XLOOKUP(B2359,Dim_Hotel!$A$2:$A$11,Dim_Hotel!$F$2:$F$11)</f>
        <v>103</v>
      </c>
      <c r="D2359">
        <f t="shared" si="289"/>
        <v>57</v>
      </c>
      <c r="E2359">
        <f t="shared" si="290"/>
        <v>0.55339805825242716</v>
      </c>
      <c r="F2359">
        <f t="shared" si="291"/>
        <v>140</v>
      </c>
      <c r="G2359">
        <f t="shared" si="292"/>
        <v>77.475728155339809</v>
      </c>
      <c r="H2359" t="str">
        <f>_xlfn.XLOOKUP(A2359,Fact_Events!$D$2:$D$20,Fact_Events!$A$2:$A$20, "")</f>
        <v/>
      </c>
      <c r="I2359">
        <f t="shared" si="293"/>
        <v>0</v>
      </c>
      <c r="J2359" t="str">
        <f>_xlfn.XLOOKUP(H2359, Fact_Events!$A$2:$A$20, Fact_Events!$F$2:$F$20, "")</f>
        <v/>
      </c>
      <c r="K2359" t="str">
        <f t="shared" si="294"/>
        <v>Low</v>
      </c>
      <c r="L2359">
        <f t="shared" si="295"/>
        <v>0.55000000000000004</v>
      </c>
      <c r="M2359">
        <f>_xlfn.XLOOKUP(B2359, Dim_Hotel!$A$2:$A$11, Dim_Hotel!$I$2:$I$11)
 + (IF(J2359="",0,J2359)
    * _xlfn.XLOOKUP(B2359, Dim_Hotel!$A$2:$A$11, Dim_Hotel!$J$2:$J$11))</f>
        <v>140</v>
      </c>
    </row>
    <row r="2360" spans="1:13" x14ac:dyDescent="0.25">
      <c r="A2360" s="1">
        <f t="shared" si="288"/>
        <v>46258</v>
      </c>
      <c r="B2360" t="str" cm="1">
        <f t="array" ref="B2360">INDEX(HotelList,MOD(ROW()-2,10)+1)</f>
        <v>H009</v>
      </c>
      <c r="C2360">
        <f>_xlfn.XLOOKUP(B2360,Dim_Hotel!$A$2:$A$11,Dim_Hotel!$F$2:$F$11)</f>
        <v>114</v>
      </c>
      <c r="D2360">
        <f t="shared" si="289"/>
        <v>63</v>
      </c>
      <c r="E2360">
        <f t="shared" si="290"/>
        <v>0.55263157894736847</v>
      </c>
      <c r="F2360">
        <f t="shared" si="291"/>
        <v>185</v>
      </c>
      <c r="G2360">
        <f t="shared" si="292"/>
        <v>102.23684210526316</v>
      </c>
      <c r="H2360" t="str">
        <f>_xlfn.XLOOKUP(A2360,Fact_Events!$D$2:$D$20,Fact_Events!$A$2:$A$20, "")</f>
        <v/>
      </c>
      <c r="I2360">
        <f t="shared" si="293"/>
        <v>0</v>
      </c>
      <c r="J2360" t="str">
        <f>_xlfn.XLOOKUP(H2360, Fact_Events!$A$2:$A$20, Fact_Events!$F$2:$F$20, "")</f>
        <v/>
      </c>
      <c r="K2360" t="str">
        <f t="shared" si="294"/>
        <v>Low</v>
      </c>
      <c r="L2360">
        <f t="shared" si="295"/>
        <v>0.55000000000000004</v>
      </c>
      <c r="M2360">
        <f>_xlfn.XLOOKUP(B2360, Dim_Hotel!$A$2:$A$11, Dim_Hotel!$I$2:$I$11)
 + (IF(J2360="",0,J2360)
    * _xlfn.XLOOKUP(B2360, Dim_Hotel!$A$2:$A$11, Dim_Hotel!$J$2:$J$11))</f>
        <v>185</v>
      </c>
    </row>
    <row r="2361" spans="1:13" x14ac:dyDescent="0.25">
      <c r="A2361" s="1">
        <f t="shared" si="288"/>
        <v>46258</v>
      </c>
      <c r="B2361" t="str" cm="1">
        <f t="array" ref="B2361">INDEX(HotelList,MOD(ROW()-2,10)+1)</f>
        <v>H010</v>
      </c>
      <c r="C2361">
        <f>_xlfn.XLOOKUP(B2361,Dim_Hotel!$A$2:$A$11,Dim_Hotel!$F$2:$F$11)</f>
        <v>89</v>
      </c>
      <c r="D2361">
        <f t="shared" si="289"/>
        <v>49</v>
      </c>
      <c r="E2361">
        <f t="shared" si="290"/>
        <v>0.550561797752809</v>
      </c>
      <c r="F2361">
        <f t="shared" si="291"/>
        <v>150</v>
      </c>
      <c r="G2361">
        <f t="shared" si="292"/>
        <v>82.584269662921344</v>
      </c>
      <c r="H2361" t="str">
        <f>_xlfn.XLOOKUP(A2361,Fact_Events!$D$2:$D$20,Fact_Events!$A$2:$A$20, "")</f>
        <v/>
      </c>
      <c r="I2361">
        <f t="shared" si="293"/>
        <v>0</v>
      </c>
      <c r="J2361" t="str">
        <f>_xlfn.XLOOKUP(H2361, Fact_Events!$A$2:$A$20, Fact_Events!$F$2:$F$20, "")</f>
        <v/>
      </c>
      <c r="K2361" t="str">
        <f t="shared" si="294"/>
        <v>Low</v>
      </c>
      <c r="L2361">
        <f t="shared" si="295"/>
        <v>0.55000000000000004</v>
      </c>
      <c r="M2361">
        <f>_xlfn.XLOOKUP(B2361, Dim_Hotel!$A$2:$A$11, Dim_Hotel!$I$2:$I$11)
 + (IF(J2361="",0,J2361)
    * _xlfn.XLOOKUP(B2361, Dim_Hotel!$A$2:$A$11, Dim_Hotel!$J$2:$J$11))</f>
        <v>150</v>
      </c>
    </row>
    <row r="2362" spans="1:13" x14ac:dyDescent="0.25">
      <c r="A2362" s="1">
        <f t="shared" si="288"/>
        <v>46259</v>
      </c>
      <c r="B2362" t="str" cm="1">
        <f t="array" ref="B2362">INDEX(HotelList,MOD(ROW()-2,10)+1)</f>
        <v>H001</v>
      </c>
      <c r="C2362">
        <f>_xlfn.XLOOKUP(B2362,Dim_Hotel!$A$2:$A$11,Dim_Hotel!$F$2:$F$11)</f>
        <v>888</v>
      </c>
      <c r="D2362">
        <f t="shared" si="289"/>
        <v>488</v>
      </c>
      <c r="E2362">
        <f t="shared" si="290"/>
        <v>0.5495495495495496</v>
      </c>
      <c r="F2362">
        <f t="shared" si="291"/>
        <v>260</v>
      </c>
      <c r="G2362">
        <f t="shared" si="292"/>
        <v>142.88288288288288</v>
      </c>
      <c r="H2362" t="str">
        <f>_xlfn.XLOOKUP(A2362,Fact_Events!$D$2:$D$20,Fact_Events!$A$2:$A$20, "")</f>
        <v/>
      </c>
      <c r="I2362">
        <f t="shared" si="293"/>
        <v>0</v>
      </c>
      <c r="J2362" t="str">
        <f>_xlfn.XLOOKUP(H2362, Fact_Events!$A$2:$A$20, Fact_Events!$F$2:$F$20, "")</f>
        <v/>
      </c>
      <c r="K2362" t="str">
        <f t="shared" si="294"/>
        <v>Low</v>
      </c>
      <c r="L2362">
        <f t="shared" si="295"/>
        <v>0.55000000000000004</v>
      </c>
      <c r="M2362">
        <f>_xlfn.XLOOKUP(B2362, Dim_Hotel!$A$2:$A$11, Dim_Hotel!$I$2:$I$11)
 + (IF(J2362="",0,J2362)
    * _xlfn.XLOOKUP(B2362, Dim_Hotel!$A$2:$A$11, Dim_Hotel!$J$2:$J$11))</f>
        <v>260</v>
      </c>
    </row>
    <row r="2363" spans="1:13" x14ac:dyDescent="0.25">
      <c r="A2363" s="1">
        <f t="shared" si="288"/>
        <v>46259</v>
      </c>
      <c r="B2363" t="str" cm="1">
        <f t="array" ref="B2363">INDEX(HotelList,MOD(ROW()-2,10)+1)</f>
        <v>H002</v>
      </c>
      <c r="C2363">
        <f>_xlfn.XLOOKUP(B2363,Dim_Hotel!$A$2:$A$11,Dim_Hotel!$F$2:$F$11)</f>
        <v>147</v>
      </c>
      <c r="D2363">
        <f t="shared" si="289"/>
        <v>81</v>
      </c>
      <c r="E2363">
        <f t="shared" si="290"/>
        <v>0.55102040816326525</v>
      </c>
      <c r="F2363">
        <f t="shared" si="291"/>
        <v>175</v>
      </c>
      <c r="G2363">
        <f t="shared" si="292"/>
        <v>96.428571428571416</v>
      </c>
      <c r="H2363" t="str">
        <f>_xlfn.XLOOKUP(A2363,Fact_Events!$D$2:$D$20,Fact_Events!$A$2:$A$20, "")</f>
        <v/>
      </c>
      <c r="I2363">
        <f t="shared" si="293"/>
        <v>0</v>
      </c>
      <c r="J2363" t="str">
        <f>_xlfn.XLOOKUP(H2363, Fact_Events!$A$2:$A$20, Fact_Events!$F$2:$F$20, "")</f>
        <v/>
      </c>
      <c r="K2363" t="str">
        <f t="shared" si="294"/>
        <v>Low</v>
      </c>
      <c r="L2363">
        <f t="shared" si="295"/>
        <v>0.55000000000000004</v>
      </c>
      <c r="M2363">
        <f>_xlfn.XLOOKUP(B2363, Dim_Hotel!$A$2:$A$11, Dim_Hotel!$I$2:$I$11)
 + (IF(J2363="",0,J2363)
    * _xlfn.XLOOKUP(B2363, Dim_Hotel!$A$2:$A$11, Dim_Hotel!$J$2:$J$11))</f>
        <v>175</v>
      </c>
    </row>
    <row r="2364" spans="1:13" x14ac:dyDescent="0.25">
      <c r="A2364" s="1">
        <f t="shared" si="288"/>
        <v>46259</v>
      </c>
      <c r="B2364" t="str" cm="1">
        <f t="array" ref="B2364">INDEX(HotelList,MOD(ROW()-2,10)+1)</f>
        <v>H003</v>
      </c>
      <c r="C2364">
        <f>_xlfn.XLOOKUP(B2364,Dim_Hotel!$A$2:$A$11,Dim_Hotel!$F$2:$F$11)</f>
        <v>121</v>
      </c>
      <c r="D2364">
        <f t="shared" si="289"/>
        <v>67</v>
      </c>
      <c r="E2364">
        <f t="shared" si="290"/>
        <v>0.55371900826446285</v>
      </c>
      <c r="F2364">
        <f t="shared" si="291"/>
        <v>145</v>
      </c>
      <c r="G2364">
        <f t="shared" si="292"/>
        <v>80.289256198347118</v>
      </c>
      <c r="H2364" t="str">
        <f>_xlfn.XLOOKUP(A2364,Fact_Events!$D$2:$D$20,Fact_Events!$A$2:$A$20, "")</f>
        <v/>
      </c>
      <c r="I2364">
        <f t="shared" si="293"/>
        <v>0</v>
      </c>
      <c r="J2364" t="str">
        <f>_xlfn.XLOOKUP(H2364, Fact_Events!$A$2:$A$20, Fact_Events!$F$2:$F$20, "")</f>
        <v/>
      </c>
      <c r="K2364" t="str">
        <f t="shared" si="294"/>
        <v>Low</v>
      </c>
      <c r="L2364">
        <f t="shared" si="295"/>
        <v>0.55000000000000004</v>
      </c>
      <c r="M2364">
        <f>_xlfn.XLOOKUP(B2364, Dim_Hotel!$A$2:$A$11, Dim_Hotel!$I$2:$I$11)
 + (IF(J2364="",0,J2364)
    * _xlfn.XLOOKUP(B2364, Dim_Hotel!$A$2:$A$11, Dim_Hotel!$J$2:$J$11))</f>
        <v>145</v>
      </c>
    </row>
    <row r="2365" spans="1:13" x14ac:dyDescent="0.25">
      <c r="A2365" s="1">
        <f t="shared" si="288"/>
        <v>46259</v>
      </c>
      <c r="B2365" t="str" cm="1">
        <f t="array" ref="B2365">INDEX(HotelList,MOD(ROW()-2,10)+1)</f>
        <v>H004</v>
      </c>
      <c r="C2365">
        <f>_xlfn.XLOOKUP(B2365,Dim_Hotel!$A$2:$A$11,Dim_Hotel!$F$2:$F$11)</f>
        <v>108</v>
      </c>
      <c r="D2365">
        <f t="shared" si="289"/>
        <v>59</v>
      </c>
      <c r="E2365">
        <f t="shared" si="290"/>
        <v>0.54629629629629628</v>
      </c>
      <c r="F2365">
        <f t="shared" si="291"/>
        <v>135</v>
      </c>
      <c r="G2365">
        <f t="shared" si="292"/>
        <v>73.75</v>
      </c>
      <c r="H2365" t="str">
        <f>_xlfn.XLOOKUP(A2365,Fact_Events!$D$2:$D$20,Fact_Events!$A$2:$A$20, "")</f>
        <v/>
      </c>
      <c r="I2365">
        <f t="shared" si="293"/>
        <v>0</v>
      </c>
      <c r="J2365" t="str">
        <f>_xlfn.XLOOKUP(H2365, Fact_Events!$A$2:$A$20, Fact_Events!$F$2:$F$20, "")</f>
        <v/>
      </c>
      <c r="K2365" t="str">
        <f t="shared" si="294"/>
        <v>Low</v>
      </c>
      <c r="L2365">
        <f t="shared" si="295"/>
        <v>0.55000000000000004</v>
      </c>
      <c r="M2365">
        <f>_xlfn.XLOOKUP(B2365, Dim_Hotel!$A$2:$A$11, Dim_Hotel!$I$2:$I$11)
 + (IF(J2365="",0,J2365)
    * _xlfn.XLOOKUP(B2365, Dim_Hotel!$A$2:$A$11, Dim_Hotel!$J$2:$J$11))</f>
        <v>135</v>
      </c>
    </row>
    <row r="2366" spans="1:13" x14ac:dyDescent="0.25">
      <c r="A2366" s="1">
        <f t="shared" si="288"/>
        <v>46259</v>
      </c>
      <c r="B2366" t="str" cm="1">
        <f t="array" ref="B2366">INDEX(HotelList,MOD(ROW()-2,10)+1)</f>
        <v>H005</v>
      </c>
      <c r="C2366">
        <f>_xlfn.XLOOKUP(B2366,Dim_Hotel!$A$2:$A$11,Dim_Hotel!$F$2:$F$11)</f>
        <v>66</v>
      </c>
      <c r="D2366">
        <f t="shared" si="289"/>
        <v>36</v>
      </c>
      <c r="E2366">
        <f t="shared" si="290"/>
        <v>0.54545454545454541</v>
      </c>
      <c r="F2366">
        <f t="shared" si="291"/>
        <v>82</v>
      </c>
      <c r="G2366">
        <f t="shared" si="292"/>
        <v>44.727272727272727</v>
      </c>
      <c r="H2366" t="str">
        <f>_xlfn.XLOOKUP(A2366,Fact_Events!$D$2:$D$20,Fact_Events!$A$2:$A$20, "")</f>
        <v/>
      </c>
      <c r="I2366">
        <f t="shared" si="293"/>
        <v>0</v>
      </c>
      <c r="J2366" t="str">
        <f>_xlfn.XLOOKUP(H2366, Fact_Events!$A$2:$A$20, Fact_Events!$F$2:$F$20, "")</f>
        <v/>
      </c>
      <c r="K2366" t="str">
        <f t="shared" si="294"/>
        <v>Low</v>
      </c>
      <c r="L2366">
        <f t="shared" si="295"/>
        <v>0.55000000000000004</v>
      </c>
      <c r="M2366">
        <f>_xlfn.XLOOKUP(B2366, Dim_Hotel!$A$2:$A$11, Dim_Hotel!$I$2:$I$11)
 + (IF(J2366="",0,J2366)
    * _xlfn.XLOOKUP(B2366, Dim_Hotel!$A$2:$A$11, Dim_Hotel!$J$2:$J$11))</f>
        <v>82</v>
      </c>
    </row>
    <row r="2367" spans="1:13" x14ac:dyDescent="0.25">
      <c r="A2367" s="1">
        <f t="shared" si="288"/>
        <v>46259</v>
      </c>
      <c r="B2367" t="str" cm="1">
        <f t="array" ref="B2367">INDEX(HotelList,MOD(ROW()-2,10)+1)</f>
        <v>H006</v>
      </c>
      <c r="C2367">
        <f>_xlfn.XLOOKUP(B2367,Dim_Hotel!$A$2:$A$11,Dim_Hotel!$F$2:$F$11)</f>
        <v>311</v>
      </c>
      <c r="D2367">
        <f t="shared" si="289"/>
        <v>171</v>
      </c>
      <c r="E2367">
        <f t="shared" si="290"/>
        <v>0.54983922829581988</v>
      </c>
      <c r="F2367">
        <f t="shared" si="291"/>
        <v>190</v>
      </c>
      <c r="G2367">
        <f t="shared" si="292"/>
        <v>104.46945337620578</v>
      </c>
      <c r="H2367" t="str">
        <f>_xlfn.XLOOKUP(A2367,Fact_Events!$D$2:$D$20,Fact_Events!$A$2:$A$20, "")</f>
        <v/>
      </c>
      <c r="I2367">
        <f t="shared" si="293"/>
        <v>0</v>
      </c>
      <c r="J2367" t="str">
        <f>_xlfn.XLOOKUP(H2367, Fact_Events!$A$2:$A$20, Fact_Events!$F$2:$F$20, "")</f>
        <v/>
      </c>
      <c r="K2367" t="str">
        <f t="shared" si="294"/>
        <v>Low</v>
      </c>
      <c r="L2367">
        <f t="shared" si="295"/>
        <v>0.55000000000000004</v>
      </c>
      <c r="M2367">
        <f>_xlfn.XLOOKUP(B2367, Dim_Hotel!$A$2:$A$11, Dim_Hotel!$I$2:$I$11)
 + (IF(J2367="",0,J2367)
    * _xlfn.XLOOKUP(B2367, Dim_Hotel!$A$2:$A$11, Dim_Hotel!$J$2:$J$11))</f>
        <v>190</v>
      </c>
    </row>
    <row r="2368" spans="1:13" x14ac:dyDescent="0.25">
      <c r="A2368" s="1">
        <f t="shared" si="288"/>
        <v>46259</v>
      </c>
      <c r="B2368" t="str" cm="1">
        <f t="array" ref="B2368">INDEX(HotelList,MOD(ROW()-2,10)+1)</f>
        <v>H007</v>
      </c>
      <c r="C2368">
        <f>_xlfn.XLOOKUP(B2368,Dim_Hotel!$A$2:$A$11,Dim_Hotel!$F$2:$F$11)</f>
        <v>132</v>
      </c>
      <c r="D2368">
        <f t="shared" si="289"/>
        <v>73</v>
      </c>
      <c r="E2368">
        <f t="shared" si="290"/>
        <v>0.55303030303030298</v>
      </c>
      <c r="F2368">
        <f t="shared" si="291"/>
        <v>165</v>
      </c>
      <c r="G2368">
        <f t="shared" si="292"/>
        <v>91.249999999999986</v>
      </c>
      <c r="H2368" t="str">
        <f>_xlfn.XLOOKUP(A2368,Fact_Events!$D$2:$D$20,Fact_Events!$A$2:$A$20, "")</f>
        <v/>
      </c>
      <c r="I2368">
        <f t="shared" si="293"/>
        <v>0</v>
      </c>
      <c r="J2368" t="str">
        <f>_xlfn.XLOOKUP(H2368, Fact_Events!$A$2:$A$20, Fact_Events!$F$2:$F$20, "")</f>
        <v/>
      </c>
      <c r="K2368" t="str">
        <f t="shared" si="294"/>
        <v>Low</v>
      </c>
      <c r="L2368">
        <f t="shared" si="295"/>
        <v>0.55000000000000004</v>
      </c>
      <c r="M2368">
        <f>_xlfn.XLOOKUP(B2368, Dim_Hotel!$A$2:$A$11, Dim_Hotel!$I$2:$I$11)
 + (IF(J2368="",0,J2368)
    * _xlfn.XLOOKUP(B2368, Dim_Hotel!$A$2:$A$11, Dim_Hotel!$J$2:$J$11))</f>
        <v>165</v>
      </c>
    </row>
    <row r="2369" spans="1:13" x14ac:dyDescent="0.25">
      <c r="A2369" s="1">
        <f t="shared" si="288"/>
        <v>46259</v>
      </c>
      <c r="B2369" t="str" cm="1">
        <f t="array" ref="B2369">INDEX(HotelList,MOD(ROW()-2,10)+1)</f>
        <v>H008</v>
      </c>
      <c r="C2369">
        <f>_xlfn.XLOOKUP(B2369,Dim_Hotel!$A$2:$A$11,Dim_Hotel!$F$2:$F$11)</f>
        <v>103</v>
      </c>
      <c r="D2369">
        <f t="shared" si="289"/>
        <v>57</v>
      </c>
      <c r="E2369">
        <f t="shared" si="290"/>
        <v>0.55339805825242716</v>
      </c>
      <c r="F2369">
        <f t="shared" si="291"/>
        <v>140</v>
      </c>
      <c r="G2369">
        <f t="shared" si="292"/>
        <v>77.475728155339809</v>
      </c>
      <c r="H2369" t="str">
        <f>_xlfn.XLOOKUP(A2369,Fact_Events!$D$2:$D$20,Fact_Events!$A$2:$A$20, "")</f>
        <v/>
      </c>
      <c r="I2369">
        <f t="shared" si="293"/>
        <v>0</v>
      </c>
      <c r="J2369" t="str">
        <f>_xlfn.XLOOKUP(H2369, Fact_Events!$A$2:$A$20, Fact_Events!$F$2:$F$20, "")</f>
        <v/>
      </c>
      <c r="K2369" t="str">
        <f t="shared" si="294"/>
        <v>Low</v>
      </c>
      <c r="L2369">
        <f t="shared" si="295"/>
        <v>0.55000000000000004</v>
      </c>
      <c r="M2369">
        <f>_xlfn.XLOOKUP(B2369, Dim_Hotel!$A$2:$A$11, Dim_Hotel!$I$2:$I$11)
 + (IF(J2369="",0,J2369)
    * _xlfn.XLOOKUP(B2369, Dim_Hotel!$A$2:$A$11, Dim_Hotel!$J$2:$J$11))</f>
        <v>140</v>
      </c>
    </row>
    <row r="2370" spans="1:13" x14ac:dyDescent="0.25">
      <c r="A2370" s="1">
        <f t="shared" si="288"/>
        <v>46259</v>
      </c>
      <c r="B2370" t="str" cm="1">
        <f t="array" ref="B2370">INDEX(HotelList,MOD(ROW()-2,10)+1)</f>
        <v>H009</v>
      </c>
      <c r="C2370">
        <f>_xlfn.XLOOKUP(B2370,Dim_Hotel!$A$2:$A$11,Dim_Hotel!$F$2:$F$11)</f>
        <v>114</v>
      </c>
      <c r="D2370">
        <f t="shared" si="289"/>
        <v>63</v>
      </c>
      <c r="E2370">
        <f t="shared" si="290"/>
        <v>0.55263157894736847</v>
      </c>
      <c r="F2370">
        <f t="shared" si="291"/>
        <v>185</v>
      </c>
      <c r="G2370">
        <f t="shared" si="292"/>
        <v>102.23684210526316</v>
      </c>
      <c r="H2370" t="str">
        <f>_xlfn.XLOOKUP(A2370,Fact_Events!$D$2:$D$20,Fact_Events!$A$2:$A$20, "")</f>
        <v/>
      </c>
      <c r="I2370">
        <f t="shared" si="293"/>
        <v>0</v>
      </c>
      <c r="J2370" t="str">
        <f>_xlfn.XLOOKUP(H2370, Fact_Events!$A$2:$A$20, Fact_Events!$F$2:$F$20, "")</f>
        <v/>
      </c>
      <c r="K2370" t="str">
        <f t="shared" si="294"/>
        <v>Low</v>
      </c>
      <c r="L2370">
        <f t="shared" si="295"/>
        <v>0.55000000000000004</v>
      </c>
      <c r="M2370">
        <f>_xlfn.XLOOKUP(B2370, Dim_Hotel!$A$2:$A$11, Dim_Hotel!$I$2:$I$11)
 + (IF(J2370="",0,J2370)
    * _xlfn.XLOOKUP(B2370, Dim_Hotel!$A$2:$A$11, Dim_Hotel!$J$2:$J$11))</f>
        <v>185</v>
      </c>
    </row>
    <row r="2371" spans="1:13" x14ac:dyDescent="0.25">
      <c r="A2371" s="1">
        <f t="shared" ref="A2371:A2434" si="296">DATE(2026,1,1) + INT((ROW()-2)/10)</f>
        <v>46259</v>
      </c>
      <c r="B2371" t="str" cm="1">
        <f t="array" ref="B2371">INDEX(HotelList,MOD(ROW()-2,10)+1)</f>
        <v>H010</v>
      </c>
      <c r="C2371">
        <f>_xlfn.XLOOKUP(B2371,Dim_Hotel!$A$2:$A$11,Dim_Hotel!$F$2:$F$11)</f>
        <v>89</v>
      </c>
      <c r="D2371">
        <f t="shared" ref="D2371:D2434" si="297">ROUND(L2371 * C2371, 0)</f>
        <v>49</v>
      </c>
      <c r="E2371">
        <f t="shared" ref="E2371:E2434" si="298">D2371/C2371</f>
        <v>0.550561797752809</v>
      </c>
      <c r="F2371">
        <f t="shared" ref="F2371:F2434" si="299">M2371</f>
        <v>150</v>
      </c>
      <c r="G2371">
        <f t="shared" ref="G2371:G2434" si="300">E2371*F2371</f>
        <v>82.584269662921344</v>
      </c>
      <c r="H2371" t="str">
        <f>_xlfn.XLOOKUP(A2371,Fact_Events!$D$2:$D$20,Fact_Events!$A$2:$A$20, "")</f>
        <v/>
      </c>
      <c r="I2371">
        <f t="shared" ref="I2371:I2434" si="301">IF(H2371="",0,1)</f>
        <v>0</v>
      </c>
      <c r="J2371" t="str">
        <f>_xlfn.XLOOKUP(H2371, Fact_Events!$A$2:$A$20, Fact_Events!$F$2:$F$20, "")</f>
        <v/>
      </c>
      <c r="K2371" t="str">
        <f t="shared" ref="K2371:K2434" si="302">IF(I2371=0,"Low",
   IF(J2371&gt;=9,"High","Medium"))</f>
        <v>Low</v>
      </c>
      <c r="L2371">
        <f t="shared" ref="L2371:L2434" si="303">MIN(1,
  0.55
  + (I2371 * 0.25)
  + (IF(J2371="",0,J2371) / 100)
)</f>
        <v>0.55000000000000004</v>
      </c>
      <c r="M2371">
        <f>_xlfn.XLOOKUP(B2371, Dim_Hotel!$A$2:$A$11, Dim_Hotel!$I$2:$I$11)
 + (IF(J2371="",0,J2371)
    * _xlfn.XLOOKUP(B2371, Dim_Hotel!$A$2:$A$11, Dim_Hotel!$J$2:$J$11))</f>
        <v>150</v>
      </c>
    </row>
    <row r="2372" spans="1:13" x14ac:dyDescent="0.25">
      <c r="A2372" s="1">
        <f t="shared" si="296"/>
        <v>46260</v>
      </c>
      <c r="B2372" t="str" cm="1">
        <f t="array" ref="B2372">INDEX(HotelList,MOD(ROW()-2,10)+1)</f>
        <v>H001</v>
      </c>
      <c r="C2372">
        <f>_xlfn.XLOOKUP(B2372,Dim_Hotel!$A$2:$A$11,Dim_Hotel!$F$2:$F$11)</f>
        <v>888</v>
      </c>
      <c r="D2372">
        <f t="shared" si="297"/>
        <v>488</v>
      </c>
      <c r="E2372">
        <f t="shared" si="298"/>
        <v>0.5495495495495496</v>
      </c>
      <c r="F2372">
        <f t="shared" si="299"/>
        <v>260</v>
      </c>
      <c r="G2372">
        <f t="shared" si="300"/>
        <v>142.88288288288288</v>
      </c>
      <c r="H2372" t="str">
        <f>_xlfn.XLOOKUP(A2372,Fact_Events!$D$2:$D$20,Fact_Events!$A$2:$A$20, "")</f>
        <v/>
      </c>
      <c r="I2372">
        <f t="shared" si="301"/>
        <v>0</v>
      </c>
      <c r="J2372" t="str">
        <f>_xlfn.XLOOKUP(H2372, Fact_Events!$A$2:$A$20, Fact_Events!$F$2:$F$20, "")</f>
        <v/>
      </c>
      <c r="K2372" t="str">
        <f t="shared" si="302"/>
        <v>Low</v>
      </c>
      <c r="L2372">
        <f t="shared" si="303"/>
        <v>0.55000000000000004</v>
      </c>
      <c r="M2372">
        <f>_xlfn.XLOOKUP(B2372, Dim_Hotel!$A$2:$A$11, Dim_Hotel!$I$2:$I$11)
 + (IF(J2372="",0,J2372)
    * _xlfn.XLOOKUP(B2372, Dim_Hotel!$A$2:$A$11, Dim_Hotel!$J$2:$J$11))</f>
        <v>260</v>
      </c>
    </row>
    <row r="2373" spans="1:13" x14ac:dyDescent="0.25">
      <c r="A2373" s="1">
        <f t="shared" si="296"/>
        <v>46260</v>
      </c>
      <c r="B2373" t="str" cm="1">
        <f t="array" ref="B2373">INDEX(HotelList,MOD(ROW()-2,10)+1)</f>
        <v>H002</v>
      </c>
      <c r="C2373">
        <f>_xlfn.XLOOKUP(B2373,Dim_Hotel!$A$2:$A$11,Dim_Hotel!$F$2:$F$11)</f>
        <v>147</v>
      </c>
      <c r="D2373">
        <f t="shared" si="297"/>
        <v>81</v>
      </c>
      <c r="E2373">
        <f t="shared" si="298"/>
        <v>0.55102040816326525</v>
      </c>
      <c r="F2373">
        <f t="shared" si="299"/>
        <v>175</v>
      </c>
      <c r="G2373">
        <f t="shared" si="300"/>
        <v>96.428571428571416</v>
      </c>
      <c r="H2373" t="str">
        <f>_xlfn.XLOOKUP(A2373,Fact_Events!$D$2:$D$20,Fact_Events!$A$2:$A$20, "")</f>
        <v/>
      </c>
      <c r="I2373">
        <f t="shared" si="301"/>
        <v>0</v>
      </c>
      <c r="J2373" t="str">
        <f>_xlfn.XLOOKUP(H2373, Fact_Events!$A$2:$A$20, Fact_Events!$F$2:$F$20, "")</f>
        <v/>
      </c>
      <c r="K2373" t="str">
        <f t="shared" si="302"/>
        <v>Low</v>
      </c>
      <c r="L2373">
        <f t="shared" si="303"/>
        <v>0.55000000000000004</v>
      </c>
      <c r="M2373">
        <f>_xlfn.XLOOKUP(B2373, Dim_Hotel!$A$2:$A$11, Dim_Hotel!$I$2:$I$11)
 + (IF(J2373="",0,J2373)
    * _xlfn.XLOOKUP(B2373, Dim_Hotel!$A$2:$A$11, Dim_Hotel!$J$2:$J$11))</f>
        <v>175</v>
      </c>
    </row>
    <row r="2374" spans="1:13" x14ac:dyDescent="0.25">
      <c r="A2374" s="1">
        <f t="shared" si="296"/>
        <v>46260</v>
      </c>
      <c r="B2374" t="str" cm="1">
        <f t="array" ref="B2374">INDEX(HotelList,MOD(ROW()-2,10)+1)</f>
        <v>H003</v>
      </c>
      <c r="C2374">
        <f>_xlfn.XLOOKUP(B2374,Dim_Hotel!$A$2:$A$11,Dim_Hotel!$F$2:$F$11)</f>
        <v>121</v>
      </c>
      <c r="D2374">
        <f t="shared" si="297"/>
        <v>67</v>
      </c>
      <c r="E2374">
        <f t="shared" si="298"/>
        <v>0.55371900826446285</v>
      </c>
      <c r="F2374">
        <f t="shared" si="299"/>
        <v>145</v>
      </c>
      <c r="G2374">
        <f t="shared" si="300"/>
        <v>80.289256198347118</v>
      </c>
      <c r="H2374" t="str">
        <f>_xlfn.XLOOKUP(A2374,Fact_Events!$D$2:$D$20,Fact_Events!$A$2:$A$20, "")</f>
        <v/>
      </c>
      <c r="I2374">
        <f t="shared" si="301"/>
        <v>0</v>
      </c>
      <c r="J2374" t="str">
        <f>_xlfn.XLOOKUP(H2374, Fact_Events!$A$2:$A$20, Fact_Events!$F$2:$F$20, "")</f>
        <v/>
      </c>
      <c r="K2374" t="str">
        <f t="shared" si="302"/>
        <v>Low</v>
      </c>
      <c r="L2374">
        <f t="shared" si="303"/>
        <v>0.55000000000000004</v>
      </c>
      <c r="M2374">
        <f>_xlfn.XLOOKUP(B2374, Dim_Hotel!$A$2:$A$11, Dim_Hotel!$I$2:$I$11)
 + (IF(J2374="",0,J2374)
    * _xlfn.XLOOKUP(B2374, Dim_Hotel!$A$2:$A$11, Dim_Hotel!$J$2:$J$11))</f>
        <v>145</v>
      </c>
    </row>
    <row r="2375" spans="1:13" x14ac:dyDescent="0.25">
      <c r="A2375" s="1">
        <f t="shared" si="296"/>
        <v>46260</v>
      </c>
      <c r="B2375" t="str" cm="1">
        <f t="array" ref="B2375">INDEX(HotelList,MOD(ROW()-2,10)+1)</f>
        <v>H004</v>
      </c>
      <c r="C2375">
        <f>_xlfn.XLOOKUP(B2375,Dim_Hotel!$A$2:$A$11,Dim_Hotel!$F$2:$F$11)</f>
        <v>108</v>
      </c>
      <c r="D2375">
        <f t="shared" si="297"/>
        <v>59</v>
      </c>
      <c r="E2375">
        <f t="shared" si="298"/>
        <v>0.54629629629629628</v>
      </c>
      <c r="F2375">
        <f t="shared" si="299"/>
        <v>135</v>
      </c>
      <c r="G2375">
        <f t="shared" si="300"/>
        <v>73.75</v>
      </c>
      <c r="H2375" t="str">
        <f>_xlfn.XLOOKUP(A2375,Fact_Events!$D$2:$D$20,Fact_Events!$A$2:$A$20, "")</f>
        <v/>
      </c>
      <c r="I2375">
        <f t="shared" si="301"/>
        <v>0</v>
      </c>
      <c r="J2375" t="str">
        <f>_xlfn.XLOOKUP(H2375, Fact_Events!$A$2:$A$20, Fact_Events!$F$2:$F$20, "")</f>
        <v/>
      </c>
      <c r="K2375" t="str">
        <f t="shared" si="302"/>
        <v>Low</v>
      </c>
      <c r="L2375">
        <f t="shared" si="303"/>
        <v>0.55000000000000004</v>
      </c>
      <c r="M2375">
        <f>_xlfn.XLOOKUP(B2375, Dim_Hotel!$A$2:$A$11, Dim_Hotel!$I$2:$I$11)
 + (IF(J2375="",0,J2375)
    * _xlfn.XLOOKUP(B2375, Dim_Hotel!$A$2:$A$11, Dim_Hotel!$J$2:$J$11))</f>
        <v>135</v>
      </c>
    </row>
    <row r="2376" spans="1:13" x14ac:dyDescent="0.25">
      <c r="A2376" s="1">
        <f t="shared" si="296"/>
        <v>46260</v>
      </c>
      <c r="B2376" t="str" cm="1">
        <f t="array" ref="B2376">INDEX(HotelList,MOD(ROW()-2,10)+1)</f>
        <v>H005</v>
      </c>
      <c r="C2376">
        <f>_xlfn.XLOOKUP(B2376,Dim_Hotel!$A$2:$A$11,Dim_Hotel!$F$2:$F$11)</f>
        <v>66</v>
      </c>
      <c r="D2376">
        <f t="shared" si="297"/>
        <v>36</v>
      </c>
      <c r="E2376">
        <f t="shared" si="298"/>
        <v>0.54545454545454541</v>
      </c>
      <c r="F2376">
        <f t="shared" si="299"/>
        <v>82</v>
      </c>
      <c r="G2376">
        <f t="shared" si="300"/>
        <v>44.727272727272727</v>
      </c>
      <c r="H2376" t="str">
        <f>_xlfn.XLOOKUP(A2376,Fact_Events!$D$2:$D$20,Fact_Events!$A$2:$A$20, "")</f>
        <v/>
      </c>
      <c r="I2376">
        <f t="shared" si="301"/>
        <v>0</v>
      </c>
      <c r="J2376" t="str">
        <f>_xlfn.XLOOKUP(H2376, Fact_Events!$A$2:$A$20, Fact_Events!$F$2:$F$20, "")</f>
        <v/>
      </c>
      <c r="K2376" t="str">
        <f t="shared" si="302"/>
        <v>Low</v>
      </c>
      <c r="L2376">
        <f t="shared" si="303"/>
        <v>0.55000000000000004</v>
      </c>
      <c r="M2376">
        <f>_xlfn.XLOOKUP(B2376, Dim_Hotel!$A$2:$A$11, Dim_Hotel!$I$2:$I$11)
 + (IF(J2376="",0,J2376)
    * _xlfn.XLOOKUP(B2376, Dim_Hotel!$A$2:$A$11, Dim_Hotel!$J$2:$J$11))</f>
        <v>82</v>
      </c>
    </row>
    <row r="2377" spans="1:13" x14ac:dyDescent="0.25">
      <c r="A2377" s="1">
        <f t="shared" si="296"/>
        <v>46260</v>
      </c>
      <c r="B2377" t="str" cm="1">
        <f t="array" ref="B2377">INDEX(HotelList,MOD(ROW()-2,10)+1)</f>
        <v>H006</v>
      </c>
      <c r="C2377">
        <f>_xlfn.XLOOKUP(B2377,Dim_Hotel!$A$2:$A$11,Dim_Hotel!$F$2:$F$11)</f>
        <v>311</v>
      </c>
      <c r="D2377">
        <f t="shared" si="297"/>
        <v>171</v>
      </c>
      <c r="E2377">
        <f t="shared" si="298"/>
        <v>0.54983922829581988</v>
      </c>
      <c r="F2377">
        <f t="shared" si="299"/>
        <v>190</v>
      </c>
      <c r="G2377">
        <f t="shared" si="300"/>
        <v>104.46945337620578</v>
      </c>
      <c r="H2377" t="str">
        <f>_xlfn.XLOOKUP(A2377,Fact_Events!$D$2:$D$20,Fact_Events!$A$2:$A$20, "")</f>
        <v/>
      </c>
      <c r="I2377">
        <f t="shared" si="301"/>
        <v>0</v>
      </c>
      <c r="J2377" t="str">
        <f>_xlfn.XLOOKUP(H2377, Fact_Events!$A$2:$A$20, Fact_Events!$F$2:$F$20, "")</f>
        <v/>
      </c>
      <c r="K2377" t="str">
        <f t="shared" si="302"/>
        <v>Low</v>
      </c>
      <c r="L2377">
        <f t="shared" si="303"/>
        <v>0.55000000000000004</v>
      </c>
      <c r="M2377">
        <f>_xlfn.XLOOKUP(B2377, Dim_Hotel!$A$2:$A$11, Dim_Hotel!$I$2:$I$11)
 + (IF(J2377="",0,J2377)
    * _xlfn.XLOOKUP(B2377, Dim_Hotel!$A$2:$A$11, Dim_Hotel!$J$2:$J$11))</f>
        <v>190</v>
      </c>
    </row>
    <row r="2378" spans="1:13" x14ac:dyDescent="0.25">
      <c r="A2378" s="1">
        <f t="shared" si="296"/>
        <v>46260</v>
      </c>
      <c r="B2378" t="str" cm="1">
        <f t="array" ref="B2378">INDEX(HotelList,MOD(ROW()-2,10)+1)</f>
        <v>H007</v>
      </c>
      <c r="C2378">
        <f>_xlfn.XLOOKUP(B2378,Dim_Hotel!$A$2:$A$11,Dim_Hotel!$F$2:$F$11)</f>
        <v>132</v>
      </c>
      <c r="D2378">
        <f t="shared" si="297"/>
        <v>73</v>
      </c>
      <c r="E2378">
        <f t="shared" si="298"/>
        <v>0.55303030303030298</v>
      </c>
      <c r="F2378">
        <f t="shared" si="299"/>
        <v>165</v>
      </c>
      <c r="G2378">
        <f t="shared" si="300"/>
        <v>91.249999999999986</v>
      </c>
      <c r="H2378" t="str">
        <f>_xlfn.XLOOKUP(A2378,Fact_Events!$D$2:$D$20,Fact_Events!$A$2:$A$20, "")</f>
        <v/>
      </c>
      <c r="I2378">
        <f t="shared" si="301"/>
        <v>0</v>
      </c>
      <c r="J2378" t="str">
        <f>_xlfn.XLOOKUP(H2378, Fact_Events!$A$2:$A$20, Fact_Events!$F$2:$F$20, "")</f>
        <v/>
      </c>
      <c r="K2378" t="str">
        <f t="shared" si="302"/>
        <v>Low</v>
      </c>
      <c r="L2378">
        <f t="shared" si="303"/>
        <v>0.55000000000000004</v>
      </c>
      <c r="M2378">
        <f>_xlfn.XLOOKUP(B2378, Dim_Hotel!$A$2:$A$11, Dim_Hotel!$I$2:$I$11)
 + (IF(J2378="",0,J2378)
    * _xlfn.XLOOKUP(B2378, Dim_Hotel!$A$2:$A$11, Dim_Hotel!$J$2:$J$11))</f>
        <v>165</v>
      </c>
    </row>
    <row r="2379" spans="1:13" x14ac:dyDescent="0.25">
      <c r="A2379" s="1">
        <f t="shared" si="296"/>
        <v>46260</v>
      </c>
      <c r="B2379" t="str" cm="1">
        <f t="array" ref="B2379">INDEX(HotelList,MOD(ROW()-2,10)+1)</f>
        <v>H008</v>
      </c>
      <c r="C2379">
        <f>_xlfn.XLOOKUP(B2379,Dim_Hotel!$A$2:$A$11,Dim_Hotel!$F$2:$F$11)</f>
        <v>103</v>
      </c>
      <c r="D2379">
        <f t="shared" si="297"/>
        <v>57</v>
      </c>
      <c r="E2379">
        <f t="shared" si="298"/>
        <v>0.55339805825242716</v>
      </c>
      <c r="F2379">
        <f t="shared" si="299"/>
        <v>140</v>
      </c>
      <c r="G2379">
        <f t="shared" si="300"/>
        <v>77.475728155339809</v>
      </c>
      <c r="H2379" t="str">
        <f>_xlfn.XLOOKUP(A2379,Fact_Events!$D$2:$D$20,Fact_Events!$A$2:$A$20, "")</f>
        <v/>
      </c>
      <c r="I2379">
        <f t="shared" si="301"/>
        <v>0</v>
      </c>
      <c r="J2379" t="str">
        <f>_xlfn.XLOOKUP(H2379, Fact_Events!$A$2:$A$20, Fact_Events!$F$2:$F$20, "")</f>
        <v/>
      </c>
      <c r="K2379" t="str">
        <f t="shared" si="302"/>
        <v>Low</v>
      </c>
      <c r="L2379">
        <f t="shared" si="303"/>
        <v>0.55000000000000004</v>
      </c>
      <c r="M2379">
        <f>_xlfn.XLOOKUP(B2379, Dim_Hotel!$A$2:$A$11, Dim_Hotel!$I$2:$I$11)
 + (IF(J2379="",0,J2379)
    * _xlfn.XLOOKUP(B2379, Dim_Hotel!$A$2:$A$11, Dim_Hotel!$J$2:$J$11))</f>
        <v>140</v>
      </c>
    </row>
    <row r="2380" spans="1:13" x14ac:dyDescent="0.25">
      <c r="A2380" s="1">
        <f t="shared" si="296"/>
        <v>46260</v>
      </c>
      <c r="B2380" t="str" cm="1">
        <f t="array" ref="B2380">INDEX(HotelList,MOD(ROW()-2,10)+1)</f>
        <v>H009</v>
      </c>
      <c r="C2380">
        <f>_xlfn.XLOOKUP(B2380,Dim_Hotel!$A$2:$A$11,Dim_Hotel!$F$2:$F$11)</f>
        <v>114</v>
      </c>
      <c r="D2380">
        <f t="shared" si="297"/>
        <v>63</v>
      </c>
      <c r="E2380">
        <f t="shared" si="298"/>
        <v>0.55263157894736847</v>
      </c>
      <c r="F2380">
        <f t="shared" si="299"/>
        <v>185</v>
      </c>
      <c r="G2380">
        <f t="shared" si="300"/>
        <v>102.23684210526316</v>
      </c>
      <c r="H2380" t="str">
        <f>_xlfn.XLOOKUP(A2380,Fact_Events!$D$2:$D$20,Fact_Events!$A$2:$A$20, "")</f>
        <v/>
      </c>
      <c r="I2380">
        <f t="shared" si="301"/>
        <v>0</v>
      </c>
      <c r="J2380" t="str">
        <f>_xlfn.XLOOKUP(H2380, Fact_Events!$A$2:$A$20, Fact_Events!$F$2:$F$20, "")</f>
        <v/>
      </c>
      <c r="K2380" t="str">
        <f t="shared" si="302"/>
        <v>Low</v>
      </c>
      <c r="L2380">
        <f t="shared" si="303"/>
        <v>0.55000000000000004</v>
      </c>
      <c r="M2380">
        <f>_xlfn.XLOOKUP(B2380, Dim_Hotel!$A$2:$A$11, Dim_Hotel!$I$2:$I$11)
 + (IF(J2380="",0,J2380)
    * _xlfn.XLOOKUP(B2380, Dim_Hotel!$A$2:$A$11, Dim_Hotel!$J$2:$J$11))</f>
        <v>185</v>
      </c>
    </row>
    <row r="2381" spans="1:13" x14ac:dyDescent="0.25">
      <c r="A2381" s="1">
        <f t="shared" si="296"/>
        <v>46260</v>
      </c>
      <c r="B2381" t="str" cm="1">
        <f t="array" ref="B2381">INDEX(HotelList,MOD(ROW()-2,10)+1)</f>
        <v>H010</v>
      </c>
      <c r="C2381">
        <f>_xlfn.XLOOKUP(B2381,Dim_Hotel!$A$2:$A$11,Dim_Hotel!$F$2:$F$11)</f>
        <v>89</v>
      </c>
      <c r="D2381">
        <f t="shared" si="297"/>
        <v>49</v>
      </c>
      <c r="E2381">
        <f t="shared" si="298"/>
        <v>0.550561797752809</v>
      </c>
      <c r="F2381">
        <f t="shared" si="299"/>
        <v>150</v>
      </c>
      <c r="G2381">
        <f t="shared" si="300"/>
        <v>82.584269662921344</v>
      </c>
      <c r="H2381" t="str">
        <f>_xlfn.XLOOKUP(A2381,Fact_Events!$D$2:$D$20,Fact_Events!$A$2:$A$20, "")</f>
        <v/>
      </c>
      <c r="I2381">
        <f t="shared" si="301"/>
        <v>0</v>
      </c>
      <c r="J2381" t="str">
        <f>_xlfn.XLOOKUP(H2381, Fact_Events!$A$2:$A$20, Fact_Events!$F$2:$F$20, "")</f>
        <v/>
      </c>
      <c r="K2381" t="str">
        <f t="shared" si="302"/>
        <v>Low</v>
      </c>
      <c r="L2381">
        <f t="shared" si="303"/>
        <v>0.55000000000000004</v>
      </c>
      <c r="M2381">
        <f>_xlfn.XLOOKUP(B2381, Dim_Hotel!$A$2:$A$11, Dim_Hotel!$I$2:$I$11)
 + (IF(J2381="",0,J2381)
    * _xlfn.XLOOKUP(B2381, Dim_Hotel!$A$2:$A$11, Dim_Hotel!$J$2:$J$11))</f>
        <v>150</v>
      </c>
    </row>
    <row r="2382" spans="1:13" x14ac:dyDescent="0.25">
      <c r="A2382" s="1">
        <f t="shared" si="296"/>
        <v>46261</v>
      </c>
      <c r="B2382" t="str" cm="1">
        <f t="array" ref="B2382">INDEX(HotelList,MOD(ROW()-2,10)+1)</f>
        <v>H001</v>
      </c>
      <c r="C2382">
        <f>_xlfn.XLOOKUP(B2382,Dim_Hotel!$A$2:$A$11,Dim_Hotel!$F$2:$F$11)</f>
        <v>888</v>
      </c>
      <c r="D2382">
        <f t="shared" si="297"/>
        <v>488</v>
      </c>
      <c r="E2382">
        <f t="shared" si="298"/>
        <v>0.5495495495495496</v>
      </c>
      <c r="F2382">
        <f t="shared" si="299"/>
        <v>260</v>
      </c>
      <c r="G2382">
        <f t="shared" si="300"/>
        <v>142.88288288288288</v>
      </c>
      <c r="H2382" t="str">
        <f>_xlfn.XLOOKUP(A2382,Fact_Events!$D$2:$D$20,Fact_Events!$A$2:$A$20, "")</f>
        <v/>
      </c>
      <c r="I2382">
        <f t="shared" si="301"/>
        <v>0</v>
      </c>
      <c r="J2382" t="str">
        <f>_xlfn.XLOOKUP(H2382, Fact_Events!$A$2:$A$20, Fact_Events!$F$2:$F$20, "")</f>
        <v/>
      </c>
      <c r="K2382" t="str">
        <f t="shared" si="302"/>
        <v>Low</v>
      </c>
      <c r="L2382">
        <f t="shared" si="303"/>
        <v>0.55000000000000004</v>
      </c>
      <c r="M2382">
        <f>_xlfn.XLOOKUP(B2382, Dim_Hotel!$A$2:$A$11, Dim_Hotel!$I$2:$I$11)
 + (IF(J2382="",0,J2382)
    * _xlfn.XLOOKUP(B2382, Dim_Hotel!$A$2:$A$11, Dim_Hotel!$J$2:$J$11))</f>
        <v>260</v>
      </c>
    </row>
    <row r="2383" spans="1:13" x14ac:dyDescent="0.25">
      <c r="A2383" s="1">
        <f t="shared" si="296"/>
        <v>46261</v>
      </c>
      <c r="B2383" t="str" cm="1">
        <f t="array" ref="B2383">INDEX(HotelList,MOD(ROW()-2,10)+1)</f>
        <v>H002</v>
      </c>
      <c r="C2383">
        <f>_xlfn.XLOOKUP(B2383,Dim_Hotel!$A$2:$A$11,Dim_Hotel!$F$2:$F$11)</f>
        <v>147</v>
      </c>
      <c r="D2383">
        <f t="shared" si="297"/>
        <v>81</v>
      </c>
      <c r="E2383">
        <f t="shared" si="298"/>
        <v>0.55102040816326525</v>
      </c>
      <c r="F2383">
        <f t="shared" si="299"/>
        <v>175</v>
      </c>
      <c r="G2383">
        <f t="shared" si="300"/>
        <v>96.428571428571416</v>
      </c>
      <c r="H2383" t="str">
        <f>_xlfn.XLOOKUP(A2383,Fact_Events!$D$2:$D$20,Fact_Events!$A$2:$A$20, "")</f>
        <v/>
      </c>
      <c r="I2383">
        <f t="shared" si="301"/>
        <v>0</v>
      </c>
      <c r="J2383" t="str">
        <f>_xlfn.XLOOKUP(H2383, Fact_Events!$A$2:$A$20, Fact_Events!$F$2:$F$20, "")</f>
        <v/>
      </c>
      <c r="K2383" t="str">
        <f t="shared" si="302"/>
        <v>Low</v>
      </c>
      <c r="L2383">
        <f t="shared" si="303"/>
        <v>0.55000000000000004</v>
      </c>
      <c r="M2383">
        <f>_xlfn.XLOOKUP(B2383, Dim_Hotel!$A$2:$A$11, Dim_Hotel!$I$2:$I$11)
 + (IF(J2383="",0,J2383)
    * _xlfn.XLOOKUP(B2383, Dim_Hotel!$A$2:$A$11, Dim_Hotel!$J$2:$J$11))</f>
        <v>175</v>
      </c>
    </row>
    <row r="2384" spans="1:13" x14ac:dyDescent="0.25">
      <c r="A2384" s="1">
        <f t="shared" si="296"/>
        <v>46261</v>
      </c>
      <c r="B2384" t="str" cm="1">
        <f t="array" ref="B2384">INDEX(HotelList,MOD(ROW()-2,10)+1)</f>
        <v>H003</v>
      </c>
      <c r="C2384">
        <f>_xlfn.XLOOKUP(B2384,Dim_Hotel!$A$2:$A$11,Dim_Hotel!$F$2:$F$11)</f>
        <v>121</v>
      </c>
      <c r="D2384">
        <f t="shared" si="297"/>
        <v>67</v>
      </c>
      <c r="E2384">
        <f t="shared" si="298"/>
        <v>0.55371900826446285</v>
      </c>
      <c r="F2384">
        <f t="shared" si="299"/>
        <v>145</v>
      </c>
      <c r="G2384">
        <f t="shared" si="300"/>
        <v>80.289256198347118</v>
      </c>
      <c r="H2384" t="str">
        <f>_xlfn.XLOOKUP(A2384,Fact_Events!$D$2:$D$20,Fact_Events!$A$2:$A$20, "")</f>
        <v/>
      </c>
      <c r="I2384">
        <f t="shared" si="301"/>
        <v>0</v>
      </c>
      <c r="J2384" t="str">
        <f>_xlfn.XLOOKUP(H2384, Fact_Events!$A$2:$A$20, Fact_Events!$F$2:$F$20, "")</f>
        <v/>
      </c>
      <c r="K2384" t="str">
        <f t="shared" si="302"/>
        <v>Low</v>
      </c>
      <c r="L2384">
        <f t="shared" si="303"/>
        <v>0.55000000000000004</v>
      </c>
      <c r="M2384">
        <f>_xlfn.XLOOKUP(B2384, Dim_Hotel!$A$2:$A$11, Dim_Hotel!$I$2:$I$11)
 + (IF(J2384="",0,J2384)
    * _xlfn.XLOOKUP(B2384, Dim_Hotel!$A$2:$A$11, Dim_Hotel!$J$2:$J$11))</f>
        <v>145</v>
      </c>
    </row>
    <row r="2385" spans="1:13" x14ac:dyDescent="0.25">
      <c r="A2385" s="1">
        <f t="shared" si="296"/>
        <v>46261</v>
      </c>
      <c r="B2385" t="str" cm="1">
        <f t="array" ref="B2385">INDEX(HotelList,MOD(ROW()-2,10)+1)</f>
        <v>H004</v>
      </c>
      <c r="C2385">
        <f>_xlfn.XLOOKUP(B2385,Dim_Hotel!$A$2:$A$11,Dim_Hotel!$F$2:$F$11)</f>
        <v>108</v>
      </c>
      <c r="D2385">
        <f t="shared" si="297"/>
        <v>59</v>
      </c>
      <c r="E2385">
        <f t="shared" si="298"/>
        <v>0.54629629629629628</v>
      </c>
      <c r="F2385">
        <f t="shared" si="299"/>
        <v>135</v>
      </c>
      <c r="G2385">
        <f t="shared" si="300"/>
        <v>73.75</v>
      </c>
      <c r="H2385" t="str">
        <f>_xlfn.XLOOKUP(A2385,Fact_Events!$D$2:$D$20,Fact_Events!$A$2:$A$20, "")</f>
        <v/>
      </c>
      <c r="I2385">
        <f t="shared" si="301"/>
        <v>0</v>
      </c>
      <c r="J2385" t="str">
        <f>_xlfn.XLOOKUP(H2385, Fact_Events!$A$2:$A$20, Fact_Events!$F$2:$F$20, "")</f>
        <v/>
      </c>
      <c r="K2385" t="str">
        <f t="shared" si="302"/>
        <v>Low</v>
      </c>
      <c r="L2385">
        <f t="shared" si="303"/>
        <v>0.55000000000000004</v>
      </c>
      <c r="M2385">
        <f>_xlfn.XLOOKUP(B2385, Dim_Hotel!$A$2:$A$11, Dim_Hotel!$I$2:$I$11)
 + (IF(J2385="",0,J2385)
    * _xlfn.XLOOKUP(B2385, Dim_Hotel!$A$2:$A$11, Dim_Hotel!$J$2:$J$11))</f>
        <v>135</v>
      </c>
    </row>
    <row r="2386" spans="1:13" x14ac:dyDescent="0.25">
      <c r="A2386" s="1">
        <f t="shared" si="296"/>
        <v>46261</v>
      </c>
      <c r="B2386" t="str" cm="1">
        <f t="array" ref="B2386">INDEX(HotelList,MOD(ROW()-2,10)+1)</f>
        <v>H005</v>
      </c>
      <c r="C2386">
        <f>_xlfn.XLOOKUP(B2386,Dim_Hotel!$A$2:$A$11,Dim_Hotel!$F$2:$F$11)</f>
        <v>66</v>
      </c>
      <c r="D2386">
        <f t="shared" si="297"/>
        <v>36</v>
      </c>
      <c r="E2386">
        <f t="shared" si="298"/>
        <v>0.54545454545454541</v>
      </c>
      <c r="F2386">
        <f t="shared" si="299"/>
        <v>82</v>
      </c>
      <c r="G2386">
        <f t="shared" si="300"/>
        <v>44.727272727272727</v>
      </c>
      <c r="H2386" t="str">
        <f>_xlfn.XLOOKUP(A2386,Fact_Events!$D$2:$D$20,Fact_Events!$A$2:$A$20, "")</f>
        <v/>
      </c>
      <c r="I2386">
        <f t="shared" si="301"/>
        <v>0</v>
      </c>
      <c r="J2386" t="str">
        <f>_xlfn.XLOOKUP(H2386, Fact_Events!$A$2:$A$20, Fact_Events!$F$2:$F$20, "")</f>
        <v/>
      </c>
      <c r="K2386" t="str">
        <f t="shared" si="302"/>
        <v>Low</v>
      </c>
      <c r="L2386">
        <f t="shared" si="303"/>
        <v>0.55000000000000004</v>
      </c>
      <c r="M2386">
        <f>_xlfn.XLOOKUP(B2386, Dim_Hotel!$A$2:$A$11, Dim_Hotel!$I$2:$I$11)
 + (IF(J2386="",0,J2386)
    * _xlfn.XLOOKUP(B2386, Dim_Hotel!$A$2:$A$11, Dim_Hotel!$J$2:$J$11))</f>
        <v>82</v>
      </c>
    </row>
    <row r="2387" spans="1:13" x14ac:dyDescent="0.25">
      <c r="A2387" s="1">
        <f t="shared" si="296"/>
        <v>46261</v>
      </c>
      <c r="B2387" t="str" cm="1">
        <f t="array" ref="B2387">INDEX(HotelList,MOD(ROW()-2,10)+1)</f>
        <v>H006</v>
      </c>
      <c r="C2387">
        <f>_xlfn.XLOOKUP(B2387,Dim_Hotel!$A$2:$A$11,Dim_Hotel!$F$2:$F$11)</f>
        <v>311</v>
      </c>
      <c r="D2387">
        <f t="shared" si="297"/>
        <v>171</v>
      </c>
      <c r="E2387">
        <f t="shared" si="298"/>
        <v>0.54983922829581988</v>
      </c>
      <c r="F2387">
        <f t="shared" si="299"/>
        <v>190</v>
      </c>
      <c r="G2387">
        <f t="shared" si="300"/>
        <v>104.46945337620578</v>
      </c>
      <c r="H2387" t="str">
        <f>_xlfn.XLOOKUP(A2387,Fact_Events!$D$2:$D$20,Fact_Events!$A$2:$A$20, "")</f>
        <v/>
      </c>
      <c r="I2387">
        <f t="shared" si="301"/>
        <v>0</v>
      </c>
      <c r="J2387" t="str">
        <f>_xlfn.XLOOKUP(H2387, Fact_Events!$A$2:$A$20, Fact_Events!$F$2:$F$20, "")</f>
        <v/>
      </c>
      <c r="K2387" t="str">
        <f t="shared" si="302"/>
        <v>Low</v>
      </c>
      <c r="L2387">
        <f t="shared" si="303"/>
        <v>0.55000000000000004</v>
      </c>
      <c r="M2387">
        <f>_xlfn.XLOOKUP(B2387, Dim_Hotel!$A$2:$A$11, Dim_Hotel!$I$2:$I$11)
 + (IF(J2387="",0,J2387)
    * _xlfn.XLOOKUP(B2387, Dim_Hotel!$A$2:$A$11, Dim_Hotel!$J$2:$J$11))</f>
        <v>190</v>
      </c>
    </row>
    <row r="2388" spans="1:13" x14ac:dyDescent="0.25">
      <c r="A2388" s="1">
        <f t="shared" si="296"/>
        <v>46261</v>
      </c>
      <c r="B2388" t="str" cm="1">
        <f t="array" ref="B2388">INDEX(HotelList,MOD(ROW()-2,10)+1)</f>
        <v>H007</v>
      </c>
      <c r="C2388">
        <f>_xlfn.XLOOKUP(B2388,Dim_Hotel!$A$2:$A$11,Dim_Hotel!$F$2:$F$11)</f>
        <v>132</v>
      </c>
      <c r="D2388">
        <f t="shared" si="297"/>
        <v>73</v>
      </c>
      <c r="E2388">
        <f t="shared" si="298"/>
        <v>0.55303030303030298</v>
      </c>
      <c r="F2388">
        <f t="shared" si="299"/>
        <v>165</v>
      </c>
      <c r="G2388">
        <f t="shared" si="300"/>
        <v>91.249999999999986</v>
      </c>
      <c r="H2388" t="str">
        <f>_xlfn.XLOOKUP(A2388,Fact_Events!$D$2:$D$20,Fact_Events!$A$2:$A$20, "")</f>
        <v/>
      </c>
      <c r="I2388">
        <f t="shared" si="301"/>
        <v>0</v>
      </c>
      <c r="J2388" t="str">
        <f>_xlfn.XLOOKUP(H2388, Fact_Events!$A$2:$A$20, Fact_Events!$F$2:$F$20, "")</f>
        <v/>
      </c>
      <c r="K2388" t="str">
        <f t="shared" si="302"/>
        <v>Low</v>
      </c>
      <c r="L2388">
        <f t="shared" si="303"/>
        <v>0.55000000000000004</v>
      </c>
      <c r="M2388">
        <f>_xlfn.XLOOKUP(B2388, Dim_Hotel!$A$2:$A$11, Dim_Hotel!$I$2:$I$11)
 + (IF(J2388="",0,J2388)
    * _xlfn.XLOOKUP(B2388, Dim_Hotel!$A$2:$A$11, Dim_Hotel!$J$2:$J$11))</f>
        <v>165</v>
      </c>
    </row>
    <row r="2389" spans="1:13" x14ac:dyDescent="0.25">
      <c r="A2389" s="1">
        <f t="shared" si="296"/>
        <v>46261</v>
      </c>
      <c r="B2389" t="str" cm="1">
        <f t="array" ref="B2389">INDEX(HotelList,MOD(ROW()-2,10)+1)</f>
        <v>H008</v>
      </c>
      <c r="C2389">
        <f>_xlfn.XLOOKUP(B2389,Dim_Hotel!$A$2:$A$11,Dim_Hotel!$F$2:$F$11)</f>
        <v>103</v>
      </c>
      <c r="D2389">
        <f t="shared" si="297"/>
        <v>57</v>
      </c>
      <c r="E2389">
        <f t="shared" si="298"/>
        <v>0.55339805825242716</v>
      </c>
      <c r="F2389">
        <f t="shared" si="299"/>
        <v>140</v>
      </c>
      <c r="G2389">
        <f t="shared" si="300"/>
        <v>77.475728155339809</v>
      </c>
      <c r="H2389" t="str">
        <f>_xlfn.XLOOKUP(A2389,Fact_Events!$D$2:$D$20,Fact_Events!$A$2:$A$20, "")</f>
        <v/>
      </c>
      <c r="I2389">
        <f t="shared" si="301"/>
        <v>0</v>
      </c>
      <c r="J2389" t="str">
        <f>_xlfn.XLOOKUP(H2389, Fact_Events!$A$2:$A$20, Fact_Events!$F$2:$F$20, "")</f>
        <v/>
      </c>
      <c r="K2389" t="str">
        <f t="shared" si="302"/>
        <v>Low</v>
      </c>
      <c r="L2389">
        <f t="shared" si="303"/>
        <v>0.55000000000000004</v>
      </c>
      <c r="M2389">
        <f>_xlfn.XLOOKUP(B2389, Dim_Hotel!$A$2:$A$11, Dim_Hotel!$I$2:$I$11)
 + (IF(J2389="",0,J2389)
    * _xlfn.XLOOKUP(B2389, Dim_Hotel!$A$2:$A$11, Dim_Hotel!$J$2:$J$11))</f>
        <v>140</v>
      </c>
    </row>
    <row r="2390" spans="1:13" x14ac:dyDescent="0.25">
      <c r="A2390" s="1">
        <f t="shared" si="296"/>
        <v>46261</v>
      </c>
      <c r="B2390" t="str" cm="1">
        <f t="array" ref="B2390">INDEX(HotelList,MOD(ROW()-2,10)+1)</f>
        <v>H009</v>
      </c>
      <c r="C2390">
        <f>_xlfn.XLOOKUP(B2390,Dim_Hotel!$A$2:$A$11,Dim_Hotel!$F$2:$F$11)</f>
        <v>114</v>
      </c>
      <c r="D2390">
        <f t="shared" si="297"/>
        <v>63</v>
      </c>
      <c r="E2390">
        <f t="shared" si="298"/>
        <v>0.55263157894736847</v>
      </c>
      <c r="F2390">
        <f t="shared" si="299"/>
        <v>185</v>
      </c>
      <c r="G2390">
        <f t="shared" si="300"/>
        <v>102.23684210526316</v>
      </c>
      <c r="H2390" t="str">
        <f>_xlfn.XLOOKUP(A2390,Fact_Events!$D$2:$D$20,Fact_Events!$A$2:$A$20, "")</f>
        <v/>
      </c>
      <c r="I2390">
        <f t="shared" si="301"/>
        <v>0</v>
      </c>
      <c r="J2390" t="str">
        <f>_xlfn.XLOOKUP(H2390, Fact_Events!$A$2:$A$20, Fact_Events!$F$2:$F$20, "")</f>
        <v/>
      </c>
      <c r="K2390" t="str">
        <f t="shared" si="302"/>
        <v>Low</v>
      </c>
      <c r="L2390">
        <f t="shared" si="303"/>
        <v>0.55000000000000004</v>
      </c>
      <c r="M2390">
        <f>_xlfn.XLOOKUP(B2390, Dim_Hotel!$A$2:$A$11, Dim_Hotel!$I$2:$I$11)
 + (IF(J2390="",0,J2390)
    * _xlfn.XLOOKUP(B2390, Dim_Hotel!$A$2:$A$11, Dim_Hotel!$J$2:$J$11))</f>
        <v>185</v>
      </c>
    </row>
    <row r="2391" spans="1:13" x14ac:dyDescent="0.25">
      <c r="A2391" s="1">
        <f t="shared" si="296"/>
        <v>46261</v>
      </c>
      <c r="B2391" t="str" cm="1">
        <f t="array" ref="B2391">INDEX(HotelList,MOD(ROW()-2,10)+1)</f>
        <v>H010</v>
      </c>
      <c r="C2391">
        <f>_xlfn.XLOOKUP(B2391,Dim_Hotel!$A$2:$A$11,Dim_Hotel!$F$2:$F$11)</f>
        <v>89</v>
      </c>
      <c r="D2391">
        <f t="shared" si="297"/>
        <v>49</v>
      </c>
      <c r="E2391">
        <f t="shared" si="298"/>
        <v>0.550561797752809</v>
      </c>
      <c r="F2391">
        <f t="shared" si="299"/>
        <v>150</v>
      </c>
      <c r="G2391">
        <f t="shared" si="300"/>
        <v>82.584269662921344</v>
      </c>
      <c r="H2391" t="str">
        <f>_xlfn.XLOOKUP(A2391,Fact_Events!$D$2:$D$20,Fact_Events!$A$2:$A$20, "")</f>
        <v/>
      </c>
      <c r="I2391">
        <f t="shared" si="301"/>
        <v>0</v>
      </c>
      <c r="J2391" t="str">
        <f>_xlfn.XLOOKUP(H2391, Fact_Events!$A$2:$A$20, Fact_Events!$F$2:$F$20, "")</f>
        <v/>
      </c>
      <c r="K2391" t="str">
        <f t="shared" si="302"/>
        <v>Low</v>
      </c>
      <c r="L2391">
        <f t="shared" si="303"/>
        <v>0.55000000000000004</v>
      </c>
      <c r="M2391">
        <f>_xlfn.XLOOKUP(B2391, Dim_Hotel!$A$2:$A$11, Dim_Hotel!$I$2:$I$11)
 + (IF(J2391="",0,J2391)
    * _xlfn.XLOOKUP(B2391, Dim_Hotel!$A$2:$A$11, Dim_Hotel!$J$2:$J$11))</f>
        <v>150</v>
      </c>
    </row>
    <row r="2392" spans="1:13" x14ac:dyDescent="0.25">
      <c r="A2392" s="1">
        <f t="shared" si="296"/>
        <v>46262</v>
      </c>
      <c r="B2392" t="str" cm="1">
        <f t="array" ref="B2392">INDEX(HotelList,MOD(ROW()-2,10)+1)</f>
        <v>H001</v>
      </c>
      <c r="C2392">
        <f>_xlfn.XLOOKUP(B2392,Dim_Hotel!$A$2:$A$11,Dim_Hotel!$F$2:$F$11)</f>
        <v>888</v>
      </c>
      <c r="D2392">
        <f t="shared" si="297"/>
        <v>488</v>
      </c>
      <c r="E2392">
        <f t="shared" si="298"/>
        <v>0.5495495495495496</v>
      </c>
      <c r="F2392">
        <f t="shared" si="299"/>
        <v>260</v>
      </c>
      <c r="G2392">
        <f t="shared" si="300"/>
        <v>142.88288288288288</v>
      </c>
      <c r="H2392" t="str">
        <f>_xlfn.XLOOKUP(A2392,Fact_Events!$D$2:$D$20,Fact_Events!$A$2:$A$20, "")</f>
        <v/>
      </c>
      <c r="I2392">
        <f t="shared" si="301"/>
        <v>0</v>
      </c>
      <c r="J2392" t="str">
        <f>_xlfn.XLOOKUP(H2392, Fact_Events!$A$2:$A$20, Fact_Events!$F$2:$F$20, "")</f>
        <v/>
      </c>
      <c r="K2392" t="str">
        <f t="shared" si="302"/>
        <v>Low</v>
      </c>
      <c r="L2392">
        <f t="shared" si="303"/>
        <v>0.55000000000000004</v>
      </c>
      <c r="M2392">
        <f>_xlfn.XLOOKUP(B2392, Dim_Hotel!$A$2:$A$11, Dim_Hotel!$I$2:$I$11)
 + (IF(J2392="",0,J2392)
    * _xlfn.XLOOKUP(B2392, Dim_Hotel!$A$2:$A$11, Dim_Hotel!$J$2:$J$11))</f>
        <v>260</v>
      </c>
    </row>
    <row r="2393" spans="1:13" x14ac:dyDescent="0.25">
      <c r="A2393" s="1">
        <f t="shared" si="296"/>
        <v>46262</v>
      </c>
      <c r="B2393" t="str" cm="1">
        <f t="array" ref="B2393">INDEX(HotelList,MOD(ROW()-2,10)+1)</f>
        <v>H002</v>
      </c>
      <c r="C2393">
        <f>_xlfn.XLOOKUP(B2393,Dim_Hotel!$A$2:$A$11,Dim_Hotel!$F$2:$F$11)</f>
        <v>147</v>
      </c>
      <c r="D2393">
        <f t="shared" si="297"/>
        <v>81</v>
      </c>
      <c r="E2393">
        <f t="shared" si="298"/>
        <v>0.55102040816326525</v>
      </c>
      <c r="F2393">
        <f t="shared" si="299"/>
        <v>175</v>
      </c>
      <c r="G2393">
        <f t="shared" si="300"/>
        <v>96.428571428571416</v>
      </c>
      <c r="H2393" t="str">
        <f>_xlfn.XLOOKUP(A2393,Fact_Events!$D$2:$D$20,Fact_Events!$A$2:$A$20, "")</f>
        <v/>
      </c>
      <c r="I2393">
        <f t="shared" si="301"/>
        <v>0</v>
      </c>
      <c r="J2393" t="str">
        <f>_xlfn.XLOOKUP(H2393, Fact_Events!$A$2:$A$20, Fact_Events!$F$2:$F$20, "")</f>
        <v/>
      </c>
      <c r="K2393" t="str">
        <f t="shared" si="302"/>
        <v>Low</v>
      </c>
      <c r="L2393">
        <f t="shared" si="303"/>
        <v>0.55000000000000004</v>
      </c>
      <c r="M2393">
        <f>_xlfn.XLOOKUP(B2393, Dim_Hotel!$A$2:$A$11, Dim_Hotel!$I$2:$I$11)
 + (IF(J2393="",0,J2393)
    * _xlfn.XLOOKUP(B2393, Dim_Hotel!$A$2:$A$11, Dim_Hotel!$J$2:$J$11))</f>
        <v>175</v>
      </c>
    </row>
    <row r="2394" spans="1:13" x14ac:dyDescent="0.25">
      <c r="A2394" s="1">
        <f t="shared" si="296"/>
        <v>46262</v>
      </c>
      <c r="B2394" t="str" cm="1">
        <f t="array" ref="B2394">INDEX(HotelList,MOD(ROW()-2,10)+1)</f>
        <v>H003</v>
      </c>
      <c r="C2394">
        <f>_xlfn.XLOOKUP(B2394,Dim_Hotel!$A$2:$A$11,Dim_Hotel!$F$2:$F$11)</f>
        <v>121</v>
      </c>
      <c r="D2394">
        <f t="shared" si="297"/>
        <v>67</v>
      </c>
      <c r="E2394">
        <f t="shared" si="298"/>
        <v>0.55371900826446285</v>
      </c>
      <c r="F2394">
        <f t="shared" si="299"/>
        <v>145</v>
      </c>
      <c r="G2394">
        <f t="shared" si="300"/>
        <v>80.289256198347118</v>
      </c>
      <c r="H2394" t="str">
        <f>_xlfn.XLOOKUP(A2394,Fact_Events!$D$2:$D$20,Fact_Events!$A$2:$A$20, "")</f>
        <v/>
      </c>
      <c r="I2394">
        <f t="shared" si="301"/>
        <v>0</v>
      </c>
      <c r="J2394" t="str">
        <f>_xlfn.XLOOKUP(H2394, Fact_Events!$A$2:$A$20, Fact_Events!$F$2:$F$20, "")</f>
        <v/>
      </c>
      <c r="K2394" t="str">
        <f t="shared" si="302"/>
        <v>Low</v>
      </c>
      <c r="L2394">
        <f t="shared" si="303"/>
        <v>0.55000000000000004</v>
      </c>
      <c r="M2394">
        <f>_xlfn.XLOOKUP(B2394, Dim_Hotel!$A$2:$A$11, Dim_Hotel!$I$2:$I$11)
 + (IF(J2394="",0,J2394)
    * _xlfn.XLOOKUP(B2394, Dim_Hotel!$A$2:$A$11, Dim_Hotel!$J$2:$J$11))</f>
        <v>145</v>
      </c>
    </row>
    <row r="2395" spans="1:13" x14ac:dyDescent="0.25">
      <c r="A2395" s="1">
        <f t="shared" si="296"/>
        <v>46262</v>
      </c>
      <c r="B2395" t="str" cm="1">
        <f t="array" ref="B2395">INDEX(HotelList,MOD(ROW()-2,10)+1)</f>
        <v>H004</v>
      </c>
      <c r="C2395">
        <f>_xlfn.XLOOKUP(B2395,Dim_Hotel!$A$2:$A$11,Dim_Hotel!$F$2:$F$11)</f>
        <v>108</v>
      </c>
      <c r="D2395">
        <f t="shared" si="297"/>
        <v>59</v>
      </c>
      <c r="E2395">
        <f t="shared" si="298"/>
        <v>0.54629629629629628</v>
      </c>
      <c r="F2395">
        <f t="shared" si="299"/>
        <v>135</v>
      </c>
      <c r="G2395">
        <f t="shared" si="300"/>
        <v>73.75</v>
      </c>
      <c r="H2395" t="str">
        <f>_xlfn.XLOOKUP(A2395,Fact_Events!$D$2:$D$20,Fact_Events!$A$2:$A$20, "")</f>
        <v/>
      </c>
      <c r="I2395">
        <f t="shared" si="301"/>
        <v>0</v>
      </c>
      <c r="J2395" t="str">
        <f>_xlfn.XLOOKUP(H2395, Fact_Events!$A$2:$A$20, Fact_Events!$F$2:$F$20, "")</f>
        <v/>
      </c>
      <c r="K2395" t="str">
        <f t="shared" si="302"/>
        <v>Low</v>
      </c>
      <c r="L2395">
        <f t="shared" si="303"/>
        <v>0.55000000000000004</v>
      </c>
      <c r="M2395">
        <f>_xlfn.XLOOKUP(B2395, Dim_Hotel!$A$2:$A$11, Dim_Hotel!$I$2:$I$11)
 + (IF(J2395="",0,J2395)
    * _xlfn.XLOOKUP(B2395, Dim_Hotel!$A$2:$A$11, Dim_Hotel!$J$2:$J$11))</f>
        <v>135</v>
      </c>
    </row>
    <row r="2396" spans="1:13" x14ac:dyDescent="0.25">
      <c r="A2396" s="1">
        <f t="shared" si="296"/>
        <v>46262</v>
      </c>
      <c r="B2396" t="str" cm="1">
        <f t="array" ref="B2396">INDEX(HotelList,MOD(ROW()-2,10)+1)</f>
        <v>H005</v>
      </c>
      <c r="C2396">
        <f>_xlfn.XLOOKUP(B2396,Dim_Hotel!$A$2:$A$11,Dim_Hotel!$F$2:$F$11)</f>
        <v>66</v>
      </c>
      <c r="D2396">
        <f t="shared" si="297"/>
        <v>36</v>
      </c>
      <c r="E2396">
        <f t="shared" si="298"/>
        <v>0.54545454545454541</v>
      </c>
      <c r="F2396">
        <f t="shared" si="299"/>
        <v>82</v>
      </c>
      <c r="G2396">
        <f t="shared" si="300"/>
        <v>44.727272727272727</v>
      </c>
      <c r="H2396" t="str">
        <f>_xlfn.XLOOKUP(A2396,Fact_Events!$D$2:$D$20,Fact_Events!$A$2:$A$20, "")</f>
        <v/>
      </c>
      <c r="I2396">
        <f t="shared" si="301"/>
        <v>0</v>
      </c>
      <c r="J2396" t="str">
        <f>_xlfn.XLOOKUP(H2396, Fact_Events!$A$2:$A$20, Fact_Events!$F$2:$F$20, "")</f>
        <v/>
      </c>
      <c r="K2396" t="str">
        <f t="shared" si="302"/>
        <v>Low</v>
      </c>
      <c r="L2396">
        <f t="shared" si="303"/>
        <v>0.55000000000000004</v>
      </c>
      <c r="M2396">
        <f>_xlfn.XLOOKUP(B2396, Dim_Hotel!$A$2:$A$11, Dim_Hotel!$I$2:$I$11)
 + (IF(J2396="",0,J2396)
    * _xlfn.XLOOKUP(B2396, Dim_Hotel!$A$2:$A$11, Dim_Hotel!$J$2:$J$11))</f>
        <v>82</v>
      </c>
    </row>
    <row r="2397" spans="1:13" x14ac:dyDescent="0.25">
      <c r="A2397" s="1">
        <f t="shared" si="296"/>
        <v>46262</v>
      </c>
      <c r="B2397" t="str" cm="1">
        <f t="array" ref="B2397">INDEX(HotelList,MOD(ROW()-2,10)+1)</f>
        <v>H006</v>
      </c>
      <c r="C2397">
        <f>_xlfn.XLOOKUP(B2397,Dim_Hotel!$A$2:$A$11,Dim_Hotel!$F$2:$F$11)</f>
        <v>311</v>
      </c>
      <c r="D2397">
        <f t="shared" si="297"/>
        <v>171</v>
      </c>
      <c r="E2397">
        <f t="shared" si="298"/>
        <v>0.54983922829581988</v>
      </c>
      <c r="F2397">
        <f t="shared" si="299"/>
        <v>190</v>
      </c>
      <c r="G2397">
        <f t="shared" si="300"/>
        <v>104.46945337620578</v>
      </c>
      <c r="H2397" t="str">
        <f>_xlfn.XLOOKUP(A2397,Fact_Events!$D$2:$D$20,Fact_Events!$A$2:$A$20, "")</f>
        <v/>
      </c>
      <c r="I2397">
        <f t="shared" si="301"/>
        <v>0</v>
      </c>
      <c r="J2397" t="str">
        <f>_xlfn.XLOOKUP(H2397, Fact_Events!$A$2:$A$20, Fact_Events!$F$2:$F$20, "")</f>
        <v/>
      </c>
      <c r="K2397" t="str">
        <f t="shared" si="302"/>
        <v>Low</v>
      </c>
      <c r="L2397">
        <f t="shared" si="303"/>
        <v>0.55000000000000004</v>
      </c>
      <c r="M2397">
        <f>_xlfn.XLOOKUP(B2397, Dim_Hotel!$A$2:$A$11, Dim_Hotel!$I$2:$I$11)
 + (IF(J2397="",0,J2397)
    * _xlfn.XLOOKUP(B2397, Dim_Hotel!$A$2:$A$11, Dim_Hotel!$J$2:$J$11))</f>
        <v>190</v>
      </c>
    </row>
    <row r="2398" spans="1:13" x14ac:dyDescent="0.25">
      <c r="A2398" s="1">
        <f t="shared" si="296"/>
        <v>46262</v>
      </c>
      <c r="B2398" t="str" cm="1">
        <f t="array" ref="B2398">INDEX(HotelList,MOD(ROW()-2,10)+1)</f>
        <v>H007</v>
      </c>
      <c r="C2398">
        <f>_xlfn.XLOOKUP(B2398,Dim_Hotel!$A$2:$A$11,Dim_Hotel!$F$2:$F$11)</f>
        <v>132</v>
      </c>
      <c r="D2398">
        <f t="shared" si="297"/>
        <v>73</v>
      </c>
      <c r="E2398">
        <f t="shared" si="298"/>
        <v>0.55303030303030298</v>
      </c>
      <c r="F2398">
        <f t="shared" si="299"/>
        <v>165</v>
      </c>
      <c r="G2398">
        <f t="shared" si="300"/>
        <v>91.249999999999986</v>
      </c>
      <c r="H2398" t="str">
        <f>_xlfn.XLOOKUP(A2398,Fact_Events!$D$2:$D$20,Fact_Events!$A$2:$A$20, "")</f>
        <v/>
      </c>
      <c r="I2398">
        <f t="shared" si="301"/>
        <v>0</v>
      </c>
      <c r="J2398" t="str">
        <f>_xlfn.XLOOKUP(H2398, Fact_Events!$A$2:$A$20, Fact_Events!$F$2:$F$20, "")</f>
        <v/>
      </c>
      <c r="K2398" t="str">
        <f t="shared" si="302"/>
        <v>Low</v>
      </c>
      <c r="L2398">
        <f t="shared" si="303"/>
        <v>0.55000000000000004</v>
      </c>
      <c r="M2398">
        <f>_xlfn.XLOOKUP(B2398, Dim_Hotel!$A$2:$A$11, Dim_Hotel!$I$2:$I$11)
 + (IF(J2398="",0,J2398)
    * _xlfn.XLOOKUP(B2398, Dim_Hotel!$A$2:$A$11, Dim_Hotel!$J$2:$J$11))</f>
        <v>165</v>
      </c>
    </row>
    <row r="2399" spans="1:13" x14ac:dyDescent="0.25">
      <c r="A2399" s="1">
        <f t="shared" si="296"/>
        <v>46262</v>
      </c>
      <c r="B2399" t="str" cm="1">
        <f t="array" ref="B2399">INDEX(HotelList,MOD(ROW()-2,10)+1)</f>
        <v>H008</v>
      </c>
      <c r="C2399">
        <f>_xlfn.XLOOKUP(B2399,Dim_Hotel!$A$2:$A$11,Dim_Hotel!$F$2:$F$11)</f>
        <v>103</v>
      </c>
      <c r="D2399">
        <f t="shared" si="297"/>
        <v>57</v>
      </c>
      <c r="E2399">
        <f t="shared" si="298"/>
        <v>0.55339805825242716</v>
      </c>
      <c r="F2399">
        <f t="shared" si="299"/>
        <v>140</v>
      </c>
      <c r="G2399">
        <f t="shared" si="300"/>
        <v>77.475728155339809</v>
      </c>
      <c r="H2399" t="str">
        <f>_xlfn.XLOOKUP(A2399,Fact_Events!$D$2:$D$20,Fact_Events!$A$2:$A$20, "")</f>
        <v/>
      </c>
      <c r="I2399">
        <f t="shared" si="301"/>
        <v>0</v>
      </c>
      <c r="J2399" t="str">
        <f>_xlfn.XLOOKUP(H2399, Fact_Events!$A$2:$A$20, Fact_Events!$F$2:$F$20, "")</f>
        <v/>
      </c>
      <c r="K2399" t="str">
        <f t="shared" si="302"/>
        <v>Low</v>
      </c>
      <c r="L2399">
        <f t="shared" si="303"/>
        <v>0.55000000000000004</v>
      </c>
      <c r="M2399">
        <f>_xlfn.XLOOKUP(B2399, Dim_Hotel!$A$2:$A$11, Dim_Hotel!$I$2:$I$11)
 + (IF(J2399="",0,J2399)
    * _xlfn.XLOOKUP(B2399, Dim_Hotel!$A$2:$A$11, Dim_Hotel!$J$2:$J$11))</f>
        <v>140</v>
      </c>
    </row>
    <row r="2400" spans="1:13" x14ac:dyDescent="0.25">
      <c r="A2400" s="1">
        <f t="shared" si="296"/>
        <v>46262</v>
      </c>
      <c r="B2400" t="str" cm="1">
        <f t="array" ref="B2400">INDEX(HotelList,MOD(ROW()-2,10)+1)</f>
        <v>H009</v>
      </c>
      <c r="C2400">
        <f>_xlfn.XLOOKUP(B2400,Dim_Hotel!$A$2:$A$11,Dim_Hotel!$F$2:$F$11)</f>
        <v>114</v>
      </c>
      <c r="D2400">
        <f t="shared" si="297"/>
        <v>63</v>
      </c>
      <c r="E2400">
        <f t="shared" si="298"/>
        <v>0.55263157894736847</v>
      </c>
      <c r="F2400">
        <f t="shared" si="299"/>
        <v>185</v>
      </c>
      <c r="G2400">
        <f t="shared" si="300"/>
        <v>102.23684210526316</v>
      </c>
      <c r="H2400" t="str">
        <f>_xlfn.XLOOKUP(A2400,Fact_Events!$D$2:$D$20,Fact_Events!$A$2:$A$20, "")</f>
        <v/>
      </c>
      <c r="I2400">
        <f t="shared" si="301"/>
        <v>0</v>
      </c>
      <c r="J2400" t="str">
        <f>_xlfn.XLOOKUP(H2400, Fact_Events!$A$2:$A$20, Fact_Events!$F$2:$F$20, "")</f>
        <v/>
      </c>
      <c r="K2400" t="str">
        <f t="shared" si="302"/>
        <v>Low</v>
      </c>
      <c r="L2400">
        <f t="shared" si="303"/>
        <v>0.55000000000000004</v>
      </c>
      <c r="M2400">
        <f>_xlfn.XLOOKUP(B2400, Dim_Hotel!$A$2:$A$11, Dim_Hotel!$I$2:$I$11)
 + (IF(J2400="",0,J2400)
    * _xlfn.XLOOKUP(B2400, Dim_Hotel!$A$2:$A$11, Dim_Hotel!$J$2:$J$11))</f>
        <v>185</v>
      </c>
    </row>
    <row r="2401" spans="1:13" x14ac:dyDescent="0.25">
      <c r="A2401" s="1">
        <f t="shared" si="296"/>
        <v>46262</v>
      </c>
      <c r="B2401" t="str" cm="1">
        <f t="array" ref="B2401">INDEX(HotelList,MOD(ROW()-2,10)+1)</f>
        <v>H010</v>
      </c>
      <c r="C2401">
        <f>_xlfn.XLOOKUP(B2401,Dim_Hotel!$A$2:$A$11,Dim_Hotel!$F$2:$F$11)</f>
        <v>89</v>
      </c>
      <c r="D2401">
        <f t="shared" si="297"/>
        <v>49</v>
      </c>
      <c r="E2401">
        <f t="shared" si="298"/>
        <v>0.550561797752809</v>
      </c>
      <c r="F2401">
        <f t="shared" si="299"/>
        <v>150</v>
      </c>
      <c r="G2401">
        <f t="shared" si="300"/>
        <v>82.584269662921344</v>
      </c>
      <c r="H2401" t="str">
        <f>_xlfn.XLOOKUP(A2401,Fact_Events!$D$2:$D$20,Fact_Events!$A$2:$A$20, "")</f>
        <v/>
      </c>
      <c r="I2401">
        <f t="shared" si="301"/>
        <v>0</v>
      </c>
      <c r="J2401" t="str">
        <f>_xlfn.XLOOKUP(H2401, Fact_Events!$A$2:$A$20, Fact_Events!$F$2:$F$20, "")</f>
        <v/>
      </c>
      <c r="K2401" t="str">
        <f t="shared" si="302"/>
        <v>Low</v>
      </c>
      <c r="L2401">
        <f t="shared" si="303"/>
        <v>0.55000000000000004</v>
      </c>
      <c r="M2401">
        <f>_xlfn.XLOOKUP(B2401, Dim_Hotel!$A$2:$A$11, Dim_Hotel!$I$2:$I$11)
 + (IF(J2401="",0,J2401)
    * _xlfn.XLOOKUP(B2401, Dim_Hotel!$A$2:$A$11, Dim_Hotel!$J$2:$J$11))</f>
        <v>150</v>
      </c>
    </row>
    <row r="2402" spans="1:13" x14ac:dyDescent="0.25">
      <c r="A2402" s="1">
        <f t="shared" si="296"/>
        <v>46263</v>
      </c>
      <c r="B2402" t="str" cm="1">
        <f t="array" ref="B2402">INDEX(HotelList,MOD(ROW()-2,10)+1)</f>
        <v>H001</v>
      </c>
      <c r="C2402">
        <f>_xlfn.XLOOKUP(B2402,Dim_Hotel!$A$2:$A$11,Dim_Hotel!$F$2:$F$11)</f>
        <v>888</v>
      </c>
      <c r="D2402">
        <f t="shared" si="297"/>
        <v>488</v>
      </c>
      <c r="E2402">
        <f t="shared" si="298"/>
        <v>0.5495495495495496</v>
      </c>
      <c r="F2402">
        <f t="shared" si="299"/>
        <v>260</v>
      </c>
      <c r="G2402">
        <f t="shared" si="300"/>
        <v>142.88288288288288</v>
      </c>
      <c r="H2402" t="str">
        <f>_xlfn.XLOOKUP(A2402,Fact_Events!$D$2:$D$20,Fact_Events!$A$2:$A$20, "")</f>
        <v/>
      </c>
      <c r="I2402">
        <f t="shared" si="301"/>
        <v>0</v>
      </c>
      <c r="J2402" t="str">
        <f>_xlfn.XLOOKUP(H2402, Fact_Events!$A$2:$A$20, Fact_Events!$F$2:$F$20, "")</f>
        <v/>
      </c>
      <c r="K2402" t="str">
        <f t="shared" si="302"/>
        <v>Low</v>
      </c>
      <c r="L2402">
        <f t="shared" si="303"/>
        <v>0.55000000000000004</v>
      </c>
      <c r="M2402">
        <f>_xlfn.XLOOKUP(B2402, Dim_Hotel!$A$2:$A$11, Dim_Hotel!$I$2:$I$11)
 + (IF(J2402="",0,J2402)
    * _xlfn.XLOOKUP(B2402, Dim_Hotel!$A$2:$A$11, Dim_Hotel!$J$2:$J$11))</f>
        <v>260</v>
      </c>
    </row>
    <row r="2403" spans="1:13" x14ac:dyDescent="0.25">
      <c r="A2403" s="1">
        <f t="shared" si="296"/>
        <v>46263</v>
      </c>
      <c r="B2403" t="str" cm="1">
        <f t="array" ref="B2403">INDEX(HotelList,MOD(ROW()-2,10)+1)</f>
        <v>H002</v>
      </c>
      <c r="C2403">
        <f>_xlfn.XLOOKUP(B2403,Dim_Hotel!$A$2:$A$11,Dim_Hotel!$F$2:$F$11)</f>
        <v>147</v>
      </c>
      <c r="D2403">
        <f t="shared" si="297"/>
        <v>81</v>
      </c>
      <c r="E2403">
        <f t="shared" si="298"/>
        <v>0.55102040816326525</v>
      </c>
      <c r="F2403">
        <f t="shared" si="299"/>
        <v>175</v>
      </c>
      <c r="G2403">
        <f t="shared" si="300"/>
        <v>96.428571428571416</v>
      </c>
      <c r="H2403" t="str">
        <f>_xlfn.XLOOKUP(A2403,Fact_Events!$D$2:$D$20,Fact_Events!$A$2:$A$20, "")</f>
        <v/>
      </c>
      <c r="I2403">
        <f t="shared" si="301"/>
        <v>0</v>
      </c>
      <c r="J2403" t="str">
        <f>_xlfn.XLOOKUP(H2403, Fact_Events!$A$2:$A$20, Fact_Events!$F$2:$F$20, "")</f>
        <v/>
      </c>
      <c r="K2403" t="str">
        <f t="shared" si="302"/>
        <v>Low</v>
      </c>
      <c r="L2403">
        <f t="shared" si="303"/>
        <v>0.55000000000000004</v>
      </c>
      <c r="M2403">
        <f>_xlfn.XLOOKUP(B2403, Dim_Hotel!$A$2:$A$11, Dim_Hotel!$I$2:$I$11)
 + (IF(J2403="",0,J2403)
    * _xlfn.XLOOKUP(B2403, Dim_Hotel!$A$2:$A$11, Dim_Hotel!$J$2:$J$11))</f>
        <v>175</v>
      </c>
    </row>
    <row r="2404" spans="1:13" x14ac:dyDescent="0.25">
      <c r="A2404" s="1">
        <f t="shared" si="296"/>
        <v>46263</v>
      </c>
      <c r="B2404" t="str" cm="1">
        <f t="array" ref="B2404">INDEX(HotelList,MOD(ROW()-2,10)+1)</f>
        <v>H003</v>
      </c>
      <c r="C2404">
        <f>_xlfn.XLOOKUP(B2404,Dim_Hotel!$A$2:$A$11,Dim_Hotel!$F$2:$F$11)</f>
        <v>121</v>
      </c>
      <c r="D2404">
        <f t="shared" si="297"/>
        <v>67</v>
      </c>
      <c r="E2404">
        <f t="shared" si="298"/>
        <v>0.55371900826446285</v>
      </c>
      <c r="F2404">
        <f t="shared" si="299"/>
        <v>145</v>
      </c>
      <c r="G2404">
        <f t="shared" si="300"/>
        <v>80.289256198347118</v>
      </c>
      <c r="H2404" t="str">
        <f>_xlfn.XLOOKUP(A2404,Fact_Events!$D$2:$D$20,Fact_Events!$A$2:$A$20, "")</f>
        <v/>
      </c>
      <c r="I2404">
        <f t="shared" si="301"/>
        <v>0</v>
      </c>
      <c r="J2404" t="str">
        <f>_xlfn.XLOOKUP(H2404, Fact_Events!$A$2:$A$20, Fact_Events!$F$2:$F$20, "")</f>
        <v/>
      </c>
      <c r="K2404" t="str">
        <f t="shared" si="302"/>
        <v>Low</v>
      </c>
      <c r="L2404">
        <f t="shared" si="303"/>
        <v>0.55000000000000004</v>
      </c>
      <c r="M2404">
        <f>_xlfn.XLOOKUP(B2404, Dim_Hotel!$A$2:$A$11, Dim_Hotel!$I$2:$I$11)
 + (IF(J2404="",0,J2404)
    * _xlfn.XLOOKUP(B2404, Dim_Hotel!$A$2:$A$11, Dim_Hotel!$J$2:$J$11))</f>
        <v>145</v>
      </c>
    </row>
    <row r="2405" spans="1:13" x14ac:dyDescent="0.25">
      <c r="A2405" s="1">
        <f t="shared" si="296"/>
        <v>46263</v>
      </c>
      <c r="B2405" t="str" cm="1">
        <f t="array" ref="B2405">INDEX(HotelList,MOD(ROW()-2,10)+1)</f>
        <v>H004</v>
      </c>
      <c r="C2405">
        <f>_xlfn.XLOOKUP(B2405,Dim_Hotel!$A$2:$A$11,Dim_Hotel!$F$2:$F$11)</f>
        <v>108</v>
      </c>
      <c r="D2405">
        <f t="shared" si="297"/>
        <v>59</v>
      </c>
      <c r="E2405">
        <f t="shared" si="298"/>
        <v>0.54629629629629628</v>
      </c>
      <c r="F2405">
        <f t="shared" si="299"/>
        <v>135</v>
      </c>
      <c r="G2405">
        <f t="shared" si="300"/>
        <v>73.75</v>
      </c>
      <c r="H2405" t="str">
        <f>_xlfn.XLOOKUP(A2405,Fact_Events!$D$2:$D$20,Fact_Events!$A$2:$A$20, "")</f>
        <v/>
      </c>
      <c r="I2405">
        <f t="shared" si="301"/>
        <v>0</v>
      </c>
      <c r="J2405" t="str">
        <f>_xlfn.XLOOKUP(H2405, Fact_Events!$A$2:$A$20, Fact_Events!$F$2:$F$20, "")</f>
        <v/>
      </c>
      <c r="K2405" t="str">
        <f t="shared" si="302"/>
        <v>Low</v>
      </c>
      <c r="L2405">
        <f t="shared" si="303"/>
        <v>0.55000000000000004</v>
      </c>
      <c r="M2405">
        <f>_xlfn.XLOOKUP(B2405, Dim_Hotel!$A$2:$A$11, Dim_Hotel!$I$2:$I$11)
 + (IF(J2405="",0,J2405)
    * _xlfn.XLOOKUP(B2405, Dim_Hotel!$A$2:$A$11, Dim_Hotel!$J$2:$J$11))</f>
        <v>135</v>
      </c>
    </row>
    <row r="2406" spans="1:13" x14ac:dyDescent="0.25">
      <c r="A2406" s="1">
        <f t="shared" si="296"/>
        <v>46263</v>
      </c>
      <c r="B2406" t="str" cm="1">
        <f t="array" ref="B2406">INDEX(HotelList,MOD(ROW()-2,10)+1)</f>
        <v>H005</v>
      </c>
      <c r="C2406">
        <f>_xlfn.XLOOKUP(B2406,Dim_Hotel!$A$2:$A$11,Dim_Hotel!$F$2:$F$11)</f>
        <v>66</v>
      </c>
      <c r="D2406">
        <f t="shared" si="297"/>
        <v>36</v>
      </c>
      <c r="E2406">
        <f t="shared" si="298"/>
        <v>0.54545454545454541</v>
      </c>
      <c r="F2406">
        <f t="shared" si="299"/>
        <v>82</v>
      </c>
      <c r="G2406">
        <f t="shared" si="300"/>
        <v>44.727272727272727</v>
      </c>
      <c r="H2406" t="str">
        <f>_xlfn.XLOOKUP(A2406,Fact_Events!$D$2:$D$20,Fact_Events!$A$2:$A$20, "")</f>
        <v/>
      </c>
      <c r="I2406">
        <f t="shared" si="301"/>
        <v>0</v>
      </c>
      <c r="J2406" t="str">
        <f>_xlfn.XLOOKUP(H2406, Fact_Events!$A$2:$A$20, Fact_Events!$F$2:$F$20, "")</f>
        <v/>
      </c>
      <c r="K2406" t="str">
        <f t="shared" si="302"/>
        <v>Low</v>
      </c>
      <c r="L2406">
        <f t="shared" si="303"/>
        <v>0.55000000000000004</v>
      </c>
      <c r="M2406">
        <f>_xlfn.XLOOKUP(B2406, Dim_Hotel!$A$2:$A$11, Dim_Hotel!$I$2:$I$11)
 + (IF(J2406="",0,J2406)
    * _xlfn.XLOOKUP(B2406, Dim_Hotel!$A$2:$A$11, Dim_Hotel!$J$2:$J$11))</f>
        <v>82</v>
      </c>
    </row>
    <row r="2407" spans="1:13" x14ac:dyDescent="0.25">
      <c r="A2407" s="1">
        <f t="shared" si="296"/>
        <v>46263</v>
      </c>
      <c r="B2407" t="str" cm="1">
        <f t="array" ref="B2407">INDEX(HotelList,MOD(ROW()-2,10)+1)</f>
        <v>H006</v>
      </c>
      <c r="C2407">
        <f>_xlfn.XLOOKUP(B2407,Dim_Hotel!$A$2:$A$11,Dim_Hotel!$F$2:$F$11)</f>
        <v>311</v>
      </c>
      <c r="D2407">
        <f t="shared" si="297"/>
        <v>171</v>
      </c>
      <c r="E2407">
        <f t="shared" si="298"/>
        <v>0.54983922829581988</v>
      </c>
      <c r="F2407">
        <f t="shared" si="299"/>
        <v>190</v>
      </c>
      <c r="G2407">
        <f t="shared" si="300"/>
        <v>104.46945337620578</v>
      </c>
      <c r="H2407" t="str">
        <f>_xlfn.XLOOKUP(A2407,Fact_Events!$D$2:$D$20,Fact_Events!$A$2:$A$20, "")</f>
        <v/>
      </c>
      <c r="I2407">
        <f t="shared" si="301"/>
        <v>0</v>
      </c>
      <c r="J2407" t="str">
        <f>_xlfn.XLOOKUP(H2407, Fact_Events!$A$2:$A$20, Fact_Events!$F$2:$F$20, "")</f>
        <v/>
      </c>
      <c r="K2407" t="str">
        <f t="shared" si="302"/>
        <v>Low</v>
      </c>
      <c r="L2407">
        <f t="shared" si="303"/>
        <v>0.55000000000000004</v>
      </c>
      <c r="M2407">
        <f>_xlfn.XLOOKUP(B2407, Dim_Hotel!$A$2:$A$11, Dim_Hotel!$I$2:$I$11)
 + (IF(J2407="",0,J2407)
    * _xlfn.XLOOKUP(B2407, Dim_Hotel!$A$2:$A$11, Dim_Hotel!$J$2:$J$11))</f>
        <v>190</v>
      </c>
    </row>
    <row r="2408" spans="1:13" x14ac:dyDescent="0.25">
      <c r="A2408" s="1">
        <f t="shared" si="296"/>
        <v>46263</v>
      </c>
      <c r="B2408" t="str" cm="1">
        <f t="array" ref="B2408">INDEX(HotelList,MOD(ROW()-2,10)+1)</f>
        <v>H007</v>
      </c>
      <c r="C2408">
        <f>_xlfn.XLOOKUP(B2408,Dim_Hotel!$A$2:$A$11,Dim_Hotel!$F$2:$F$11)</f>
        <v>132</v>
      </c>
      <c r="D2408">
        <f t="shared" si="297"/>
        <v>73</v>
      </c>
      <c r="E2408">
        <f t="shared" si="298"/>
        <v>0.55303030303030298</v>
      </c>
      <c r="F2408">
        <f t="shared" si="299"/>
        <v>165</v>
      </c>
      <c r="G2408">
        <f t="shared" si="300"/>
        <v>91.249999999999986</v>
      </c>
      <c r="H2408" t="str">
        <f>_xlfn.XLOOKUP(A2408,Fact_Events!$D$2:$D$20,Fact_Events!$A$2:$A$20, "")</f>
        <v/>
      </c>
      <c r="I2408">
        <f t="shared" si="301"/>
        <v>0</v>
      </c>
      <c r="J2408" t="str">
        <f>_xlfn.XLOOKUP(H2408, Fact_Events!$A$2:$A$20, Fact_Events!$F$2:$F$20, "")</f>
        <v/>
      </c>
      <c r="K2408" t="str">
        <f t="shared" si="302"/>
        <v>Low</v>
      </c>
      <c r="L2408">
        <f t="shared" si="303"/>
        <v>0.55000000000000004</v>
      </c>
      <c r="M2408">
        <f>_xlfn.XLOOKUP(B2408, Dim_Hotel!$A$2:$A$11, Dim_Hotel!$I$2:$I$11)
 + (IF(J2408="",0,J2408)
    * _xlfn.XLOOKUP(B2408, Dim_Hotel!$A$2:$A$11, Dim_Hotel!$J$2:$J$11))</f>
        <v>165</v>
      </c>
    </row>
    <row r="2409" spans="1:13" x14ac:dyDescent="0.25">
      <c r="A2409" s="1">
        <f t="shared" si="296"/>
        <v>46263</v>
      </c>
      <c r="B2409" t="str" cm="1">
        <f t="array" ref="B2409">INDEX(HotelList,MOD(ROW()-2,10)+1)</f>
        <v>H008</v>
      </c>
      <c r="C2409">
        <f>_xlfn.XLOOKUP(B2409,Dim_Hotel!$A$2:$A$11,Dim_Hotel!$F$2:$F$11)</f>
        <v>103</v>
      </c>
      <c r="D2409">
        <f t="shared" si="297"/>
        <v>57</v>
      </c>
      <c r="E2409">
        <f t="shared" si="298"/>
        <v>0.55339805825242716</v>
      </c>
      <c r="F2409">
        <f t="shared" si="299"/>
        <v>140</v>
      </c>
      <c r="G2409">
        <f t="shared" si="300"/>
        <v>77.475728155339809</v>
      </c>
      <c r="H2409" t="str">
        <f>_xlfn.XLOOKUP(A2409,Fact_Events!$D$2:$D$20,Fact_Events!$A$2:$A$20, "")</f>
        <v/>
      </c>
      <c r="I2409">
        <f t="shared" si="301"/>
        <v>0</v>
      </c>
      <c r="J2409" t="str">
        <f>_xlfn.XLOOKUP(H2409, Fact_Events!$A$2:$A$20, Fact_Events!$F$2:$F$20, "")</f>
        <v/>
      </c>
      <c r="K2409" t="str">
        <f t="shared" si="302"/>
        <v>Low</v>
      </c>
      <c r="L2409">
        <f t="shared" si="303"/>
        <v>0.55000000000000004</v>
      </c>
      <c r="M2409">
        <f>_xlfn.XLOOKUP(B2409, Dim_Hotel!$A$2:$A$11, Dim_Hotel!$I$2:$I$11)
 + (IF(J2409="",0,J2409)
    * _xlfn.XLOOKUP(B2409, Dim_Hotel!$A$2:$A$11, Dim_Hotel!$J$2:$J$11))</f>
        <v>140</v>
      </c>
    </row>
    <row r="2410" spans="1:13" x14ac:dyDescent="0.25">
      <c r="A2410" s="1">
        <f t="shared" si="296"/>
        <v>46263</v>
      </c>
      <c r="B2410" t="str" cm="1">
        <f t="array" ref="B2410">INDEX(HotelList,MOD(ROW()-2,10)+1)</f>
        <v>H009</v>
      </c>
      <c r="C2410">
        <f>_xlfn.XLOOKUP(B2410,Dim_Hotel!$A$2:$A$11,Dim_Hotel!$F$2:$F$11)</f>
        <v>114</v>
      </c>
      <c r="D2410">
        <f t="shared" si="297"/>
        <v>63</v>
      </c>
      <c r="E2410">
        <f t="shared" si="298"/>
        <v>0.55263157894736847</v>
      </c>
      <c r="F2410">
        <f t="shared" si="299"/>
        <v>185</v>
      </c>
      <c r="G2410">
        <f t="shared" si="300"/>
        <v>102.23684210526316</v>
      </c>
      <c r="H2410" t="str">
        <f>_xlfn.XLOOKUP(A2410,Fact_Events!$D$2:$D$20,Fact_Events!$A$2:$A$20, "")</f>
        <v/>
      </c>
      <c r="I2410">
        <f t="shared" si="301"/>
        <v>0</v>
      </c>
      <c r="J2410" t="str">
        <f>_xlfn.XLOOKUP(H2410, Fact_Events!$A$2:$A$20, Fact_Events!$F$2:$F$20, "")</f>
        <v/>
      </c>
      <c r="K2410" t="str">
        <f t="shared" si="302"/>
        <v>Low</v>
      </c>
      <c r="L2410">
        <f t="shared" si="303"/>
        <v>0.55000000000000004</v>
      </c>
      <c r="M2410">
        <f>_xlfn.XLOOKUP(B2410, Dim_Hotel!$A$2:$A$11, Dim_Hotel!$I$2:$I$11)
 + (IF(J2410="",0,J2410)
    * _xlfn.XLOOKUP(B2410, Dim_Hotel!$A$2:$A$11, Dim_Hotel!$J$2:$J$11))</f>
        <v>185</v>
      </c>
    </row>
    <row r="2411" spans="1:13" x14ac:dyDescent="0.25">
      <c r="A2411" s="1">
        <f t="shared" si="296"/>
        <v>46263</v>
      </c>
      <c r="B2411" t="str" cm="1">
        <f t="array" ref="B2411">INDEX(HotelList,MOD(ROW()-2,10)+1)</f>
        <v>H010</v>
      </c>
      <c r="C2411">
        <f>_xlfn.XLOOKUP(B2411,Dim_Hotel!$A$2:$A$11,Dim_Hotel!$F$2:$F$11)</f>
        <v>89</v>
      </c>
      <c r="D2411">
        <f t="shared" si="297"/>
        <v>49</v>
      </c>
      <c r="E2411">
        <f t="shared" si="298"/>
        <v>0.550561797752809</v>
      </c>
      <c r="F2411">
        <f t="shared" si="299"/>
        <v>150</v>
      </c>
      <c r="G2411">
        <f t="shared" si="300"/>
        <v>82.584269662921344</v>
      </c>
      <c r="H2411" t="str">
        <f>_xlfn.XLOOKUP(A2411,Fact_Events!$D$2:$D$20,Fact_Events!$A$2:$A$20, "")</f>
        <v/>
      </c>
      <c r="I2411">
        <f t="shared" si="301"/>
        <v>0</v>
      </c>
      <c r="J2411" t="str">
        <f>_xlfn.XLOOKUP(H2411, Fact_Events!$A$2:$A$20, Fact_Events!$F$2:$F$20, "")</f>
        <v/>
      </c>
      <c r="K2411" t="str">
        <f t="shared" si="302"/>
        <v>Low</v>
      </c>
      <c r="L2411">
        <f t="shared" si="303"/>
        <v>0.55000000000000004</v>
      </c>
      <c r="M2411">
        <f>_xlfn.XLOOKUP(B2411, Dim_Hotel!$A$2:$A$11, Dim_Hotel!$I$2:$I$11)
 + (IF(J2411="",0,J2411)
    * _xlfn.XLOOKUP(B2411, Dim_Hotel!$A$2:$A$11, Dim_Hotel!$J$2:$J$11))</f>
        <v>150</v>
      </c>
    </row>
    <row r="2412" spans="1:13" x14ac:dyDescent="0.25">
      <c r="A2412" s="1">
        <f t="shared" si="296"/>
        <v>46264</v>
      </c>
      <c r="B2412" t="str" cm="1">
        <f t="array" ref="B2412">INDEX(HotelList,MOD(ROW()-2,10)+1)</f>
        <v>H001</v>
      </c>
      <c r="C2412">
        <f>_xlfn.XLOOKUP(B2412,Dim_Hotel!$A$2:$A$11,Dim_Hotel!$F$2:$F$11)</f>
        <v>888</v>
      </c>
      <c r="D2412">
        <f t="shared" si="297"/>
        <v>488</v>
      </c>
      <c r="E2412">
        <f t="shared" si="298"/>
        <v>0.5495495495495496</v>
      </c>
      <c r="F2412">
        <f t="shared" si="299"/>
        <v>260</v>
      </c>
      <c r="G2412">
        <f t="shared" si="300"/>
        <v>142.88288288288288</v>
      </c>
      <c r="H2412" t="str">
        <f>_xlfn.XLOOKUP(A2412,Fact_Events!$D$2:$D$20,Fact_Events!$A$2:$A$20, "")</f>
        <v/>
      </c>
      <c r="I2412">
        <f t="shared" si="301"/>
        <v>0</v>
      </c>
      <c r="J2412" t="str">
        <f>_xlfn.XLOOKUP(H2412, Fact_Events!$A$2:$A$20, Fact_Events!$F$2:$F$20, "")</f>
        <v/>
      </c>
      <c r="K2412" t="str">
        <f t="shared" si="302"/>
        <v>Low</v>
      </c>
      <c r="L2412">
        <f t="shared" si="303"/>
        <v>0.55000000000000004</v>
      </c>
      <c r="M2412">
        <f>_xlfn.XLOOKUP(B2412, Dim_Hotel!$A$2:$A$11, Dim_Hotel!$I$2:$I$11)
 + (IF(J2412="",0,J2412)
    * _xlfn.XLOOKUP(B2412, Dim_Hotel!$A$2:$A$11, Dim_Hotel!$J$2:$J$11))</f>
        <v>260</v>
      </c>
    </row>
    <row r="2413" spans="1:13" x14ac:dyDescent="0.25">
      <c r="A2413" s="1">
        <f t="shared" si="296"/>
        <v>46264</v>
      </c>
      <c r="B2413" t="str" cm="1">
        <f t="array" ref="B2413">INDEX(HotelList,MOD(ROW()-2,10)+1)</f>
        <v>H002</v>
      </c>
      <c r="C2413">
        <f>_xlfn.XLOOKUP(B2413,Dim_Hotel!$A$2:$A$11,Dim_Hotel!$F$2:$F$11)</f>
        <v>147</v>
      </c>
      <c r="D2413">
        <f t="shared" si="297"/>
        <v>81</v>
      </c>
      <c r="E2413">
        <f t="shared" si="298"/>
        <v>0.55102040816326525</v>
      </c>
      <c r="F2413">
        <f t="shared" si="299"/>
        <v>175</v>
      </c>
      <c r="G2413">
        <f t="shared" si="300"/>
        <v>96.428571428571416</v>
      </c>
      <c r="H2413" t="str">
        <f>_xlfn.XLOOKUP(A2413,Fact_Events!$D$2:$D$20,Fact_Events!$A$2:$A$20, "")</f>
        <v/>
      </c>
      <c r="I2413">
        <f t="shared" si="301"/>
        <v>0</v>
      </c>
      <c r="J2413" t="str">
        <f>_xlfn.XLOOKUP(H2413, Fact_Events!$A$2:$A$20, Fact_Events!$F$2:$F$20, "")</f>
        <v/>
      </c>
      <c r="K2413" t="str">
        <f t="shared" si="302"/>
        <v>Low</v>
      </c>
      <c r="L2413">
        <f t="shared" si="303"/>
        <v>0.55000000000000004</v>
      </c>
      <c r="M2413">
        <f>_xlfn.XLOOKUP(B2413, Dim_Hotel!$A$2:$A$11, Dim_Hotel!$I$2:$I$11)
 + (IF(J2413="",0,J2413)
    * _xlfn.XLOOKUP(B2413, Dim_Hotel!$A$2:$A$11, Dim_Hotel!$J$2:$J$11))</f>
        <v>175</v>
      </c>
    </row>
    <row r="2414" spans="1:13" x14ac:dyDescent="0.25">
      <c r="A2414" s="1">
        <f t="shared" si="296"/>
        <v>46264</v>
      </c>
      <c r="B2414" t="str" cm="1">
        <f t="array" ref="B2414">INDEX(HotelList,MOD(ROW()-2,10)+1)</f>
        <v>H003</v>
      </c>
      <c r="C2414">
        <f>_xlfn.XLOOKUP(B2414,Dim_Hotel!$A$2:$A$11,Dim_Hotel!$F$2:$F$11)</f>
        <v>121</v>
      </c>
      <c r="D2414">
        <f t="shared" si="297"/>
        <v>67</v>
      </c>
      <c r="E2414">
        <f t="shared" si="298"/>
        <v>0.55371900826446285</v>
      </c>
      <c r="F2414">
        <f t="shared" si="299"/>
        <v>145</v>
      </c>
      <c r="G2414">
        <f t="shared" si="300"/>
        <v>80.289256198347118</v>
      </c>
      <c r="H2414" t="str">
        <f>_xlfn.XLOOKUP(A2414,Fact_Events!$D$2:$D$20,Fact_Events!$A$2:$A$20, "")</f>
        <v/>
      </c>
      <c r="I2414">
        <f t="shared" si="301"/>
        <v>0</v>
      </c>
      <c r="J2414" t="str">
        <f>_xlfn.XLOOKUP(H2414, Fact_Events!$A$2:$A$20, Fact_Events!$F$2:$F$20, "")</f>
        <v/>
      </c>
      <c r="K2414" t="str">
        <f t="shared" si="302"/>
        <v>Low</v>
      </c>
      <c r="L2414">
        <f t="shared" si="303"/>
        <v>0.55000000000000004</v>
      </c>
      <c r="M2414">
        <f>_xlfn.XLOOKUP(B2414, Dim_Hotel!$A$2:$A$11, Dim_Hotel!$I$2:$I$11)
 + (IF(J2414="",0,J2414)
    * _xlfn.XLOOKUP(B2414, Dim_Hotel!$A$2:$A$11, Dim_Hotel!$J$2:$J$11))</f>
        <v>145</v>
      </c>
    </row>
    <row r="2415" spans="1:13" x14ac:dyDescent="0.25">
      <c r="A2415" s="1">
        <f t="shared" si="296"/>
        <v>46264</v>
      </c>
      <c r="B2415" t="str" cm="1">
        <f t="array" ref="B2415">INDEX(HotelList,MOD(ROW()-2,10)+1)</f>
        <v>H004</v>
      </c>
      <c r="C2415">
        <f>_xlfn.XLOOKUP(B2415,Dim_Hotel!$A$2:$A$11,Dim_Hotel!$F$2:$F$11)</f>
        <v>108</v>
      </c>
      <c r="D2415">
        <f t="shared" si="297"/>
        <v>59</v>
      </c>
      <c r="E2415">
        <f t="shared" si="298"/>
        <v>0.54629629629629628</v>
      </c>
      <c r="F2415">
        <f t="shared" si="299"/>
        <v>135</v>
      </c>
      <c r="G2415">
        <f t="shared" si="300"/>
        <v>73.75</v>
      </c>
      <c r="H2415" t="str">
        <f>_xlfn.XLOOKUP(A2415,Fact_Events!$D$2:$D$20,Fact_Events!$A$2:$A$20, "")</f>
        <v/>
      </c>
      <c r="I2415">
        <f t="shared" si="301"/>
        <v>0</v>
      </c>
      <c r="J2415" t="str">
        <f>_xlfn.XLOOKUP(H2415, Fact_Events!$A$2:$A$20, Fact_Events!$F$2:$F$20, "")</f>
        <v/>
      </c>
      <c r="K2415" t="str">
        <f t="shared" si="302"/>
        <v>Low</v>
      </c>
      <c r="L2415">
        <f t="shared" si="303"/>
        <v>0.55000000000000004</v>
      </c>
      <c r="M2415">
        <f>_xlfn.XLOOKUP(B2415, Dim_Hotel!$A$2:$A$11, Dim_Hotel!$I$2:$I$11)
 + (IF(J2415="",0,J2415)
    * _xlfn.XLOOKUP(B2415, Dim_Hotel!$A$2:$A$11, Dim_Hotel!$J$2:$J$11))</f>
        <v>135</v>
      </c>
    </row>
    <row r="2416" spans="1:13" x14ac:dyDescent="0.25">
      <c r="A2416" s="1">
        <f t="shared" si="296"/>
        <v>46264</v>
      </c>
      <c r="B2416" t="str" cm="1">
        <f t="array" ref="B2416">INDEX(HotelList,MOD(ROW()-2,10)+1)</f>
        <v>H005</v>
      </c>
      <c r="C2416">
        <f>_xlfn.XLOOKUP(B2416,Dim_Hotel!$A$2:$A$11,Dim_Hotel!$F$2:$F$11)</f>
        <v>66</v>
      </c>
      <c r="D2416">
        <f t="shared" si="297"/>
        <v>36</v>
      </c>
      <c r="E2416">
        <f t="shared" si="298"/>
        <v>0.54545454545454541</v>
      </c>
      <c r="F2416">
        <f t="shared" si="299"/>
        <v>82</v>
      </c>
      <c r="G2416">
        <f t="shared" si="300"/>
        <v>44.727272727272727</v>
      </c>
      <c r="H2416" t="str">
        <f>_xlfn.XLOOKUP(A2416,Fact_Events!$D$2:$D$20,Fact_Events!$A$2:$A$20, "")</f>
        <v/>
      </c>
      <c r="I2416">
        <f t="shared" si="301"/>
        <v>0</v>
      </c>
      <c r="J2416" t="str">
        <f>_xlfn.XLOOKUP(H2416, Fact_Events!$A$2:$A$20, Fact_Events!$F$2:$F$20, "")</f>
        <v/>
      </c>
      <c r="K2416" t="str">
        <f t="shared" si="302"/>
        <v>Low</v>
      </c>
      <c r="L2416">
        <f t="shared" si="303"/>
        <v>0.55000000000000004</v>
      </c>
      <c r="M2416">
        <f>_xlfn.XLOOKUP(B2416, Dim_Hotel!$A$2:$A$11, Dim_Hotel!$I$2:$I$11)
 + (IF(J2416="",0,J2416)
    * _xlfn.XLOOKUP(B2416, Dim_Hotel!$A$2:$A$11, Dim_Hotel!$J$2:$J$11))</f>
        <v>82</v>
      </c>
    </row>
    <row r="2417" spans="1:13" x14ac:dyDescent="0.25">
      <c r="A2417" s="1">
        <f t="shared" si="296"/>
        <v>46264</v>
      </c>
      <c r="B2417" t="str" cm="1">
        <f t="array" ref="B2417">INDEX(HotelList,MOD(ROW()-2,10)+1)</f>
        <v>H006</v>
      </c>
      <c r="C2417">
        <f>_xlfn.XLOOKUP(B2417,Dim_Hotel!$A$2:$A$11,Dim_Hotel!$F$2:$F$11)</f>
        <v>311</v>
      </c>
      <c r="D2417">
        <f t="shared" si="297"/>
        <v>171</v>
      </c>
      <c r="E2417">
        <f t="shared" si="298"/>
        <v>0.54983922829581988</v>
      </c>
      <c r="F2417">
        <f t="shared" si="299"/>
        <v>190</v>
      </c>
      <c r="G2417">
        <f t="shared" si="300"/>
        <v>104.46945337620578</v>
      </c>
      <c r="H2417" t="str">
        <f>_xlfn.XLOOKUP(A2417,Fact_Events!$D$2:$D$20,Fact_Events!$A$2:$A$20, "")</f>
        <v/>
      </c>
      <c r="I2417">
        <f t="shared" si="301"/>
        <v>0</v>
      </c>
      <c r="J2417" t="str">
        <f>_xlfn.XLOOKUP(H2417, Fact_Events!$A$2:$A$20, Fact_Events!$F$2:$F$20, "")</f>
        <v/>
      </c>
      <c r="K2417" t="str">
        <f t="shared" si="302"/>
        <v>Low</v>
      </c>
      <c r="L2417">
        <f t="shared" si="303"/>
        <v>0.55000000000000004</v>
      </c>
      <c r="M2417">
        <f>_xlfn.XLOOKUP(B2417, Dim_Hotel!$A$2:$A$11, Dim_Hotel!$I$2:$I$11)
 + (IF(J2417="",0,J2417)
    * _xlfn.XLOOKUP(B2417, Dim_Hotel!$A$2:$A$11, Dim_Hotel!$J$2:$J$11))</f>
        <v>190</v>
      </c>
    </row>
    <row r="2418" spans="1:13" x14ac:dyDescent="0.25">
      <c r="A2418" s="1">
        <f t="shared" si="296"/>
        <v>46264</v>
      </c>
      <c r="B2418" t="str" cm="1">
        <f t="array" ref="B2418">INDEX(HotelList,MOD(ROW()-2,10)+1)</f>
        <v>H007</v>
      </c>
      <c r="C2418">
        <f>_xlfn.XLOOKUP(B2418,Dim_Hotel!$A$2:$A$11,Dim_Hotel!$F$2:$F$11)</f>
        <v>132</v>
      </c>
      <c r="D2418">
        <f t="shared" si="297"/>
        <v>73</v>
      </c>
      <c r="E2418">
        <f t="shared" si="298"/>
        <v>0.55303030303030298</v>
      </c>
      <c r="F2418">
        <f t="shared" si="299"/>
        <v>165</v>
      </c>
      <c r="G2418">
        <f t="shared" si="300"/>
        <v>91.249999999999986</v>
      </c>
      <c r="H2418" t="str">
        <f>_xlfn.XLOOKUP(A2418,Fact_Events!$D$2:$D$20,Fact_Events!$A$2:$A$20, "")</f>
        <v/>
      </c>
      <c r="I2418">
        <f t="shared" si="301"/>
        <v>0</v>
      </c>
      <c r="J2418" t="str">
        <f>_xlfn.XLOOKUP(H2418, Fact_Events!$A$2:$A$20, Fact_Events!$F$2:$F$20, "")</f>
        <v/>
      </c>
      <c r="K2418" t="str">
        <f t="shared" si="302"/>
        <v>Low</v>
      </c>
      <c r="L2418">
        <f t="shared" si="303"/>
        <v>0.55000000000000004</v>
      </c>
      <c r="M2418">
        <f>_xlfn.XLOOKUP(B2418, Dim_Hotel!$A$2:$A$11, Dim_Hotel!$I$2:$I$11)
 + (IF(J2418="",0,J2418)
    * _xlfn.XLOOKUP(B2418, Dim_Hotel!$A$2:$A$11, Dim_Hotel!$J$2:$J$11))</f>
        <v>165</v>
      </c>
    </row>
    <row r="2419" spans="1:13" x14ac:dyDescent="0.25">
      <c r="A2419" s="1">
        <f t="shared" si="296"/>
        <v>46264</v>
      </c>
      <c r="B2419" t="str" cm="1">
        <f t="array" ref="B2419">INDEX(HotelList,MOD(ROW()-2,10)+1)</f>
        <v>H008</v>
      </c>
      <c r="C2419">
        <f>_xlfn.XLOOKUP(B2419,Dim_Hotel!$A$2:$A$11,Dim_Hotel!$F$2:$F$11)</f>
        <v>103</v>
      </c>
      <c r="D2419">
        <f t="shared" si="297"/>
        <v>57</v>
      </c>
      <c r="E2419">
        <f t="shared" si="298"/>
        <v>0.55339805825242716</v>
      </c>
      <c r="F2419">
        <f t="shared" si="299"/>
        <v>140</v>
      </c>
      <c r="G2419">
        <f t="shared" si="300"/>
        <v>77.475728155339809</v>
      </c>
      <c r="H2419" t="str">
        <f>_xlfn.XLOOKUP(A2419,Fact_Events!$D$2:$D$20,Fact_Events!$A$2:$A$20, "")</f>
        <v/>
      </c>
      <c r="I2419">
        <f t="shared" si="301"/>
        <v>0</v>
      </c>
      <c r="J2419" t="str">
        <f>_xlfn.XLOOKUP(H2419, Fact_Events!$A$2:$A$20, Fact_Events!$F$2:$F$20, "")</f>
        <v/>
      </c>
      <c r="K2419" t="str">
        <f t="shared" si="302"/>
        <v>Low</v>
      </c>
      <c r="L2419">
        <f t="shared" si="303"/>
        <v>0.55000000000000004</v>
      </c>
      <c r="M2419">
        <f>_xlfn.XLOOKUP(B2419, Dim_Hotel!$A$2:$A$11, Dim_Hotel!$I$2:$I$11)
 + (IF(J2419="",0,J2419)
    * _xlfn.XLOOKUP(B2419, Dim_Hotel!$A$2:$A$11, Dim_Hotel!$J$2:$J$11))</f>
        <v>140</v>
      </c>
    </row>
    <row r="2420" spans="1:13" x14ac:dyDescent="0.25">
      <c r="A2420" s="1">
        <f t="shared" si="296"/>
        <v>46264</v>
      </c>
      <c r="B2420" t="str" cm="1">
        <f t="array" ref="B2420">INDEX(HotelList,MOD(ROW()-2,10)+1)</f>
        <v>H009</v>
      </c>
      <c r="C2420">
        <f>_xlfn.XLOOKUP(B2420,Dim_Hotel!$A$2:$A$11,Dim_Hotel!$F$2:$F$11)</f>
        <v>114</v>
      </c>
      <c r="D2420">
        <f t="shared" si="297"/>
        <v>63</v>
      </c>
      <c r="E2420">
        <f t="shared" si="298"/>
        <v>0.55263157894736847</v>
      </c>
      <c r="F2420">
        <f t="shared" si="299"/>
        <v>185</v>
      </c>
      <c r="G2420">
        <f t="shared" si="300"/>
        <v>102.23684210526316</v>
      </c>
      <c r="H2420" t="str">
        <f>_xlfn.XLOOKUP(A2420,Fact_Events!$D$2:$D$20,Fact_Events!$A$2:$A$20, "")</f>
        <v/>
      </c>
      <c r="I2420">
        <f t="shared" si="301"/>
        <v>0</v>
      </c>
      <c r="J2420" t="str">
        <f>_xlfn.XLOOKUP(H2420, Fact_Events!$A$2:$A$20, Fact_Events!$F$2:$F$20, "")</f>
        <v/>
      </c>
      <c r="K2420" t="str">
        <f t="shared" si="302"/>
        <v>Low</v>
      </c>
      <c r="L2420">
        <f t="shared" si="303"/>
        <v>0.55000000000000004</v>
      </c>
      <c r="M2420">
        <f>_xlfn.XLOOKUP(B2420, Dim_Hotel!$A$2:$A$11, Dim_Hotel!$I$2:$I$11)
 + (IF(J2420="",0,J2420)
    * _xlfn.XLOOKUP(B2420, Dim_Hotel!$A$2:$A$11, Dim_Hotel!$J$2:$J$11))</f>
        <v>185</v>
      </c>
    </row>
    <row r="2421" spans="1:13" x14ac:dyDescent="0.25">
      <c r="A2421" s="1">
        <f t="shared" si="296"/>
        <v>46264</v>
      </c>
      <c r="B2421" t="str" cm="1">
        <f t="array" ref="B2421">INDEX(HotelList,MOD(ROW()-2,10)+1)</f>
        <v>H010</v>
      </c>
      <c r="C2421">
        <f>_xlfn.XLOOKUP(B2421,Dim_Hotel!$A$2:$A$11,Dim_Hotel!$F$2:$F$11)</f>
        <v>89</v>
      </c>
      <c r="D2421">
        <f t="shared" si="297"/>
        <v>49</v>
      </c>
      <c r="E2421">
        <f t="shared" si="298"/>
        <v>0.550561797752809</v>
      </c>
      <c r="F2421">
        <f t="shared" si="299"/>
        <v>150</v>
      </c>
      <c r="G2421">
        <f t="shared" si="300"/>
        <v>82.584269662921344</v>
      </c>
      <c r="H2421" t="str">
        <f>_xlfn.XLOOKUP(A2421,Fact_Events!$D$2:$D$20,Fact_Events!$A$2:$A$20, "")</f>
        <v/>
      </c>
      <c r="I2421">
        <f t="shared" si="301"/>
        <v>0</v>
      </c>
      <c r="J2421" t="str">
        <f>_xlfn.XLOOKUP(H2421, Fact_Events!$A$2:$A$20, Fact_Events!$F$2:$F$20, "")</f>
        <v/>
      </c>
      <c r="K2421" t="str">
        <f t="shared" si="302"/>
        <v>Low</v>
      </c>
      <c r="L2421">
        <f t="shared" si="303"/>
        <v>0.55000000000000004</v>
      </c>
      <c r="M2421">
        <f>_xlfn.XLOOKUP(B2421, Dim_Hotel!$A$2:$A$11, Dim_Hotel!$I$2:$I$11)
 + (IF(J2421="",0,J2421)
    * _xlfn.XLOOKUP(B2421, Dim_Hotel!$A$2:$A$11, Dim_Hotel!$J$2:$J$11))</f>
        <v>150</v>
      </c>
    </row>
    <row r="2422" spans="1:13" x14ac:dyDescent="0.25">
      <c r="A2422" s="1">
        <f t="shared" si="296"/>
        <v>46265</v>
      </c>
      <c r="B2422" t="str" cm="1">
        <f t="array" ref="B2422">INDEX(HotelList,MOD(ROW()-2,10)+1)</f>
        <v>H001</v>
      </c>
      <c r="C2422">
        <f>_xlfn.XLOOKUP(B2422,Dim_Hotel!$A$2:$A$11,Dim_Hotel!$F$2:$F$11)</f>
        <v>888</v>
      </c>
      <c r="D2422">
        <f t="shared" si="297"/>
        <v>488</v>
      </c>
      <c r="E2422">
        <f t="shared" si="298"/>
        <v>0.5495495495495496</v>
      </c>
      <c r="F2422">
        <f t="shared" si="299"/>
        <v>260</v>
      </c>
      <c r="G2422">
        <f t="shared" si="300"/>
        <v>142.88288288288288</v>
      </c>
      <c r="H2422" t="str">
        <f>_xlfn.XLOOKUP(A2422,Fact_Events!$D$2:$D$20,Fact_Events!$A$2:$A$20, "")</f>
        <v/>
      </c>
      <c r="I2422">
        <f t="shared" si="301"/>
        <v>0</v>
      </c>
      <c r="J2422" t="str">
        <f>_xlfn.XLOOKUP(H2422, Fact_Events!$A$2:$A$20, Fact_Events!$F$2:$F$20, "")</f>
        <v/>
      </c>
      <c r="K2422" t="str">
        <f t="shared" si="302"/>
        <v>Low</v>
      </c>
      <c r="L2422">
        <f t="shared" si="303"/>
        <v>0.55000000000000004</v>
      </c>
      <c r="M2422">
        <f>_xlfn.XLOOKUP(B2422, Dim_Hotel!$A$2:$A$11, Dim_Hotel!$I$2:$I$11)
 + (IF(J2422="",0,J2422)
    * _xlfn.XLOOKUP(B2422, Dim_Hotel!$A$2:$A$11, Dim_Hotel!$J$2:$J$11))</f>
        <v>260</v>
      </c>
    </row>
    <row r="2423" spans="1:13" x14ac:dyDescent="0.25">
      <c r="A2423" s="1">
        <f t="shared" si="296"/>
        <v>46265</v>
      </c>
      <c r="B2423" t="str" cm="1">
        <f t="array" ref="B2423">INDEX(HotelList,MOD(ROW()-2,10)+1)</f>
        <v>H002</v>
      </c>
      <c r="C2423">
        <f>_xlfn.XLOOKUP(B2423,Dim_Hotel!$A$2:$A$11,Dim_Hotel!$F$2:$F$11)</f>
        <v>147</v>
      </c>
      <c r="D2423">
        <f t="shared" si="297"/>
        <v>81</v>
      </c>
      <c r="E2423">
        <f t="shared" si="298"/>
        <v>0.55102040816326525</v>
      </c>
      <c r="F2423">
        <f t="shared" si="299"/>
        <v>175</v>
      </c>
      <c r="G2423">
        <f t="shared" si="300"/>
        <v>96.428571428571416</v>
      </c>
      <c r="H2423" t="str">
        <f>_xlfn.XLOOKUP(A2423,Fact_Events!$D$2:$D$20,Fact_Events!$A$2:$A$20, "")</f>
        <v/>
      </c>
      <c r="I2423">
        <f t="shared" si="301"/>
        <v>0</v>
      </c>
      <c r="J2423" t="str">
        <f>_xlfn.XLOOKUP(H2423, Fact_Events!$A$2:$A$20, Fact_Events!$F$2:$F$20, "")</f>
        <v/>
      </c>
      <c r="K2423" t="str">
        <f t="shared" si="302"/>
        <v>Low</v>
      </c>
      <c r="L2423">
        <f t="shared" si="303"/>
        <v>0.55000000000000004</v>
      </c>
      <c r="M2423">
        <f>_xlfn.XLOOKUP(B2423, Dim_Hotel!$A$2:$A$11, Dim_Hotel!$I$2:$I$11)
 + (IF(J2423="",0,J2423)
    * _xlfn.XLOOKUP(B2423, Dim_Hotel!$A$2:$A$11, Dim_Hotel!$J$2:$J$11))</f>
        <v>175</v>
      </c>
    </row>
    <row r="2424" spans="1:13" x14ac:dyDescent="0.25">
      <c r="A2424" s="1">
        <f t="shared" si="296"/>
        <v>46265</v>
      </c>
      <c r="B2424" t="str" cm="1">
        <f t="array" ref="B2424">INDEX(HotelList,MOD(ROW()-2,10)+1)</f>
        <v>H003</v>
      </c>
      <c r="C2424">
        <f>_xlfn.XLOOKUP(B2424,Dim_Hotel!$A$2:$A$11,Dim_Hotel!$F$2:$F$11)</f>
        <v>121</v>
      </c>
      <c r="D2424">
        <f t="shared" si="297"/>
        <v>67</v>
      </c>
      <c r="E2424">
        <f t="shared" si="298"/>
        <v>0.55371900826446285</v>
      </c>
      <c r="F2424">
        <f t="shared" si="299"/>
        <v>145</v>
      </c>
      <c r="G2424">
        <f t="shared" si="300"/>
        <v>80.289256198347118</v>
      </c>
      <c r="H2424" t="str">
        <f>_xlfn.XLOOKUP(A2424,Fact_Events!$D$2:$D$20,Fact_Events!$A$2:$A$20, "")</f>
        <v/>
      </c>
      <c r="I2424">
        <f t="shared" si="301"/>
        <v>0</v>
      </c>
      <c r="J2424" t="str">
        <f>_xlfn.XLOOKUP(H2424, Fact_Events!$A$2:$A$20, Fact_Events!$F$2:$F$20, "")</f>
        <v/>
      </c>
      <c r="K2424" t="str">
        <f t="shared" si="302"/>
        <v>Low</v>
      </c>
      <c r="L2424">
        <f t="shared" si="303"/>
        <v>0.55000000000000004</v>
      </c>
      <c r="M2424">
        <f>_xlfn.XLOOKUP(B2424, Dim_Hotel!$A$2:$A$11, Dim_Hotel!$I$2:$I$11)
 + (IF(J2424="",0,J2424)
    * _xlfn.XLOOKUP(B2424, Dim_Hotel!$A$2:$A$11, Dim_Hotel!$J$2:$J$11))</f>
        <v>145</v>
      </c>
    </row>
    <row r="2425" spans="1:13" x14ac:dyDescent="0.25">
      <c r="A2425" s="1">
        <f t="shared" si="296"/>
        <v>46265</v>
      </c>
      <c r="B2425" t="str" cm="1">
        <f t="array" ref="B2425">INDEX(HotelList,MOD(ROW()-2,10)+1)</f>
        <v>H004</v>
      </c>
      <c r="C2425">
        <f>_xlfn.XLOOKUP(B2425,Dim_Hotel!$A$2:$A$11,Dim_Hotel!$F$2:$F$11)</f>
        <v>108</v>
      </c>
      <c r="D2425">
        <f t="shared" si="297"/>
        <v>59</v>
      </c>
      <c r="E2425">
        <f t="shared" si="298"/>
        <v>0.54629629629629628</v>
      </c>
      <c r="F2425">
        <f t="shared" si="299"/>
        <v>135</v>
      </c>
      <c r="G2425">
        <f t="shared" si="300"/>
        <v>73.75</v>
      </c>
      <c r="H2425" t="str">
        <f>_xlfn.XLOOKUP(A2425,Fact_Events!$D$2:$D$20,Fact_Events!$A$2:$A$20, "")</f>
        <v/>
      </c>
      <c r="I2425">
        <f t="shared" si="301"/>
        <v>0</v>
      </c>
      <c r="J2425" t="str">
        <f>_xlfn.XLOOKUP(H2425, Fact_Events!$A$2:$A$20, Fact_Events!$F$2:$F$20, "")</f>
        <v/>
      </c>
      <c r="K2425" t="str">
        <f t="shared" si="302"/>
        <v>Low</v>
      </c>
      <c r="L2425">
        <f t="shared" si="303"/>
        <v>0.55000000000000004</v>
      </c>
      <c r="M2425">
        <f>_xlfn.XLOOKUP(B2425, Dim_Hotel!$A$2:$A$11, Dim_Hotel!$I$2:$I$11)
 + (IF(J2425="",0,J2425)
    * _xlfn.XLOOKUP(B2425, Dim_Hotel!$A$2:$A$11, Dim_Hotel!$J$2:$J$11))</f>
        <v>135</v>
      </c>
    </row>
    <row r="2426" spans="1:13" x14ac:dyDescent="0.25">
      <c r="A2426" s="1">
        <f t="shared" si="296"/>
        <v>46265</v>
      </c>
      <c r="B2426" t="str" cm="1">
        <f t="array" ref="B2426">INDEX(HotelList,MOD(ROW()-2,10)+1)</f>
        <v>H005</v>
      </c>
      <c r="C2426">
        <f>_xlfn.XLOOKUP(B2426,Dim_Hotel!$A$2:$A$11,Dim_Hotel!$F$2:$F$11)</f>
        <v>66</v>
      </c>
      <c r="D2426">
        <f t="shared" si="297"/>
        <v>36</v>
      </c>
      <c r="E2426">
        <f t="shared" si="298"/>
        <v>0.54545454545454541</v>
      </c>
      <c r="F2426">
        <f t="shared" si="299"/>
        <v>82</v>
      </c>
      <c r="G2426">
        <f t="shared" si="300"/>
        <v>44.727272727272727</v>
      </c>
      <c r="H2426" t="str">
        <f>_xlfn.XLOOKUP(A2426,Fact_Events!$D$2:$D$20,Fact_Events!$A$2:$A$20, "")</f>
        <v/>
      </c>
      <c r="I2426">
        <f t="shared" si="301"/>
        <v>0</v>
      </c>
      <c r="J2426" t="str">
        <f>_xlfn.XLOOKUP(H2426, Fact_Events!$A$2:$A$20, Fact_Events!$F$2:$F$20, "")</f>
        <v/>
      </c>
      <c r="K2426" t="str">
        <f t="shared" si="302"/>
        <v>Low</v>
      </c>
      <c r="L2426">
        <f t="shared" si="303"/>
        <v>0.55000000000000004</v>
      </c>
      <c r="M2426">
        <f>_xlfn.XLOOKUP(B2426, Dim_Hotel!$A$2:$A$11, Dim_Hotel!$I$2:$I$11)
 + (IF(J2426="",0,J2426)
    * _xlfn.XLOOKUP(B2426, Dim_Hotel!$A$2:$A$11, Dim_Hotel!$J$2:$J$11))</f>
        <v>82</v>
      </c>
    </row>
    <row r="2427" spans="1:13" x14ac:dyDescent="0.25">
      <c r="A2427" s="1">
        <f t="shared" si="296"/>
        <v>46265</v>
      </c>
      <c r="B2427" t="str" cm="1">
        <f t="array" ref="B2427">INDEX(HotelList,MOD(ROW()-2,10)+1)</f>
        <v>H006</v>
      </c>
      <c r="C2427">
        <f>_xlfn.XLOOKUP(B2427,Dim_Hotel!$A$2:$A$11,Dim_Hotel!$F$2:$F$11)</f>
        <v>311</v>
      </c>
      <c r="D2427">
        <f t="shared" si="297"/>
        <v>171</v>
      </c>
      <c r="E2427">
        <f t="shared" si="298"/>
        <v>0.54983922829581988</v>
      </c>
      <c r="F2427">
        <f t="shared" si="299"/>
        <v>190</v>
      </c>
      <c r="G2427">
        <f t="shared" si="300"/>
        <v>104.46945337620578</v>
      </c>
      <c r="H2427" t="str">
        <f>_xlfn.XLOOKUP(A2427,Fact_Events!$D$2:$D$20,Fact_Events!$A$2:$A$20, "")</f>
        <v/>
      </c>
      <c r="I2427">
        <f t="shared" si="301"/>
        <v>0</v>
      </c>
      <c r="J2427" t="str">
        <f>_xlfn.XLOOKUP(H2427, Fact_Events!$A$2:$A$20, Fact_Events!$F$2:$F$20, "")</f>
        <v/>
      </c>
      <c r="K2427" t="str">
        <f t="shared" si="302"/>
        <v>Low</v>
      </c>
      <c r="L2427">
        <f t="shared" si="303"/>
        <v>0.55000000000000004</v>
      </c>
      <c r="M2427">
        <f>_xlfn.XLOOKUP(B2427, Dim_Hotel!$A$2:$A$11, Dim_Hotel!$I$2:$I$11)
 + (IF(J2427="",0,J2427)
    * _xlfn.XLOOKUP(B2427, Dim_Hotel!$A$2:$A$11, Dim_Hotel!$J$2:$J$11))</f>
        <v>190</v>
      </c>
    </row>
    <row r="2428" spans="1:13" x14ac:dyDescent="0.25">
      <c r="A2428" s="1">
        <f t="shared" si="296"/>
        <v>46265</v>
      </c>
      <c r="B2428" t="str" cm="1">
        <f t="array" ref="B2428">INDEX(HotelList,MOD(ROW()-2,10)+1)</f>
        <v>H007</v>
      </c>
      <c r="C2428">
        <f>_xlfn.XLOOKUP(B2428,Dim_Hotel!$A$2:$A$11,Dim_Hotel!$F$2:$F$11)</f>
        <v>132</v>
      </c>
      <c r="D2428">
        <f t="shared" si="297"/>
        <v>73</v>
      </c>
      <c r="E2428">
        <f t="shared" si="298"/>
        <v>0.55303030303030298</v>
      </c>
      <c r="F2428">
        <f t="shared" si="299"/>
        <v>165</v>
      </c>
      <c r="G2428">
        <f t="shared" si="300"/>
        <v>91.249999999999986</v>
      </c>
      <c r="H2428" t="str">
        <f>_xlfn.XLOOKUP(A2428,Fact_Events!$D$2:$D$20,Fact_Events!$A$2:$A$20, "")</f>
        <v/>
      </c>
      <c r="I2428">
        <f t="shared" si="301"/>
        <v>0</v>
      </c>
      <c r="J2428" t="str">
        <f>_xlfn.XLOOKUP(H2428, Fact_Events!$A$2:$A$20, Fact_Events!$F$2:$F$20, "")</f>
        <v/>
      </c>
      <c r="K2428" t="str">
        <f t="shared" si="302"/>
        <v>Low</v>
      </c>
      <c r="L2428">
        <f t="shared" si="303"/>
        <v>0.55000000000000004</v>
      </c>
      <c r="M2428">
        <f>_xlfn.XLOOKUP(B2428, Dim_Hotel!$A$2:$A$11, Dim_Hotel!$I$2:$I$11)
 + (IF(J2428="",0,J2428)
    * _xlfn.XLOOKUP(B2428, Dim_Hotel!$A$2:$A$11, Dim_Hotel!$J$2:$J$11))</f>
        <v>165</v>
      </c>
    </row>
    <row r="2429" spans="1:13" x14ac:dyDescent="0.25">
      <c r="A2429" s="1">
        <f t="shared" si="296"/>
        <v>46265</v>
      </c>
      <c r="B2429" t="str" cm="1">
        <f t="array" ref="B2429">INDEX(HotelList,MOD(ROW()-2,10)+1)</f>
        <v>H008</v>
      </c>
      <c r="C2429">
        <f>_xlfn.XLOOKUP(B2429,Dim_Hotel!$A$2:$A$11,Dim_Hotel!$F$2:$F$11)</f>
        <v>103</v>
      </c>
      <c r="D2429">
        <f t="shared" si="297"/>
        <v>57</v>
      </c>
      <c r="E2429">
        <f t="shared" si="298"/>
        <v>0.55339805825242716</v>
      </c>
      <c r="F2429">
        <f t="shared" si="299"/>
        <v>140</v>
      </c>
      <c r="G2429">
        <f t="shared" si="300"/>
        <v>77.475728155339809</v>
      </c>
      <c r="H2429" t="str">
        <f>_xlfn.XLOOKUP(A2429,Fact_Events!$D$2:$D$20,Fact_Events!$A$2:$A$20, "")</f>
        <v/>
      </c>
      <c r="I2429">
        <f t="shared" si="301"/>
        <v>0</v>
      </c>
      <c r="J2429" t="str">
        <f>_xlfn.XLOOKUP(H2429, Fact_Events!$A$2:$A$20, Fact_Events!$F$2:$F$20, "")</f>
        <v/>
      </c>
      <c r="K2429" t="str">
        <f t="shared" si="302"/>
        <v>Low</v>
      </c>
      <c r="L2429">
        <f t="shared" si="303"/>
        <v>0.55000000000000004</v>
      </c>
      <c r="M2429">
        <f>_xlfn.XLOOKUP(B2429, Dim_Hotel!$A$2:$A$11, Dim_Hotel!$I$2:$I$11)
 + (IF(J2429="",0,J2429)
    * _xlfn.XLOOKUP(B2429, Dim_Hotel!$A$2:$A$11, Dim_Hotel!$J$2:$J$11))</f>
        <v>140</v>
      </c>
    </row>
    <row r="2430" spans="1:13" x14ac:dyDescent="0.25">
      <c r="A2430" s="1">
        <f t="shared" si="296"/>
        <v>46265</v>
      </c>
      <c r="B2430" t="str" cm="1">
        <f t="array" ref="B2430">INDEX(HotelList,MOD(ROW()-2,10)+1)</f>
        <v>H009</v>
      </c>
      <c r="C2430">
        <f>_xlfn.XLOOKUP(B2430,Dim_Hotel!$A$2:$A$11,Dim_Hotel!$F$2:$F$11)</f>
        <v>114</v>
      </c>
      <c r="D2430">
        <f t="shared" si="297"/>
        <v>63</v>
      </c>
      <c r="E2430">
        <f t="shared" si="298"/>
        <v>0.55263157894736847</v>
      </c>
      <c r="F2430">
        <f t="shared" si="299"/>
        <v>185</v>
      </c>
      <c r="G2430">
        <f t="shared" si="300"/>
        <v>102.23684210526316</v>
      </c>
      <c r="H2430" t="str">
        <f>_xlfn.XLOOKUP(A2430,Fact_Events!$D$2:$D$20,Fact_Events!$A$2:$A$20, "")</f>
        <v/>
      </c>
      <c r="I2430">
        <f t="shared" si="301"/>
        <v>0</v>
      </c>
      <c r="J2430" t="str">
        <f>_xlfn.XLOOKUP(H2430, Fact_Events!$A$2:$A$20, Fact_Events!$F$2:$F$20, "")</f>
        <v/>
      </c>
      <c r="K2430" t="str">
        <f t="shared" si="302"/>
        <v>Low</v>
      </c>
      <c r="L2430">
        <f t="shared" si="303"/>
        <v>0.55000000000000004</v>
      </c>
      <c r="M2430">
        <f>_xlfn.XLOOKUP(B2430, Dim_Hotel!$A$2:$A$11, Dim_Hotel!$I$2:$I$11)
 + (IF(J2430="",0,J2430)
    * _xlfn.XLOOKUP(B2430, Dim_Hotel!$A$2:$A$11, Dim_Hotel!$J$2:$J$11))</f>
        <v>185</v>
      </c>
    </row>
    <row r="2431" spans="1:13" x14ac:dyDescent="0.25">
      <c r="A2431" s="1">
        <f t="shared" si="296"/>
        <v>46265</v>
      </c>
      <c r="B2431" t="str" cm="1">
        <f t="array" ref="B2431">INDEX(HotelList,MOD(ROW()-2,10)+1)</f>
        <v>H010</v>
      </c>
      <c r="C2431">
        <f>_xlfn.XLOOKUP(B2431,Dim_Hotel!$A$2:$A$11,Dim_Hotel!$F$2:$F$11)</f>
        <v>89</v>
      </c>
      <c r="D2431">
        <f t="shared" si="297"/>
        <v>49</v>
      </c>
      <c r="E2431">
        <f t="shared" si="298"/>
        <v>0.550561797752809</v>
      </c>
      <c r="F2431">
        <f t="shared" si="299"/>
        <v>150</v>
      </c>
      <c r="G2431">
        <f t="shared" si="300"/>
        <v>82.584269662921344</v>
      </c>
      <c r="H2431" t="str">
        <f>_xlfn.XLOOKUP(A2431,Fact_Events!$D$2:$D$20,Fact_Events!$A$2:$A$20, "")</f>
        <v/>
      </c>
      <c r="I2431">
        <f t="shared" si="301"/>
        <v>0</v>
      </c>
      <c r="J2431" t="str">
        <f>_xlfn.XLOOKUP(H2431, Fact_Events!$A$2:$A$20, Fact_Events!$F$2:$F$20, "")</f>
        <v/>
      </c>
      <c r="K2431" t="str">
        <f t="shared" si="302"/>
        <v>Low</v>
      </c>
      <c r="L2431">
        <f t="shared" si="303"/>
        <v>0.55000000000000004</v>
      </c>
      <c r="M2431">
        <f>_xlfn.XLOOKUP(B2431, Dim_Hotel!$A$2:$A$11, Dim_Hotel!$I$2:$I$11)
 + (IF(J2431="",0,J2431)
    * _xlfn.XLOOKUP(B2431, Dim_Hotel!$A$2:$A$11, Dim_Hotel!$J$2:$J$11))</f>
        <v>150</v>
      </c>
    </row>
    <row r="2432" spans="1:13" x14ac:dyDescent="0.25">
      <c r="A2432" s="1">
        <f t="shared" si="296"/>
        <v>46266</v>
      </c>
      <c r="B2432" t="str" cm="1">
        <f t="array" ref="B2432">INDEX(HotelList,MOD(ROW()-2,10)+1)</f>
        <v>H001</v>
      </c>
      <c r="C2432">
        <f>_xlfn.XLOOKUP(B2432,Dim_Hotel!$A$2:$A$11,Dim_Hotel!$F$2:$F$11)</f>
        <v>888</v>
      </c>
      <c r="D2432">
        <f t="shared" si="297"/>
        <v>488</v>
      </c>
      <c r="E2432">
        <f t="shared" si="298"/>
        <v>0.5495495495495496</v>
      </c>
      <c r="F2432">
        <f t="shared" si="299"/>
        <v>260</v>
      </c>
      <c r="G2432">
        <f t="shared" si="300"/>
        <v>142.88288288288288</v>
      </c>
      <c r="H2432" t="str">
        <f>_xlfn.XLOOKUP(A2432,Fact_Events!$D$2:$D$20,Fact_Events!$A$2:$A$20, "")</f>
        <v/>
      </c>
      <c r="I2432">
        <f t="shared" si="301"/>
        <v>0</v>
      </c>
      <c r="J2432" t="str">
        <f>_xlfn.XLOOKUP(H2432, Fact_Events!$A$2:$A$20, Fact_Events!$F$2:$F$20, "")</f>
        <v/>
      </c>
      <c r="K2432" t="str">
        <f t="shared" si="302"/>
        <v>Low</v>
      </c>
      <c r="L2432">
        <f t="shared" si="303"/>
        <v>0.55000000000000004</v>
      </c>
      <c r="M2432">
        <f>_xlfn.XLOOKUP(B2432, Dim_Hotel!$A$2:$A$11, Dim_Hotel!$I$2:$I$11)
 + (IF(J2432="",0,J2432)
    * _xlfn.XLOOKUP(B2432, Dim_Hotel!$A$2:$A$11, Dim_Hotel!$J$2:$J$11))</f>
        <v>260</v>
      </c>
    </row>
    <row r="2433" spans="1:13" x14ac:dyDescent="0.25">
      <c r="A2433" s="1">
        <f t="shared" si="296"/>
        <v>46266</v>
      </c>
      <c r="B2433" t="str" cm="1">
        <f t="array" ref="B2433">INDEX(HotelList,MOD(ROW()-2,10)+1)</f>
        <v>H002</v>
      </c>
      <c r="C2433">
        <f>_xlfn.XLOOKUP(B2433,Dim_Hotel!$A$2:$A$11,Dim_Hotel!$F$2:$F$11)</f>
        <v>147</v>
      </c>
      <c r="D2433">
        <f t="shared" si="297"/>
        <v>81</v>
      </c>
      <c r="E2433">
        <f t="shared" si="298"/>
        <v>0.55102040816326525</v>
      </c>
      <c r="F2433">
        <f t="shared" si="299"/>
        <v>175</v>
      </c>
      <c r="G2433">
        <f t="shared" si="300"/>
        <v>96.428571428571416</v>
      </c>
      <c r="H2433" t="str">
        <f>_xlfn.XLOOKUP(A2433,Fact_Events!$D$2:$D$20,Fact_Events!$A$2:$A$20, "")</f>
        <v/>
      </c>
      <c r="I2433">
        <f t="shared" si="301"/>
        <v>0</v>
      </c>
      <c r="J2433" t="str">
        <f>_xlfn.XLOOKUP(H2433, Fact_Events!$A$2:$A$20, Fact_Events!$F$2:$F$20, "")</f>
        <v/>
      </c>
      <c r="K2433" t="str">
        <f t="shared" si="302"/>
        <v>Low</v>
      </c>
      <c r="L2433">
        <f t="shared" si="303"/>
        <v>0.55000000000000004</v>
      </c>
      <c r="M2433">
        <f>_xlfn.XLOOKUP(B2433, Dim_Hotel!$A$2:$A$11, Dim_Hotel!$I$2:$I$11)
 + (IF(J2433="",0,J2433)
    * _xlfn.XLOOKUP(B2433, Dim_Hotel!$A$2:$A$11, Dim_Hotel!$J$2:$J$11))</f>
        <v>175</v>
      </c>
    </row>
    <row r="2434" spans="1:13" x14ac:dyDescent="0.25">
      <c r="A2434" s="1">
        <f t="shared" si="296"/>
        <v>46266</v>
      </c>
      <c r="B2434" t="str" cm="1">
        <f t="array" ref="B2434">INDEX(HotelList,MOD(ROW()-2,10)+1)</f>
        <v>H003</v>
      </c>
      <c r="C2434">
        <f>_xlfn.XLOOKUP(B2434,Dim_Hotel!$A$2:$A$11,Dim_Hotel!$F$2:$F$11)</f>
        <v>121</v>
      </c>
      <c r="D2434">
        <f t="shared" si="297"/>
        <v>67</v>
      </c>
      <c r="E2434">
        <f t="shared" si="298"/>
        <v>0.55371900826446285</v>
      </c>
      <c r="F2434">
        <f t="shared" si="299"/>
        <v>145</v>
      </c>
      <c r="G2434">
        <f t="shared" si="300"/>
        <v>80.289256198347118</v>
      </c>
      <c r="H2434" t="str">
        <f>_xlfn.XLOOKUP(A2434,Fact_Events!$D$2:$D$20,Fact_Events!$A$2:$A$20, "")</f>
        <v/>
      </c>
      <c r="I2434">
        <f t="shared" si="301"/>
        <v>0</v>
      </c>
      <c r="J2434" t="str">
        <f>_xlfn.XLOOKUP(H2434, Fact_Events!$A$2:$A$20, Fact_Events!$F$2:$F$20, "")</f>
        <v/>
      </c>
      <c r="K2434" t="str">
        <f t="shared" si="302"/>
        <v>Low</v>
      </c>
      <c r="L2434">
        <f t="shared" si="303"/>
        <v>0.55000000000000004</v>
      </c>
      <c r="M2434">
        <f>_xlfn.XLOOKUP(B2434, Dim_Hotel!$A$2:$A$11, Dim_Hotel!$I$2:$I$11)
 + (IF(J2434="",0,J2434)
    * _xlfn.XLOOKUP(B2434, Dim_Hotel!$A$2:$A$11, Dim_Hotel!$J$2:$J$11))</f>
        <v>145</v>
      </c>
    </row>
    <row r="2435" spans="1:13" x14ac:dyDescent="0.25">
      <c r="A2435" s="1">
        <f t="shared" ref="A2435:A2498" si="304">DATE(2026,1,1) + INT((ROW()-2)/10)</f>
        <v>46266</v>
      </c>
      <c r="B2435" t="str" cm="1">
        <f t="array" ref="B2435">INDEX(HotelList,MOD(ROW()-2,10)+1)</f>
        <v>H004</v>
      </c>
      <c r="C2435">
        <f>_xlfn.XLOOKUP(B2435,Dim_Hotel!$A$2:$A$11,Dim_Hotel!$F$2:$F$11)</f>
        <v>108</v>
      </c>
      <c r="D2435">
        <f t="shared" ref="D2435:D2498" si="305">ROUND(L2435 * C2435, 0)</f>
        <v>59</v>
      </c>
      <c r="E2435">
        <f t="shared" ref="E2435:E2498" si="306">D2435/C2435</f>
        <v>0.54629629629629628</v>
      </c>
      <c r="F2435">
        <f t="shared" ref="F2435:F2498" si="307">M2435</f>
        <v>135</v>
      </c>
      <c r="G2435">
        <f t="shared" ref="G2435:G2498" si="308">E2435*F2435</f>
        <v>73.75</v>
      </c>
      <c r="H2435" t="str">
        <f>_xlfn.XLOOKUP(A2435,Fact_Events!$D$2:$D$20,Fact_Events!$A$2:$A$20, "")</f>
        <v/>
      </c>
      <c r="I2435">
        <f t="shared" ref="I2435:I2498" si="309">IF(H2435="",0,1)</f>
        <v>0</v>
      </c>
      <c r="J2435" t="str">
        <f>_xlfn.XLOOKUP(H2435, Fact_Events!$A$2:$A$20, Fact_Events!$F$2:$F$20, "")</f>
        <v/>
      </c>
      <c r="K2435" t="str">
        <f t="shared" ref="K2435:K2498" si="310">IF(I2435=0,"Low",
   IF(J2435&gt;=9,"High","Medium"))</f>
        <v>Low</v>
      </c>
      <c r="L2435">
        <f t="shared" ref="L2435:L2498" si="311">MIN(1,
  0.55
  + (I2435 * 0.25)
  + (IF(J2435="",0,J2435) / 100)
)</f>
        <v>0.55000000000000004</v>
      </c>
      <c r="M2435">
        <f>_xlfn.XLOOKUP(B2435, Dim_Hotel!$A$2:$A$11, Dim_Hotel!$I$2:$I$11)
 + (IF(J2435="",0,J2435)
    * _xlfn.XLOOKUP(B2435, Dim_Hotel!$A$2:$A$11, Dim_Hotel!$J$2:$J$11))</f>
        <v>135</v>
      </c>
    </row>
    <row r="2436" spans="1:13" x14ac:dyDescent="0.25">
      <c r="A2436" s="1">
        <f t="shared" si="304"/>
        <v>46266</v>
      </c>
      <c r="B2436" t="str" cm="1">
        <f t="array" ref="B2436">INDEX(HotelList,MOD(ROW()-2,10)+1)</f>
        <v>H005</v>
      </c>
      <c r="C2436">
        <f>_xlfn.XLOOKUP(B2436,Dim_Hotel!$A$2:$A$11,Dim_Hotel!$F$2:$F$11)</f>
        <v>66</v>
      </c>
      <c r="D2436">
        <f t="shared" si="305"/>
        <v>36</v>
      </c>
      <c r="E2436">
        <f t="shared" si="306"/>
        <v>0.54545454545454541</v>
      </c>
      <c r="F2436">
        <f t="shared" si="307"/>
        <v>82</v>
      </c>
      <c r="G2436">
        <f t="shared" si="308"/>
        <v>44.727272727272727</v>
      </c>
      <c r="H2436" t="str">
        <f>_xlfn.XLOOKUP(A2436,Fact_Events!$D$2:$D$20,Fact_Events!$A$2:$A$20, "")</f>
        <v/>
      </c>
      <c r="I2436">
        <f t="shared" si="309"/>
        <v>0</v>
      </c>
      <c r="J2436" t="str">
        <f>_xlfn.XLOOKUP(H2436, Fact_Events!$A$2:$A$20, Fact_Events!$F$2:$F$20, "")</f>
        <v/>
      </c>
      <c r="K2436" t="str">
        <f t="shared" si="310"/>
        <v>Low</v>
      </c>
      <c r="L2436">
        <f t="shared" si="311"/>
        <v>0.55000000000000004</v>
      </c>
      <c r="M2436">
        <f>_xlfn.XLOOKUP(B2436, Dim_Hotel!$A$2:$A$11, Dim_Hotel!$I$2:$I$11)
 + (IF(J2436="",0,J2436)
    * _xlfn.XLOOKUP(B2436, Dim_Hotel!$A$2:$A$11, Dim_Hotel!$J$2:$J$11))</f>
        <v>82</v>
      </c>
    </row>
    <row r="2437" spans="1:13" x14ac:dyDescent="0.25">
      <c r="A2437" s="1">
        <f t="shared" si="304"/>
        <v>46266</v>
      </c>
      <c r="B2437" t="str" cm="1">
        <f t="array" ref="B2437">INDEX(HotelList,MOD(ROW()-2,10)+1)</f>
        <v>H006</v>
      </c>
      <c r="C2437">
        <f>_xlfn.XLOOKUP(B2437,Dim_Hotel!$A$2:$A$11,Dim_Hotel!$F$2:$F$11)</f>
        <v>311</v>
      </c>
      <c r="D2437">
        <f t="shared" si="305"/>
        <v>171</v>
      </c>
      <c r="E2437">
        <f t="shared" si="306"/>
        <v>0.54983922829581988</v>
      </c>
      <c r="F2437">
        <f t="shared" si="307"/>
        <v>190</v>
      </c>
      <c r="G2437">
        <f t="shared" si="308"/>
        <v>104.46945337620578</v>
      </c>
      <c r="H2437" t="str">
        <f>_xlfn.XLOOKUP(A2437,Fact_Events!$D$2:$D$20,Fact_Events!$A$2:$A$20, "")</f>
        <v/>
      </c>
      <c r="I2437">
        <f t="shared" si="309"/>
        <v>0</v>
      </c>
      <c r="J2437" t="str">
        <f>_xlfn.XLOOKUP(H2437, Fact_Events!$A$2:$A$20, Fact_Events!$F$2:$F$20, "")</f>
        <v/>
      </c>
      <c r="K2437" t="str">
        <f t="shared" si="310"/>
        <v>Low</v>
      </c>
      <c r="L2437">
        <f t="shared" si="311"/>
        <v>0.55000000000000004</v>
      </c>
      <c r="M2437">
        <f>_xlfn.XLOOKUP(B2437, Dim_Hotel!$A$2:$A$11, Dim_Hotel!$I$2:$I$11)
 + (IF(J2437="",0,J2437)
    * _xlfn.XLOOKUP(B2437, Dim_Hotel!$A$2:$A$11, Dim_Hotel!$J$2:$J$11))</f>
        <v>190</v>
      </c>
    </row>
    <row r="2438" spans="1:13" x14ac:dyDescent="0.25">
      <c r="A2438" s="1">
        <f t="shared" si="304"/>
        <v>46266</v>
      </c>
      <c r="B2438" t="str" cm="1">
        <f t="array" ref="B2438">INDEX(HotelList,MOD(ROW()-2,10)+1)</f>
        <v>H007</v>
      </c>
      <c r="C2438">
        <f>_xlfn.XLOOKUP(B2438,Dim_Hotel!$A$2:$A$11,Dim_Hotel!$F$2:$F$11)</f>
        <v>132</v>
      </c>
      <c r="D2438">
        <f t="shared" si="305"/>
        <v>73</v>
      </c>
      <c r="E2438">
        <f t="shared" si="306"/>
        <v>0.55303030303030298</v>
      </c>
      <c r="F2438">
        <f t="shared" si="307"/>
        <v>165</v>
      </c>
      <c r="G2438">
        <f t="shared" si="308"/>
        <v>91.249999999999986</v>
      </c>
      <c r="H2438" t="str">
        <f>_xlfn.XLOOKUP(A2438,Fact_Events!$D$2:$D$20,Fact_Events!$A$2:$A$20, "")</f>
        <v/>
      </c>
      <c r="I2438">
        <f t="shared" si="309"/>
        <v>0</v>
      </c>
      <c r="J2438" t="str">
        <f>_xlfn.XLOOKUP(H2438, Fact_Events!$A$2:$A$20, Fact_Events!$F$2:$F$20, "")</f>
        <v/>
      </c>
      <c r="K2438" t="str">
        <f t="shared" si="310"/>
        <v>Low</v>
      </c>
      <c r="L2438">
        <f t="shared" si="311"/>
        <v>0.55000000000000004</v>
      </c>
      <c r="M2438">
        <f>_xlfn.XLOOKUP(B2438, Dim_Hotel!$A$2:$A$11, Dim_Hotel!$I$2:$I$11)
 + (IF(J2438="",0,J2438)
    * _xlfn.XLOOKUP(B2438, Dim_Hotel!$A$2:$A$11, Dim_Hotel!$J$2:$J$11))</f>
        <v>165</v>
      </c>
    </row>
    <row r="2439" spans="1:13" x14ac:dyDescent="0.25">
      <c r="A2439" s="1">
        <f t="shared" si="304"/>
        <v>46266</v>
      </c>
      <c r="B2439" t="str" cm="1">
        <f t="array" ref="B2439">INDEX(HotelList,MOD(ROW()-2,10)+1)</f>
        <v>H008</v>
      </c>
      <c r="C2439">
        <f>_xlfn.XLOOKUP(B2439,Dim_Hotel!$A$2:$A$11,Dim_Hotel!$F$2:$F$11)</f>
        <v>103</v>
      </c>
      <c r="D2439">
        <f t="shared" si="305"/>
        <v>57</v>
      </c>
      <c r="E2439">
        <f t="shared" si="306"/>
        <v>0.55339805825242716</v>
      </c>
      <c r="F2439">
        <f t="shared" si="307"/>
        <v>140</v>
      </c>
      <c r="G2439">
        <f t="shared" si="308"/>
        <v>77.475728155339809</v>
      </c>
      <c r="H2439" t="str">
        <f>_xlfn.XLOOKUP(A2439,Fact_Events!$D$2:$D$20,Fact_Events!$A$2:$A$20, "")</f>
        <v/>
      </c>
      <c r="I2439">
        <f t="shared" si="309"/>
        <v>0</v>
      </c>
      <c r="J2439" t="str">
        <f>_xlfn.XLOOKUP(H2439, Fact_Events!$A$2:$A$20, Fact_Events!$F$2:$F$20, "")</f>
        <v/>
      </c>
      <c r="K2439" t="str">
        <f t="shared" si="310"/>
        <v>Low</v>
      </c>
      <c r="L2439">
        <f t="shared" si="311"/>
        <v>0.55000000000000004</v>
      </c>
      <c r="M2439">
        <f>_xlfn.XLOOKUP(B2439, Dim_Hotel!$A$2:$A$11, Dim_Hotel!$I$2:$I$11)
 + (IF(J2439="",0,J2439)
    * _xlfn.XLOOKUP(B2439, Dim_Hotel!$A$2:$A$11, Dim_Hotel!$J$2:$J$11))</f>
        <v>140</v>
      </c>
    </row>
    <row r="2440" spans="1:13" x14ac:dyDescent="0.25">
      <c r="A2440" s="1">
        <f t="shared" si="304"/>
        <v>46266</v>
      </c>
      <c r="B2440" t="str" cm="1">
        <f t="array" ref="B2440">INDEX(HotelList,MOD(ROW()-2,10)+1)</f>
        <v>H009</v>
      </c>
      <c r="C2440">
        <f>_xlfn.XLOOKUP(B2440,Dim_Hotel!$A$2:$A$11,Dim_Hotel!$F$2:$F$11)</f>
        <v>114</v>
      </c>
      <c r="D2440">
        <f t="shared" si="305"/>
        <v>63</v>
      </c>
      <c r="E2440">
        <f t="shared" si="306"/>
        <v>0.55263157894736847</v>
      </c>
      <c r="F2440">
        <f t="shared" si="307"/>
        <v>185</v>
      </c>
      <c r="G2440">
        <f t="shared" si="308"/>
        <v>102.23684210526316</v>
      </c>
      <c r="H2440" t="str">
        <f>_xlfn.XLOOKUP(A2440,Fact_Events!$D$2:$D$20,Fact_Events!$A$2:$A$20, "")</f>
        <v/>
      </c>
      <c r="I2440">
        <f t="shared" si="309"/>
        <v>0</v>
      </c>
      <c r="J2440" t="str">
        <f>_xlfn.XLOOKUP(H2440, Fact_Events!$A$2:$A$20, Fact_Events!$F$2:$F$20, "")</f>
        <v/>
      </c>
      <c r="K2440" t="str">
        <f t="shared" si="310"/>
        <v>Low</v>
      </c>
      <c r="L2440">
        <f t="shared" si="311"/>
        <v>0.55000000000000004</v>
      </c>
      <c r="M2440">
        <f>_xlfn.XLOOKUP(B2440, Dim_Hotel!$A$2:$A$11, Dim_Hotel!$I$2:$I$11)
 + (IF(J2440="",0,J2440)
    * _xlfn.XLOOKUP(B2440, Dim_Hotel!$A$2:$A$11, Dim_Hotel!$J$2:$J$11))</f>
        <v>185</v>
      </c>
    </row>
    <row r="2441" spans="1:13" x14ac:dyDescent="0.25">
      <c r="A2441" s="1">
        <f t="shared" si="304"/>
        <v>46266</v>
      </c>
      <c r="B2441" t="str" cm="1">
        <f t="array" ref="B2441">INDEX(HotelList,MOD(ROW()-2,10)+1)</f>
        <v>H010</v>
      </c>
      <c r="C2441">
        <f>_xlfn.XLOOKUP(B2441,Dim_Hotel!$A$2:$A$11,Dim_Hotel!$F$2:$F$11)</f>
        <v>89</v>
      </c>
      <c r="D2441">
        <f t="shared" si="305"/>
        <v>49</v>
      </c>
      <c r="E2441">
        <f t="shared" si="306"/>
        <v>0.550561797752809</v>
      </c>
      <c r="F2441">
        <f t="shared" si="307"/>
        <v>150</v>
      </c>
      <c r="G2441">
        <f t="shared" si="308"/>
        <v>82.584269662921344</v>
      </c>
      <c r="H2441" t="str">
        <f>_xlfn.XLOOKUP(A2441,Fact_Events!$D$2:$D$20,Fact_Events!$A$2:$A$20, "")</f>
        <v/>
      </c>
      <c r="I2441">
        <f t="shared" si="309"/>
        <v>0</v>
      </c>
      <c r="J2441" t="str">
        <f>_xlfn.XLOOKUP(H2441, Fact_Events!$A$2:$A$20, Fact_Events!$F$2:$F$20, "")</f>
        <v/>
      </c>
      <c r="K2441" t="str">
        <f t="shared" si="310"/>
        <v>Low</v>
      </c>
      <c r="L2441">
        <f t="shared" si="311"/>
        <v>0.55000000000000004</v>
      </c>
      <c r="M2441">
        <f>_xlfn.XLOOKUP(B2441, Dim_Hotel!$A$2:$A$11, Dim_Hotel!$I$2:$I$11)
 + (IF(J2441="",0,J2441)
    * _xlfn.XLOOKUP(B2441, Dim_Hotel!$A$2:$A$11, Dim_Hotel!$J$2:$J$11))</f>
        <v>150</v>
      </c>
    </row>
    <row r="2442" spans="1:13" x14ac:dyDescent="0.25">
      <c r="A2442" s="1">
        <f t="shared" si="304"/>
        <v>46267</v>
      </c>
      <c r="B2442" t="str" cm="1">
        <f t="array" ref="B2442">INDEX(HotelList,MOD(ROW()-2,10)+1)</f>
        <v>H001</v>
      </c>
      <c r="C2442">
        <f>_xlfn.XLOOKUP(B2442,Dim_Hotel!$A$2:$A$11,Dim_Hotel!$F$2:$F$11)</f>
        <v>888</v>
      </c>
      <c r="D2442">
        <f t="shared" si="305"/>
        <v>488</v>
      </c>
      <c r="E2442">
        <f t="shared" si="306"/>
        <v>0.5495495495495496</v>
      </c>
      <c r="F2442">
        <f t="shared" si="307"/>
        <v>260</v>
      </c>
      <c r="G2442">
        <f t="shared" si="308"/>
        <v>142.88288288288288</v>
      </c>
      <c r="H2442" t="str">
        <f>_xlfn.XLOOKUP(A2442,Fact_Events!$D$2:$D$20,Fact_Events!$A$2:$A$20, "")</f>
        <v/>
      </c>
      <c r="I2442">
        <f t="shared" si="309"/>
        <v>0</v>
      </c>
      <c r="J2442" t="str">
        <f>_xlfn.XLOOKUP(H2442, Fact_Events!$A$2:$A$20, Fact_Events!$F$2:$F$20, "")</f>
        <v/>
      </c>
      <c r="K2442" t="str">
        <f t="shared" si="310"/>
        <v>Low</v>
      </c>
      <c r="L2442">
        <f t="shared" si="311"/>
        <v>0.55000000000000004</v>
      </c>
      <c r="M2442">
        <f>_xlfn.XLOOKUP(B2442, Dim_Hotel!$A$2:$A$11, Dim_Hotel!$I$2:$I$11)
 + (IF(J2442="",0,J2442)
    * _xlfn.XLOOKUP(B2442, Dim_Hotel!$A$2:$A$11, Dim_Hotel!$J$2:$J$11))</f>
        <v>260</v>
      </c>
    </row>
    <row r="2443" spans="1:13" x14ac:dyDescent="0.25">
      <c r="A2443" s="1">
        <f t="shared" si="304"/>
        <v>46267</v>
      </c>
      <c r="B2443" t="str" cm="1">
        <f t="array" ref="B2443">INDEX(HotelList,MOD(ROW()-2,10)+1)</f>
        <v>H002</v>
      </c>
      <c r="C2443">
        <f>_xlfn.XLOOKUP(B2443,Dim_Hotel!$A$2:$A$11,Dim_Hotel!$F$2:$F$11)</f>
        <v>147</v>
      </c>
      <c r="D2443">
        <f t="shared" si="305"/>
        <v>81</v>
      </c>
      <c r="E2443">
        <f t="shared" si="306"/>
        <v>0.55102040816326525</v>
      </c>
      <c r="F2443">
        <f t="shared" si="307"/>
        <v>175</v>
      </c>
      <c r="G2443">
        <f t="shared" si="308"/>
        <v>96.428571428571416</v>
      </c>
      <c r="H2443" t="str">
        <f>_xlfn.XLOOKUP(A2443,Fact_Events!$D$2:$D$20,Fact_Events!$A$2:$A$20, "")</f>
        <v/>
      </c>
      <c r="I2443">
        <f t="shared" si="309"/>
        <v>0</v>
      </c>
      <c r="J2443" t="str">
        <f>_xlfn.XLOOKUP(H2443, Fact_Events!$A$2:$A$20, Fact_Events!$F$2:$F$20, "")</f>
        <v/>
      </c>
      <c r="K2443" t="str">
        <f t="shared" si="310"/>
        <v>Low</v>
      </c>
      <c r="L2443">
        <f t="shared" si="311"/>
        <v>0.55000000000000004</v>
      </c>
      <c r="M2443">
        <f>_xlfn.XLOOKUP(B2443, Dim_Hotel!$A$2:$A$11, Dim_Hotel!$I$2:$I$11)
 + (IF(J2443="",0,J2443)
    * _xlfn.XLOOKUP(B2443, Dim_Hotel!$A$2:$A$11, Dim_Hotel!$J$2:$J$11))</f>
        <v>175</v>
      </c>
    </row>
    <row r="2444" spans="1:13" x14ac:dyDescent="0.25">
      <c r="A2444" s="1">
        <f t="shared" si="304"/>
        <v>46267</v>
      </c>
      <c r="B2444" t="str" cm="1">
        <f t="array" ref="B2444">INDEX(HotelList,MOD(ROW()-2,10)+1)</f>
        <v>H003</v>
      </c>
      <c r="C2444">
        <f>_xlfn.XLOOKUP(B2444,Dim_Hotel!$A$2:$A$11,Dim_Hotel!$F$2:$F$11)</f>
        <v>121</v>
      </c>
      <c r="D2444">
        <f t="shared" si="305"/>
        <v>67</v>
      </c>
      <c r="E2444">
        <f t="shared" si="306"/>
        <v>0.55371900826446285</v>
      </c>
      <c r="F2444">
        <f t="shared" si="307"/>
        <v>145</v>
      </c>
      <c r="G2444">
        <f t="shared" si="308"/>
        <v>80.289256198347118</v>
      </c>
      <c r="H2444" t="str">
        <f>_xlfn.XLOOKUP(A2444,Fact_Events!$D$2:$D$20,Fact_Events!$A$2:$A$20, "")</f>
        <v/>
      </c>
      <c r="I2444">
        <f t="shared" si="309"/>
        <v>0</v>
      </c>
      <c r="J2444" t="str">
        <f>_xlfn.XLOOKUP(H2444, Fact_Events!$A$2:$A$20, Fact_Events!$F$2:$F$20, "")</f>
        <v/>
      </c>
      <c r="K2444" t="str">
        <f t="shared" si="310"/>
        <v>Low</v>
      </c>
      <c r="L2444">
        <f t="shared" si="311"/>
        <v>0.55000000000000004</v>
      </c>
      <c r="M2444">
        <f>_xlfn.XLOOKUP(B2444, Dim_Hotel!$A$2:$A$11, Dim_Hotel!$I$2:$I$11)
 + (IF(J2444="",0,J2444)
    * _xlfn.XLOOKUP(B2444, Dim_Hotel!$A$2:$A$11, Dim_Hotel!$J$2:$J$11))</f>
        <v>145</v>
      </c>
    </row>
    <row r="2445" spans="1:13" x14ac:dyDescent="0.25">
      <c r="A2445" s="1">
        <f t="shared" si="304"/>
        <v>46267</v>
      </c>
      <c r="B2445" t="str" cm="1">
        <f t="array" ref="B2445">INDEX(HotelList,MOD(ROW()-2,10)+1)</f>
        <v>H004</v>
      </c>
      <c r="C2445">
        <f>_xlfn.XLOOKUP(B2445,Dim_Hotel!$A$2:$A$11,Dim_Hotel!$F$2:$F$11)</f>
        <v>108</v>
      </c>
      <c r="D2445">
        <f t="shared" si="305"/>
        <v>59</v>
      </c>
      <c r="E2445">
        <f t="shared" si="306"/>
        <v>0.54629629629629628</v>
      </c>
      <c r="F2445">
        <f t="shared" si="307"/>
        <v>135</v>
      </c>
      <c r="G2445">
        <f t="shared" si="308"/>
        <v>73.75</v>
      </c>
      <c r="H2445" t="str">
        <f>_xlfn.XLOOKUP(A2445,Fact_Events!$D$2:$D$20,Fact_Events!$A$2:$A$20, "")</f>
        <v/>
      </c>
      <c r="I2445">
        <f t="shared" si="309"/>
        <v>0</v>
      </c>
      <c r="J2445" t="str">
        <f>_xlfn.XLOOKUP(H2445, Fact_Events!$A$2:$A$20, Fact_Events!$F$2:$F$20, "")</f>
        <v/>
      </c>
      <c r="K2445" t="str">
        <f t="shared" si="310"/>
        <v>Low</v>
      </c>
      <c r="L2445">
        <f t="shared" si="311"/>
        <v>0.55000000000000004</v>
      </c>
      <c r="M2445">
        <f>_xlfn.XLOOKUP(B2445, Dim_Hotel!$A$2:$A$11, Dim_Hotel!$I$2:$I$11)
 + (IF(J2445="",0,J2445)
    * _xlfn.XLOOKUP(B2445, Dim_Hotel!$A$2:$A$11, Dim_Hotel!$J$2:$J$11))</f>
        <v>135</v>
      </c>
    </row>
    <row r="2446" spans="1:13" x14ac:dyDescent="0.25">
      <c r="A2446" s="1">
        <f t="shared" si="304"/>
        <v>46267</v>
      </c>
      <c r="B2446" t="str" cm="1">
        <f t="array" ref="B2446">INDEX(HotelList,MOD(ROW()-2,10)+1)</f>
        <v>H005</v>
      </c>
      <c r="C2446">
        <f>_xlfn.XLOOKUP(B2446,Dim_Hotel!$A$2:$A$11,Dim_Hotel!$F$2:$F$11)</f>
        <v>66</v>
      </c>
      <c r="D2446">
        <f t="shared" si="305"/>
        <v>36</v>
      </c>
      <c r="E2446">
        <f t="shared" si="306"/>
        <v>0.54545454545454541</v>
      </c>
      <c r="F2446">
        <f t="shared" si="307"/>
        <v>82</v>
      </c>
      <c r="G2446">
        <f t="shared" si="308"/>
        <v>44.727272727272727</v>
      </c>
      <c r="H2446" t="str">
        <f>_xlfn.XLOOKUP(A2446,Fact_Events!$D$2:$D$20,Fact_Events!$A$2:$A$20, "")</f>
        <v/>
      </c>
      <c r="I2446">
        <f t="shared" si="309"/>
        <v>0</v>
      </c>
      <c r="J2446" t="str">
        <f>_xlfn.XLOOKUP(H2446, Fact_Events!$A$2:$A$20, Fact_Events!$F$2:$F$20, "")</f>
        <v/>
      </c>
      <c r="K2446" t="str">
        <f t="shared" si="310"/>
        <v>Low</v>
      </c>
      <c r="L2446">
        <f t="shared" si="311"/>
        <v>0.55000000000000004</v>
      </c>
      <c r="M2446">
        <f>_xlfn.XLOOKUP(B2446, Dim_Hotel!$A$2:$A$11, Dim_Hotel!$I$2:$I$11)
 + (IF(J2446="",0,J2446)
    * _xlfn.XLOOKUP(B2446, Dim_Hotel!$A$2:$A$11, Dim_Hotel!$J$2:$J$11))</f>
        <v>82</v>
      </c>
    </row>
    <row r="2447" spans="1:13" x14ac:dyDescent="0.25">
      <c r="A2447" s="1">
        <f t="shared" si="304"/>
        <v>46267</v>
      </c>
      <c r="B2447" t="str" cm="1">
        <f t="array" ref="B2447">INDEX(HotelList,MOD(ROW()-2,10)+1)</f>
        <v>H006</v>
      </c>
      <c r="C2447">
        <f>_xlfn.XLOOKUP(B2447,Dim_Hotel!$A$2:$A$11,Dim_Hotel!$F$2:$F$11)</f>
        <v>311</v>
      </c>
      <c r="D2447">
        <f t="shared" si="305"/>
        <v>171</v>
      </c>
      <c r="E2447">
        <f t="shared" si="306"/>
        <v>0.54983922829581988</v>
      </c>
      <c r="F2447">
        <f t="shared" si="307"/>
        <v>190</v>
      </c>
      <c r="G2447">
        <f t="shared" si="308"/>
        <v>104.46945337620578</v>
      </c>
      <c r="H2447" t="str">
        <f>_xlfn.XLOOKUP(A2447,Fact_Events!$D$2:$D$20,Fact_Events!$A$2:$A$20, "")</f>
        <v/>
      </c>
      <c r="I2447">
        <f t="shared" si="309"/>
        <v>0</v>
      </c>
      <c r="J2447" t="str">
        <f>_xlfn.XLOOKUP(H2447, Fact_Events!$A$2:$A$20, Fact_Events!$F$2:$F$20, "")</f>
        <v/>
      </c>
      <c r="K2447" t="str">
        <f t="shared" si="310"/>
        <v>Low</v>
      </c>
      <c r="L2447">
        <f t="shared" si="311"/>
        <v>0.55000000000000004</v>
      </c>
      <c r="M2447">
        <f>_xlfn.XLOOKUP(B2447, Dim_Hotel!$A$2:$A$11, Dim_Hotel!$I$2:$I$11)
 + (IF(J2447="",0,J2447)
    * _xlfn.XLOOKUP(B2447, Dim_Hotel!$A$2:$A$11, Dim_Hotel!$J$2:$J$11))</f>
        <v>190</v>
      </c>
    </row>
    <row r="2448" spans="1:13" x14ac:dyDescent="0.25">
      <c r="A2448" s="1">
        <f t="shared" si="304"/>
        <v>46267</v>
      </c>
      <c r="B2448" t="str" cm="1">
        <f t="array" ref="B2448">INDEX(HotelList,MOD(ROW()-2,10)+1)</f>
        <v>H007</v>
      </c>
      <c r="C2448">
        <f>_xlfn.XLOOKUP(B2448,Dim_Hotel!$A$2:$A$11,Dim_Hotel!$F$2:$F$11)</f>
        <v>132</v>
      </c>
      <c r="D2448">
        <f t="shared" si="305"/>
        <v>73</v>
      </c>
      <c r="E2448">
        <f t="shared" si="306"/>
        <v>0.55303030303030298</v>
      </c>
      <c r="F2448">
        <f t="shared" si="307"/>
        <v>165</v>
      </c>
      <c r="G2448">
        <f t="shared" si="308"/>
        <v>91.249999999999986</v>
      </c>
      <c r="H2448" t="str">
        <f>_xlfn.XLOOKUP(A2448,Fact_Events!$D$2:$D$20,Fact_Events!$A$2:$A$20, "")</f>
        <v/>
      </c>
      <c r="I2448">
        <f t="shared" si="309"/>
        <v>0</v>
      </c>
      <c r="J2448" t="str">
        <f>_xlfn.XLOOKUP(H2448, Fact_Events!$A$2:$A$20, Fact_Events!$F$2:$F$20, "")</f>
        <v/>
      </c>
      <c r="K2448" t="str">
        <f t="shared" si="310"/>
        <v>Low</v>
      </c>
      <c r="L2448">
        <f t="shared" si="311"/>
        <v>0.55000000000000004</v>
      </c>
      <c r="M2448">
        <f>_xlfn.XLOOKUP(B2448, Dim_Hotel!$A$2:$A$11, Dim_Hotel!$I$2:$I$11)
 + (IF(J2448="",0,J2448)
    * _xlfn.XLOOKUP(B2448, Dim_Hotel!$A$2:$A$11, Dim_Hotel!$J$2:$J$11))</f>
        <v>165</v>
      </c>
    </row>
    <row r="2449" spans="1:13" x14ac:dyDescent="0.25">
      <c r="A2449" s="1">
        <f t="shared" si="304"/>
        <v>46267</v>
      </c>
      <c r="B2449" t="str" cm="1">
        <f t="array" ref="B2449">INDEX(HotelList,MOD(ROW()-2,10)+1)</f>
        <v>H008</v>
      </c>
      <c r="C2449">
        <f>_xlfn.XLOOKUP(B2449,Dim_Hotel!$A$2:$A$11,Dim_Hotel!$F$2:$F$11)</f>
        <v>103</v>
      </c>
      <c r="D2449">
        <f t="shared" si="305"/>
        <v>57</v>
      </c>
      <c r="E2449">
        <f t="shared" si="306"/>
        <v>0.55339805825242716</v>
      </c>
      <c r="F2449">
        <f t="shared" si="307"/>
        <v>140</v>
      </c>
      <c r="G2449">
        <f t="shared" si="308"/>
        <v>77.475728155339809</v>
      </c>
      <c r="H2449" t="str">
        <f>_xlfn.XLOOKUP(A2449,Fact_Events!$D$2:$D$20,Fact_Events!$A$2:$A$20, "")</f>
        <v/>
      </c>
      <c r="I2449">
        <f t="shared" si="309"/>
        <v>0</v>
      </c>
      <c r="J2449" t="str">
        <f>_xlfn.XLOOKUP(H2449, Fact_Events!$A$2:$A$20, Fact_Events!$F$2:$F$20, "")</f>
        <v/>
      </c>
      <c r="K2449" t="str">
        <f t="shared" si="310"/>
        <v>Low</v>
      </c>
      <c r="L2449">
        <f t="shared" si="311"/>
        <v>0.55000000000000004</v>
      </c>
      <c r="M2449">
        <f>_xlfn.XLOOKUP(B2449, Dim_Hotel!$A$2:$A$11, Dim_Hotel!$I$2:$I$11)
 + (IF(J2449="",0,J2449)
    * _xlfn.XLOOKUP(B2449, Dim_Hotel!$A$2:$A$11, Dim_Hotel!$J$2:$J$11))</f>
        <v>140</v>
      </c>
    </row>
    <row r="2450" spans="1:13" x14ac:dyDescent="0.25">
      <c r="A2450" s="1">
        <f t="shared" si="304"/>
        <v>46267</v>
      </c>
      <c r="B2450" t="str" cm="1">
        <f t="array" ref="B2450">INDEX(HotelList,MOD(ROW()-2,10)+1)</f>
        <v>H009</v>
      </c>
      <c r="C2450">
        <f>_xlfn.XLOOKUP(B2450,Dim_Hotel!$A$2:$A$11,Dim_Hotel!$F$2:$F$11)</f>
        <v>114</v>
      </c>
      <c r="D2450">
        <f t="shared" si="305"/>
        <v>63</v>
      </c>
      <c r="E2450">
        <f t="shared" si="306"/>
        <v>0.55263157894736847</v>
      </c>
      <c r="F2450">
        <f t="shared" si="307"/>
        <v>185</v>
      </c>
      <c r="G2450">
        <f t="shared" si="308"/>
        <v>102.23684210526316</v>
      </c>
      <c r="H2450" t="str">
        <f>_xlfn.XLOOKUP(A2450,Fact_Events!$D$2:$D$20,Fact_Events!$A$2:$A$20, "")</f>
        <v/>
      </c>
      <c r="I2450">
        <f t="shared" si="309"/>
        <v>0</v>
      </c>
      <c r="J2450" t="str">
        <f>_xlfn.XLOOKUP(H2450, Fact_Events!$A$2:$A$20, Fact_Events!$F$2:$F$20, "")</f>
        <v/>
      </c>
      <c r="K2450" t="str">
        <f t="shared" si="310"/>
        <v>Low</v>
      </c>
      <c r="L2450">
        <f t="shared" si="311"/>
        <v>0.55000000000000004</v>
      </c>
      <c r="M2450">
        <f>_xlfn.XLOOKUP(B2450, Dim_Hotel!$A$2:$A$11, Dim_Hotel!$I$2:$I$11)
 + (IF(J2450="",0,J2450)
    * _xlfn.XLOOKUP(B2450, Dim_Hotel!$A$2:$A$11, Dim_Hotel!$J$2:$J$11))</f>
        <v>185</v>
      </c>
    </row>
    <row r="2451" spans="1:13" x14ac:dyDescent="0.25">
      <c r="A2451" s="1">
        <f t="shared" si="304"/>
        <v>46267</v>
      </c>
      <c r="B2451" t="str" cm="1">
        <f t="array" ref="B2451">INDEX(HotelList,MOD(ROW()-2,10)+1)</f>
        <v>H010</v>
      </c>
      <c r="C2451">
        <f>_xlfn.XLOOKUP(B2451,Dim_Hotel!$A$2:$A$11,Dim_Hotel!$F$2:$F$11)</f>
        <v>89</v>
      </c>
      <c r="D2451">
        <f t="shared" si="305"/>
        <v>49</v>
      </c>
      <c r="E2451">
        <f t="shared" si="306"/>
        <v>0.550561797752809</v>
      </c>
      <c r="F2451">
        <f t="shared" si="307"/>
        <v>150</v>
      </c>
      <c r="G2451">
        <f t="shared" si="308"/>
        <v>82.584269662921344</v>
      </c>
      <c r="H2451" t="str">
        <f>_xlfn.XLOOKUP(A2451,Fact_Events!$D$2:$D$20,Fact_Events!$A$2:$A$20, "")</f>
        <v/>
      </c>
      <c r="I2451">
        <f t="shared" si="309"/>
        <v>0</v>
      </c>
      <c r="J2451" t="str">
        <f>_xlfn.XLOOKUP(H2451, Fact_Events!$A$2:$A$20, Fact_Events!$F$2:$F$20, "")</f>
        <v/>
      </c>
      <c r="K2451" t="str">
        <f t="shared" si="310"/>
        <v>Low</v>
      </c>
      <c r="L2451">
        <f t="shared" si="311"/>
        <v>0.55000000000000004</v>
      </c>
      <c r="M2451">
        <f>_xlfn.XLOOKUP(B2451, Dim_Hotel!$A$2:$A$11, Dim_Hotel!$I$2:$I$11)
 + (IF(J2451="",0,J2451)
    * _xlfn.XLOOKUP(B2451, Dim_Hotel!$A$2:$A$11, Dim_Hotel!$J$2:$J$11))</f>
        <v>150</v>
      </c>
    </row>
    <row r="2452" spans="1:13" x14ac:dyDescent="0.25">
      <c r="A2452" s="1">
        <f t="shared" si="304"/>
        <v>46268</v>
      </c>
      <c r="B2452" t="str" cm="1">
        <f t="array" ref="B2452">INDEX(HotelList,MOD(ROW()-2,10)+1)</f>
        <v>H001</v>
      </c>
      <c r="C2452">
        <f>_xlfn.XLOOKUP(B2452,Dim_Hotel!$A$2:$A$11,Dim_Hotel!$F$2:$F$11)</f>
        <v>888</v>
      </c>
      <c r="D2452">
        <f t="shared" si="305"/>
        <v>488</v>
      </c>
      <c r="E2452">
        <f t="shared" si="306"/>
        <v>0.5495495495495496</v>
      </c>
      <c r="F2452">
        <f t="shared" si="307"/>
        <v>260</v>
      </c>
      <c r="G2452">
        <f t="shared" si="308"/>
        <v>142.88288288288288</v>
      </c>
      <c r="H2452" t="str">
        <f>_xlfn.XLOOKUP(A2452,Fact_Events!$D$2:$D$20,Fact_Events!$A$2:$A$20, "")</f>
        <v/>
      </c>
      <c r="I2452">
        <f t="shared" si="309"/>
        <v>0</v>
      </c>
      <c r="J2452" t="str">
        <f>_xlfn.XLOOKUP(H2452, Fact_Events!$A$2:$A$20, Fact_Events!$F$2:$F$20, "")</f>
        <v/>
      </c>
      <c r="K2452" t="str">
        <f t="shared" si="310"/>
        <v>Low</v>
      </c>
      <c r="L2452">
        <f t="shared" si="311"/>
        <v>0.55000000000000004</v>
      </c>
      <c r="M2452">
        <f>_xlfn.XLOOKUP(B2452, Dim_Hotel!$A$2:$A$11, Dim_Hotel!$I$2:$I$11)
 + (IF(J2452="",0,J2452)
    * _xlfn.XLOOKUP(B2452, Dim_Hotel!$A$2:$A$11, Dim_Hotel!$J$2:$J$11))</f>
        <v>260</v>
      </c>
    </row>
    <row r="2453" spans="1:13" x14ac:dyDescent="0.25">
      <c r="A2453" s="1">
        <f t="shared" si="304"/>
        <v>46268</v>
      </c>
      <c r="B2453" t="str" cm="1">
        <f t="array" ref="B2453">INDEX(HotelList,MOD(ROW()-2,10)+1)</f>
        <v>H002</v>
      </c>
      <c r="C2453">
        <f>_xlfn.XLOOKUP(B2453,Dim_Hotel!$A$2:$A$11,Dim_Hotel!$F$2:$F$11)</f>
        <v>147</v>
      </c>
      <c r="D2453">
        <f t="shared" si="305"/>
        <v>81</v>
      </c>
      <c r="E2453">
        <f t="shared" si="306"/>
        <v>0.55102040816326525</v>
      </c>
      <c r="F2453">
        <f t="shared" si="307"/>
        <v>175</v>
      </c>
      <c r="G2453">
        <f t="shared" si="308"/>
        <v>96.428571428571416</v>
      </c>
      <c r="H2453" t="str">
        <f>_xlfn.XLOOKUP(A2453,Fact_Events!$D$2:$D$20,Fact_Events!$A$2:$A$20, "")</f>
        <v/>
      </c>
      <c r="I2453">
        <f t="shared" si="309"/>
        <v>0</v>
      </c>
      <c r="J2453" t="str">
        <f>_xlfn.XLOOKUP(H2453, Fact_Events!$A$2:$A$20, Fact_Events!$F$2:$F$20, "")</f>
        <v/>
      </c>
      <c r="K2453" t="str">
        <f t="shared" si="310"/>
        <v>Low</v>
      </c>
      <c r="L2453">
        <f t="shared" si="311"/>
        <v>0.55000000000000004</v>
      </c>
      <c r="M2453">
        <f>_xlfn.XLOOKUP(B2453, Dim_Hotel!$A$2:$A$11, Dim_Hotel!$I$2:$I$11)
 + (IF(J2453="",0,J2453)
    * _xlfn.XLOOKUP(B2453, Dim_Hotel!$A$2:$A$11, Dim_Hotel!$J$2:$J$11))</f>
        <v>175</v>
      </c>
    </row>
    <row r="2454" spans="1:13" x14ac:dyDescent="0.25">
      <c r="A2454" s="1">
        <f t="shared" si="304"/>
        <v>46268</v>
      </c>
      <c r="B2454" t="str" cm="1">
        <f t="array" ref="B2454">INDEX(HotelList,MOD(ROW()-2,10)+1)</f>
        <v>H003</v>
      </c>
      <c r="C2454">
        <f>_xlfn.XLOOKUP(B2454,Dim_Hotel!$A$2:$A$11,Dim_Hotel!$F$2:$F$11)</f>
        <v>121</v>
      </c>
      <c r="D2454">
        <f t="shared" si="305"/>
        <v>67</v>
      </c>
      <c r="E2454">
        <f t="shared" si="306"/>
        <v>0.55371900826446285</v>
      </c>
      <c r="F2454">
        <f t="shared" si="307"/>
        <v>145</v>
      </c>
      <c r="G2454">
        <f t="shared" si="308"/>
        <v>80.289256198347118</v>
      </c>
      <c r="H2454" t="str">
        <f>_xlfn.XLOOKUP(A2454,Fact_Events!$D$2:$D$20,Fact_Events!$A$2:$A$20, "")</f>
        <v/>
      </c>
      <c r="I2454">
        <f t="shared" si="309"/>
        <v>0</v>
      </c>
      <c r="J2454" t="str">
        <f>_xlfn.XLOOKUP(H2454, Fact_Events!$A$2:$A$20, Fact_Events!$F$2:$F$20, "")</f>
        <v/>
      </c>
      <c r="K2454" t="str">
        <f t="shared" si="310"/>
        <v>Low</v>
      </c>
      <c r="L2454">
        <f t="shared" si="311"/>
        <v>0.55000000000000004</v>
      </c>
      <c r="M2454">
        <f>_xlfn.XLOOKUP(B2454, Dim_Hotel!$A$2:$A$11, Dim_Hotel!$I$2:$I$11)
 + (IF(J2454="",0,J2454)
    * _xlfn.XLOOKUP(B2454, Dim_Hotel!$A$2:$A$11, Dim_Hotel!$J$2:$J$11))</f>
        <v>145</v>
      </c>
    </row>
    <row r="2455" spans="1:13" x14ac:dyDescent="0.25">
      <c r="A2455" s="1">
        <f t="shared" si="304"/>
        <v>46268</v>
      </c>
      <c r="B2455" t="str" cm="1">
        <f t="array" ref="B2455">INDEX(HotelList,MOD(ROW()-2,10)+1)</f>
        <v>H004</v>
      </c>
      <c r="C2455">
        <f>_xlfn.XLOOKUP(B2455,Dim_Hotel!$A$2:$A$11,Dim_Hotel!$F$2:$F$11)</f>
        <v>108</v>
      </c>
      <c r="D2455">
        <f t="shared" si="305"/>
        <v>59</v>
      </c>
      <c r="E2455">
        <f t="shared" si="306"/>
        <v>0.54629629629629628</v>
      </c>
      <c r="F2455">
        <f t="shared" si="307"/>
        <v>135</v>
      </c>
      <c r="G2455">
        <f t="shared" si="308"/>
        <v>73.75</v>
      </c>
      <c r="H2455" t="str">
        <f>_xlfn.XLOOKUP(A2455,Fact_Events!$D$2:$D$20,Fact_Events!$A$2:$A$20, "")</f>
        <v/>
      </c>
      <c r="I2455">
        <f t="shared" si="309"/>
        <v>0</v>
      </c>
      <c r="J2455" t="str">
        <f>_xlfn.XLOOKUP(H2455, Fact_Events!$A$2:$A$20, Fact_Events!$F$2:$F$20, "")</f>
        <v/>
      </c>
      <c r="K2455" t="str">
        <f t="shared" si="310"/>
        <v>Low</v>
      </c>
      <c r="L2455">
        <f t="shared" si="311"/>
        <v>0.55000000000000004</v>
      </c>
      <c r="M2455">
        <f>_xlfn.XLOOKUP(B2455, Dim_Hotel!$A$2:$A$11, Dim_Hotel!$I$2:$I$11)
 + (IF(J2455="",0,J2455)
    * _xlfn.XLOOKUP(B2455, Dim_Hotel!$A$2:$A$11, Dim_Hotel!$J$2:$J$11))</f>
        <v>135</v>
      </c>
    </row>
    <row r="2456" spans="1:13" x14ac:dyDescent="0.25">
      <c r="A2456" s="1">
        <f t="shared" si="304"/>
        <v>46268</v>
      </c>
      <c r="B2456" t="str" cm="1">
        <f t="array" ref="B2456">INDEX(HotelList,MOD(ROW()-2,10)+1)</f>
        <v>H005</v>
      </c>
      <c r="C2456">
        <f>_xlfn.XLOOKUP(B2456,Dim_Hotel!$A$2:$A$11,Dim_Hotel!$F$2:$F$11)</f>
        <v>66</v>
      </c>
      <c r="D2456">
        <f t="shared" si="305"/>
        <v>36</v>
      </c>
      <c r="E2456">
        <f t="shared" si="306"/>
        <v>0.54545454545454541</v>
      </c>
      <c r="F2456">
        <f t="shared" si="307"/>
        <v>82</v>
      </c>
      <c r="G2456">
        <f t="shared" si="308"/>
        <v>44.727272727272727</v>
      </c>
      <c r="H2456" t="str">
        <f>_xlfn.XLOOKUP(A2456,Fact_Events!$D$2:$D$20,Fact_Events!$A$2:$A$20, "")</f>
        <v/>
      </c>
      <c r="I2456">
        <f t="shared" si="309"/>
        <v>0</v>
      </c>
      <c r="J2456" t="str">
        <f>_xlfn.XLOOKUP(H2456, Fact_Events!$A$2:$A$20, Fact_Events!$F$2:$F$20, "")</f>
        <v/>
      </c>
      <c r="K2456" t="str">
        <f t="shared" si="310"/>
        <v>Low</v>
      </c>
      <c r="L2456">
        <f t="shared" si="311"/>
        <v>0.55000000000000004</v>
      </c>
      <c r="M2456">
        <f>_xlfn.XLOOKUP(B2456, Dim_Hotel!$A$2:$A$11, Dim_Hotel!$I$2:$I$11)
 + (IF(J2456="",0,J2456)
    * _xlfn.XLOOKUP(B2456, Dim_Hotel!$A$2:$A$11, Dim_Hotel!$J$2:$J$11))</f>
        <v>82</v>
      </c>
    </row>
    <row r="2457" spans="1:13" x14ac:dyDescent="0.25">
      <c r="A2457" s="1">
        <f t="shared" si="304"/>
        <v>46268</v>
      </c>
      <c r="B2457" t="str" cm="1">
        <f t="array" ref="B2457">INDEX(HotelList,MOD(ROW()-2,10)+1)</f>
        <v>H006</v>
      </c>
      <c r="C2457">
        <f>_xlfn.XLOOKUP(B2457,Dim_Hotel!$A$2:$A$11,Dim_Hotel!$F$2:$F$11)</f>
        <v>311</v>
      </c>
      <c r="D2457">
        <f t="shared" si="305"/>
        <v>171</v>
      </c>
      <c r="E2457">
        <f t="shared" si="306"/>
        <v>0.54983922829581988</v>
      </c>
      <c r="F2457">
        <f t="shared" si="307"/>
        <v>190</v>
      </c>
      <c r="G2457">
        <f t="shared" si="308"/>
        <v>104.46945337620578</v>
      </c>
      <c r="H2457" t="str">
        <f>_xlfn.XLOOKUP(A2457,Fact_Events!$D$2:$D$20,Fact_Events!$A$2:$A$20, "")</f>
        <v/>
      </c>
      <c r="I2457">
        <f t="shared" si="309"/>
        <v>0</v>
      </c>
      <c r="J2457" t="str">
        <f>_xlfn.XLOOKUP(H2457, Fact_Events!$A$2:$A$20, Fact_Events!$F$2:$F$20, "")</f>
        <v/>
      </c>
      <c r="K2457" t="str">
        <f t="shared" si="310"/>
        <v>Low</v>
      </c>
      <c r="L2457">
        <f t="shared" si="311"/>
        <v>0.55000000000000004</v>
      </c>
      <c r="M2457">
        <f>_xlfn.XLOOKUP(B2457, Dim_Hotel!$A$2:$A$11, Dim_Hotel!$I$2:$I$11)
 + (IF(J2457="",0,J2457)
    * _xlfn.XLOOKUP(B2457, Dim_Hotel!$A$2:$A$11, Dim_Hotel!$J$2:$J$11))</f>
        <v>190</v>
      </c>
    </row>
    <row r="2458" spans="1:13" x14ac:dyDescent="0.25">
      <c r="A2458" s="1">
        <f t="shared" si="304"/>
        <v>46268</v>
      </c>
      <c r="B2458" t="str" cm="1">
        <f t="array" ref="B2458">INDEX(HotelList,MOD(ROW()-2,10)+1)</f>
        <v>H007</v>
      </c>
      <c r="C2458">
        <f>_xlfn.XLOOKUP(B2458,Dim_Hotel!$A$2:$A$11,Dim_Hotel!$F$2:$F$11)</f>
        <v>132</v>
      </c>
      <c r="D2458">
        <f t="shared" si="305"/>
        <v>73</v>
      </c>
      <c r="E2458">
        <f t="shared" si="306"/>
        <v>0.55303030303030298</v>
      </c>
      <c r="F2458">
        <f t="shared" si="307"/>
        <v>165</v>
      </c>
      <c r="G2458">
        <f t="shared" si="308"/>
        <v>91.249999999999986</v>
      </c>
      <c r="H2458" t="str">
        <f>_xlfn.XLOOKUP(A2458,Fact_Events!$D$2:$D$20,Fact_Events!$A$2:$A$20, "")</f>
        <v/>
      </c>
      <c r="I2458">
        <f t="shared" si="309"/>
        <v>0</v>
      </c>
      <c r="J2458" t="str">
        <f>_xlfn.XLOOKUP(H2458, Fact_Events!$A$2:$A$20, Fact_Events!$F$2:$F$20, "")</f>
        <v/>
      </c>
      <c r="K2458" t="str">
        <f t="shared" si="310"/>
        <v>Low</v>
      </c>
      <c r="L2458">
        <f t="shared" si="311"/>
        <v>0.55000000000000004</v>
      </c>
      <c r="M2458">
        <f>_xlfn.XLOOKUP(B2458, Dim_Hotel!$A$2:$A$11, Dim_Hotel!$I$2:$I$11)
 + (IF(J2458="",0,J2458)
    * _xlfn.XLOOKUP(B2458, Dim_Hotel!$A$2:$A$11, Dim_Hotel!$J$2:$J$11))</f>
        <v>165</v>
      </c>
    </row>
    <row r="2459" spans="1:13" x14ac:dyDescent="0.25">
      <c r="A2459" s="1">
        <f t="shared" si="304"/>
        <v>46268</v>
      </c>
      <c r="B2459" t="str" cm="1">
        <f t="array" ref="B2459">INDEX(HotelList,MOD(ROW()-2,10)+1)</f>
        <v>H008</v>
      </c>
      <c r="C2459">
        <f>_xlfn.XLOOKUP(B2459,Dim_Hotel!$A$2:$A$11,Dim_Hotel!$F$2:$F$11)</f>
        <v>103</v>
      </c>
      <c r="D2459">
        <f t="shared" si="305"/>
        <v>57</v>
      </c>
      <c r="E2459">
        <f t="shared" si="306"/>
        <v>0.55339805825242716</v>
      </c>
      <c r="F2459">
        <f t="shared" si="307"/>
        <v>140</v>
      </c>
      <c r="G2459">
        <f t="shared" si="308"/>
        <v>77.475728155339809</v>
      </c>
      <c r="H2459" t="str">
        <f>_xlfn.XLOOKUP(A2459,Fact_Events!$D$2:$D$20,Fact_Events!$A$2:$A$20, "")</f>
        <v/>
      </c>
      <c r="I2459">
        <f t="shared" si="309"/>
        <v>0</v>
      </c>
      <c r="J2459" t="str">
        <f>_xlfn.XLOOKUP(H2459, Fact_Events!$A$2:$A$20, Fact_Events!$F$2:$F$20, "")</f>
        <v/>
      </c>
      <c r="K2459" t="str">
        <f t="shared" si="310"/>
        <v>Low</v>
      </c>
      <c r="L2459">
        <f t="shared" si="311"/>
        <v>0.55000000000000004</v>
      </c>
      <c r="M2459">
        <f>_xlfn.XLOOKUP(B2459, Dim_Hotel!$A$2:$A$11, Dim_Hotel!$I$2:$I$11)
 + (IF(J2459="",0,J2459)
    * _xlfn.XLOOKUP(B2459, Dim_Hotel!$A$2:$A$11, Dim_Hotel!$J$2:$J$11))</f>
        <v>140</v>
      </c>
    </row>
    <row r="2460" spans="1:13" x14ac:dyDescent="0.25">
      <c r="A2460" s="1">
        <f t="shared" si="304"/>
        <v>46268</v>
      </c>
      <c r="B2460" t="str" cm="1">
        <f t="array" ref="B2460">INDEX(HotelList,MOD(ROW()-2,10)+1)</f>
        <v>H009</v>
      </c>
      <c r="C2460">
        <f>_xlfn.XLOOKUP(B2460,Dim_Hotel!$A$2:$A$11,Dim_Hotel!$F$2:$F$11)</f>
        <v>114</v>
      </c>
      <c r="D2460">
        <f t="shared" si="305"/>
        <v>63</v>
      </c>
      <c r="E2460">
        <f t="shared" si="306"/>
        <v>0.55263157894736847</v>
      </c>
      <c r="F2460">
        <f t="shared" si="307"/>
        <v>185</v>
      </c>
      <c r="G2460">
        <f t="shared" si="308"/>
        <v>102.23684210526316</v>
      </c>
      <c r="H2460" t="str">
        <f>_xlfn.XLOOKUP(A2460,Fact_Events!$D$2:$D$20,Fact_Events!$A$2:$A$20, "")</f>
        <v/>
      </c>
      <c r="I2460">
        <f t="shared" si="309"/>
        <v>0</v>
      </c>
      <c r="J2460" t="str">
        <f>_xlfn.XLOOKUP(H2460, Fact_Events!$A$2:$A$20, Fact_Events!$F$2:$F$20, "")</f>
        <v/>
      </c>
      <c r="K2460" t="str">
        <f t="shared" si="310"/>
        <v>Low</v>
      </c>
      <c r="L2460">
        <f t="shared" si="311"/>
        <v>0.55000000000000004</v>
      </c>
      <c r="M2460">
        <f>_xlfn.XLOOKUP(B2460, Dim_Hotel!$A$2:$A$11, Dim_Hotel!$I$2:$I$11)
 + (IF(J2460="",0,J2460)
    * _xlfn.XLOOKUP(B2460, Dim_Hotel!$A$2:$A$11, Dim_Hotel!$J$2:$J$11))</f>
        <v>185</v>
      </c>
    </row>
    <row r="2461" spans="1:13" x14ac:dyDescent="0.25">
      <c r="A2461" s="1">
        <f t="shared" si="304"/>
        <v>46268</v>
      </c>
      <c r="B2461" t="str" cm="1">
        <f t="array" ref="B2461">INDEX(HotelList,MOD(ROW()-2,10)+1)</f>
        <v>H010</v>
      </c>
      <c r="C2461">
        <f>_xlfn.XLOOKUP(B2461,Dim_Hotel!$A$2:$A$11,Dim_Hotel!$F$2:$F$11)</f>
        <v>89</v>
      </c>
      <c r="D2461">
        <f t="shared" si="305"/>
        <v>49</v>
      </c>
      <c r="E2461">
        <f t="shared" si="306"/>
        <v>0.550561797752809</v>
      </c>
      <c r="F2461">
        <f t="shared" si="307"/>
        <v>150</v>
      </c>
      <c r="G2461">
        <f t="shared" si="308"/>
        <v>82.584269662921344</v>
      </c>
      <c r="H2461" t="str">
        <f>_xlfn.XLOOKUP(A2461,Fact_Events!$D$2:$D$20,Fact_Events!$A$2:$A$20, "")</f>
        <v/>
      </c>
      <c r="I2461">
        <f t="shared" si="309"/>
        <v>0</v>
      </c>
      <c r="J2461" t="str">
        <f>_xlfn.XLOOKUP(H2461, Fact_Events!$A$2:$A$20, Fact_Events!$F$2:$F$20, "")</f>
        <v/>
      </c>
      <c r="K2461" t="str">
        <f t="shared" si="310"/>
        <v>Low</v>
      </c>
      <c r="L2461">
        <f t="shared" si="311"/>
        <v>0.55000000000000004</v>
      </c>
      <c r="M2461">
        <f>_xlfn.XLOOKUP(B2461, Dim_Hotel!$A$2:$A$11, Dim_Hotel!$I$2:$I$11)
 + (IF(J2461="",0,J2461)
    * _xlfn.XLOOKUP(B2461, Dim_Hotel!$A$2:$A$11, Dim_Hotel!$J$2:$J$11))</f>
        <v>150</v>
      </c>
    </row>
    <row r="2462" spans="1:13" x14ac:dyDescent="0.25">
      <c r="A2462" s="1">
        <f t="shared" si="304"/>
        <v>46269</v>
      </c>
      <c r="B2462" t="str" cm="1">
        <f t="array" ref="B2462">INDEX(HotelList,MOD(ROW()-2,10)+1)</f>
        <v>H001</v>
      </c>
      <c r="C2462">
        <f>_xlfn.XLOOKUP(B2462,Dim_Hotel!$A$2:$A$11,Dim_Hotel!$F$2:$F$11)</f>
        <v>888</v>
      </c>
      <c r="D2462">
        <f t="shared" si="305"/>
        <v>488</v>
      </c>
      <c r="E2462">
        <f t="shared" si="306"/>
        <v>0.5495495495495496</v>
      </c>
      <c r="F2462">
        <f t="shared" si="307"/>
        <v>260</v>
      </c>
      <c r="G2462">
        <f t="shared" si="308"/>
        <v>142.88288288288288</v>
      </c>
      <c r="H2462" t="str">
        <f>_xlfn.XLOOKUP(A2462,Fact_Events!$D$2:$D$20,Fact_Events!$A$2:$A$20, "")</f>
        <v/>
      </c>
      <c r="I2462">
        <f t="shared" si="309"/>
        <v>0</v>
      </c>
      <c r="J2462" t="str">
        <f>_xlfn.XLOOKUP(H2462, Fact_Events!$A$2:$A$20, Fact_Events!$F$2:$F$20, "")</f>
        <v/>
      </c>
      <c r="K2462" t="str">
        <f t="shared" si="310"/>
        <v>Low</v>
      </c>
      <c r="L2462">
        <f t="shared" si="311"/>
        <v>0.55000000000000004</v>
      </c>
      <c r="M2462">
        <f>_xlfn.XLOOKUP(B2462, Dim_Hotel!$A$2:$A$11, Dim_Hotel!$I$2:$I$11)
 + (IF(J2462="",0,J2462)
    * _xlfn.XLOOKUP(B2462, Dim_Hotel!$A$2:$A$11, Dim_Hotel!$J$2:$J$11))</f>
        <v>260</v>
      </c>
    </row>
    <row r="2463" spans="1:13" x14ac:dyDescent="0.25">
      <c r="A2463" s="1">
        <f t="shared" si="304"/>
        <v>46269</v>
      </c>
      <c r="B2463" t="str" cm="1">
        <f t="array" ref="B2463">INDEX(HotelList,MOD(ROW()-2,10)+1)</f>
        <v>H002</v>
      </c>
      <c r="C2463">
        <f>_xlfn.XLOOKUP(B2463,Dim_Hotel!$A$2:$A$11,Dim_Hotel!$F$2:$F$11)</f>
        <v>147</v>
      </c>
      <c r="D2463">
        <f t="shared" si="305"/>
        <v>81</v>
      </c>
      <c r="E2463">
        <f t="shared" si="306"/>
        <v>0.55102040816326525</v>
      </c>
      <c r="F2463">
        <f t="shared" si="307"/>
        <v>175</v>
      </c>
      <c r="G2463">
        <f t="shared" si="308"/>
        <v>96.428571428571416</v>
      </c>
      <c r="H2463" t="str">
        <f>_xlfn.XLOOKUP(A2463,Fact_Events!$D$2:$D$20,Fact_Events!$A$2:$A$20, "")</f>
        <v/>
      </c>
      <c r="I2463">
        <f t="shared" si="309"/>
        <v>0</v>
      </c>
      <c r="J2463" t="str">
        <f>_xlfn.XLOOKUP(H2463, Fact_Events!$A$2:$A$20, Fact_Events!$F$2:$F$20, "")</f>
        <v/>
      </c>
      <c r="K2463" t="str">
        <f t="shared" si="310"/>
        <v>Low</v>
      </c>
      <c r="L2463">
        <f t="shared" si="311"/>
        <v>0.55000000000000004</v>
      </c>
      <c r="M2463">
        <f>_xlfn.XLOOKUP(B2463, Dim_Hotel!$A$2:$A$11, Dim_Hotel!$I$2:$I$11)
 + (IF(J2463="",0,J2463)
    * _xlfn.XLOOKUP(B2463, Dim_Hotel!$A$2:$A$11, Dim_Hotel!$J$2:$J$11))</f>
        <v>175</v>
      </c>
    </row>
    <row r="2464" spans="1:13" x14ac:dyDescent="0.25">
      <c r="A2464" s="1">
        <f t="shared" si="304"/>
        <v>46269</v>
      </c>
      <c r="B2464" t="str" cm="1">
        <f t="array" ref="B2464">INDEX(HotelList,MOD(ROW()-2,10)+1)</f>
        <v>H003</v>
      </c>
      <c r="C2464">
        <f>_xlfn.XLOOKUP(B2464,Dim_Hotel!$A$2:$A$11,Dim_Hotel!$F$2:$F$11)</f>
        <v>121</v>
      </c>
      <c r="D2464">
        <f t="shared" si="305"/>
        <v>67</v>
      </c>
      <c r="E2464">
        <f t="shared" si="306"/>
        <v>0.55371900826446285</v>
      </c>
      <c r="F2464">
        <f t="shared" si="307"/>
        <v>145</v>
      </c>
      <c r="G2464">
        <f t="shared" si="308"/>
        <v>80.289256198347118</v>
      </c>
      <c r="H2464" t="str">
        <f>_xlfn.XLOOKUP(A2464,Fact_Events!$D$2:$D$20,Fact_Events!$A$2:$A$20, "")</f>
        <v/>
      </c>
      <c r="I2464">
        <f t="shared" si="309"/>
        <v>0</v>
      </c>
      <c r="J2464" t="str">
        <f>_xlfn.XLOOKUP(H2464, Fact_Events!$A$2:$A$20, Fact_Events!$F$2:$F$20, "")</f>
        <v/>
      </c>
      <c r="K2464" t="str">
        <f t="shared" si="310"/>
        <v>Low</v>
      </c>
      <c r="L2464">
        <f t="shared" si="311"/>
        <v>0.55000000000000004</v>
      </c>
      <c r="M2464">
        <f>_xlfn.XLOOKUP(B2464, Dim_Hotel!$A$2:$A$11, Dim_Hotel!$I$2:$I$11)
 + (IF(J2464="",0,J2464)
    * _xlfn.XLOOKUP(B2464, Dim_Hotel!$A$2:$A$11, Dim_Hotel!$J$2:$J$11))</f>
        <v>145</v>
      </c>
    </row>
    <row r="2465" spans="1:13" x14ac:dyDescent="0.25">
      <c r="A2465" s="1">
        <f t="shared" si="304"/>
        <v>46269</v>
      </c>
      <c r="B2465" t="str" cm="1">
        <f t="array" ref="B2465">INDEX(HotelList,MOD(ROW()-2,10)+1)</f>
        <v>H004</v>
      </c>
      <c r="C2465">
        <f>_xlfn.XLOOKUP(B2465,Dim_Hotel!$A$2:$A$11,Dim_Hotel!$F$2:$F$11)</f>
        <v>108</v>
      </c>
      <c r="D2465">
        <f t="shared" si="305"/>
        <v>59</v>
      </c>
      <c r="E2465">
        <f t="shared" si="306"/>
        <v>0.54629629629629628</v>
      </c>
      <c r="F2465">
        <f t="shared" si="307"/>
        <v>135</v>
      </c>
      <c r="G2465">
        <f t="shared" si="308"/>
        <v>73.75</v>
      </c>
      <c r="H2465" t="str">
        <f>_xlfn.XLOOKUP(A2465,Fact_Events!$D$2:$D$20,Fact_Events!$A$2:$A$20, "")</f>
        <v/>
      </c>
      <c r="I2465">
        <f t="shared" si="309"/>
        <v>0</v>
      </c>
      <c r="J2465" t="str">
        <f>_xlfn.XLOOKUP(H2465, Fact_Events!$A$2:$A$20, Fact_Events!$F$2:$F$20, "")</f>
        <v/>
      </c>
      <c r="K2465" t="str">
        <f t="shared" si="310"/>
        <v>Low</v>
      </c>
      <c r="L2465">
        <f t="shared" si="311"/>
        <v>0.55000000000000004</v>
      </c>
      <c r="M2465">
        <f>_xlfn.XLOOKUP(B2465, Dim_Hotel!$A$2:$A$11, Dim_Hotel!$I$2:$I$11)
 + (IF(J2465="",0,J2465)
    * _xlfn.XLOOKUP(B2465, Dim_Hotel!$A$2:$A$11, Dim_Hotel!$J$2:$J$11))</f>
        <v>135</v>
      </c>
    </row>
    <row r="2466" spans="1:13" x14ac:dyDescent="0.25">
      <c r="A2466" s="1">
        <f t="shared" si="304"/>
        <v>46269</v>
      </c>
      <c r="B2466" t="str" cm="1">
        <f t="array" ref="B2466">INDEX(HotelList,MOD(ROW()-2,10)+1)</f>
        <v>H005</v>
      </c>
      <c r="C2466">
        <f>_xlfn.XLOOKUP(B2466,Dim_Hotel!$A$2:$A$11,Dim_Hotel!$F$2:$F$11)</f>
        <v>66</v>
      </c>
      <c r="D2466">
        <f t="shared" si="305"/>
        <v>36</v>
      </c>
      <c r="E2466">
        <f t="shared" si="306"/>
        <v>0.54545454545454541</v>
      </c>
      <c r="F2466">
        <f t="shared" si="307"/>
        <v>82</v>
      </c>
      <c r="G2466">
        <f t="shared" si="308"/>
        <v>44.727272727272727</v>
      </c>
      <c r="H2466" t="str">
        <f>_xlfn.XLOOKUP(A2466,Fact_Events!$D$2:$D$20,Fact_Events!$A$2:$A$20, "")</f>
        <v/>
      </c>
      <c r="I2466">
        <f t="shared" si="309"/>
        <v>0</v>
      </c>
      <c r="J2466" t="str">
        <f>_xlfn.XLOOKUP(H2466, Fact_Events!$A$2:$A$20, Fact_Events!$F$2:$F$20, "")</f>
        <v/>
      </c>
      <c r="K2466" t="str">
        <f t="shared" si="310"/>
        <v>Low</v>
      </c>
      <c r="L2466">
        <f t="shared" si="311"/>
        <v>0.55000000000000004</v>
      </c>
      <c r="M2466">
        <f>_xlfn.XLOOKUP(B2466, Dim_Hotel!$A$2:$A$11, Dim_Hotel!$I$2:$I$11)
 + (IF(J2466="",0,J2466)
    * _xlfn.XLOOKUP(B2466, Dim_Hotel!$A$2:$A$11, Dim_Hotel!$J$2:$J$11))</f>
        <v>82</v>
      </c>
    </row>
    <row r="2467" spans="1:13" x14ac:dyDescent="0.25">
      <c r="A2467" s="1">
        <f t="shared" si="304"/>
        <v>46269</v>
      </c>
      <c r="B2467" t="str" cm="1">
        <f t="array" ref="B2467">INDEX(HotelList,MOD(ROW()-2,10)+1)</f>
        <v>H006</v>
      </c>
      <c r="C2467">
        <f>_xlfn.XLOOKUP(B2467,Dim_Hotel!$A$2:$A$11,Dim_Hotel!$F$2:$F$11)</f>
        <v>311</v>
      </c>
      <c r="D2467">
        <f t="shared" si="305"/>
        <v>171</v>
      </c>
      <c r="E2467">
        <f t="shared" si="306"/>
        <v>0.54983922829581988</v>
      </c>
      <c r="F2467">
        <f t="shared" si="307"/>
        <v>190</v>
      </c>
      <c r="G2467">
        <f t="shared" si="308"/>
        <v>104.46945337620578</v>
      </c>
      <c r="H2467" t="str">
        <f>_xlfn.XLOOKUP(A2467,Fact_Events!$D$2:$D$20,Fact_Events!$A$2:$A$20, "")</f>
        <v/>
      </c>
      <c r="I2467">
        <f t="shared" si="309"/>
        <v>0</v>
      </c>
      <c r="J2467" t="str">
        <f>_xlfn.XLOOKUP(H2467, Fact_Events!$A$2:$A$20, Fact_Events!$F$2:$F$20, "")</f>
        <v/>
      </c>
      <c r="K2467" t="str">
        <f t="shared" si="310"/>
        <v>Low</v>
      </c>
      <c r="L2467">
        <f t="shared" si="311"/>
        <v>0.55000000000000004</v>
      </c>
      <c r="M2467">
        <f>_xlfn.XLOOKUP(B2467, Dim_Hotel!$A$2:$A$11, Dim_Hotel!$I$2:$I$11)
 + (IF(J2467="",0,J2467)
    * _xlfn.XLOOKUP(B2467, Dim_Hotel!$A$2:$A$11, Dim_Hotel!$J$2:$J$11))</f>
        <v>190</v>
      </c>
    </row>
    <row r="2468" spans="1:13" x14ac:dyDescent="0.25">
      <c r="A2468" s="1">
        <f t="shared" si="304"/>
        <v>46269</v>
      </c>
      <c r="B2468" t="str" cm="1">
        <f t="array" ref="B2468">INDEX(HotelList,MOD(ROW()-2,10)+1)</f>
        <v>H007</v>
      </c>
      <c r="C2468">
        <f>_xlfn.XLOOKUP(B2468,Dim_Hotel!$A$2:$A$11,Dim_Hotel!$F$2:$F$11)</f>
        <v>132</v>
      </c>
      <c r="D2468">
        <f t="shared" si="305"/>
        <v>73</v>
      </c>
      <c r="E2468">
        <f t="shared" si="306"/>
        <v>0.55303030303030298</v>
      </c>
      <c r="F2468">
        <f t="shared" si="307"/>
        <v>165</v>
      </c>
      <c r="G2468">
        <f t="shared" si="308"/>
        <v>91.249999999999986</v>
      </c>
      <c r="H2468" t="str">
        <f>_xlfn.XLOOKUP(A2468,Fact_Events!$D$2:$D$20,Fact_Events!$A$2:$A$20, "")</f>
        <v/>
      </c>
      <c r="I2468">
        <f t="shared" si="309"/>
        <v>0</v>
      </c>
      <c r="J2468" t="str">
        <f>_xlfn.XLOOKUP(H2468, Fact_Events!$A$2:$A$20, Fact_Events!$F$2:$F$20, "")</f>
        <v/>
      </c>
      <c r="K2468" t="str">
        <f t="shared" si="310"/>
        <v>Low</v>
      </c>
      <c r="L2468">
        <f t="shared" si="311"/>
        <v>0.55000000000000004</v>
      </c>
      <c r="M2468">
        <f>_xlfn.XLOOKUP(B2468, Dim_Hotel!$A$2:$A$11, Dim_Hotel!$I$2:$I$11)
 + (IF(J2468="",0,J2468)
    * _xlfn.XLOOKUP(B2468, Dim_Hotel!$A$2:$A$11, Dim_Hotel!$J$2:$J$11))</f>
        <v>165</v>
      </c>
    </row>
    <row r="2469" spans="1:13" x14ac:dyDescent="0.25">
      <c r="A2469" s="1">
        <f t="shared" si="304"/>
        <v>46269</v>
      </c>
      <c r="B2469" t="str" cm="1">
        <f t="array" ref="B2469">INDEX(HotelList,MOD(ROW()-2,10)+1)</f>
        <v>H008</v>
      </c>
      <c r="C2469">
        <f>_xlfn.XLOOKUP(B2469,Dim_Hotel!$A$2:$A$11,Dim_Hotel!$F$2:$F$11)</f>
        <v>103</v>
      </c>
      <c r="D2469">
        <f t="shared" si="305"/>
        <v>57</v>
      </c>
      <c r="E2469">
        <f t="shared" si="306"/>
        <v>0.55339805825242716</v>
      </c>
      <c r="F2469">
        <f t="shared" si="307"/>
        <v>140</v>
      </c>
      <c r="G2469">
        <f t="shared" si="308"/>
        <v>77.475728155339809</v>
      </c>
      <c r="H2469" t="str">
        <f>_xlfn.XLOOKUP(A2469,Fact_Events!$D$2:$D$20,Fact_Events!$A$2:$A$20, "")</f>
        <v/>
      </c>
      <c r="I2469">
        <f t="shared" si="309"/>
        <v>0</v>
      </c>
      <c r="J2469" t="str">
        <f>_xlfn.XLOOKUP(H2469, Fact_Events!$A$2:$A$20, Fact_Events!$F$2:$F$20, "")</f>
        <v/>
      </c>
      <c r="K2469" t="str">
        <f t="shared" si="310"/>
        <v>Low</v>
      </c>
      <c r="L2469">
        <f t="shared" si="311"/>
        <v>0.55000000000000004</v>
      </c>
      <c r="M2469">
        <f>_xlfn.XLOOKUP(B2469, Dim_Hotel!$A$2:$A$11, Dim_Hotel!$I$2:$I$11)
 + (IF(J2469="",0,J2469)
    * _xlfn.XLOOKUP(B2469, Dim_Hotel!$A$2:$A$11, Dim_Hotel!$J$2:$J$11))</f>
        <v>140</v>
      </c>
    </row>
    <row r="2470" spans="1:13" x14ac:dyDescent="0.25">
      <c r="A2470" s="1">
        <f t="shared" si="304"/>
        <v>46269</v>
      </c>
      <c r="B2470" t="str" cm="1">
        <f t="array" ref="B2470">INDEX(HotelList,MOD(ROW()-2,10)+1)</f>
        <v>H009</v>
      </c>
      <c r="C2470">
        <f>_xlfn.XLOOKUP(B2470,Dim_Hotel!$A$2:$A$11,Dim_Hotel!$F$2:$F$11)</f>
        <v>114</v>
      </c>
      <c r="D2470">
        <f t="shared" si="305"/>
        <v>63</v>
      </c>
      <c r="E2470">
        <f t="shared" si="306"/>
        <v>0.55263157894736847</v>
      </c>
      <c r="F2470">
        <f t="shared" si="307"/>
        <v>185</v>
      </c>
      <c r="G2470">
        <f t="shared" si="308"/>
        <v>102.23684210526316</v>
      </c>
      <c r="H2470" t="str">
        <f>_xlfn.XLOOKUP(A2470,Fact_Events!$D$2:$D$20,Fact_Events!$A$2:$A$20, "")</f>
        <v/>
      </c>
      <c r="I2470">
        <f t="shared" si="309"/>
        <v>0</v>
      </c>
      <c r="J2470" t="str">
        <f>_xlfn.XLOOKUP(H2470, Fact_Events!$A$2:$A$20, Fact_Events!$F$2:$F$20, "")</f>
        <v/>
      </c>
      <c r="K2470" t="str">
        <f t="shared" si="310"/>
        <v>Low</v>
      </c>
      <c r="L2470">
        <f t="shared" si="311"/>
        <v>0.55000000000000004</v>
      </c>
      <c r="M2470">
        <f>_xlfn.XLOOKUP(B2470, Dim_Hotel!$A$2:$A$11, Dim_Hotel!$I$2:$I$11)
 + (IF(J2470="",0,J2470)
    * _xlfn.XLOOKUP(B2470, Dim_Hotel!$A$2:$A$11, Dim_Hotel!$J$2:$J$11))</f>
        <v>185</v>
      </c>
    </row>
    <row r="2471" spans="1:13" x14ac:dyDescent="0.25">
      <c r="A2471" s="1">
        <f t="shared" si="304"/>
        <v>46269</v>
      </c>
      <c r="B2471" t="str" cm="1">
        <f t="array" ref="B2471">INDEX(HotelList,MOD(ROW()-2,10)+1)</f>
        <v>H010</v>
      </c>
      <c r="C2471">
        <f>_xlfn.XLOOKUP(B2471,Dim_Hotel!$A$2:$A$11,Dim_Hotel!$F$2:$F$11)</f>
        <v>89</v>
      </c>
      <c r="D2471">
        <f t="shared" si="305"/>
        <v>49</v>
      </c>
      <c r="E2471">
        <f t="shared" si="306"/>
        <v>0.550561797752809</v>
      </c>
      <c r="F2471">
        <f t="shared" si="307"/>
        <v>150</v>
      </c>
      <c r="G2471">
        <f t="shared" si="308"/>
        <v>82.584269662921344</v>
      </c>
      <c r="H2471" t="str">
        <f>_xlfn.XLOOKUP(A2471,Fact_Events!$D$2:$D$20,Fact_Events!$A$2:$A$20, "")</f>
        <v/>
      </c>
      <c r="I2471">
        <f t="shared" si="309"/>
        <v>0</v>
      </c>
      <c r="J2471" t="str">
        <f>_xlfn.XLOOKUP(H2471, Fact_Events!$A$2:$A$20, Fact_Events!$F$2:$F$20, "")</f>
        <v/>
      </c>
      <c r="K2471" t="str">
        <f t="shared" si="310"/>
        <v>Low</v>
      </c>
      <c r="L2471">
        <f t="shared" si="311"/>
        <v>0.55000000000000004</v>
      </c>
      <c r="M2471">
        <f>_xlfn.XLOOKUP(B2471, Dim_Hotel!$A$2:$A$11, Dim_Hotel!$I$2:$I$11)
 + (IF(J2471="",0,J2471)
    * _xlfn.XLOOKUP(B2471, Dim_Hotel!$A$2:$A$11, Dim_Hotel!$J$2:$J$11))</f>
        <v>150</v>
      </c>
    </row>
    <row r="2472" spans="1:13" x14ac:dyDescent="0.25">
      <c r="A2472" s="1">
        <f t="shared" si="304"/>
        <v>46270</v>
      </c>
      <c r="B2472" t="str" cm="1">
        <f t="array" ref="B2472">INDEX(HotelList,MOD(ROW()-2,10)+1)</f>
        <v>H001</v>
      </c>
      <c r="C2472">
        <f>_xlfn.XLOOKUP(B2472,Dim_Hotel!$A$2:$A$11,Dim_Hotel!$F$2:$F$11)</f>
        <v>888</v>
      </c>
      <c r="D2472">
        <f t="shared" si="305"/>
        <v>488</v>
      </c>
      <c r="E2472">
        <f t="shared" si="306"/>
        <v>0.5495495495495496</v>
      </c>
      <c r="F2472">
        <f t="shared" si="307"/>
        <v>260</v>
      </c>
      <c r="G2472">
        <f t="shared" si="308"/>
        <v>142.88288288288288</v>
      </c>
      <c r="H2472" t="str">
        <f>_xlfn.XLOOKUP(A2472,Fact_Events!$D$2:$D$20,Fact_Events!$A$2:$A$20, "")</f>
        <v/>
      </c>
      <c r="I2472">
        <f t="shared" si="309"/>
        <v>0</v>
      </c>
      <c r="J2472" t="str">
        <f>_xlfn.XLOOKUP(H2472, Fact_Events!$A$2:$A$20, Fact_Events!$F$2:$F$20, "")</f>
        <v/>
      </c>
      <c r="K2472" t="str">
        <f t="shared" si="310"/>
        <v>Low</v>
      </c>
      <c r="L2472">
        <f t="shared" si="311"/>
        <v>0.55000000000000004</v>
      </c>
      <c r="M2472">
        <f>_xlfn.XLOOKUP(B2472, Dim_Hotel!$A$2:$A$11, Dim_Hotel!$I$2:$I$11)
 + (IF(J2472="",0,J2472)
    * _xlfn.XLOOKUP(B2472, Dim_Hotel!$A$2:$A$11, Dim_Hotel!$J$2:$J$11))</f>
        <v>260</v>
      </c>
    </row>
    <row r="2473" spans="1:13" x14ac:dyDescent="0.25">
      <c r="A2473" s="1">
        <f t="shared" si="304"/>
        <v>46270</v>
      </c>
      <c r="B2473" t="str" cm="1">
        <f t="array" ref="B2473">INDEX(HotelList,MOD(ROW()-2,10)+1)</f>
        <v>H002</v>
      </c>
      <c r="C2473">
        <f>_xlfn.XLOOKUP(B2473,Dim_Hotel!$A$2:$A$11,Dim_Hotel!$F$2:$F$11)</f>
        <v>147</v>
      </c>
      <c r="D2473">
        <f t="shared" si="305"/>
        <v>81</v>
      </c>
      <c r="E2473">
        <f t="shared" si="306"/>
        <v>0.55102040816326525</v>
      </c>
      <c r="F2473">
        <f t="shared" si="307"/>
        <v>175</v>
      </c>
      <c r="G2473">
        <f t="shared" si="308"/>
        <v>96.428571428571416</v>
      </c>
      <c r="H2473" t="str">
        <f>_xlfn.XLOOKUP(A2473,Fact_Events!$D$2:$D$20,Fact_Events!$A$2:$A$20, "")</f>
        <v/>
      </c>
      <c r="I2473">
        <f t="shared" si="309"/>
        <v>0</v>
      </c>
      <c r="J2473" t="str">
        <f>_xlfn.XLOOKUP(H2473, Fact_Events!$A$2:$A$20, Fact_Events!$F$2:$F$20, "")</f>
        <v/>
      </c>
      <c r="K2473" t="str">
        <f t="shared" si="310"/>
        <v>Low</v>
      </c>
      <c r="L2473">
        <f t="shared" si="311"/>
        <v>0.55000000000000004</v>
      </c>
      <c r="M2473">
        <f>_xlfn.XLOOKUP(B2473, Dim_Hotel!$A$2:$A$11, Dim_Hotel!$I$2:$I$11)
 + (IF(J2473="",0,J2473)
    * _xlfn.XLOOKUP(B2473, Dim_Hotel!$A$2:$A$11, Dim_Hotel!$J$2:$J$11))</f>
        <v>175</v>
      </c>
    </row>
    <row r="2474" spans="1:13" x14ac:dyDescent="0.25">
      <c r="A2474" s="1">
        <f t="shared" si="304"/>
        <v>46270</v>
      </c>
      <c r="B2474" t="str" cm="1">
        <f t="array" ref="B2474">INDEX(HotelList,MOD(ROW()-2,10)+1)</f>
        <v>H003</v>
      </c>
      <c r="C2474">
        <f>_xlfn.XLOOKUP(B2474,Dim_Hotel!$A$2:$A$11,Dim_Hotel!$F$2:$F$11)</f>
        <v>121</v>
      </c>
      <c r="D2474">
        <f t="shared" si="305"/>
        <v>67</v>
      </c>
      <c r="E2474">
        <f t="shared" si="306"/>
        <v>0.55371900826446285</v>
      </c>
      <c r="F2474">
        <f t="shared" si="307"/>
        <v>145</v>
      </c>
      <c r="G2474">
        <f t="shared" si="308"/>
        <v>80.289256198347118</v>
      </c>
      <c r="H2474" t="str">
        <f>_xlfn.XLOOKUP(A2474,Fact_Events!$D$2:$D$20,Fact_Events!$A$2:$A$20, "")</f>
        <v/>
      </c>
      <c r="I2474">
        <f t="shared" si="309"/>
        <v>0</v>
      </c>
      <c r="J2474" t="str">
        <f>_xlfn.XLOOKUP(H2474, Fact_Events!$A$2:$A$20, Fact_Events!$F$2:$F$20, "")</f>
        <v/>
      </c>
      <c r="K2474" t="str">
        <f t="shared" si="310"/>
        <v>Low</v>
      </c>
      <c r="L2474">
        <f t="shared" si="311"/>
        <v>0.55000000000000004</v>
      </c>
      <c r="M2474">
        <f>_xlfn.XLOOKUP(B2474, Dim_Hotel!$A$2:$A$11, Dim_Hotel!$I$2:$I$11)
 + (IF(J2474="",0,J2474)
    * _xlfn.XLOOKUP(B2474, Dim_Hotel!$A$2:$A$11, Dim_Hotel!$J$2:$J$11))</f>
        <v>145</v>
      </c>
    </row>
    <row r="2475" spans="1:13" x14ac:dyDescent="0.25">
      <c r="A2475" s="1">
        <f t="shared" si="304"/>
        <v>46270</v>
      </c>
      <c r="B2475" t="str" cm="1">
        <f t="array" ref="B2475">INDEX(HotelList,MOD(ROW()-2,10)+1)</f>
        <v>H004</v>
      </c>
      <c r="C2475">
        <f>_xlfn.XLOOKUP(B2475,Dim_Hotel!$A$2:$A$11,Dim_Hotel!$F$2:$F$11)</f>
        <v>108</v>
      </c>
      <c r="D2475">
        <f t="shared" si="305"/>
        <v>59</v>
      </c>
      <c r="E2475">
        <f t="shared" si="306"/>
        <v>0.54629629629629628</v>
      </c>
      <c r="F2475">
        <f t="shared" si="307"/>
        <v>135</v>
      </c>
      <c r="G2475">
        <f t="shared" si="308"/>
        <v>73.75</v>
      </c>
      <c r="H2475" t="str">
        <f>_xlfn.XLOOKUP(A2475,Fact_Events!$D$2:$D$20,Fact_Events!$A$2:$A$20, "")</f>
        <v/>
      </c>
      <c r="I2475">
        <f t="shared" si="309"/>
        <v>0</v>
      </c>
      <c r="J2475" t="str">
        <f>_xlfn.XLOOKUP(H2475, Fact_Events!$A$2:$A$20, Fact_Events!$F$2:$F$20, "")</f>
        <v/>
      </c>
      <c r="K2475" t="str">
        <f t="shared" si="310"/>
        <v>Low</v>
      </c>
      <c r="L2475">
        <f t="shared" si="311"/>
        <v>0.55000000000000004</v>
      </c>
      <c r="M2475">
        <f>_xlfn.XLOOKUP(B2475, Dim_Hotel!$A$2:$A$11, Dim_Hotel!$I$2:$I$11)
 + (IF(J2475="",0,J2475)
    * _xlfn.XLOOKUP(B2475, Dim_Hotel!$A$2:$A$11, Dim_Hotel!$J$2:$J$11))</f>
        <v>135</v>
      </c>
    </row>
    <row r="2476" spans="1:13" x14ac:dyDescent="0.25">
      <c r="A2476" s="1">
        <f t="shared" si="304"/>
        <v>46270</v>
      </c>
      <c r="B2476" t="str" cm="1">
        <f t="array" ref="B2476">INDEX(HotelList,MOD(ROW()-2,10)+1)</f>
        <v>H005</v>
      </c>
      <c r="C2476">
        <f>_xlfn.XLOOKUP(B2476,Dim_Hotel!$A$2:$A$11,Dim_Hotel!$F$2:$F$11)</f>
        <v>66</v>
      </c>
      <c r="D2476">
        <f t="shared" si="305"/>
        <v>36</v>
      </c>
      <c r="E2476">
        <f t="shared" si="306"/>
        <v>0.54545454545454541</v>
      </c>
      <c r="F2476">
        <f t="shared" si="307"/>
        <v>82</v>
      </c>
      <c r="G2476">
        <f t="shared" si="308"/>
        <v>44.727272727272727</v>
      </c>
      <c r="H2476" t="str">
        <f>_xlfn.XLOOKUP(A2476,Fact_Events!$D$2:$D$20,Fact_Events!$A$2:$A$20, "")</f>
        <v/>
      </c>
      <c r="I2476">
        <f t="shared" si="309"/>
        <v>0</v>
      </c>
      <c r="J2476" t="str">
        <f>_xlfn.XLOOKUP(H2476, Fact_Events!$A$2:$A$20, Fact_Events!$F$2:$F$20, "")</f>
        <v/>
      </c>
      <c r="K2476" t="str">
        <f t="shared" si="310"/>
        <v>Low</v>
      </c>
      <c r="L2476">
        <f t="shared" si="311"/>
        <v>0.55000000000000004</v>
      </c>
      <c r="M2476">
        <f>_xlfn.XLOOKUP(B2476, Dim_Hotel!$A$2:$A$11, Dim_Hotel!$I$2:$I$11)
 + (IF(J2476="",0,J2476)
    * _xlfn.XLOOKUP(B2476, Dim_Hotel!$A$2:$A$11, Dim_Hotel!$J$2:$J$11))</f>
        <v>82</v>
      </c>
    </row>
    <row r="2477" spans="1:13" x14ac:dyDescent="0.25">
      <c r="A2477" s="1">
        <f t="shared" si="304"/>
        <v>46270</v>
      </c>
      <c r="B2477" t="str" cm="1">
        <f t="array" ref="B2477">INDEX(HotelList,MOD(ROW()-2,10)+1)</f>
        <v>H006</v>
      </c>
      <c r="C2477">
        <f>_xlfn.XLOOKUP(B2477,Dim_Hotel!$A$2:$A$11,Dim_Hotel!$F$2:$F$11)</f>
        <v>311</v>
      </c>
      <c r="D2477">
        <f t="shared" si="305"/>
        <v>171</v>
      </c>
      <c r="E2477">
        <f t="shared" si="306"/>
        <v>0.54983922829581988</v>
      </c>
      <c r="F2477">
        <f t="shared" si="307"/>
        <v>190</v>
      </c>
      <c r="G2477">
        <f t="shared" si="308"/>
        <v>104.46945337620578</v>
      </c>
      <c r="H2477" t="str">
        <f>_xlfn.XLOOKUP(A2477,Fact_Events!$D$2:$D$20,Fact_Events!$A$2:$A$20, "")</f>
        <v/>
      </c>
      <c r="I2477">
        <f t="shared" si="309"/>
        <v>0</v>
      </c>
      <c r="J2477" t="str">
        <f>_xlfn.XLOOKUP(H2477, Fact_Events!$A$2:$A$20, Fact_Events!$F$2:$F$20, "")</f>
        <v/>
      </c>
      <c r="K2477" t="str">
        <f t="shared" si="310"/>
        <v>Low</v>
      </c>
      <c r="L2477">
        <f t="shared" si="311"/>
        <v>0.55000000000000004</v>
      </c>
      <c r="M2477">
        <f>_xlfn.XLOOKUP(B2477, Dim_Hotel!$A$2:$A$11, Dim_Hotel!$I$2:$I$11)
 + (IF(J2477="",0,J2477)
    * _xlfn.XLOOKUP(B2477, Dim_Hotel!$A$2:$A$11, Dim_Hotel!$J$2:$J$11))</f>
        <v>190</v>
      </c>
    </row>
    <row r="2478" spans="1:13" x14ac:dyDescent="0.25">
      <c r="A2478" s="1">
        <f t="shared" si="304"/>
        <v>46270</v>
      </c>
      <c r="B2478" t="str" cm="1">
        <f t="array" ref="B2478">INDEX(HotelList,MOD(ROW()-2,10)+1)</f>
        <v>H007</v>
      </c>
      <c r="C2478">
        <f>_xlfn.XLOOKUP(B2478,Dim_Hotel!$A$2:$A$11,Dim_Hotel!$F$2:$F$11)</f>
        <v>132</v>
      </c>
      <c r="D2478">
        <f t="shared" si="305"/>
        <v>73</v>
      </c>
      <c r="E2478">
        <f t="shared" si="306"/>
        <v>0.55303030303030298</v>
      </c>
      <c r="F2478">
        <f t="shared" si="307"/>
        <v>165</v>
      </c>
      <c r="G2478">
        <f t="shared" si="308"/>
        <v>91.249999999999986</v>
      </c>
      <c r="H2478" t="str">
        <f>_xlfn.XLOOKUP(A2478,Fact_Events!$D$2:$D$20,Fact_Events!$A$2:$A$20, "")</f>
        <v/>
      </c>
      <c r="I2478">
        <f t="shared" si="309"/>
        <v>0</v>
      </c>
      <c r="J2478" t="str">
        <f>_xlfn.XLOOKUP(H2478, Fact_Events!$A$2:$A$20, Fact_Events!$F$2:$F$20, "")</f>
        <v/>
      </c>
      <c r="K2478" t="str">
        <f t="shared" si="310"/>
        <v>Low</v>
      </c>
      <c r="L2478">
        <f t="shared" si="311"/>
        <v>0.55000000000000004</v>
      </c>
      <c r="M2478">
        <f>_xlfn.XLOOKUP(B2478, Dim_Hotel!$A$2:$A$11, Dim_Hotel!$I$2:$I$11)
 + (IF(J2478="",0,J2478)
    * _xlfn.XLOOKUP(B2478, Dim_Hotel!$A$2:$A$11, Dim_Hotel!$J$2:$J$11))</f>
        <v>165</v>
      </c>
    </row>
    <row r="2479" spans="1:13" x14ac:dyDescent="0.25">
      <c r="A2479" s="1">
        <f t="shared" si="304"/>
        <v>46270</v>
      </c>
      <c r="B2479" t="str" cm="1">
        <f t="array" ref="B2479">INDEX(HotelList,MOD(ROW()-2,10)+1)</f>
        <v>H008</v>
      </c>
      <c r="C2479">
        <f>_xlfn.XLOOKUP(B2479,Dim_Hotel!$A$2:$A$11,Dim_Hotel!$F$2:$F$11)</f>
        <v>103</v>
      </c>
      <c r="D2479">
        <f t="shared" si="305"/>
        <v>57</v>
      </c>
      <c r="E2479">
        <f t="shared" si="306"/>
        <v>0.55339805825242716</v>
      </c>
      <c r="F2479">
        <f t="shared" si="307"/>
        <v>140</v>
      </c>
      <c r="G2479">
        <f t="shared" si="308"/>
        <v>77.475728155339809</v>
      </c>
      <c r="H2479" t="str">
        <f>_xlfn.XLOOKUP(A2479,Fact_Events!$D$2:$D$20,Fact_Events!$A$2:$A$20, "")</f>
        <v/>
      </c>
      <c r="I2479">
        <f t="shared" si="309"/>
        <v>0</v>
      </c>
      <c r="J2479" t="str">
        <f>_xlfn.XLOOKUP(H2479, Fact_Events!$A$2:$A$20, Fact_Events!$F$2:$F$20, "")</f>
        <v/>
      </c>
      <c r="K2479" t="str">
        <f t="shared" si="310"/>
        <v>Low</v>
      </c>
      <c r="L2479">
        <f t="shared" si="311"/>
        <v>0.55000000000000004</v>
      </c>
      <c r="M2479">
        <f>_xlfn.XLOOKUP(B2479, Dim_Hotel!$A$2:$A$11, Dim_Hotel!$I$2:$I$11)
 + (IF(J2479="",0,J2479)
    * _xlfn.XLOOKUP(B2479, Dim_Hotel!$A$2:$A$11, Dim_Hotel!$J$2:$J$11))</f>
        <v>140</v>
      </c>
    </row>
    <row r="2480" spans="1:13" x14ac:dyDescent="0.25">
      <c r="A2480" s="1">
        <f t="shared" si="304"/>
        <v>46270</v>
      </c>
      <c r="B2480" t="str" cm="1">
        <f t="array" ref="B2480">INDEX(HotelList,MOD(ROW()-2,10)+1)</f>
        <v>H009</v>
      </c>
      <c r="C2480">
        <f>_xlfn.XLOOKUP(B2480,Dim_Hotel!$A$2:$A$11,Dim_Hotel!$F$2:$F$11)</f>
        <v>114</v>
      </c>
      <c r="D2480">
        <f t="shared" si="305"/>
        <v>63</v>
      </c>
      <c r="E2480">
        <f t="shared" si="306"/>
        <v>0.55263157894736847</v>
      </c>
      <c r="F2480">
        <f t="shared" si="307"/>
        <v>185</v>
      </c>
      <c r="G2480">
        <f t="shared" si="308"/>
        <v>102.23684210526316</v>
      </c>
      <c r="H2480" t="str">
        <f>_xlfn.XLOOKUP(A2480,Fact_Events!$D$2:$D$20,Fact_Events!$A$2:$A$20, "")</f>
        <v/>
      </c>
      <c r="I2480">
        <f t="shared" si="309"/>
        <v>0</v>
      </c>
      <c r="J2480" t="str">
        <f>_xlfn.XLOOKUP(H2480, Fact_Events!$A$2:$A$20, Fact_Events!$F$2:$F$20, "")</f>
        <v/>
      </c>
      <c r="K2480" t="str">
        <f t="shared" si="310"/>
        <v>Low</v>
      </c>
      <c r="L2480">
        <f t="shared" si="311"/>
        <v>0.55000000000000004</v>
      </c>
      <c r="M2480">
        <f>_xlfn.XLOOKUP(B2480, Dim_Hotel!$A$2:$A$11, Dim_Hotel!$I$2:$I$11)
 + (IF(J2480="",0,J2480)
    * _xlfn.XLOOKUP(B2480, Dim_Hotel!$A$2:$A$11, Dim_Hotel!$J$2:$J$11))</f>
        <v>185</v>
      </c>
    </row>
    <row r="2481" spans="1:13" x14ac:dyDescent="0.25">
      <c r="A2481" s="1">
        <f t="shared" si="304"/>
        <v>46270</v>
      </c>
      <c r="B2481" t="str" cm="1">
        <f t="array" ref="B2481">INDEX(HotelList,MOD(ROW()-2,10)+1)</f>
        <v>H010</v>
      </c>
      <c r="C2481">
        <f>_xlfn.XLOOKUP(B2481,Dim_Hotel!$A$2:$A$11,Dim_Hotel!$F$2:$F$11)</f>
        <v>89</v>
      </c>
      <c r="D2481">
        <f t="shared" si="305"/>
        <v>49</v>
      </c>
      <c r="E2481">
        <f t="shared" si="306"/>
        <v>0.550561797752809</v>
      </c>
      <c r="F2481">
        <f t="shared" si="307"/>
        <v>150</v>
      </c>
      <c r="G2481">
        <f t="shared" si="308"/>
        <v>82.584269662921344</v>
      </c>
      <c r="H2481" t="str">
        <f>_xlfn.XLOOKUP(A2481,Fact_Events!$D$2:$D$20,Fact_Events!$A$2:$A$20, "")</f>
        <v/>
      </c>
      <c r="I2481">
        <f t="shared" si="309"/>
        <v>0</v>
      </c>
      <c r="J2481" t="str">
        <f>_xlfn.XLOOKUP(H2481, Fact_Events!$A$2:$A$20, Fact_Events!$F$2:$F$20, "")</f>
        <v/>
      </c>
      <c r="K2481" t="str">
        <f t="shared" si="310"/>
        <v>Low</v>
      </c>
      <c r="L2481">
        <f t="shared" si="311"/>
        <v>0.55000000000000004</v>
      </c>
      <c r="M2481">
        <f>_xlfn.XLOOKUP(B2481, Dim_Hotel!$A$2:$A$11, Dim_Hotel!$I$2:$I$11)
 + (IF(J2481="",0,J2481)
    * _xlfn.XLOOKUP(B2481, Dim_Hotel!$A$2:$A$11, Dim_Hotel!$J$2:$J$11))</f>
        <v>150</v>
      </c>
    </row>
    <row r="2482" spans="1:13" x14ac:dyDescent="0.25">
      <c r="A2482" s="1">
        <f t="shared" si="304"/>
        <v>46271</v>
      </c>
      <c r="B2482" t="str" cm="1">
        <f t="array" ref="B2482">INDEX(HotelList,MOD(ROW()-2,10)+1)</f>
        <v>H001</v>
      </c>
      <c r="C2482">
        <f>_xlfn.XLOOKUP(B2482,Dim_Hotel!$A$2:$A$11,Dim_Hotel!$F$2:$F$11)</f>
        <v>888</v>
      </c>
      <c r="D2482">
        <f t="shared" si="305"/>
        <v>488</v>
      </c>
      <c r="E2482">
        <f t="shared" si="306"/>
        <v>0.5495495495495496</v>
      </c>
      <c r="F2482">
        <f t="shared" si="307"/>
        <v>260</v>
      </c>
      <c r="G2482">
        <f t="shared" si="308"/>
        <v>142.88288288288288</v>
      </c>
      <c r="H2482" t="str">
        <f>_xlfn.XLOOKUP(A2482,Fact_Events!$D$2:$D$20,Fact_Events!$A$2:$A$20, "")</f>
        <v/>
      </c>
      <c r="I2482">
        <f t="shared" si="309"/>
        <v>0</v>
      </c>
      <c r="J2482" t="str">
        <f>_xlfn.XLOOKUP(H2482, Fact_Events!$A$2:$A$20, Fact_Events!$F$2:$F$20, "")</f>
        <v/>
      </c>
      <c r="K2482" t="str">
        <f t="shared" si="310"/>
        <v>Low</v>
      </c>
      <c r="L2482">
        <f t="shared" si="311"/>
        <v>0.55000000000000004</v>
      </c>
      <c r="M2482">
        <f>_xlfn.XLOOKUP(B2482, Dim_Hotel!$A$2:$A$11, Dim_Hotel!$I$2:$I$11)
 + (IF(J2482="",0,J2482)
    * _xlfn.XLOOKUP(B2482, Dim_Hotel!$A$2:$A$11, Dim_Hotel!$J$2:$J$11))</f>
        <v>260</v>
      </c>
    </row>
    <row r="2483" spans="1:13" x14ac:dyDescent="0.25">
      <c r="A2483" s="1">
        <f t="shared" si="304"/>
        <v>46271</v>
      </c>
      <c r="B2483" t="str" cm="1">
        <f t="array" ref="B2483">INDEX(HotelList,MOD(ROW()-2,10)+1)</f>
        <v>H002</v>
      </c>
      <c r="C2483">
        <f>_xlfn.XLOOKUP(B2483,Dim_Hotel!$A$2:$A$11,Dim_Hotel!$F$2:$F$11)</f>
        <v>147</v>
      </c>
      <c r="D2483">
        <f t="shared" si="305"/>
        <v>81</v>
      </c>
      <c r="E2483">
        <f t="shared" si="306"/>
        <v>0.55102040816326525</v>
      </c>
      <c r="F2483">
        <f t="shared" si="307"/>
        <v>175</v>
      </c>
      <c r="G2483">
        <f t="shared" si="308"/>
        <v>96.428571428571416</v>
      </c>
      <c r="H2483" t="str">
        <f>_xlfn.XLOOKUP(A2483,Fact_Events!$D$2:$D$20,Fact_Events!$A$2:$A$20, "")</f>
        <v/>
      </c>
      <c r="I2483">
        <f t="shared" si="309"/>
        <v>0</v>
      </c>
      <c r="J2483" t="str">
        <f>_xlfn.XLOOKUP(H2483, Fact_Events!$A$2:$A$20, Fact_Events!$F$2:$F$20, "")</f>
        <v/>
      </c>
      <c r="K2483" t="str">
        <f t="shared" si="310"/>
        <v>Low</v>
      </c>
      <c r="L2483">
        <f t="shared" si="311"/>
        <v>0.55000000000000004</v>
      </c>
      <c r="M2483">
        <f>_xlfn.XLOOKUP(B2483, Dim_Hotel!$A$2:$A$11, Dim_Hotel!$I$2:$I$11)
 + (IF(J2483="",0,J2483)
    * _xlfn.XLOOKUP(B2483, Dim_Hotel!$A$2:$A$11, Dim_Hotel!$J$2:$J$11))</f>
        <v>175</v>
      </c>
    </row>
    <row r="2484" spans="1:13" x14ac:dyDescent="0.25">
      <c r="A2484" s="1">
        <f t="shared" si="304"/>
        <v>46271</v>
      </c>
      <c r="B2484" t="str" cm="1">
        <f t="array" ref="B2484">INDEX(HotelList,MOD(ROW()-2,10)+1)</f>
        <v>H003</v>
      </c>
      <c r="C2484">
        <f>_xlfn.XLOOKUP(B2484,Dim_Hotel!$A$2:$A$11,Dim_Hotel!$F$2:$F$11)</f>
        <v>121</v>
      </c>
      <c r="D2484">
        <f t="shared" si="305"/>
        <v>67</v>
      </c>
      <c r="E2484">
        <f t="shared" si="306"/>
        <v>0.55371900826446285</v>
      </c>
      <c r="F2484">
        <f t="shared" si="307"/>
        <v>145</v>
      </c>
      <c r="G2484">
        <f t="shared" si="308"/>
        <v>80.289256198347118</v>
      </c>
      <c r="H2484" t="str">
        <f>_xlfn.XLOOKUP(A2484,Fact_Events!$D$2:$D$20,Fact_Events!$A$2:$A$20, "")</f>
        <v/>
      </c>
      <c r="I2484">
        <f t="shared" si="309"/>
        <v>0</v>
      </c>
      <c r="J2484" t="str">
        <f>_xlfn.XLOOKUP(H2484, Fact_Events!$A$2:$A$20, Fact_Events!$F$2:$F$20, "")</f>
        <v/>
      </c>
      <c r="K2484" t="str">
        <f t="shared" si="310"/>
        <v>Low</v>
      </c>
      <c r="L2484">
        <f t="shared" si="311"/>
        <v>0.55000000000000004</v>
      </c>
      <c r="M2484">
        <f>_xlfn.XLOOKUP(B2484, Dim_Hotel!$A$2:$A$11, Dim_Hotel!$I$2:$I$11)
 + (IF(J2484="",0,J2484)
    * _xlfn.XLOOKUP(B2484, Dim_Hotel!$A$2:$A$11, Dim_Hotel!$J$2:$J$11))</f>
        <v>145</v>
      </c>
    </row>
    <row r="2485" spans="1:13" x14ac:dyDescent="0.25">
      <c r="A2485" s="1">
        <f t="shared" si="304"/>
        <v>46271</v>
      </c>
      <c r="B2485" t="str" cm="1">
        <f t="array" ref="B2485">INDEX(HotelList,MOD(ROW()-2,10)+1)</f>
        <v>H004</v>
      </c>
      <c r="C2485">
        <f>_xlfn.XLOOKUP(B2485,Dim_Hotel!$A$2:$A$11,Dim_Hotel!$F$2:$F$11)</f>
        <v>108</v>
      </c>
      <c r="D2485">
        <f t="shared" si="305"/>
        <v>59</v>
      </c>
      <c r="E2485">
        <f t="shared" si="306"/>
        <v>0.54629629629629628</v>
      </c>
      <c r="F2485">
        <f t="shared" si="307"/>
        <v>135</v>
      </c>
      <c r="G2485">
        <f t="shared" si="308"/>
        <v>73.75</v>
      </c>
      <c r="H2485" t="str">
        <f>_xlfn.XLOOKUP(A2485,Fact_Events!$D$2:$D$20,Fact_Events!$A$2:$A$20, "")</f>
        <v/>
      </c>
      <c r="I2485">
        <f t="shared" si="309"/>
        <v>0</v>
      </c>
      <c r="J2485" t="str">
        <f>_xlfn.XLOOKUP(H2485, Fact_Events!$A$2:$A$20, Fact_Events!$F$2:$F$20, "")</f>
        <v/>
      </c>
      <c r="K2485" t="str">
        <f t="shared" si="310"/>
        <v>Low</v>
      </c>
      <c r="L2485">
        <f t="shared" si="311"/>
        <v>0.55000000000000004</v>
      </c>
      <c r="M2485">
        <f>_xlfn.XLOOKUP(B2485, Dim_Hotel!$A$2:$A$11, Dim_Hotel!$I$2:$I$11)
 + (IF(J2485="",0,J2485)
    * _xlfn.XLOOKUP(B2485, Dim_Hotel!$A$2:$A$11, Dim_Hotel!$J$2:$J$11))</f>
        <v>135</v>
      </c>
    </row>
    <row r="2486" spans="1:13" x14ac:dyDescent="0.25">
      <c r="A2486" s="1">
        <f t="shared" si="304"/>
        <v>46271</v>
      </c>
      <c r="B2486" t="str" cm="1">
        <f t="array" ref="B2486">INDEX(HotelList,MOD(ROW()-2,10)+1)</f>
        <v>H005</v>
      </c>
      <c r="C2486">
        <f>_xlfn.XLOOKUP(B2486,Dim_Hotel!$A$2:$A$11,Dim_Hotel!$F$2:$F$11)</f>
        <v>66</v>
      </c>
      <c r="D2486">
        <f t="shared" si="305"/>
        <v>36</v>
      </c>
      <c r="E2486">
        <f t="shared" si="306"/>
        <v>0.54545454545454541</v>
      </c>
      <c r="F2486">
        <f t="shared" si="307"/>
        <v>82</v>
      </c>
      <c r="G2486">
        <f t="shared" si="308"/>
        <v>44.727272727272727</v>
      </c>
      <c r="H2486" t="str">
        <f>_xlfn.XLOOKUP(A2486,Fact_Events!$D$2:$D$20,Fact_Events!$A$2:$A$20, "")</f>
        <v/>
      </c>
      <c r="I2486">
        <f t="shared" si="309"/>
        <v>0</v>
      </c>
      <c r="J2486" t="str">
        <f>_xlfn.XLOOKUP(H2486, Fact_Events!$A$2:$A$20, Fact_Events!$F$2:$F$20, "")</f>
        <v/>
      </c>
      <c r="K2486" t="str">
        <f t="shared" si="310"/>
        <v>Low</v>
      </c>
      <c r="L2486">
        <f t="shared" si="311"/>
        <v>0.55000000000000004</v>
      </c>
      <c r="M2486">
        <f>_xlfn.XLOOKUP(B2486, Dim_Hotel!$A$2:$A$11, Dim_Hotel!$I$2:$I$11)
 + (IF(J2486="",0,J2486)
    * _xlfn.XLOOKUP(B2486, Dim_Hotel!$A$2:$A$11, Dim_Hotel!$J$2:$J$11))</f>
        <v>82</v>
      </c>
    </row>
    <row r="2487" spans="1:13" x14ac:dyDescent="0.25">
      <c r="A2487" s="1">
        <f t="shared" si="304"/>
        <v>46271</v>
      </c>
      <c r="B2487" t="str" cm="1">
        <f t="array" ref="B2487">INDEX(HotelList,MOD(ROW()-2,10)+1)</f>
        <v>H006</v>
      </c>
      <c r="C2487">
        <f>_xlfn.XLOOKUP(B2487,Dim_Hotel!$A$2:$A$11,Dim_Hotel!$F$2:$F$11)</f>
        <v>311</v>
      </c>
      <c r="D2487">
        <f t="shared" si="305"/>
        <v>171</v>
      </c>
      <c r="E2487">
        <f t="shared" si="306"/>
        <v>0.54983922829581988</v>
      </c>
      <c r="F2487">
        <f t="shared" si="307"/>
        <v>190</v>
      </c>
      <c r="G2487">
        <f t="shared" si="308"/>
        <v>104.46945337620578</v>
      </c>
      <c r="H2487" t="str">
        <f>_xlfn.XLOOKUP(A2487,Fact_Events!$D$2:$D$20,Fact_Events!$A$2:$A$20, "")</f>
        <v/>
      </c>
      <c r="I2487">
        <f t="shared" si="309"/>
        <v>0</v>
      </c>
      <c r="J2487" t="str">
        <f>_xlfn.XLOOKUP(H2487, Fact_Events!$A$2:$A$20, Fact_Events!$F$2:$F$20, "")</f>
        <v/>
      </c>
      <c r="K2487" t="str">
        <f t="shared" si="310"/>
        <v>Low</v>
      </c>
      <c r="L2487">
        <f t="shared" si="311"/>
        <v>0.55000000000000004</v>
      </c>
      <c r="M2487">
        <f>_xlfn.XLOOKUP(B2487, Dim_Hotel!$A$2:$A$11, Dim_Hotel!$I$2:$I$11)
 + (IF(J2487="",0,J2487)
    * _xlfn.XLOOKUP(B2487, Dim_Hotel!$A$2:$A$11, Dim_Hotel!$J$2:$J$11))</f>
        <v>190</v>
      </c>
    </row>
    <row r="2488" spans="1:13" x14ac:dyDescent="0.25">
      <c r="A2488" s="1">
        <f t="shared" si="304"/>
        <v>46271</v>
      </c>
      <c r="B2488" t="str" cm="1">
        <f t="array" ref="B2488">INDEX(HotelList,MOD(ROW()-2,10)+1)</f>
        <v>H007</v>
      </c>
      <c r="C2488">
        <f>_xlfn.XLOOKUP(B2488,Dim_Hotel!$A$2:$A$11,Dim_Hotel!$F$2:$F$11)</f>
        <v>132</v>
      </c>
      <c r="D2488">
        <f t="shared" si="305"/>
        <v>73</v>
      </c>
      <c r="E2488">
        <f t="shared" si="306"/>
        <v>0.55303030303030298</v>
      </c>
      <c r="F2488">
        <f t="shared" si="307"/>
        <v>165</v>
      </c>
      <c r="G2488">
        <f t="shared" si="308"/>
        <v>91.249999999999986</v>
      </c>
      <c r="H2488" t="str">
        <f>_xlfn.XLOOKUP(A2488,Fact_Events!$D$2:$D$20,Fact_Events!$A$2:$A$20, "")</f>
        <v/>
      </c>
      <c r="I2488">
        <f t="shared" si="309"/>
        <v>0</v>
      </c>
      <c r="J2488" t="str">
        <f>_xlfn.XLOOKUP(H2488, Fact_Events!$A$2:$A$20, Fact_Events!$F$2:$F$20, "")</f>
        <v/>
      </c>
      <c r="K2488" t="str">
        <f t="shared" si="310"/>
        <v>Low</v>
      </c>
      <c r="L2488">
        <f t="shared" si="311"/>
        <v>0.55000000000000004</v>
      </c>
      <c r="M2488">
        <f>_xlfn.XLOOKUP(B2488, Dim_Hotel!$A$2:$A$11, Dim_Hotel!$I$2:$I$11)
 + (IF(J2488="",0,J2488)
    * _xlfn.XLOOKUP(B2488, Dim_Hotel!$A$2:$A$11, Dim_Hotel!$J$2:$J$11))</f>
        <v>165</v>
      </c>
    </row>
    <row r="2489" spans="1:13" x14ac:dyDescent="0.25">
      <c r="A2489" s="1">
        <f t="shared" si="304"/>
        <v>46271</v>
      </c>
      <c r="B2489" t="str" cm="1">
        <f t="array" ref="B2489">INDEX(HotelList,MOD(ROW()-2,10)+1)</f>
        <v>H008</v>
      </c>
      <c r="C2489">
        <f>_xlfn.XLOOKUP(B2489,Dim_Hotel!$A$2:$A$11,Dim_Hotel!$F$2:$F$11)</f>
        <v>103</v>
      </c>
      <c r="D2489">
        <f t="shared" si="305"/>
        <v>57</v>
      </c>
      <c r="E2489">
        <f t="shared" si="306"/>
        <v>0.55339805825242716</v>
      </c>
      <c r="F2489">
        <f t="shared" si="307"/>
        <v>140</v>
      </c>
      <c r="G2489">
        <f t="shared" si="308"/>
        <v>77.475728155339809</v>
      </c>
      <c r="H2489" t="str">
        <f>_xlfn.XLOOKUP(A2489,Fact_Events!$D$2:$D$20,Fact_Events!$A$2:$A$20, "")</f>
        <v/>
      </c>
      <c r="I2489">
        <f t="shared" si="309"/>
        <v>0</v>
      </c>
      <c r="J2489" t="str">
        <f>_xlfn.XLOOKUP(H2489, Fact_Events!$A$2:$A$20, Fact_Events!$F$2:$F$20, "")</f>
        <v/>
      </c>
      <c r="K2489" t="str">
        <f t="shared" si="310"/>
        <v>Low</v>
      </c>
      <c r="L2489">
        <f t="shared" si="311"/>
        <v>0.55000000000000004</v>
      </c>
      <c r="M2489">
        <f>_xlfn.XLOOKUP(B2489, Dim_Hotel!$A$2:$A$11, Dim_Hotel!$I$2:$I$11)
 + (IF(J2489="",0,J2489)
    * _xlfn.XLOOKUP(B2489, Dim_Hotel!$A$2:$A$11, Dim_Hotel!$J$2:$J$11))</f>
        <v>140</v>
      </c>
    </row>
    <row r="2490" spans="1:13" x14ac:dyDescent="0.25">
      <c r="A2490" s="1">
        <f t="shared" si="304"/>
        <v>46271</v>
      </c>
      <c r="B2490" t="str" cm="1">
        <f t="array" ref="B2490">INDEX(HotelList,MOD(ROW()-2,10)+1)</f>
        <v>H009</v>
      </c>
      <c r="C2490">
        <f>_xlfn.XLOOKUP(B2490,Dim_Hotel!$A$2:$A$11,Dim_Hotel!$F$2:$F$11)</f>
        <v>114</v>
      </c>
      <c r="D2490">
        <f t="shared" si="305"/>
        <v>63</v>
      </c>
      <c r="E2490">
        <f t="shared" si="306"/>
        <v>0.55263157894736847</v>
      </c>
      <c r="F2490">
        <f t="shared" si="307"/>
        <v>185</v>
      </c>
      <c r="G2490">
        <f t="shared" si="308"/>
        <v>102.23684210526316</v>
      </c>
      <c r="H2490" t="str">
        <f>_xlfn.XLOOKUP(A2490,Fact_Events!$D$2:$D$20,Fact_Events!$A$2:$A$20, "")</f>
        <v/>
      </c>
      <c r="I2490">
        <f t="shared" si="309"/>
        <v>0</v>
      </c>
      <c r="J2490" t="str">
        <f>_xlfn.XLOOKUP(H2490, Fact_Events!$A$2:$A$20, Fact_Events!$F$2:$F$20, "")</f>
        <v/>
      </c>
      <c r="K2490" t="str">
        <f t="shared" si="310"/>
        <v>Low</v>
      </c>
      <c r="L2490">
        <f t="shared" si="311"/>
        <v>0.55000000000000004</v>
      </c>
      <c r="M2490">
        <f>_xlfn.XLOOKUP(B2490, Dim_Hotel!$A$2:$A$11, Dim_Hotel!$I$2:$I$11)
 + (IF(J2490="",0,J2490)
    * _xlfn.XLOOKUP(B2490, Dim_Hotel!$A$2:$A$11, Dim_Hotel!$J$2:$J$11))</f>
        <v>185</v>
      </c>
    </row>
    <row r="2491" spans="1:13" x14ac:dyDescent="0.25">
      <c r="A2491" s="1">
        <f t="shared" si="304"/>
        <v>46271</v>
      </c>
      <c r="B2491" t="str" cm="1">
        <f t="array" ref="B2491">INDEX(HotelList,MOD(ROW()-2,10)+1)</f>
        <v>H010</v>
      </c>
      <c r="C2491">
        <f>_xlfn.XLOOKUP(B2491,Dim_Hotel!$A$2:$A$11,Dim_Hotel!$F$2:$F$11)</f>
        <v>89</v>
      </c>
      <c r="D2491">
        <f t="shared" si="305"/>
        <v>49</v>
      </c>
      <c r="E2491">
        <f t="shared" si="306"/>
        <v>0.550561797752809</v>
      </c>
      <c r="F2491">
        <f t="shared" si="307"/>
        <v>150</v>
      </c>
      <c r="G2491">
        <f t="shared" si="308"/>
        <v>82.584269662921344</v>
      </c>
      <c r="H2491" t="str">
        <f>_xlfn.XLOOKUP(A2491,Fact_Events!$D$2:$D$20,Fact_Events!$A$2:$A$20, "")</f>
        <v/>
      </c>
      <c r="I2491">
        <f t="shared" si="309"/>
        <v>0</v>
      </c>
      <c r="J2491" t="str">
        <f>_xlfn.XLOOKUP(H2491, Fact_Events!$A$2:$A$20, Fact_Events!$F$2:$F$20, "")</f>
        <v/>
      </c>
      <c r="K2491" t="str">
        <f t="shared" si="310"/>
        <v>Low</v>
      </c>
      <c r="L2491">
        <f t="shared" si="311"/>
        <v>0.55000000000000004</v>
      </c>
      <c r="M2491">
        <f>_xlfn.XLOOKUP(B2491, Dim_Hotel!$A$2:$A$11, Dim_Hotel!$I$2:$I$11)
 + (IF(J2491="",0,J2491)
    * _xlfn.XLOOKUP(B2491, Dim_Hotel!$A$2:$A$11, Dim_Hotel!$J$2:$J$11))</f>
        <v>150</v>
      </c>
    </row>
    <row r="2492" spans="1:13" x14ac:dyDescent="0.25">
      <c r="A2492" s="1">
        <f t="shared" si="304"/>
        <v>46272</v>
      </c>
      <c r="B2492" t="str" cm="1">
        <f t="array" ref="B2492">INDEX(HotelList,MOD(ROW()-2,10)+1)</f>
        <v>H001</v>
      </c>
      <c r="C2492">
        <f>_xlfn.XLOOKUP(B2492,Dim_Hotel!$A$2:$A$11,Dim_Hotel!$F$2:$F$11)</f>
        <v>888</v>
      </c>
      <c r="D2492">
        <f t="shared" si="305"/>
        <v>488</v>
      </c>
      <c r="E2492">
        <f t="shared" si="306"/>
        <v>0.5495495495495496</v>
      </c>
      <c r="F2492">
        <f t="shared" si="307"/>
        <v>260</v>
      </c>
      <c r="G2492">
        <f t="shared" si="308"/>
        <v>142.88288288288288</v>
      </c>
      <c r="H2492" t="str">
        <f>_xlfn.XLOOKUP(A2492,Fact_Events!$D$2:$D$20,Fact_Events!$A$2:$A$20, "")</f>
        <v/>
      </c>
      <c r="I2492">
        <f t="shared" si="309"/>
        <v>0</v>
      </c>
      <c r="J2492" t="str">
        <f>_xlfn.XLOOKUP(H2492, Fact_Events!$A$2:$A$20, Fact_Events!$F$2:$F$20, "")</f>
        <v/>
      </c>
      <c r="K2492" t="str">
        <f t="shared" si="310"/>
        <v>Low</v>
      </c>
      <c r="L2492">
        <f t="shared" si="311"/>
        <v>0.55000000000000004</v>
      </c>
      <c r="M2492">
        <f>_xlfn.XLOOKUP(B2492, Dim_Hotel!$A$2:$A$11, Dim_Hotel!$I$2:$I$11)
 + (IF(J2492="",0,J2492)
    * _xlfn.XLOOKUP(B2492, Dim_Hotel!$A$2:$A$11, Dim_Hotel!$J$2:$J$11))</f>
        <v>260</v>
      </c>
    </row>
    <row r="2493" spans="1:13" x14ac:dyDescent="0.25">
      <c r="A2493" s="1">
        <f t="shared" si="304"/>
        <v>46272</v>
      </c>
      <c r="B2493" t="str" cm="1">
        <f t="array" ref="B2493">INDEX(HotelList,MOD(ROW()-2,10)+1)</f>
        <v>H002</v>
      </c>
      <c r="C2493">
        <f>_xlfn.XLOOKUP(B2493,Dim_Hotel!$A$2:$A$11,Dim_Hotel!$F$2:$F$11)</f>
        <v>147</v>
      </c>
      <c r="D2493">
        <f t="shared" si="305"/>
        <v>81</v>
      </c>
      <c r="E2493">
        <f t="shared" si="306"/>
        <v>0.55102040816326525</v>
      </c>
      <c r="F2493">
        <f t="shared" si="307"/>
        <v>175</v>
      </c>
      <c r="G2493">
        <f t="shared" si="308"/>
        <v>96.428571428571416</v>
      </c>
      <c r="H2493" t="str">
        <f>_xlfn.XLOOKUP(A2493,Fact_Events!$D$2:$D$20,Fact_Events!$A$2:$A$20, "")</f>
        <v/>
      </c>
      <c r="I2493">
        <f t="shared" si="309"/>
        <v>0</v>
      </c>
      <c r="J2493" t="str">
        <f>_xlfn.XLOOKUP(H2493, Fact_Events!$A$2:$A$20, Fact_Events!$F$2:$F$20, "")</f>
        <v/>
      </c>
      <c r="K2493" t="str">
        <f t="shared" si="310"/>
        <v>Low</v>
      </c>
      <c r="L2493">
        <f t="shared" si="311"/>
        <v>0.55000000000000004</v>
      </c>
      <c r="M2493">
        <f>_xlfn.XLOOKUP(B2493, Dim_Hotel!$A$2:$A$11, Dim_Hotel!$I$2:$I$11)
 + (IF(J2493="",0,J2493)
    * _xlfn.XLOOKUP(B2493, Dim_Hotel!$A$2:$A$11, Dim_Hotel!$J$2:$J$11))</f>
        <v>175</v>
      </c>
    </row>
    <row r="2494" spans="1:13" x14ac:dyDescent="0.25">
      <c r="A2494" s="1">
        <f t="shared" si="304"/>
        <v>46272</v>
      </c>
      <c r="B2494" t="str" cm="1">
        <f t="array" ref="B2494">INDEX(HotelList,MOD(ROW()-2,10)+1)</f>
        <v>H003</v>
      </c>
      <c r="C2494">
        <f>_xlfn.XLOOKUP(B2494,Dim_Hotel!$A$2:$A$11,Dim_Hotel!$F$2:$F$11)</f>
        <v>121</v>
      </c>
      <c r="D2494">
        <f t="shared" si="305"/>
        <v>67</v>
      </c>
      <c r="E2494">
        <f t="shared" si="306"/>
        <v>0.55371900826446285</v>
      </c>
      <c r="F2494">
        <f t="shared" si="307"/>
        <v>145</v>
      </c>
      <c r="G2494">
        <f t="shared" si="308"/>
        <v>80.289256198347118</v>
      </c>
      <c r="H2494" t="str">
        <f>_xlfn.XLOOKUP(A2494,Fact_Events!$D$2:$D$20,Fact_Events!$A$2:$A$20, "")</f>
        <v/>
      </c>
      <c r="I2494">
        <f t="shared" si="309"/>
        <v>0</v>
      </c>
      <c r="J2494" t="str">
        <f>_xlfn.XLOOKUP(H2494, Fact_Events!$A$2:$A$20, Fact_Events!$F$2:$F$20, "")</f>
        <v/>
      </c>
      <c r="K2494" t="str">
        <f t="shared" si="310"/>
        <v>Low</v>
      </c>
      <c r="L2494">
        <f t="shared" si="311"/>
        <v>0.55000000000000004</v>
      </c>
      <c r="M2494">
        <f>_xlfn.XLOOKUP(B2494, Dim_Hotel!$A$2:$A$11, Dim_Hotel!$I$2:$I$11)
 + (IF(J2494="",0,J2494)
    * _xlfn.XLOOKUP(B2494, Dim_Hotel!$A$2:$A$11, Dim_Hotel!$J$2:$J$11))</f>
        <v>145</v>
      </c>
    </row>
    <row r="2495" spans="1:13" x14ac:dyDescent="0.25">
      <c r="A2495" s="1">
        <f t="shared" si="304"/>
        <v>46272</v>
      </c>
      <c r="B2495" t="str" cm="1">
        <f t="array" ref="B2495">INDEX(HotelList,MOD(ROW()-2,10)+1)</f>
        <v>H004</v>
      </c>
      <c r="C2495">
        <f>_xlfn.XLOOKUP(B2495,Dim_Hotel!$A$2:$A$11,Dim_Hotel!$F$2:$F$11)</f>
        <v>108</v>
      </c>
      <c r="D2495">
        <f t="shared" si="305"/>
        <v>59</v>
      </c>
      <c r="E2495">
        <f t="shared" si="306"/>
        <v>0.54629629629629628</v>
      </c>
      <c r="F2495">
        <f t="shared" si="307"/>
        <v>135</v>
      </c>
      <c r="G2495">
        <f t="shared" si="308"/>
        <v>73.75</v>
      </c>
      <c r="H2495" t="str">
        <f>_xlfn.XLOOKUP(A2495,Fact_Events!$D$2:$D$20,Fact_Events!$A$2:$A$20, "")</f>
        <v/>
      </c>
      <c r="I2495">
        <f t="shared" si="309"/>
        <v>0</v>
      </c>
      <c r="J2495" t="str">
        <f>_xlfn.XLOOKUP(H2495, Fact_Events!$A$2:$A$20, Fact_Events!$F$2:$F$20, "")</f>
        <v/>
      </c>
      <c r="K2495" t="str">
        <f t="shared" si="310"/>
        <v>Low</v>
      </c>
      <c r="L2495">
        <f t="shared" si="311"/>
        <v>0.55000000000000004</v>
      </c>
      <c r="M2495">
        <f>_xlfn.XLOOKUP(B2495, Dim_Hotel!$A$2:$A$11, Dim_Hotel!$I$2:$I$11)
 + (IF(J2495="",0,J2495)
    * _xlfn.XLOOKUP(B2495, Dim_Hotel!$A$2:$A$11, Dim_Hotel!$J$2:$J$11))</f>
        <v>135</v>
      </c>
    </row>
    <row r="2496" spans="1:13" x14ac:dyDescent="0.25">
      <c r="A2496" s="1">
        <f t="shared" si="304"/>
        <v>46272</v>
      </c>
      <c r="B2496" t="str" cm="1">
        <f t="array" ref="B2496">INDEX(HotelList,MOD(ROW()-2,10)+1)</f>
        <v>H005</v>
      </c>
      <c r="C2496">
        <f>_xlfn.XLOOKUP(B2496,Dim_Hotel!$A$2:$A$11,Dim_Hotel!$F$2:$F$11)</f>
        <v>66</v>
      </c>
      <c r="D2496">
        <f t="shared" si="305"/>
        <v>36</v>
      </c>
      <c r="E2496">
        <f t="shared" si="306"/>
        <v>0.54545454545454541</v>
      </c>
      <c r="F2496">
        <f t="shared" si="307"/>
        <v>82</v>
      </c>
      <c r="G2496">
        <f t="shared" si="308"/>
        <v>44.727272727272727</v>
      </c>
      <c r="H2496" t="str">
        <f>_xlfn.XLOOKUP(A2496,Fact_Events!$D$2:$D$20,Fact_Events!$A$2:$A$20, "")</f>
        <v/>
      </c>
      <c r="I2496">
        <f t="shared" si="309"/>
        <v>0</v>
      </c>
      <c r="J2496" t="str">
        <f>_xlfn.XLOOKUP(H2496, Fact_Events!$A$2:$A$20, Fact_Events!$F$2:$F$20, "")</f>
        <v/>
      </c>
      <c r="K2496" t="str">
        <f t="shared" si="310"/>
        <v>Low</v>
      </c>
      <c r="L2496">
        <f t="shared" si="311"/>
        <v>0.55000000000000004</v>
      </c>
      <c r="M2496">
        <f>_xlfn.XLOOKUP(B2496, Dim_Hotel!$A$2:$A$11, Dim_Hotel!$I$2:$I$11)
 + (IF(J2496="",0,J2496)
    * _xlfn.XLOOKUP(B2496, Dim_Hotel!$A$2:$A$11, Dim_Hotel!$J$2:$J$11))</f>
        <v>82</v>
      </c>
    </row>
    <row r="2497" spans="1:13" x14ac:dyDescent="0.25">
      <c r="A2497" s="1">
        <f t="shared" si="304"/>
        <v>46272</v>
      </c>
      <c r="B2497" t="str" cm="1">
        <f t="array" ref="B2497">INDEX(HotelList,MOD(ROW()-2,10)+1)</f>
        <v>H006</v>
      </c>
      <c r="C2497">
        <f>_xlfn.XLOOKUP(B2497,Dim_Hotel!$A$2:$A$11,Dim_Hotel!$F$2:$F$11)</f>
        <v>311</v>
      </c>
      <c r="D2497">
        <f t="shared" si="305"/>
        <v>171</v>
      </c>
      <c r="E2497">
        <f t="shared" si="306"/>
        <v>0.54983922829581988</v>
      </c>
      <c r="F2497">
        <f t="shared" si="307"/>
        <v>190</v>
      </c>
      <c r="G2497">
        <f t="shared" si="308"/>
        <v>104.46945337620578</v>
      </c>
      <c r="H2497" t="str">
        <f>_xlfn.XLOOKUP(A2497,Fact_Events!$D$2:$D$20,Fact_Events!$A$2:$A$20, "")</f>
        <v/>
      </c>
      <c r="I2497">
        <f t="shared" si="309"/>
        <v>0</v>
      </c>
      <c r="J2497" t="str">
        <f>_xlfn.XLOOKUP(H2497, Fact_Events!$A$2:$A$20, Fact_Events!$F$2:$F$20, "")</f>
        <v/>
      </c>
      <c r="K2497" t="str">
        <f t="shared" si="310"/>
        <v>Low</v>
      </c>
      <c r="L2497">
        <f t="shared" si="311"/>
        <v>0.55000000000000004</v>
      </c>
      <c r="M2497">
        <f>_xlfn.XLOOKUP(B2497, Dim_Hotel!$A$2:$A$11, Dim_Hotel!$I$2:$I$11)
 + (IF(J2497="",0,J2497)
    * _xlfn.XLOOKUP(B2497, Dim_Hotel!$A$2:$A$11, Dim_Hotel!$J$2:$J$11))</f>
        <v>190</v>
      </c>
    </row>
    <row r="2498" spans="1:13" x14ac:dyDescent="0.25">
      <c r="A2498" s="1">
        <f t="shared" si="304"/>
        <v>46272</v>
      </c>
      <c r="B2498" t="str" cm="1">
        <f t="array" ref="B2498">INDEX(HotelList,MOD(ROW()-2,10)+1)</f>
        <v>H007</v>
      </c>
      <c r="C2498">
        <f>_xlfn.XLOOKUP(B2498,Dim_Hotel!$A$2:$A$11,Dim_Hotel!$F$2:$F$11)</f>
        <v>132</v>
      </c>
      <c r="D2498">
        <f t="shared" si="305"/>
        <v>73</v>
      </c>
      <c r="E2498">
        <f t="shared" si="306"/>
        <v>0.55303030303030298</v>
      </c>
      <c r="F2498">
        <f t="shared" si="307"/>
        <v>165</v>
      </c>
      <c r="G2498">
        <f t="shared" si="308"/>
        <v>91.249999999999986</v>
      </c>
      <c r="H2498" t="str">
        <f>_xlfn.XLOOKUP(A2498,Fact_Events!$D$2:$D$20,Fact_Events!$A$2:$A$20, "")</f>
        <v/>
      </c>
      <c r="I2498">
        <f t="shared" si="309"/>
        <v>0</v>
      </c>
      <c r="J2498" t="str">
        <f>_xlfn.XLOOKUP(H2498, Fact_Events!$A$2:$A$20, Fact_Events!$F$2:$F$20, "")</f>
        <v/>
      </c>
      <c r="K2498" t="str">
        <f t="shared" si="310"/>
        <v>Low</v>
      </c>
      <c r="L2498">
        <f t="shared" si="311"/>
        <v>0.55000000000000004</v>
      </c>
      <c r="M2498">
        <f>_xlfn.XLOOKUP(B2498, Dim_Hotel!$A$2:$A$11, Dim_Hotel!$I$2:$I$11)
 + (IF(J2498="",0,J2498)
    * _xlfn.XLOOKUP(B2498, Dim_Hotel!$A$2:$A$11, Dim_Hotel!$J$2:$J$11))</f>
        <v>165</v>
      </c>
    </row>
    <row r="2499" spans="1:13" x14ac:dyDescent="0.25">
      <c r="A2499" s="1">
        <f t="shared" ref="A2499:A2562" si="312">DATE(2026,1,1) + INT((ROW()-2)/10)</f>
        <v>46272</v>
      </c>
      <c r="B2499" t="str" cm="1">
        <f t="array" ref="B2499">INDEX(HotelList,MOD(ROW()-2,10)+1)</f>
        <v>H008</v>
      </c>
      <c r="C2499">
        <f>_xlfn.XLOOKUP(B2499,Dim_Hotel!$A$2:$A$11,Dim_Hotel!$F$2:$F$11)</f>
        <v>103</v>
      </c>
      <c r="D2499">
        <f t="shared" ref="D2499:D2562" si="313">ROUND(L2499 * C2499, 0)</f>
        <v>57</v>
      </c>
      <c r="E2499">
        <f t="shared" ref="E2499:E2562" si="314">D2499/C2499</f>
        <v>0.55339805825242716</v>
      </c>
      <c r="F2499">
        <f t="shared" ref="F2499:F2562" si="315">M2499</f>
        <v>140</v>
      </c>
      <c r="G2499">
        <f t="shared" ref="G2499:G2562" si="316">E2499*F2499</f>
        <v>77.475728155339809</v>
      </c>
      <c r="H2499" t="str">
        <f>_xlfn.XLOOKUP(A2499,Fact_Events!$D$2:$D$20,Fact_Events!$A$2:$A$20, "")</f>
        <v/>
      </c>
      <c r="I2499">
        <f t="shared" ref="I2499:I2562" si="317">IF(H2499="",0,1)</f>
        <v>0</v>
      </c>
      <c r="J2499" t="str">
        <f>_xlfn.XLOOKUP(H2499, Fact_Events!$A$2:$A$20, Fact_Events!$F$2:$F$20, "")</f>
        <v/>
      </c>
      <c r="K2499" t="str">
        <f t="shared" ref="K2499:K2562" si="318">IF(I2499=0,"Low",
   IF(J2499&gt;=9,"High","Medium"))</f>
        <v>Low</v>
      </c>
      <c r="L2499">
        <f t="shared" ref="L2499:L2562" si="319">MIN(1,
  0.55
  + (I2499 * 0.25)
  + (IF(J2499="",0,J2499) / 100)
)</f>
        <v>0.55000000000000004</v>
      </c>
      <c r="M2499">
        <f>_xlfn.XLOOKUP(B2499, Dim_Hotel!$A$2:$A$11, Dim_Hotel!$I$2:$I$11)
 + (IF(J2499="",0,J2499)
    * _xlfn.XLOOKUP(B2499, Dim_Hotel!$A$2:$A$11, Dim_Hotel!$J$2:$J$11))</f>
        <v>140</v>
      </c>
    </row>
    <row r="2500" spans="1:13" x14ac:dyDescent="0.25">
      <c r="A2500" s="1">
        <f t="shared" si="312"/>
        <v>46272</v>
      </c>
      <c r="B2500" t="str" cm="1">
        <f t="array" ref="B2500">INDEX(HotelList,MOD(ROW()-2,10)+1)</f>
        <v>H009</v>
      </c>
      <c r="C2500">
        <f>_xlfn.XLOOKUP(B2500,Dim_Hotel!$A$2:$A$11,Dim_Hotel!$F$2:$F$11)</f>
        <v>114</v>
      </c>
      <c r="D2500">
        <f t="shared" si="313"/>
        <v>63</v>
      </c>
      <c r="E2500">
        <f t="shared" si="314"/>
        <v>0.55263157894736847</v>
      </c>
      <c r="F2500">
        <f t="shared" si="315"/>
        <v>185</v>
      </c>
      <c r="G2500">
        <f t="shared" si="316"/>
        <v>102.23684210526316</v>
      </c>
      <c r="H2500" t="str">
        <f>_xlfn.XLOOKUP(A2500,Fact_Events!$D$2:$D$20,Fact_Events!$A$2:$A$20, "")</f>
        <v/>
      </c>
      <c r="I2500">
        <f t="shared" si="317"/>
        <v>0</v>
      </c>
      <c r="J2500" t="str">
        <f>_xlfn.XLOOKUP(H2500, Fact_Events!$A$2:$A$20, Fact_Events!$F$2:$F$20, "")</f>
        <v/>
      </c>
      <c r="K2500" t="str">
        <f t="shared" si="318"/>
        <v>Low</v>
      </c>
      <c r="L2500">
        <f t="shared" si="319"/>
        <v>0.55000000000000004</v>
      </c>
      <c r="M2500">
        <f>_xlfn.XLOOKUP(B2500, Dim_Hotel!$A$2:$A$11, Dim_Hotel!$I$2:$I$11)
 + (IF(J2500="",0,J2500)
    * _xlfn.XLOOKUP(B2500, Dim_Hotel!$A$2:$A$11, Dim_Hotel!$J$2:$J$11))</f>
        <v>185</v>
      </c>
    </row>
    <row r="2501" spans="1:13" x14ac:dyDescent="0.25">
      <c r="A2501" s="1">
        <f t="shared" si="312"/>
        <v>46272</v>
      </c>
      <c r="B2501" t="str" cm="1">
        <f t="array" ref="B2501">INDEX(HotelList,MOD(ROW()-2,10)+1)</f>
        <v>H010</v>
      </c>
      <c r="C2501">
        <f>_xlfn.XLOOKUP(B2501,Dim_Hotel!$A$2:$A$11,Dim_Hotel!$F$2:$F$11)</f>
        <v>89</v>
      </c>
      <c r="D2501">
        <f t="shared" si="313"/>
        <v>49</v>
      </c>
      <c r="E2501">
        <f t="shared" si="314"/>
        <v>0.550561797752809</v>
      </c>
      <c r="F2501">
        <f t="shared" si="315"/>
        <v>150</v>
      </c>
      <c r="G2501">
        <f t="shared" si="316"/>
        <v>82.584269662921344</v>
      </c>
      <c r="H2501" t="str">
        <f>_xlfn.XLOOKUP(A2501,Fact_Events!$D$2:$D$20,Fact_Events!$A$2:$A$20, "")</f>
        <v/>
      </c>
      <c r="I2501">
        <f t="shared" si="317"/>
        <v>0</v>
      </c>
      <c r="J2501" t="str">
        <f>_xlfn.XLOOKUP(H2501, Fact_Events!$A$2:$A$20, Fact_Events!$F$2:$F$20, "")</f>
        <v/>
      </c>
      <c r="K2501" t="str">
        <f t="shared" si="318"/>
        <v>Low</v>
      </c>
      <c r="L2501">
        <f t="shared" si="319"/>
        <v>0.55000000000000004</v>
      </c>
      <c r="M2501">
        <f>_xlfn.XLOOKUP(B2501, Dim_Hotel!$A$2:$A$11, Dim_Hotel!$I$2:$I$11)
 + (IF(J2501="",0,J2501)
    * _xlfn.XLOOKUP(B2501, Dim_Hotel!$A$2:$A$11, Dim_Hotel!$J$2:$J$11))</f>
        <v>150</v>
      </c>
    </row>
    <row r="2502" spans="1:13" x14ac:dyDescent="0.25">
      <c r="A2502" s="1">
        <f t="shared" si="312"/>
        <v>46273</v>
      </c>
      <c r="B2502" t="str" cm="1">
        <f t="array" ref="B2502">INDEX(HotelList,MOD(ROW()-2,10)+1)</f>
        <v>H001</v>
      </c>
      <c r="C2502">
        <f>_xlfn.XLOOKUP(B2502,Dim_Hotel!$A$2:$A$11,Dim_Hotel!$F$2:$F$11)</f>
        <v>888</v>
      </c>
      <c r="D2502">
        <f t="shared" si="313"/>
        <v>488</v>
      </c>
      <c r="E2502">
        <f t="shared" si="314"/>
        <v>0.5495495495495496</v>
      </c>
      <c r="F2502">
        <f t="shared" si="315"/>
        <v>260</v>
      </c>
      <c r="G2502">
        <f t="shared" si="316"/>
        <v>142.88288288288288</v>
      </c>
      <c r="H2502" t="str">
        <f>_xlfn.XLOOKUP(A2502,Fact_Events!$D$2:$D$20,Fact_Events!$A$2:$A$20, "")</f>
        <v/>
      </c>
      <c r="I2502">
        <f t="shared" si="317"/>
        <v>0</v>
      </c>
      <c r="J2502" t="str">
        <f>_xlfn.XLOOKUP(H2502, Fact_Events!$A$2:$A$20, Fact_Events!$F$2:$F$20, "")</f>
        <v/>
      </c>
      <c r="K2502" t="str">
        <f t="shared" si="318"/>
        <v>Low</v>
      </c>
      <c r="L2502">
        <f t="shared" si="319"/>
        <v>0.55000000000000004</v>
      </c>
      <c r="M2502">
        <f>_xlfn.XLOOKUP(B2502, Dim_Hotel!$A$2:$A$11, Dim_Hotel!$I$2:$I$11)
 + (IF(J2502="",0,J2502)
    * _xlfn.XLOOKUP(B2502, Dim_Hotel!$A$2:$A$11, Dim_Hotel!$J$2:$J$11))</f>
        <v>260</v>
      </c>
    </row>
    <row r="2503" spans="1:13" x14ac:dyDescent="0.25">
      <c r="A2503" s="1">
        <f t="shared" si="312"/>
        <v>46273</v>
      </c>
      <c r="B2503" t="str" cm="1">
        <f t="array" ref="B2503">INDEX(HotelList,MOD(ROW()-2,10)+1)</f>
        <v>H002</v>
      </c>
      <c r="C2503">
        <f>_xlfn.XLOOKUP(B2503,Dim_Hotel!$A$2:$A$11,Dim_Hotel!$F$2:$F$11)</f>
        <v>147</v>
      </c>
      <c r="D2503">
        <f t="shared" si="313"/>
        <v>81</v>
      </c>
      <c r="E2503">
        <f t="shared" si="314"/>
        <v>0.55102040816326525</v>
      </c>
      <c r="F2503">
        <f t="shared" si="315"/>
        <v>175</v>
      </c>
      <c r="G2503">
        <f t="shared" si="316"/>
        <v>96.428571428571416</v>
      </c>
      <c r="H2503" t="str">
        <f>_xlfn.XLOOKUP(A2503,Fact_Events!$D$2:$D$20,Fact_Events!$A$2:$A$20, "")</f>
        <v/>
      </c>
      <c r="I2503">
        <f t="shared" si="317"/>
        <v>0</v>
      </c>
      <c r="J2503" t="str">
        <f>_xlfn.XLOOKUP(H2503, Fact_Events!$A$2:$A$20, Fact_Events!$F$2:$F$20, "")</f>
        <v/>
      </c>
      <c r="K2503" t="str">
        <f t="shared" si="318"/>
        <v>Low</v>
      </c>
      <c r="L2503">
        <f t="shared" si="319"/>
        <v>0.55000000000000004</v>
      </c>
      <c r="M2503">
        <f>_xlfn.XLOOKUP(B2503, Dim_Hotel!$A$2:$A$11, Dim_Hotel!$I$2:$I$11)
 + (IF(J2503="",0,J2503)
    * _xlfn.XLOOKUP(B2503, Dim_Hotel!$A$2:$A$11, Dim_Hotel!$J$2:$J$11))</f>
        <v>175</v>
      </c>
    </row>
    <row r="2504" spans="1:13" x14ac:dyDescent="0.25">
      <c r="A2504" s="1">
        <f t="shared" si="312"/>
        <v>46273</v>
      </c>
      <c r="B2504" t="str" cm="1">
        <f t="array" ref="B2504">INDEX(HotelList,MOD(ROW()-2,10)+1)</f>
        <v>H003</v>
      </c>
      <c r="C2504">
        <f>_xlfn.XLOOKUP(B2504,Dim_Hotel!$A$2:$A$11,Dim_Hotel!$F$2:$F$11)</f>
        <v>121</v>
      </c>
      <c r="D2504">
        <f t="shared" si="313"/>
        <v>67</v>
      </c>
      <c r="E2504">
        <f t="shared" si="314"/>
        <v>0.55371900826446285</v>
      </c>
      <c r="F2504">
        <f t="shared" si="315"/>
        <v>145</v>
      </c>
      <c r="G2504">
        <f t="shared" si="316"/>
        <v>80.289256198347118</v>
      </c>
      <c r="H2504" t="str">
        <f>_xlfn.XLOOKUP(A2504,Fact_Events!$D$2:$D$20,Fact_Events!$A$2:$A$20, "")</f>
        <v/>
      </c>
      <c r="I2504">
        <f t="shared" si="317"/>
        <v>0</v>
      </c>
      <c r="J2504" t="str">
        <f>_xlfn.XLOOKUP(H2504, Fact_Events!$A$2:$A$20, Fact_Events!$F$2:$F$20, "")</f>
        <v/>
      </c>
      <c r="K2504" t="str">
        <f t="shared" si="318"/>
        <v>Low</v>
      </c>
      <c r="L2504">
        <f t="shared" si="319"/>
        <v>0.55000000000000004</v>
      </c>
      <c r="M2504">
        <f>_xlfn.XLOOKUP(B2504, Dim_Hotel!$A$2:$A$11, Dim_Hotel!$I$2:$I$11)
 + (IF(J2504="",0,J2504)
    * _xlfn.XLOOKUP(B2504, Dim_Hotel!$A$2:$A$11, Dim_Hotel!$J$2:$J$11))</f>
        <v>145</v>
      </c>
    </row>
    <row r="2505" spans="1:13" x14ac:dyDescent="0.25">
      <c r="A2505" s="1">
        <f t="shared" si="312"/>
        <v>46273</v>
      </c>
      <c r="B2505" t="str" cm="1">
        <f t="array" ref="B2505">INDEX(HotelList,MOD(ROW()-2,10)+1)</f>
        <v>H004</v>
      </c>
      <c r="C2505">
        <f>_xlfn.XLOOKUP(B2505,Dim_Hotel!$A$2:$A$11,Dim_Hotel!$F$2:$F$11)</f>
        <v>108</v>
      </c>
      <c r="D2505">
        <f t="shared" si="313"/>
        <v>59</v>
      </c>
      <c r="E2505">
        <f t="shared" si="314"/>
        <v>0.54629629629629628</v>
      </c>
      <c r="F2505">
        <f t="shared" si="315"/>
        <v>135</v>
      </c>
      <c r="G2505">
        <f t="shared" si="316"/>
        <v>73.75</v>
      </c>
      <c r="H2505" t="str">
        <f>_xlfn.XLOOKUP(A2505,Fact_Events!$D$2:$D$20,Fact_Events!$A$2:$A$20, "")</f>
        <v/>
      </c>
      <c r="I2505">
        <f t="shared" si="317"/>
        <v>0</v>
      </c>
      <c r="J2505" t="str">
        <f>_xlfn.XLOOKUP(H2505, Fact_Events!$A$2:$A$20, Fact_Events!$F$2:$F$20, "")</f>
        <v/>
      </c>
      <c r="K2505" t="str">
        <f t="shared" si="318"/>
        <v>Low</v>
      </c>
      <c r="L2505">
        <f t="shared" si="319"/>
        <v>0.55000000000000004</v>
      </c>
      <c r="M2505">
        <f>_xlfn.XLOOKUP(B2505, Dim_Hotel!$A$2:$A$11, Dim_Hotel!$I$2:$I$11)
 + (IF(J2505="",0,J2505)
    * _xlfn.XLOOKUP(B2505, Dim_Hotel!$A$2:$A$11, Dim_Hotel!$J$2:$J$11))</f>
        <v>135</v>
      </c>
    </row>
    <row r="2506" spans="1:13" x14ac:dyDescent="0.25">
      <c r="A2506" s="1">
        <f t="shared" si="312"/>
        <v>46273</v>
      </c>
      <c r="B2506" t="str" cm="1">
        <f t="array" ref="B2506">INDEX(HotelList,MOD(ROW()-2,10)+1)</f>
        <v>H005</v>
      </c>
      <c r="C2506">
        <f>_xlfn.XLOOKUP(B2506,Dim_Hotel!$A$2:$A$11,Dim_Hotel!$F$2:$F$11)</f>
        <v>66</v>
      </c>
      <c r="D2506">
        <f t="shared" si="313"/>
        <v>36</v>
      </c>
      <c r="E2506">
        <f t="shared" si="314"/>
        <v>0.54545454545454541</v>
      </c>
      <c r="F2506">
        <f t="shared" si="315"/>
        <v>82</v>
      </c>
      <c r="G2506">
        <f t="shared" si="316"/>
        <v>44.727272727272727</v>
      </c>
      <c r="H2506" t="str">
        <f>_xlfn.XLOOKUP(A2506,Fact_Events!$D$2:$D$20,Fact_Events!$A$2:$A$20, "")</f>
        <v/>
      </c>
      <c r="I2506">
        <f t="shared" si="317"/>
        <v>0</v>
      </c>
      <c r="J2506" t="str">
        <f>_xlfn.XLOOKUP(H2506, Fact_Events!$A$2:$A$20, Fact_Events!$F$2:$F$20, "")</f>
        <v/>
      </c>
      <c r="K2506" t="str">
        <f t="shared" si="318"/>
        <v>Low</v>
      </c>
      <c r="L2506">
        <f t="shared" si="319"/>
        <v>0.55000000000000004</v>
      </c>
      <c r="M2506">
        <f>_xlfn.XLOOKUP(B2506, Dim_Hotel!$A$2:$A$11, Dim_Hotel!$I$2:$I$11)
 + (IF(J2506="",0,J2506)
    * _xlfn.XLOOKUP(B2506, Dim_Hotel!$A$2:$A$11, Dim_Hotel!$J$2:$J$11))</f>
        <v>82</v>
      </c>
    </row>
    <row r="2507" spans="1:13" x14ac:dyDescent="0.25">
      <c r="A2507" s="1">
        <f t="shared" si="312"/>
        <v>46273</v>
      </c>
      <c r="B2507" t="str" cm="1">
        <f t="array" ref="B2507">INDEX(HotelList,MOD(ROW()-2,10)+1)</f>
        <v>H006</v>
      </c>
      <c r="C2507">
        <f>_xlfn.XLOOKUP(B2507,Dim_Hotel!$A$2:$A$11,Dim_Hotel!$F$2:$F$11)</f>
        <v>311</v>
      </c>
      <c r="D2507">
        <f t="shared" si="313"/>
        <v>171</v>
      </c>
      <c r="E2507">
        <f t="shared" si="314"/>
        <v>0.54983922829581988</v>
      </c>
      <c r="F2507">
        <f t="shared" si="315"/>
        <v>190</v>
      </c>
      <c r="G2507">
        <f t="shared" si="316"/>
        <v>104.46945337620578</v>
      </c>
      <c r="H2507" t="str">
        <f>_xlfn.XLOOKUP(A2507,Fact_Events!$D$2:$D$20,Fact_Events!$A$2:$A$20, "")</f>
        <v/>
      </c>
      <c r="I2507">
        <f t="shared" si="317"/>
        <v>0</v>
      </c>
      <c r="J2507" t="str">
        <f>_xlfn.XLOOKUP(H2507, Fact_Events!$A$2:$A$20, Fact_Events!$F$2:$F$20, "")</f>
        <v/>
      </c>
      <c r="K2507" t="str">
        <f t="shared" si="318"/>
        <v>Low</v>
      </c>
      <c r="L2507">
        <f t="shared" si="319"/>
        <v>0.55000000000000004</v>
      </c>
      <c r="M2507">
        <f>_xlfn.XLOOKUP(B2507, Dim_Hotel!$A$2:$A$11, Dim_Hotel!$I$2:$I$11)
 + (IF(J2507="",0,J2507)
    * _xlfn.XLOOKUP(B2507, Dim_Hotel!$A$2:$A$11, Dim_Hotel!$J$2:$J$11))</f>
        <v>190</v>
      </c>
    </row>
    <row r="2508" spans="1:13" x14ac:dyDescent="0.25">
      <c r="A2508" s="1">
        <f t="shared" si="312"/>
        <v>46273</v>
      </c>
      <c r="B2508" t="str" cm="1">
        <f t="array" ref="B2508">INDEX(HotelList,MOD(ROW()-2,10)+1)</f>
        <v>H007</v>
      </c>
      <c r="C2508">
        <f>_xlfn.XLOOKUP(B2508,Dim_Hotel!$A$2:$A$11,Dim_Hotel!$F$2:$F$11)</f>
        <v>132</v>
      </c>
      <c r="D2508">
        <f t="shared" si="313"/>
        <v>73</v>
      </c>
      <c r="E2508">
        <f t="shared" si="314"/>
        <v>0.55303030303030298</v>
      </c>
      <c r="F2508">
        <f t="shared" si="315"/>
        <v>165</v>
      </c>
      <c r="G2508">
        <f t="shared" si="316"/>
        <v>91.249999999999986</v>
      </c>
      <c r="H2508" t="str">
        <f>_xlfn.XLOOKUP(A2508,Fact_Events!$D$2:$D$20,Fact_Events!$A$2:$A$20, "")</f>
        <v/>
      </c>
      <c r="I2508">
        <f t="shared" si="317"/>
        <v>0</v>
      </c>
      <c r="J2508" t="str">
        <f>_xlfn.XLOOKUP(H2508, Fact_Events!$A$2:$A$20, Fact_Events!$F$2:$F$20, "")</f>
        <v/>
      </c>
      <c r="K2508" t="str">
        <f t="shared" si="318"/>
        <v>Low</v>
      </c>
      <c r="L2508">
        <f t="shared" si="319"/>
        <v>0.55000000000000004</v>
      </c>
      <c r="M2508">
        <f>_xlfn.XLOOKUP(B2508, Dim_Hotel!$A$2:$A$11, Dim_Hotel!$I$2:$I$11)
 + (IF(J2508="",0,J2508)
    * _xlfn.XLOOKUP(B2508, Dim_Hotel!$A$2:$A$11, Dim_Hotel!$J$2:$J$11))</f>
        <v>165</v>
      </c>
    </row>
    <row r="2509" spans="1:13" x14ac:dyDescent="0.25">
      <c r="A2509" s="1">
        <f t="shared" si="312"/>
        <v>46273</v>
      </c>
      <c r="B2509" t="str" cm="1">
        <f t="array" ref="B2509">INDEX(HotelList,MOD(ROW()-2,10)+1)</f>
        <v>H008</v>
      </c>
      <c r="C2509">
        <f>_xlfn.XLOOKUP(B2509,Dim_Hotel!$A$2:$A$11,Dim_Hotel!$F$2:$F$11)</f>
        <v>103</v>
      </c>
      <c r="D2509">
        <f t="shared" si="313"/>
        <v>57</v>
      </c>
      <c r="E2509">
        <f t="shared" si="314"/>
        <v>0.55339805825242716</v>
      </c>
      <c r="F2509">
        <f t="shared" si="315"/>
        <v>140</v>
      </c>
      <c r="G2509">
        <f t="shared" si="316"/>
        <v>77.475728155339809</v>
      </c>
      <c r="H2509" t="str">
        <f>_xlfn.XLOOKUP(A2509,Fact_Events!$D$2:$D$20,Fact_Events!$A$2:$A$20, "")</f>
        <v/>
      </c>
      <c r="I2509">
        <f t="shared" si="317"/>
        <v>0</v>
      </c>
      <c r="J2509" t="str">
        <f>_xlfn.XLOOKUP(H2509, Fact_Events!$A$2:$A$20, Fact_Events!$F$2:$F$20, "")</f>
        <v/>
      </c>
      <c r="K2509" t="str">
        <f t="shared" si="318"/>
        <v>Low</v>
      </c>
      <c r="L2509">
        <f t="shared" si="319"/>
        <v>0.55000000000000004</v>
      </c>
      <c r="M2509">
        <f>_xlfn.XLOOKUP(B2509, Dim_Hotel!$A$2:$A$11, Dim_Hotel!$I$2:$I$11)
 + (IF(J2509="",0,J2509)
    * _xlfn.XLOOKUP(B2509, Dim_Hotel!$A$2:$A$11, Dim_Hotel!$J$2:$J$11))</f>
        <v>140</v>
      </c>
    </row>
    <row r="2510" spans="1:13" x14ac:dyDescent="0.25">
      <c r="A2510" s="1">
        <f t="shared" si="312"/>
        <v>46273</v>
      </c>
      <c r="B2510" t="str" cm="1">
        <f t="array" ref="B2510">INDEX(HotelList,MOD(ROW()-2,10)+1)</f>
        <v>H009</v>
      </c>
      <c r="C2510">
        <f>_xlfn.XLOOKUP(B2510,Dim_Hotel!$A$2:$A$11,Dim_Hotel!$F$2:$F$11)</f>
        <v>114</v>
      </c>
      <c r="D2510">
        <f t="shared" si="313"/>
        <v>63</v>
      </c>
      <c r="E2510">
        <f t="shared" si="314"/>
        <v>0.55263157894736847</v>
      </c>
      <c r="F2510">
        <f t="shared" si="315"/>
        <v>185</v>
      </c>
      <c r="G2510">
        <f t="shared" si="316"/>
        <v>102.23684210526316</v>
      </c>
      <c r="H2510" t="str">
        <f>_xlfn.XLOOKUP(A2510,Fact_Events!$D$2:$D$20,Fact_Events!$A$2:$A$20, "")</f>
        <v/>
      </c>
      <c r="I2510">
        <f t="shared" si="317"/>
        <v>0</v>
      </c>
      <c r="J2510" t="str">
        <f>_xlfn.XLOOKUP(H2510, Fact_Events!$A$2:$A$20, Fact_Events!$F$2:$F$20, "")</f>
        <v/>
      </c>
      <c r="K2510" t="str">
        <f t="shared" si="318"/>
        <v>Low</v>
      </c>
      <c r="L2510">
        <f t="shared" si="319"/>
        <v>0.55000000000000004</v>
      </c>
      <c r="M2510">
        <f>_xlfn.XLOOKUP(B2510, Dim_Hotel!$A$2:$A$11, Dim_Hotel!$I$2:$I$11)
 + (IF(J2510="",0,J2510)
    * _xlfn.XLOOKUP(B2510, Dim_Hotel!$A$2:$A$11, Dim_Hotel!$J$2:$J$11))</f>
        <v>185</v>
      </c>
    </row>
    <row r="2511" spans="1:13" x14ac:dyDescent="0.25">
      <c r="A2511" s="1">
        <f t="shared" si="312"/>
        <v>46273</v>
      </c>
      <c r="B2511" t="str" cm="1">
        <f t="array" ref="B2511">INDEX(HotelList,MOD(ROW()-2,10)+1)</f>
        <v>H010</v>
      </c>
      <c r="C2511">
        <f>_xlfn.XLOOKUP(B2511,Dim_Hotel!$A$2:$A$11,Dim_Hotel!$F$2:$F$11)</f>
        <v>89</v>
      </c>
      <c r="D2511">
        <f t="shared" si="313"/>
        <v>49</v>
      </c>
      <c r="E2511">
        <f t="shared" si="314"/>
        <v>0.550561797752809</v>
      </c>
      <c r="F2511">
        <f t="shared" si="315"/>
        <v>150</v>
      </c>
      <c r="G2511">
        <f t="shared" si="316"/>
        <v>82.584269662921344</v>
      </c>
      <c r="H2511" t="str">
        <f>_xlfn.XLOOKUP(A2511,Fact_Events!$D$2:$D$20,Fact_Events!$A$2:$A$20, "")</f>
        <v/>
      </c>
      <c r="I2511">
        <f t="shared" si="317"/>
        <v>0</v>
      </c>
      <c r="J2511" t="str">
        <f>_xlfn.XLOOKUP(H2511, Fact_Events!$A$2:$A$20, Fact_Events!$F$2:$F$20, "")</f>
        <v/>
      </c>
      <c r="K2511" t="str">
        <f t="shared" si="318"/>
        <v>Low</v>
      </c>
      <c r="L2511">
        <f t="shared" si="319"/>
        <v>0.55000000000000004</v>
      </c>
      <c r="M2511">
        <f>_xlfn.XLOOKUP(B2511, Dim_Hotel!$A$2:$A$11, Dim_Hotel!$I$2:$I$11)
 + (IF(J2511="",0,J2511)
    * _xlfn.XLOOKUP(B2511, Dim_Hotel!$A$2:$A$11, Dim_Hotel!$J$2:$J$11))</f>
        <v>150</v>
      </c>
    </row>
    <row r="2512" spans="1:13" x14ac:dyDescent="0.25">
      <c r="A2512" s="1">
        <f t="shared" si="312"/>
        <v>46274</v>
      </c>
      <c r="B2512" t="str" cm="1">
        <f t="array" ref="B2512">INDEX(HotelList,MOD(ROW()-2,10)+1)</f>
        <v>H001</v>
      </c>
      <c r="C2512">
        <f>_xlfn.XLOOKUP(B2512,Dim_Hotel!$A$2:$A$11,Dim_Hotel!$F$2:$F$11)</f>
        <v>888</v>
      </c>
      <c r="D2512">
        <f t="shared" si="313"/>
        <v>488</v>
      </c>
      <c r="E2512">
        <f t="shared" si="314"/>
        <v>0.5495495495495496</v>
      </c>
      <c r="F2512">
        <f t="shared" si="315"/>
        <v>260</v>
      </c>
      <c r="G2512">
        <f t="shared" si="316"/>
        <v>142.88288288288288</v>
      </c>
      <c r="H2512" t="str">
        <f>_xlfn.XLOOKUP(A2512,Fact_Events!$D$2:$D$20,Fact_Events!$A$2:$A$20, "")</f>
        <v/>
      </c>
      <c r="I2512">
        <f t="shared" si="317"/>
        <v>0</v>
      </c>
      <c r="J2512" t="str">
        <f>_xlfn.XLOOKUP(H2512, Fact_Events!$A$2:$A$20, Fact_Events!$F$2:$F$20, "")</f>
        <v/>
      </c>
      <c r="K2512" t="str">
        <f t="shared" si="318"/>
        <v>Low</v>
      </c>
      <c r="L2512">
        <f t="shared" si="319"/>
        <v>0.55000000000000004</v>
      </c>
      <c r="M2512">
        <f>_xlfn.XLOOKUP(B2512, Dim_Hotel!$A$2:$A$11, Dim_Hotel!$I$2:$I$11)
 + (IF(J2512="",0,J2512)
    * _xlfn.XLOOKUP(B2512, Dim_Hotel!$A$2:$A$11, Dim_Hotel!$J$2:$J$11))</f>
        <v>260</v>
      </c>
    </row>
    <row r="2513" spans="1:13" x14ac:dyDescent="0.25">
      <c r="A2513" s="1">
        <f t="shared" si="312"/>
        <v>46274</v>
      </c>
      <c r="B2513" t="str" cm="1">
        <f t="array" ref="B2513">INDEX(HotelList,MOD(ROW()-2,10)+1)</f>
        <v>H002</v>
      </c>
      <c r="C2513">
        <f>_xlfn.XLOOKUP(B2513,Dim_Hotel!$A$2:$A$11,Dim_Hotel!$F$2:$F$11)</f>
        <v>147</v>
      </c>
      <c r="D2513">
        <f t="shared" si="313"/>
        <v>81</v>
      </c>
      <c r="E2513">
        <f t="shared" si="314"/>
        <v>0.55102040816326525</v>
      </c>
      <c r="F2513">
        <f t="shared" si="315"/>
        <v>175</v>
      </c>
      <c r="G2513">
        <f t="shared" si="316"/>
        <v>96.428571428571416</v>
      </c>
      <c r="H2513" t="str">
        <f>_xlfn.XLOOKUP(A2513,Fact_Events!$D$2:$D$20,Fact_Events!$A$2:$A$20, "")</f>
        <v/>
      </c>
      <c r="I2513">
        <f t="shared" si="317"/>
        <v>0</v>
      </c>
      <c r="J2513" t="str">
        <f>_xlfn.XLOOKUP(H2513, Fact_Events!$A$2:$A$20, Fact_Events!$F$2:$F$20, "")</f>
        <v/>
      </c>
      <c r="K2513" t="str">
        <f t="shared" si="318"/>
        <v>Low</v>
      </c>
      <c r="L2513">
        <f t="shared" si="319"/>
        <v>0.55000000000000004</v>
      </c>
      <c r="M2513">
        <f>_xlfn.XLOOKUP(B2513, Dim_Hotel!$A$2:$A$11, Dim_Hotel!$I$2:$I$11)
 + (IF(J2513="",0,J2513)
    * _xlfn.XLOOKUP(B2513, Dim_Hotel!$A$2:$A$11, Dim_Hotel!$J$2:$J$11))</f>
        <v>175</v>
      </c>
    </row>
    <row r="2514" spans="1:13" x14ac:dyDescent="0.25">
      <c r="A2514" s="1">
        <f t="shared" si="312"/>
        <v>46274</v>
      </c>
      <c r="B2514" t="str" cm="1">
        <f t="array" ref="B2514">INDEX(HotelList,MOD(ROW()-2,10)+1)</f>
        <v>H003</v>
      </c>
      <c r="C2514">
        <f>_xlfn.XLOOKUP(B2514,Dim_Hotel!$A$2:$A$11,Dim_Hotel!$F$2:$F$11)</f>
        <v>121</v>
      </c>
      <c r="D2514">
        <f t="shared" si="313"/>
        <v>67</v>
      </c>
      <c r="E2514">
        <f t="shared" si="314"/>
        <v>0.55371900826446285</v>
      </c>
      <c r="F2514">
        <f t="shared" si="315"/>
        <v>145</v>
      </c>
      <c r="G2514">
        <f t="shared" si="316"/>
        <v>80.289256198347118</v>
      </c>
      <c r="H2514" t="str">
        <f>_xlfn.XLOOKUP(A2514,Fact_Events!$D$2:$D$20,Fact_Events!$A$2:$A$20, "")</f>
        <v/>
      </c>
      <c r="I2514">
        <f t="shared" si="317"/>
        <v>0</v>
      </c>
      <c r="J2514" t="str">
        <f>_xlfn.XLOOKUP(H2514, Fact_Events!$A$2:$A$20, Fact_Events!$F$2:$F$20, "")</f>
        <v/>
      </c>
      <c r="K2514" t="str">
        <f t="shared" si="318"/>
        <v>Low</v>
      </c>
      <c r="L2514">
        <f t="shared" si="319"/>
        <v>0.55000000000000004</v>
      </c>
      <c r="M2514">
        <f>_xlfn.XLOOKUP(B2514, Dim_Hotel!$A$2:$A$11, Dim_Hotel!$I$2:$I$11)
 + (IF(J2514="",0,J2514)
    * _xlfn.XLOOKUP(B2514, Dim_Hotel!$A$2:$A$11, Dim_Hotel!$J$2:$J$11))</f>
        <v>145</v>
      </c>
    </row>
    <row r="2515" spans="1:13" x14ac:dyDescent="0.25">
      <c r="A2515" s="1">
        <f t="shared" si="312"/>
        <v>46274</v>
      </c>
      <c r="B2515" t="str" cm="1">
        <f t="array" ref="B2515">INDEX(HotelList,MOD(ROW()-2,10)+1)</f>
        <v>H004</v>
      </c>
      <c r="C2515">
        <f>_xlfn.XLOOKUP(B2515,Dim_Hotel!$A$2:$A$11,Dim_Hotel!$F$2:$F$11)</f>
        <v>108</v>
      </c>
      <c r="D2515">
        <f t="shared" si="313"/>
        <v>59</v>
      </c>
      <c r="E2515">
        <f t="shared" si="314"/>
        <v>0.54629629629629628</v>
      </c>
      <c r="F2515">
        <f t="shared" si="315"/>
        <v>135</v>
      </c>
      <c r="G2515">
        <f t="shared" si="316"/>
        <v>73.75</v>
      </c>
      <c r="H2515" t="str">
        <f>_xlfn.XLOOKUP(A2515,Fact_Events!$D$2:$D$20,Fact_Events!$A$2:$A$20, "")</f>
        <v/>
      </c>
      <c r="I2515">
        <f t="shared" si="317"/>
        <v>0</v>
      </c>
      <c r="J2515" t="str">
        <f>_xlfn.XLOOKUP(H2515, Fact_Events!$A$2:$A$20, Fact_Events!$F$2:$F$20, "")</f>
        <v/>
      </c>
      <c r="K2515" t="str">
        <f t="shared" si="318"/>
        <v>Low</v>
      </c>
      <c r="L2515">
        <f t="shared" si="319"/>
        <v>0.55000000000000004</v>
      </c>
      <c r="M2515">
        <f>_xlfn.XLOOKUP(B2515, Dim_Hotel!$A$2:$A$11, Dim_Hotel!$I$2:$I$11)
 + (IF(J2515="",0,J2515)
    * _xlfn.XLOOKUP(B2515, Dim_Hotel!$A$2:$A$11, Dim_Hotel!$J$2:$J$11))</f>
        <v>135</v>
      </c>
    </row>
    <row r="2516" spans="1:13" x14ac:dyDescent="0.25">
      <c r="A2516" s="1">
        <f t="shared" si="312"/>
        <v>46274</v>
      </c>
      <c r="B2516" t="str" cm="1">
        <f t="array" ref="B2516">INDEX(HotelList,MOD(ROW()-2,10)+1)</f>
        <v>H005</v>
      </c>
      <c r="C2516">
        <f>_xlfn.XLOOKUP(B2516,Dim_Hotel!$A$2:$A$11,Dim_Hotel!$F$2:$F$11)</f>
        <v>66</v>
      </c>
      <c r="D2516">
        <f t="shared" si="313"/>
        <v>36</v>
      </c>
      <c r="E2516">
        <f t="shared" si="314"/>
        <v>0.54545454545454541</v>
      </c>
      <c r="F2516">
        <f t="shared" si="315"/>
        <v>82</v>
      </c>
      <c r="G2516">
        <f t="shared" si="316"/>
        <v>44.727272727272727</v>
      </c>
      <c r="H2516" t="str">
        <f>_xlfn.XLOOKUP(A2516,Fact_Events!$D$2:$D$20,Fact_Events!$A$2:$A$20, "")</f>
        <v/>
      </c>
      <c r="I2516">
        <f t="shared" si="317"/>
        <v>0</v>
      </c>
      <c r="J2516" t="str">
        <f>_xlfn.XLOOKUP(H2516, Fact_Events!$A$2:$A$20, Fact_Events!$F$2:$F$20, "")</f>
        <v/>
      </c>
      <c r="K2516" t="str">
        <f t="shared" si="318"/>
        <v>Low</v>
      </c>
      <c r="L2516">
        <f t="shared" si="319"/>
        <v>0.55000000000000004</v>
      </c>
      <c r="M2516">
        <f>_xlfn.XLOOKUP(B2516, Dim_Hotel!$A$2:$A$11, Dim_Hotel!$I$2:$I$11)
 + (IF(J2516="",0,J2516)
    * _xlfn.XLOOKUP(B2516, Dim_Hotel!$A$2:$A$11, Dim_Hotel!$J$2:$J$11))</f>
        <v>82</v>
      </c>
    </row>
    <row r="2517" spans="1:13" x14ac:dyDescent="0.25">
      <c r="A2517" s="1">
        <f t="shared" si="312"/>
        <v>46274</v>
      </c>
      <c r="B2517" t="str" cm="1">
        <f t="array" ref="B2517">INDEX(HotelList,MOD(ROW()-2,10)+1)</f>
        <v>H006</v>
      </c>
      <c r="C2517">
        <f>_xlfn.XLOOKUP(B2517,Dim_Hotel!$A$2:$A$11,Dim_Hotel!$F$2:$F$11)</f>
        <v>311</v>
      </c>
      <c r="D2517">
        <f t="shared" si="313"/>
        <v>171</v>
      </c>
      <c r="E2517">
        <f t="shared" si="314"/>
        <v>0.54983922829581988</v>
      </c>
      <c r="F2517">
        <f t="shared" si="315"/>
        <v>190</v>
      </c>
      <c r="G2517">
        <f t="shared" si="316"/>
        <v>104.46945337620578</v>
      </c>
      <c r="H2517" t="str">
        <f>_xlfn.XLOOKUP(A2517,Fact_Events!$D$2:$D$20,Fact_Events!$A$2:$A$20, "")</f>
        <v/>
      </c>
      <c r="I2517">
        <f t="shared" si="317"/>
        <v>0</v>
      </c>
      <c r="J2517" t="str">
        <f>_xlfn.XLOOKUP(H2517, Fact_Events!$A$2:$A$20, Fact_Events!$F$2:$F$20, "")</f>
        <v/>
      </c>
      <c r="K2517" t="str">
        <f t="shared" si="318"/>
        <v>Low</v>
      </c>
      <c r="L2517">
        <f t="shared" si="319"/>
        <v>0.55000000000000004</v>
      </c>
      <c r="M2517">
        <f>_xlfn.XLOOKUP(B2517, Dim_Hotel!$A$2:$A$11, Dim_Hotel!$I$2:$I$11)
 + (IF(J2517="",0,J2517)
    * _xlfn.XLOOKUP(B2517, Dim_Hotel!$A$2:$A$11, Dim_Hotel!$J$2:$J$11))</f>
        <v>190</v>
      </c>
    </row>
    <row r="2518" spans="1:13" x14ac:dyDescent="0.25">
      <c r="A2518" s="1">
        <f t="shared" si="312"/>
        <v>46274</v>
      </c>
      <c r="B2518" t="str" cm="1">
        <f t="array" ref="B2518">INDEX(HotelList,MOD(ROW()-2,10)+1)</f>
        <v>H007</v>
      </c>
      <c r="C2518">
        <f>_xlfn.XLOOKUP(B2518,Dim_Hotel!$A$2:$A$11,Dim_Hotel!$F$2:$F$11)</f>
        <v>132</v>
      </c>
      <c r="D2518">
        <f t="shared" si="313"/>
        <v>73</v>
      </c>
      <c r="E2518">
        <f t="shared" si="314"/>
        <v>0.55303030303030298</v>
      </c>
      <c r="F2518">
        <f t="shared" si="315"/>
        <v>165</v>
      </c>
      <c r="G2518">
        <f t="shared" si="316"/>
        <v>91.249999999999986</v>
      </c>
      <c r="H2518" t="str">
        <f>_xlfn.XLOOKUP(A2518,Fact_Events!$D$2:$D$20,Fact_Events!$A$2:$A$20, "")</f>
        <v/>
      </c>
      <c r="I2518">
        <f t="shared" si="317"/>
        <v>0</v>
      </c>
      <c r="J2518" t="str">
        <f>_xlfn.XLOOKUP(H2518, Fact_Events!$A$2:$A$20, Fact_Events!$F$2:$F$20, "")</f>
        <v/>
      </c>
      <c r="K2518" t="str">
        <f t="shared" si="318"/>
        <v>Low</v>
      </c>
      <c r="L2518">
        <f t="shared" si="319"/>
        <v>0.55000000000000004</v>
      </c>
      <c r="M2518">
        <f>_xlfn.XLOOKUP(B2518, Dim_Hotel!$A$2:$A$11, Dim_Hotel!$I$2:$I$11)
 + (IF(J2518="",0,J2518)
    * _xlfn.XLOOKUP(B2518, Dim_Hotel!$A$2:$A$11, Dim_Hotel!$J$2:$J$11))</f>
        <v>165</v>
      </c>
    </row>
    <row r="2519" spans="1:13" x14ac:dyDescent="0.25">
      <c r="A2519" s="1">
        <f t="shared" si="312"/>
        <v>46274</v>
      </c>
      <c r="B2519" t="str" cm="1">
        <f t="array" ref="B2519">INDEX(HotelList,MOD(ROW()-2,10)+1)</f>
        <v>H008</v>
      </c>
      <c r="C2519">
        <f>_xlfn.XLOOKUP(B2519,Dim_Hotel!$A$2:$A$11,Dim_Hotel!$F$2:$F$11)</f>
        <v>103</v>
      </c>
      <c r="D2519">
        <f t="shared" si="313"/>
        <v>57</v>
      </c>
      <c r="E2519">
        <f t="shared" si="314"/>
        <v>0.55339805825242716</v>
      </c>
      <c r="F2519">
        <f t="shared" si="315"/>
        <v>140</v>
      </c>
      <c r="G2519">
        <f t="shared" si="316"/>
        <v>77.475728155339809</v>
      </c>
      <c r="H2519" t="str">
        <f>_xlfn.XLOOKUP(A2519,Fact_Events!$D$2:$D$20,Fact_Events!$A$2:$A$20, "")</f>
        <v/>
      </c>
      <c r="I2519">
        <f t="shared" si="317"/>
        <v>0</v>
      </c>
      <c r="J2519" t="str">
        <f>_xlfn.XLOOKUP(H2519, Fact_Events!$A$2:$A$20, Fact_Events!$F$2:$F$20, "")</f>
        <v/>
      </c>
      <c r="K2519" t="str">
        <f t="shared" si="318"/>
        <v>Low</v>
      </c>
      <c r="L2519">
        <f t="shared" si="319"/>
        <v>0.55000000000000004</v>
      </c>
      <c r="M2519">
        <f>_xlfn.XLOOKUP(B2519, Dim_Hotel!$A$2:$A$11, Dim_Hotel!$I$2:$I$11)
 + (IF(J2519="",0,J2519)
    * _xlfn.XLOOKUP(B2519, Dim_Hotel!$A$2:$A$11, Dim_Hotel!$J$2:$J$11))</f>
        <v>140</v>
      </c>
    </row>
    <row r="2520" spans="1:13" x14ac:dyDescent="0.25">
      <c r="A2520" s="1">
        <f t="shared" si="312"/>
        <v>46274</v>
      </c>
      <c r="B2520" t="str" cm="1">
        <f t="array" ref="B2520">INDEX(HotelList,MOD(ROW()-2,10)+1)</f>
        <v>H009</v>
      </c>
      <c r="C2520">
        <f>_xlfn.XLOOKUP(B2520,Dim_Hotel!$A$2:$A$11,Dim_Hotel!$F$2:$F$11)</f>
        <v>114</v>
      </c>
      <c r="D2520">
        <f t="shared" si="313"/>
        <v>63</v>
      </c>
      <c r="E2520">
        <f t="shared" si="314"/>
        <v>0.55263157894736847</v>
      </c>
      <c r="F2520">
        <f t="shared" si="315"/>
        <v>185</v>
      </c>
      <c r="G2520">
        <f t="shared" si="316"/>
        <v>102.23684210526316</v>
      </c>
      <c r="H2520" t="str">
        <f>_xlfn.XLOOKUP(A2520,Fact_Events!$D$2:$D$20,Fact_Events!$A$2:$A$20, "")</f>
        <v/>
      </c>
      <c r="I2520">
        <f t="shared" si="317"/>
        <v>0</v>
      </c>
      <c r="J2520" t="str">
        <f>_xlfn.XLOOKUP(H2520, Fact_Events!$A$2:$A$20, Fact_Events!$F$2:$F$20, "")</f>
        <v/>
      </c>
      <c r="K2520" t="str">
        <f t="shared" si="318"/>
        <v>Low</v>
      </c>
      <c r="L2520">
        <f t="shared" si="319"/>
        <v>0.55000000000000004</v>
      </c>
      <c r="M2520">
        <f>_xlfn.XLOOKUP(B2520, Dim_Hotel!$A$2:$A$11, Dim_Hotel!$I$2:$I$11)
 + (IF(J2520="",0,J2520)
    * _xlfn.XLOOKUP(B2520, Dim_Hotel!$A$2:$A$11, Dim_Hotel!$J$2:$J$11))</f>
        <v>185</v>
      </c>
    </row>
    <row r="2521" spans="1:13" x14ac:dyDescent="0.25">
      <c r="A2521" s="1">
        <f t="shared" si="312"/>
        <v>46274</v>
      </c>
      <c r="B2521" t="str" cm="1">
        <f t="array" ref="B2521">INDEX(HotelList,MOD(ROW()-2,10)+1)</f>
        <v>H010</v>
      </c>
      <c r="C2521">
        <f>_xlfn.XLOOKUP(B2521,Dim_Hotel!$A$2:$A$11,Dim_Hotel!$F$2:$F$11)</f>
        <v>89</v>
      </c>
      <c r="D2521">
        <f t="shared" si="313"/>
        <v>49</v>
      </c>
      <c r="E2521">
        <f t="shared" si="314"/>
        <v>0.550561797752809</v>
      </c>
      <c r="F2521">
        <f t="shared" si="315"/>
        <v>150</v>
      </c>
      <c r="G2521">
        <f t="shared" si="316"/>
        <v>82.584269662921344</v>
      </c>
      <c r="H2521" t="str">
        <f>_xlfn.XLOOKUP(A2521,Fact_Events!$D$2:$D$20,Fact_Events!$A$2:$A$20, "")</f>
        <v/>
      </c>
      <c r="I2521">
        <f t="shared" si="317"/>
        <v>0</v>
      </c>
      <c r="J2521" t="str">
        <f>_xlfn.XLOOKUP(H2521, Fact_Events!$A$2:$A$20, Fact_Events!$F$2:$F$20, "")</f>
        <v/>
      </c>
      <c r="K2521" t="str">
        <f t="shared" si="318"/>
        <v>Low</v>
      </c>
      <c r="L2521">
        <f t="shared" si="319"/>
        <v>0.55000000000000004</v>
      </c>
      <c r="M2521">
        <f>_xlfn.XLOOKUP(B2521, Dim_Hotel!$A$2:$A$11, Dim_Hotel!$I$2:$I$11)
 + (IF(J2521="",0,J2521)
    * _xlfn.XLOOKUP(B2521, Dim_Hotel!$A$2:$A$11, Dim_Hotel!$J$2:$J$11))</f>
        <v>150</v>
      </c>
    </row>
    <row r="2522" spans="1:13" x14ac:dyDescent="0.25">
      <c r="A2522" s="1">
        <f t="shared" si="312"/>
        <v>46275</v>
      </c>
      <c r="B2522" t="str" cm="1">
        <f t="array" ref="B2522">INDEX(HotelList,MOD(ROW()-2,10)+1)</f>
        <v>H001</v>
      </c>
      <c r="C2522">
        <f>_xlfn.XLOOKUP(B2522,Dim_Hotel!$A$2:$A$11,Dim_Hotel!$F$2:$F$11)</f>
        <v>888</v>
      </c>
      <c r="D2522">
        <f t="shared" si="313"/>
        <v>488</v>
      </c>
      <c r="E2522">
        <f t="shared" si="314"/>
        <v>0.5495495495495496</v>
      </c>
      <c r="F2522">
        <f t="shared" si="315"/>
        <v>260</v>
      </c>
      <c r="G2522">
        <f t="shared" si="316"/>
        <v>142.88288288288288</v>
      </c>
      <c r="H2522" t="str">
        <f>_xlfn.XLOOKUP(A2522,Fact_Events!$D$2:$D$20,Fact_Events!$A$2:$A$20, "")</f>
        <v/>
      </c>
      <c r="I2522">
        <f t="shared" si="317"/>
        <v>0</v>
      </c>
      <c r="J2522" t="str">
        <f>_xlfn.XLOOKUP(H2522, Fact_Events!$A$2:$A$20, Fact_Events!$F$2:$F$20, "")</f>
        <v/>
      </c>
      <c r="K2522" t="str">
        <f t="shared" si="318"/>
        <v>Low</v>
      </c>
      <c r="L2522">
        <f t="shared" si="319"/>
        <v>0.55000000000000004</v>
      </c>
      <c r="M2522">
        <f>_xlfn.XLOOKUP(B2522, Dim_Hotel!$A$2:$A$11, Dim_Hotel!$I$2:$I$11)
 + (IF(J2522="",0,J2522)
    * _xlfn.XLOOKUP(B2522, Dim_Hotel!$A$2:$A$11, Dim_Hotel!$J$2:$J$11))</f>
        <v>260</v>
      </c>
    </row>
    <row r="2523" spans="1:13" x14ac:dyDescent="0.25">
      <c r="A2523" s="1">
        <f t="shared" si="312"/>
        <v>46275</v>
      </c>
      <c r="B2523" t="str" cm="1">
        <f t="array" ref="B2523">INDEX(HotelList,MOD(ROW()-2,10)+1)</f>
        <v>H002</v>
      </c>
      <c r="C2523">
        <f>_xlfn.XLOOKUP(B2523,Dim_Hotel!$A$2:$A$11,Dim_Hotel!$F$2:$F$11)</f>
        <v>147</v>
      </c>
      <c r="D2523">
        <f t="shared" si="313"/>
        <v>81</v>
      </c>
      <c r="E2523">
        <f t="shared" si="314"/>
        <v>0.55102040816326525</v>
      </c>
      <c r="F2523">
        <f t="shared" si="315"/>
        <v>175</v>
      </c>
      <c r="G2523">
        <f t="shared" si="316"/>
        <v>96.428571428571416</v>
      </c>
      <c r="H2523" t="str">
        <f>_xlfn.XLOOKUP(A2523,Fact_Events!$D$2:$D$20,Fact_Events!$A$2:$A$20, "")</f>
        <v/>
      </c>
      <c r="I2523">
        <f t="shared" si="317"/>
        <v>0</v>
      </c>
      <c r="J2523" t="str">
        <f>_xlfn.XLOOKUP(H2523, Fact_Events!$A$2:$A$20, Fact_Events!$F$2:$F$20, "")</f>
        <v/>
      </c>
      <c r="K2523" t="str">
        <f t="shared" si="318"/>
        <v>Low</v>
      </c>
      <c r="L2523">
        <f t="shared" si="319"/>
        <v>0.55000000000000004</v>
      </c>
      <c r="M2523">
        <f>_xlfn.XLOOKUP(B2523, Dim_Hotel!$A$2:$A$11, Dim_Hotel!$I$2:$I$11)
 + (IF(J2523="",0,J2523)
    * _xlfn.XLOOKUP(B2523, Dim_Hotel!$A$2:$A$11, Dim_Hotel!$J$2:$J$11))</f>
        <v>175</v>
      </c>
    </row>
    <row r="2524" spans="1:13" x14ac:dyDescent="0.25">
      <c r="A2524" s="1">
        <f t="shared" si="312"/>
        <v>46275</v>
      </c>
      <c r="B2524" t="str" cm="1">
        <f t="array" ref="B2524">INDEX(HotelList,MOD(ROW()-2,10)+1)</f>
        <v>H003</v>
      </c>
      <c r="C2524">
        <f>_xlfn.XLOOKUP(B2524,Dim_Hotel!$A$2:$A$11,Dim_Hotel!$F$2:$F$11)</f>
        <v>121</v>
      </c>
      <c r="D2524">
        <f t="shared" si="313"/>
        <v>67</v>
      </c>
      <c r="E2524">
        <f t="shared" si="314"/>
        <v>0.55371900826446285</v>
      </c>
      <c r="F2524">
        <f t="shared" si="315"/>
        <v>145</v>
      </c>
      <c r="G2524">
        <f t="shared" si="316"/>
        <v>80.289256198347118</v>
      </c>
      <c r="H2524" t="str">
        <f>_xlfn.XLOOKUP(A2524,Fact_Events!$D$2:$D$20,Fact_Events!$A$2:$A$20, "")</f>
        <v/>
      </c>
      <c r="I2524">
        <f t="shared" si="317"/>
        <v>0</v>
      </c>
      <c r="J2524" t="str">
        <f>_xlfn.XLOOKUP(H2524, Fact_Events!$A$2:$A$20, Fact_Events!$F$2:$F$20, "")</f>
        <v/>
      </c>
      <c r="K2524" t="str">
        <f t="shared" si="318"/>
        <v>Low</v>
      </c>
      <c r="L2524">
        <f t="shared" si="319"/>
        <v>0.55000000000000004</v>
      </c>
      <c r="M2524">
        <f>_xlfn.XLOOKUP(B2524, Dim_Hotel!$A$2:$A$11, Dim_Hotel!$I$2:$I$11)
 + (IF(J2524="",0,J2524)
    * _xlfn.XLOOKUP(B2524, Dim_Hotel!$A$2:$A$11, Dim_Hotel!$J$2:$J$11))</f>
        <v>145</v>
      </c>
    </row>
    <row r="2525" spans="1:13" x14ac:dyDescent="0.25">
      <c r="A2525" s="1">
        <f t="shared" si="312"/>
        <v>46275</v>
      </c>
      <c r="B2525" t="str" cm="1">
        <f t="array" ref="B2525">INDEX(HotelList,MOD(ROW()-2,10)+1)</f>
        <v>H004</v>
      </c>
      <c r="C2525">
        <f>_xlfn.XLOOKUP(B2525,Dim_Hotel!$A$2:$A$11,Dim_Hotel!$F$2:$F$11)</f>
        <v>108</v>
      </c>
      <c r="D2525">
        <f t="shared" si="313"/>
        <v>59</v>
      </c>
      <c r="E2525">
        <f t="shared" si="314"/>
        <v>0.54629629629629628</v>
      </c>
      <c r="F2525">
        <f t="shared" si="315"/>
        <v>135</v>
      </c>
      <c r="G2525">
        <f t="shared" si="316"/>
        <v>73.75</v>
      </c>
      <c r="H2525" t="str">
        <f>_xlfn.XLOOKUP(A2525,Fact_Events!$D$2:$D$20,Fact_Events!$A$2:$A$20, "")</f>
        <v/>
      </c>
      <c r="I2525">
        <f t="shared" si="317"/>
        <v>0</v>
      </c>
      <c r="J2525" t="str">
        <f>_xlfn.XLOOKUP(H2525, Fact_Events!$A$2:$A$20, Fact_Events!$F$2:$F$20, "")</f>
        <v/>
      </c>
      <c r="K2525" t="str">
        <f t="shared" si="318"/>
        <v>Low</v>
      </c>
      <c r="L2525">
        <f t="shared" si="319"/>
        <v>0.55000000000000004</v>
      </c>
      <c r="M2525">
        <f>_xlfn.XLOOKUP(B2525, Dim_Hotel!$A$2:$A$11, Dim_Hotel!$I$2:$I$11)
 + (IF(J2525="",0,J2525)
    * _xlfn.XLOOKUP(B2525, Dim_Hotel!$A$2:$A$11, Dim_Hotel!$J$2:$J$11))</f>
        <v>135</v>
      </c>
    </row>
    <row r="2526" spans="1:13" x14ac:dyDescent="0.25">
      <c r="A2526" s="1">
        <f t="shared" si="312"/>
        <v>46275</v>
      </c>
      <c r="B2526" t="str" cm="1">
        <f t="array" ref="B2526">INDEX(HotelList,MOD(ROW()-2,10)+1)</f>
        <v>H005</v>
      </c>
      <c r="C2526">
        <f>_xlfn.XLOOKUP(B2526,Dim_Hotel!$A$2:$A$11,Dim_Hotel!$F$2:$F$11)</f>
        <v>66</v>
      </c>
      <c r="D2526">
        <f t="shared" si="313"/>
        <v>36</v>
      </c>
      <c r="E2526">
        <f t="shared" si="314"/>
        <v>0.54545454545454541</v>
      </c>
      <c r="F2526">
        <f t="shared" si="315"/>
        <v>82</v>
      </c>
      <c r="G2526">
        <f t="shared" si="316"/>
        <v>44.727272727272727</v>
      </c>
      <c r="H2526" t="str">
        <f>_xlfn.XLOOKUP(A2526,Fact_Events!$D$2:$D$20,Fact_Events!$A$2:$A$20, "")</f>
        <v/>
      </c>
      <c r="I2526">
        <f t="shared" si="317"/>
        <v>0</v>
      </c>
      <c r="J2526" t="str">
        <f>_xlfn.XLOOKUP(H2526, Fact_Events!$A$2:$A$20, Fact_Events!$F$2:$F$20, "")</f>
        <v/>
      </c>
      <c r="K2526" t="str">
        <f t="shared" si="318"/>
        <v>Low</v>
      </c>
      <c r="L2526">
        <f t="shared" si="319"/>
        <v>0.55000000000000004</v>
      </c>
      <c r="M2526">
        <f>_xlfn.XLOOKUP(B2526, Dim_Hotel!$A$2:$A$11, Dim_Hotel!$I$2:$I$11)
 + (IF(J2526="",0,J2526)
    * _xlfn.XLOOKUP(B2526, Dim_Hotel!$A$2:$A$11, Dim_Hotel!$J$2:$J$11))</f>
        <v>82</v>
      </c>
    </row>
    <row r="2527" spans="1:13" x14ac:dyDescent="0.25">
      <c r="A2527" s="1">
        <f t="shared" si="312"/>
        <v>46275</v>
      </c>
      <c r="B2527" t="str" cm="1">
        <f t="array" ref="B2527">INDEX(HotelList,MOD(ROW()-2,10)+1)</f>
        <v>H006</v>
      </c>
      <c r="C2527">
        <f>_xlfn.XLOOKUP(B2527,Dim_Hotel!$A$2:$A$11,Dim_Hotel!$F$2:$F$11)</f>
        <v>311</v>
      </c>
      <c r="D2527">
        <f t="shared" si="313"/>
        <v>171</v>
      </c>
      <c r="E2527">
        <f t="shared" si="314"/>
        <v>0.54983922829581988</v>
      </c>
      <c r="F2527">
        <f t="shared" si="315"/>
        <v>190</v>
      </c>
      <c r="G2527">
        <f t="shared" si="316"/>
        <v>104.46945337620578</v>
      </c>
      <c r="H2527" t="str">
        <f>_xlfn.XLOOKUP(A2527,Fact_Events!$D$2:$D$20,Fact_Events!$A$2:$A$20, "")</f>
        <v/>
      </c>
      <c r="I2527">
        <f t="shared" si="317"/>
        <v>0</v>
      </c>
      <c r="J2527" t="str">
        <f>_xlfn.XLOOKUP(H2527, Fact_Events!$A$2:$A$20, Fact_Events!$F$2:$F$20, "")</f>
        <v/>
      </c>
      <c r="K2527" t="str">
        <f t="shared" si="318"/>
        <v>Low</v>
      </c>
      <c r="L2527">
        <f t="shared" si="319"/>
        <v>0.55000000000000004</v>
      </c>
      <c r="M2527">
        <f>_xlfn.XLOOKUP(B2527, Dim_Hotel!$A$2:$A$11, Dim_Hotel!$I$2:$I$11)
 + (IF(J2527="",0,J2527)
    * _xlfn.XLOOKUP(B2527, Dim_Hotel!$A$2:$A$11, Dim_Hotel!$J$2:$J$11))</f>
        <v>190</v>
      </c>
    </row>
    <row r="2528" spans="1:13" x14ac:dyDescent="0.25">
      <c r="A2528" s="1">
        <f t="shared" si="312"/>
        <v>46275</v>
      </c>
      <c r="B2528" t="str" cm="1">
        <f t="array" ref="B2528">INDEX(HotelList,MOD(ROW()-2,10)+1)</f>
        <v>H007</v>
      </c>
      <c r="C2528">
        <f>_xlfn.XLOOKUP(B2528,Dim_Hotel!$A$2:$A$11,Dim_Hotel!$F$2:$F$11)</f>
        <v>132</v>
      </c>
      <c r="D2528">
        <f t="shared" si="313"/>
        <v>73</v>
      </c>
      <c r="E2528">
        <f t="shared" si="314"/>
        <v>0.55303030303030298</v>
      </c>
      <c r="F2528">
        <f t="shared" si="315"/>
        <v>165</v>
      </c>
      <c r="G2528">
        <f t="shared" si="316"/>
        <v>91.249999999999986</v>
      </c>
      <c r="H2528" t="str">
        <f>_xlfn.XLOOKUP(A2528,Fact_Events!$D$2:$D$20,Fact_Events!$A$2:$A$20, "")</f>
        <v/>
      </c>
      <c r="I2528">
        <f t="shared" si="317"/>
        <v>0</v>
      </c>
      <c r="J2528" t="str">
        <f>_xlfn.XLOOKUP(H2528, Fact_Events!$A$2:$A$20, Fact_Events!$F$2:$F$20, "")</f>
        <v/>
      </c>
      <c r="K2528" t="str">
        <f t="shared" si="318"/>
        <v>Low</v>
      </c>
      <c r="L2528">
        <f t="shared" si="319"/>
        <v>0.55000000000000004</v>
      </c>
      <c r="M2528">
        <f>_xlfn.XLOOKUP(B2528, Dim_Hotel!$A$2:$A$11, Dim_Hotel!$I$2:$I$11)
 + (IF(J2528="",0,J2528)
    * _xlfn.XLOOKUP(B2528, Dim_Hotel!$A$2:$A$11, Dim_Hotel!$J$2:$J$11))</f>
        <v>165</v>
      </c>
    </row>
    <row r="2529" spans="1:13" x14ac:dyDescent="0.25">
      <c r="A2529" s="1">
        <f t="shared" si="312"/>
        <v>46275</v>
      </c>
      <c r="B2529" t="str" cm="1">
        <f t="array" ref="B2529">INDEX(HotelList,MOD(ROW()-2,10)+1)</f>
        <v>H008</v>
      </c>
      <c r="C2529">
        <f>_xlfn.XLOOKUP(B2529,Dim_Hotel!$A$2:$A$11,Dim_Hotel!$F$2:$F$11)</f>
        <v>103</v>
      </c>
      <c r="D2529">
        <f t="shared" si="313"/>
        <v>57</v>
      </c>
      <c r="E2529">
        <f t="shared" si="314"/>
        <v>0.55339805825242716</v>
      </c>
      <c r="F2529">
        <f t="shared" si="315"/>
        <v>140</v>
      </c>
      <c r="G2529">
        <f t="shared" si="316"/>
        <v>77.475728155339809</v>
      </c>
      <c r="H2529" t="str">
        <f>_xlfn.XLOOKUP(A2529,Fact_Events!$D$2:$D$20,Fact_Events!$A$2:$A$20, "")</f>
        <v/>
      </c>
      <c r="I2529">
        <f t="shared" si="317"/>
        <v>0</v>
      </c>
      <c r="J2529" t="str">
        <f>_xlfn.XLOOKUP(H2529, Fact_Events!$A$2:$A$20, Fact_Events!$F$2:$F$20, "")</f>
        <v/>
      </c>
      <c r="K2529" t="str">
        <f t="shared" si="318"/>
        <v>Low</v>
      </c>
      <c r="L2529">
        <f t="shared" si="319"/>
        <v>0.55000000000000004</v>
      </c>
      <c r="M2529">
        <f>_xlfn.XLOOKUP(B2529, Dim_Hotel!$A$2:$A$11, Dim_Hotel!$I$2:$I$11)
 + (IF(J2529="",0,J2529)
    * _xlfn.XLOOKUP(B2529, Dim_Hotel!$A$2:$A$11, Dim_Hotel!$J$2:$J$11))</f>
        <v>140</v>
      </c>
    </row>
    <row r="2530" spans="1:13" x14ac:dyDescent="0.25">
      <c r="A2530" s="1">
        <f t="shared" si="312"/>
        <v>46275</v>
      </c>
      <c r="B2530" t="str" cm="1">
        <f t="array" ref="B2530">INDEX(HotelList,MOD(ROW()-2,10)+1)</f>
        <v>H009</v>
      </c>
      <c r="C2530">
        <f>_xlfn.XLOOKUP(B2530,Dim_Hotel!$A$2:$A$11,Dim_Hotel!$F$2:$F$11)</f>
        <v>114</v>
      </c>
      <c r="D2530">
        <f t="shared" si="313"/>
        <v>63</v>
      </c>
      <c r="E2530">
        <f t="shared" si="314"/>
        <v>0.55263157894736847</v>
      </c>
      <c r="F2530">
        <f t="shared" si="315"/>
        <v>185</v>
      </c>
      <c r="G2530">
        <f t="shared" si="316"/>
        <v>102.23684210526316</v>
      </c>
      <c r="H2530" t="str">
        <f>_xlfn.XLOOKUP(A2530,Fact_Events!$D$2:$D$20,Fact_Events!$A$2:$A$20, "")</f>
        <v/>
      </c>
      <c r="I2530">
        <f t="shared" si="317"/>
        <v>0</v>
      </c>
      <c r="J2530" t="str">
        <f>_xlfn.XLOOKUP(H2530, Fact_Events!$A$2:$A$20, Fact_Events!$F$2:$F$20, "")</f>
        <v/>
      </c>
      <c r="K2530" t="str">
        <f t="shared" si="318"/>
        <v>Low</v>
      </c>
      <c r="L2530">
        <f t="shared" si="319"/>
        <v>0.55000000000000004</v>
      </c>
      <c r="M2530">
        <f>_xlfn.XLOOKUP(B2530, Dim_Hotel!$A$2:$A$11, Dim_Hotel!$I$2:$I$11)
 + (IF(J2530="",0,J2530)
    * _xlfn.XLOOKUP(B2530, Dim_Hotel!$A$2:$A$11, Dim_Hotel!$J$2:$J$11))</f>
        <v>185</v>
      </c>
    </row>
    <row r="2531" spans="1:13" x14ac:dyDescent="0.25">
      <c r="A2531" s="1">
        <f t="shared" si="312"/>
        <v>46275</v>
      </c>
      <c r="B2531" t="str" cm="1">
        <f t="array" ref="B2531">INDEX(HotelList,MOD(ROW()-2,10)+1)</f>
        <v>H010</v>
      </c>
      <c r="C2531">
        <f>_xlfn.XLOOKUP(B2531,Dim_Hotel!$A$2:$A$11,Dim_Hotel!$F$2:$F$11)</f>
        <v>89</v>
      </c>
      <c r="D2531">
        <f t="shared" si="313"/>
        <v>49</v>
      </c>
      <c r="E2531">
        <f t="shared" si="314"/>
        <v>0.550561797752809</v>
      </c>
      <c r="F2531">
        <f t="shared" si="315"/>
        <v>150</v>
      </c>
      <c r="G2531">
        <f t="shared" si="316"/>
        <v>82.584269662921344</v>
      </c>
      <c r="H2531" t="str">
        <f>_xlfn.XLOOKUP(A2531,Fact_Events!$D$2:$D$20,Fact_Events!$A$2:$A$20, "")</f>
        <v/>
      </c>
      <c r="I2531">
        <f t="shared" si="317"/>
        <v>0</v>
      </c>
      <c r="J2531" t="str">
        <f>_xlfn.XLOOKUP(H2531, Fact_Events!$A$2:$A$20, Fact_Events!$F$2:$F$20, "")</f>
        <v/>
      </c>
      <c r="K2531" t="str">
        <f t="shared" si="318"/>
        <v>Low</v>
      </c>
      <c r="L2531">
        <f t="shared" si="319"/>
        <v>0.55000000000000004</v>
      </c>
      <c r="M2531">
        <f>_xlfn.XLOOKUP(B2531, Dim_Hotel!$A$2:$A$11, Dim_Hotel!$I$2:$I$11)
 + (IF(J2531="",0,J2531)
    * _xlfn.XLOOKUP(B2531, Dim_Hotel!$A$2:$A$11, Dim_Hotel!$J$2:$J$11))</f>
        <v>150</v>
      </c>
    </row>
    <row r="2532" spans="1:13" x14ac:dyDescent="0.25">
      <c r="A2532" s="1">
        <f t="shared" si="312"/>
        <v>46276</v>
      </c>
      <c r="B2532" t="str" cm="1">
        <f t="array" ref="B2532">INDEX(HotelList,MOD(ROW()-2,10)+1)</f>
        <v>H001</v>
      </c>
      <c r="C2532">
        <f>_xlfn.XLOOKUP(B2532,Dim_Hotel!$A$2:$A$11,Dim_Hotel!$F$2:$F$11)</f>
        <v>888</v>
      </c>
      <c r="D2532">
        <f t="shared" si="313"/>
        <v>488</v>
      </c>
      <c r="E2532">
        <f t="shared" si="314"/>
        <v>0.5495495495495496</v>
      </c>
      <c r="F2532">
        <f t="shared" si="315"/>
        <v>260</v>
      </c>
      <c r="G2532">
        <f t="shared" si="316"/>
        <v>142.88288288288288</v>
      </c>
      <c r="H2532" t="str">
        <f>_xlfn.XLOOKUP(A2532,Fact_Events!$D$2:$D$20,Fact_Events!$A$2:$A$20, "")</f>
        <v/>
      </c>
      <c r="I2532">
        <f t="shared" si="317"/>
        <v>0</v>
      </c>
      <c r="J2532" t="str">
        <f>_xlfn.XLOOKUP(H2532, Fact_Events!$A$2:$A$20, Fact_Events!$F$2:$F$20, "")</f>
        <v/>
      </c>
      <c r="K2532" t="str">
        <f t="shared" si="318"/>
        <v>Low</v>
      </c>
      <c r="L2532">
        <f t="shared" si="319"/>
        <v>0.55000000000000004</v>
      </c>
      <c r="M2532">
        <f>_xlfn.XLOOKUP(B2532, Dim_Hotel!$A$2:$A$11, Dim_Hotel!$I$2:$I$11)
 + (IF(J2532="",0,J2532)
    * _xlfn.XLOOKUP(B2532, Dim_Hotel!$A$2:$A$11, Dim_Hotel!$J$2:$J$11))</f>
        <v>260</v>
      </c>
    </row>
    <row r="2533" spans="1:13" x14ac:dyDescent="0.25">
      <c r="A2533" s="1">
        <f t="shared" si="312"/>
        <v>46276</v>
      </c>
      <c r="B2533" t="str" cm="1">
        <f t="array" ref="B2533">INDEX(HotelList,MOD(ROW()-2,10)+1)</f>
        <v>H002</v>
      </c>
      <c r="C2533">
        <f>_xlfn.XLOOKUP(B2533,Dim_Hotel!$A$2:$A$11,Dim_Hotel!$F$2:$F$11)</f>
        <v>147</v>
      </c>
      <c r="D2533">
        <f t="shared" si="313"/>
        <v>81</v>
      </c>
      <c r="E2533">
        <f t="shared" si="314"/>
        <v>0.55102040816326525</v>
      </c>
      <c r="F2533">
        <f t="shared" si="315"/>
        <v>175</v>
      </c>
      <c r="G2533">
        <f t="shared" si="316"/>
        <v>96.428571428571416</v>
      </c>
      <c r="H2533" t="str">
        <f>_xlfn.XLOOKUP(A2533,Fact_Events!$D$2:$D$20,Fact_Events!$A$2:$A$20, "")</f>
        <v/>
      </c>
      <c r="I2533">
        <f t="shared" si="317"/>
        <v>0</v>
      </c>
      <c r="J2533" t="str">
        <f>_xlfn.XLOOKUP(H2533, Fact_Events!$A$2:$A$20, Fact_Events!$F$2:$F$20, "")</f>
        <v/>
      </c>
      <c r="K2533" t="str">
        <f t="shared" si="318"/>
        <v>Low</v>
      </c>
      <c r="L2533">
        <f t="shared" si="319"/>
        <v>0.55000000000000004</v>
      </c>
      <c r="M2533">
        <f>_xlfn.XLOOKUP(B2533, Dim_Hotel!$A$2:$A$11, Dim_Hotel!$I$2:$I$11)
 + (IF(J2533="",0,J2533)
    * _xlfn.XLOOKUP(B2533, Dim_Hotel!$A$2:$A$11, Dim_Hotel!$J$2:$J$11))</f>
        <v>175</v>
      </c>
    </row>
    <row r="2534" spans="1:13" x14ac:dyDescent="0.25">
      <c r="A2534" s="1">
        <f t="shared" si="312"/>
        <v>46276</v>
      </c>
      <c r="B2534" t="str" cm="1">
        <f t="array" ref="B2534">INDEX(HotelList,MOD(ROW()-2,10)+1)</f>
        <v>H003</v>
      </c>
      <c r="C2534">
        <f>_xlfn.XLOOKUP(B2534,Dim_Hotel!$A$2:$A$11,Dim_Hotel!$F$2:$F$11)</f>
        <v>121</v>
      </c>
      <c r="D2534">
        <f t="shared" si="313"/>
        <v>67</v>
      </c>
      <c r="E2534">
        <f t="shared" si="314"/>
        <v>0.55371900826446285</v>
      </c>
      <c r="F2534">
        <f t="shared" si="315"/>
        <v>145</v>
      </c>
      <c r="G2534">
        <f t="shared" si="316"/>
        <v>80.289256198347118</v>
      </c>
      <c r="H2534" t="str">
        <f>_xlfn.XLOOKUP(A2534,Fact_Events!$D$2:$D$20,Fact_Events!$A$2:$A$20, "")</f>
        <v/>
      </c>
      <c r="I2534">
        <f t="shared" si="317"/>
        <v>0</v>
      </c>
      <c r="J2534" t="str">
        <f>_xlfn.XLOOKUP(H2534, Fact_Events!$A$2:$A$20, Fact_Events!$F$2:$F$20, "")</f>
        <v/>
      </c>
      <c r="K2534" t="str">
        <f t="shared" si="318"/>
        <v>Low</v>
      </c>
      <c r="L2534">
        <f t="shared" si="319"/>
        <v>0.55000000000000004</v>
      </c>
      <c r="M2534">
        <f>_xlfn.XLOOKUP(B2534, Dim_Hotel!$A$2:$A$11, Dim_Hotel!$I$2:$I$11)
 + (IF(J2534="",0,J2534)
    * _xlfn.XLOOKUP(B2534, Dim_Hotel!$A$2:$A$11, Dim_Hotel!$J$2:$J$11))</f>
        <v>145</v>
      </c>
    </row>
    <row r="2535" spans="1:13" x14ac:dyDescent="0.25">
      <c r="A2535" s="1">
        <f t="shared" si="312"/>
        <v>46276</v>
      </c>
      <c r="B2535" t="str" cm="1">
        <f t="array" ref="B2535">INDEX(HotelList,MOD(ROW()-2,10)+1)</f>
        <v>H004</v>
      </c>
      <c r="C2535">
        <f>_xlfn.XLOOKUP(B2535,Dim_Hotel!$A$2:$A$11,Dim_Hotel!$F$2:$F$11)</f>
        <v>108</v>
      </c>
      <c r="D2535">
        <f t="shared" si="313"/>
        <v>59</v>
      </c>
      <c r="E2535">
        <f t="shared" si="314"/>
        <v>0.54629629629629628</v>
      </c>
      <c r="F2535">
        <f t="shared" si="315"/>
        <v>135</v>
      </c>
      <c r="G2535">
        <f t="shared" si="316"/>
        <v>73.75</v>
      </c>
      <c r="H2535" t="str">
        <f>_xlfn.XLOOKUP(A2535,Fact_Events!$D$2:$D$20,Fact_Events!$A$2:$A$20, "")</f>
        <v/>
      </c>
      <c r="I2535">
        <f t="shared" si="317"/>
        <v>0</v>
      </c>
      <c r="J2535" t="str">
        <f>_xlfn.XLOOKUP(H2535, Fact_Events!$A$2:$A$20, Fact_Events!$F$2:$F$20, "")</f>
        <v/>
      </c>
      <c r="K2535" t="str">
        <f t="shared" si="318"/>
        <v>Low</v>
      </c>
      <c r="L2535">
        <f t="shared" si="319"/>
        <v>0.55000000000000004</v>
      </c>
      <c r="M2535">
        <f>_xlfn.XLOOKUP(B2535, Dim_Hotel!$A$2:$A$11, Dim_Hotel!$I$2:$I$11)
 + (IF(J2535="",0,J2535)
    * _xlfn.XLOOKUP(B2535, Dim_Hotel!$A$2:$A$11, Dim_Hotel!$J$2:$J$11))</f>
        <v>135</v>
      </c>
    </row>
    <row r="2536" spans="1:13" x14ac:dyDescent="0.25">
      <c r="A2536" s="1">
        <f t="shared" si="312"/>
        <v>46276</v>
      </c>
      <c r="B2536" t="str" cm="1">
        <f t="array" ref="B2536">INDEX(HotelList,MOD(ROW()-2,10)+1)</f>
        <v>H005</v>
      </c>
      <c r="C2536">
        <f>_xlfn.XLOOKUP(B2536,Dim_Hotel!$A$2:$A$11,Dim_Hotel!$F$2:$F$11)</f>
        <v>66</v>
      </c>
      <c r="D2536">
        <f t="shared" si="313"/>
        <v>36</v>
      </c>
      <c r="E2536">
        <f t="shared" si="314"/>
        <v>0.54545454545454541</v>
      </c>
      <c r="F2536">
        <f t="shared" si="315"/>
        <v>82</v>
      </c>
      <c r="G2536">
        <f t="shared" si="316"/>
        <v>44.727272727272727</v>
      </c>
      <c r="H2536" t="str">
        <f>_xlfn.XLOOKUP(A2536,Fact_Events!$D$2:$D$20,Fact_Events!$A$2:$A$20, "")</f>
        <v/>
      </c>
      <c r="I2536">
        <f t="shared" si="317"/>
        <v>0</v>
      </c>
      <c r="J2536" t="str">
        <f>_xlfn.XLOOKUP(H2536, Fact_Events!$A$2:$A$20, Fact_Events!$F$2:$F$20, "")</f>
        <v/>
      </c>
      <c r="K2536" t="str">
        <f t="shared" si="318"/>
        <v>Low</v>
      </c>
      <c r="L2536">
        <f t="shared" si="319"/>
        <v>0.55000000000000004</v>
      </c>
      <c r="M2536">
        <f>_xlfn.XLOOKUP(B2536, Dim_Hotel!$A$2:$A$11, Dim_Hotel!$I$2:$I$11)
 + (IF(J2536="",0,J2536)
    * _xlfn.XLOOKUP(B2536, Dim_Hotel!$A$2:$A$11, Dim_Hotel!$J$2:$J$11))</f>
        <v>82</v>
      </c>
    </row>
    <row r="2537" spans="1:13" x14ac:dyDescent="0.25">
      <c r="A2537" s="1">
        <f t="shared" si="312"/>
        <v>46276</v>
      </c>
      <c r="B2537" t="str" cm="1">
        <f t="array" ref="B2537">INDEX(HotelList,MOD(ROW()-2,10)+1)</f>
        <v>H006</v>
      </c>
      <c r="C2537">
        <f>_xlfn.XLOOKUP(B2537,Dim_Hotel!$A$2:$A$11,Dim_Hotel!$F$2:$F$11)</f>
        <v>311</v>
      </c>
      <c r="D2537">
        <f t="shared" si="313"/>
        <v>171</v>
      </c>
      <c r="E2537">
        <f t="shared" si="314"/>
        <v>0.54983922829581988</v>
      </c>
      <c r="F2537">
        <f t="shared" si="315"/>
        <v>190</v>
      </c>
      <c r="G2537">
        <f t="shared" si="316"/>
        <v>104.46945337620578</v>
      </c>
      <c r="H2537" t="str">
        <f>_xlfn.XLOOKUP(A2537,Fact_Events!$D$2:$D$20,Fact_Events!$A$2:$A$20, "")</f>
        <v/>
      </c>
      <c r="I2537">
        <f t="shared" si="317"/>
        <v>0</v>
      </c>
      <c r="J2537" t="str">
        <f>_xlfn.XLOOKUP(H2537, Fact_Events!$A$2:$A$20, Fact_Events!$F$2:$F$20, "")</f>
        <v/>
      </c>
      <c r="K2537" t="str">
        <f t="shared" si="318"/>
        <v>Low</v>
      </c>
      <c r="L2537">
        <f t="shared" si="319"/>
        <v>0.55000000000000004</v>
      </c>
      <c r="M2537">
        <f>_xlfn.XLOOKUP(B2537, Dim_Hotel!$A$2:$A$11, Dim_Hotel!$I$2:$I$11)
 + (IF(J2537="",0,J2537)
    * _xlfn.XLOOKUP(B2537, Dim_Hotel!$A$2:$A$11, Dim_Hotel!$J$2:$J$11))</f>
        <v>190</v>
      </c>
    </row>
    <row r="2538" spans="1:13" x14ac:dyDescent="0.25">
      <c r="A2538" s="1">
        <f t="shared" si="312"/>
        <v>46276</v>
      </c>
      <c r="B2538" t="str" cm="1">
        <f t="array" ref="B2538">INDEX(HotelList,MOD(ROW()-2,10)+1)</f>
        <v>H007</v>
      </c>
      <c r="C2538">
        <f>_xlfn.XLOOKUP(B2538,Dim_Hotel!$A$2:$A$11,Dim_Hotel!$F$2:$F$11)</f>
        <v>132</v>
      </c>
      <c r="D2538">
        <f t="shared" si="313"/>
        <v>73</v>
      </c>
      <c r="E2538">
        <f t="shared" si="314"/>
        <v>0.55303030303030298</v>
      </c>
      <c r="F2538">
        <f t="shared" si="315"/>
        <v>165</v>
      </c>
      <c r="G2538">
        <f t="shared" si="316"/>
        <v>91.249999999999986</v>
      </c>
      <c r="H2538" t="str">
        <f>_xlfn.XLOOKUP(A2538,Fact_Events!$D$2:$D$20,Fact_Events!$A$2:$A$20, "")</f>
        <v/>
      </c>
      <c r="I2538">
        <f t="shared" si="317"/>
        <v>0</v>
      </c>
      <c r="J2538" t="str">
        <f>_xlfn.XLOOKUP(H2538, Fact_Events!$A$2:$A$20, Fact_Events!$F$2:$F$20, "")</f>
        <v/>
      </c>
      <c r="K2538" t="str">
        <f t="shared" si="318"/>
        <v>Low</v>
      </c>
      <c r="L2538">
        <f t="shared" si="319"/>
        <v>0.55000000000000004</v>
      </c>
      <c r="M2538">
        <f>_xlfn.XLOOKUP(B2538, Dim_Hotel!$A$2:$A$11, Dim_Hotel!$I$2:$I$11)
 + (IF(J2538="",0,J2538)
    * _xlfn.XLOOKUP(B2538, Dim_Hotel!$A$2:$A$11, Dim_Hotel!$J$2:$J$11))</f>
        <v>165</v>
      </c>
    </row>
    <row r="2539" spans="1:13" x14ac:dyDescent="0.25">
      <c r="A2539" s="1">
        <f t="shared" si="312"/>
        <v>46276</v>
      </c>
      <c r="B2539" t="str" cm="1">
        <f t="array" ref="B2539">INDEX(HotelList,MOD(ROW()-2,10)+1)</f>
        <v>H008</v>
      </c>
      <c r="C2539">
        <f>_xlfn.XLOOKUP(B2539,Dim_Hotel!$A$2:$A$11,Dim_Hotel!$F$2:$F$11)</f>
        <v>103</v>
      </c>
      <c r="D2539">
        <f t="shared" si="313"/>
        <v>57</v>
      </c>
      <c r="E2539">
        <f t="shared" si="314"/>
        <v>0.55339805825242716</v>
      </c>
      <c r="F2539">
        <f t="shared" si="315"/>
        <v>140</v>
      </c>
      <c r="G2539">
        <f t="shared" si="316"/>
        <v>77.475728155339809</v>
      </c>
      <c r="H2539" t="str">
        <f>_xlfn.XLOOKUP(A2539,Fact_Events!$D$2:$D$20,Fact_Events!$A$2:$A$20, "")</f>
        <v/>
      </c>
      <c r="I2539">
        <f t="shared" si="317"/>
        <v>0</v>
      </c>
      <c r="J2539" t="str">
        <f>_xlfn.XLOOKUP(H2539, Fact_Events!$A$2:$A$20, Fact_Events!$F$2:$F$20, "")</f>
        <v/>
      </c>
      <c r="K2539" t="str">
        <f t="shared" si="318"/>
        <v>Low</v>
      </c>
      <c r="L2539">
        <f t="shared" si="319"/>
        <v>0.55000000000000004</v>
      </c>
      <c r="M2539">
        <f>_xlfn.XLOOKUP(B2539, Dim_Hotel!$A$2:$A$11, Dim_Hotel!$I$2:$I$11)
 + (IF(J2539="",0,J2539)
    * _xlfn.XLOOKUP(B2539, Dim_Hotel!$A$2:$A$11, Dim_Hotel!$J$2:$J$11))</f>
        <v>140</v>
      </c>
    </row>
    <row r="2540" spans="1:13" x14ac:dyDescent="0.25">
      <c r="A2540" s="1">
        <f t="shared" si="312"/>
        <v>46276</v>
      </c>
      <c r="B2540" t="str" cm="1">
        <f t="array" ref="B2540">INDEX(HotelList,MOD(ROW()-2,10)+1)</f>
        <v>H009</v>
      </c>
      <c r="C2540">
        <f>_xlfn.XLOOKUP(B2540,Dim_Hotel!$A$2:$A$11,Dim_Hotel!$F$2:$F$11)</f>
        <v>114</v>
      </c>
      <c r="D2540">
        <f t="shared" si="313"/>
        <v>63</v>
      </c>
      <c r="E2540">
        <f t="shared" si="314"/>
        <v>0.55263157894736847</v>
      </c>
      <c r="F2540">
        <f t="shared" si="315"/>
        <v>185</v>
      </c>
      <c r="G2540">
        <f t="shared" si="316"/>
        <v>102.23684210526316</v>
      </c>
      <c r="H2540" t="str">
        <f>_xlfn.XLOOKUP(A2540,Fact_Events!$D$2:$D$20,Fact_Events!$A$2:$A$20, "")</f>
        <v/>
      </c>
      <c r="I2540">
        <f t="shared" si="317"/>
        <v>0</v>
      </c>
      <c r="J2540" t="str">
        <f>_xlfn.XLOOKUP(H2540, Fact_Events!$A$2:$A$20, Fact_Events!$F$2:$F$20, "")</f>
        <v/>
      </c>
      <c r="K2540" t="str">
        <f t="shared" si="318"/>
        <v>Low</v>
      </c>
      <c r="L2540">
        <f t="shared" si="319"/>
        <v>0.55000000000000004</v>
      </c>
      <c r="M2540">
        <f>_xlfn.XLOOKUP(B2540, Dim_Hotel!$A$2:$A$11, Dim_Hotel!$I$2:$I$11)
 + (IF(J2540="",0,J2540)
    * _xlfn.XLOOKUP(B2540, Dim_Hotel!$A$2:$A$11, Dim_Hotel!$J$2:$J$11))</f>
        <v>185</v>
      </c>
    </row>
    <row r="2541" spans="1:13" x14ac:dyDescent="0.25">
      <c r="A2541" s="1">
        <f t="shared" si="312"/>
        <v>46276</v>
      </c>
      <c r="B2541" t="str" cm="1">
        <f t="array" ref="B2541">INDEX(HotelList,MOD(ROW()-2,10)+1)</f>
        <v>H010</v>
      </c>
      <c r="C2541">
        <f>_xlfn.XLOOKUP(B2541,Dim_Hotel!$A$2:$A$11,Dim_Hotel!$F$2:$F$11)</f>
        <v>89</v>
      </c>
      <c r="D2541">
        <f t="shared" si="313"/>
        <v>49</v>
      </c>
      <c r="E2541">
        <f t="shared" si="314"/>
        <v>0.550561797752809</v>
      </c>
      <c r="F2541">
        <f t="shared" si="315"/>
        <v>150</v>
      </c>
      <c r="G2541">
        <f t="shared" si="316"/>
        <v>82.584269662921344</v>
      </c>
      <c r="H2541" t="str">
        <f>_xlfn.XLOOKUP(A2541,Fact_Events!$D$2:$D$20,Fact_Events!$A$2:$A$20, "")</f>
        <v/>
      </c>
      <c r="I2541">
        <f t="shared" si="317"/>
        <v>0</v>
      </c>
      <c r="J2541" t="str">
        <f>_xlfn.XLOOKUP(H2541, Fact_Events!$A$2:$A$20, Fact_Events!$F$2:$F$20, "")</f>
        <v/>
      </c>
      <c r="K2541" t="str">
        <f t="shared" si="318"/>
        <v>Low</v>
      </c>
      <c r="L2541">
        <f t="shared" si="319"/>
        <v>0.55000000000000004</v>
      </c>
      <c r="M2541">
        <f>_xlfn.XLOOKUP(B2541, Dim_Hotel!$A$2:$A$11, Dim_Hotel!$I$2:$I$11)
 + (IF(J2541="",0,J2541)
    * _xlfn.XLOOKUP(B2541, Dim_Hotel!$A$2:$A$11, Dim_Hotel!$J$2:$J$11))</f>
        <v>150</v>
      </c>
    </row>
    <row r="2542" spans="1:13" x14ac:dyDescent="0.25">
      <c r="A2542" s="1">
        <f t="shared" si="312"/>
        <v>46277</v>
      </c>
      <c r="B2542" t="str" cm="1">
        <f t="array" ref="B2542">INDEX(HotelList,MOD(ROW()-2,10)+1)</f>
        <v>H001</v>
      </c>
      <c r="C2542">
        <f>_xlfn.XLOOKUP(B2542,Dim_Hotel!$A$2:$A$11,Dim_Hotel!$F$2:$F$11)</f>
        <v>888</v>
      </c>
      <c r="D2542">
        <f t="shared" si="313"/>
        <v>488</v>
      </c>
      <c r="E2542">
        <f t="shared" si="314"/>
        <v>0.5495495495495496</v>
      </c>
      <c r="F2542">
        <f t="shared" si="315"/>
        <v>260</v>
      </c>
      <c r="G2542">
        <f t="shared" si="316"/>
        <v>142.88288288288288</v>
      </c>
      <c r="H2542" t="str">
        <f>_xlfn.XLOOKUP(A2542,Fact_Events!$D$2:$D$20,Fact_Events!$A$2:$A$20, "")</f>
        <v/>
      </c>
      <c r="I2542">
        <f t="shared" si="317"/>
        <v>0</v>
      </c>
      <c r="J2542" t="str">
        <f>_xlfn.XLOOKUP(H2542, Fact_Events!$A$2:$A$20, Fact_Events!$F$2:$F$20, "")</f>
        <v/>
      </c>
      <c r="K2542" t="str">
        <f t="shared" si="318"/>
        <v>Low</v>
      </c>
      <c r="L2542">
        <f t="shared" si="319"/>
        <v>0.55000000000000004</v>
      </c>
      <c r="M2542">
        <f>_xlfn.XLOOKUP(B2542, Dim_Hotel!$A$2:$A$11, Dim_Hotel!$I$2:$I$11)
 + (IF(J2542="",0,J2542)
    * _xlfn.XLOOKUP(B2542, Dim_Hotel!$A$2:$A$11, Dim_Hotel!$J$2:$J$11))</f>
        <v>260</v>
      </c>
    </row>
    <row r="2543" spans="1:13" x14ac:dyDescent="0.25">
      <c r="A2543" s="1">
        <f t="shared" si="312"/>
        <v>46277</v>
      </c>
      <c r="B2543" t="str" cm="1">
        <f t="array" ref="B2543">INDEX(HotelList,MOD(ROW()-2,10)+1)</f>
        <v>H002</v>
      </c>
      <c r="C2543">
        <f>_xlfn.XLOOKUP(B2543,Dim_Hotel!$A$2:$A$11,Dim_Hotel!$F$2:$F$11)</f>
        <v>147</v>
      </c>
      <c r="D2543">
        <f t="shared" si="313"/>
        <v>81</v>
      </c>
      <c r="E2543">
        <f t="shared" si="314"/>
        <v>0.55102040816326525</v>
      </c>
      <c r="F2543">
        <f t="shared" si="315"/>
        <v>175</v>
      </c>
      <c r="G2543">
        <f t="shared" si="316"/>
        <v>96.428571428571416</v>
      </c>
      <c r="H2543" t="str">
        <f>_xlfn.XLOOKUP(A2543,Fact_Events!$D$2:$D$20,Fact_Events!$A$2:$A$20, "")</f>
        <v/>
      </c>
      <c r="I2543">
        <f t="shared" si="317"/>
        <v>0</v>
      </c>
      <c r="J2543" t="str">
        <f>_xlfn.XLOOKUP(H2543, Fact_Events!$A$2:$A$20, Fact_Events!$F$2:$F$20, "")</f>
        <v/>
      </c>
      <c r="K2543" t="str">
        <f t="shared" si="318"/>
        <v>Low</v>
      </c>
      <c r="L2543">
        <f t="shared" si="319"/>
        <v>0.55000000000000004</v>
      </c>
      <c r="M2543">
        <f>_xlfn.XLOOKUP(B2543, Dim_Hotel!$A$2:$A$11, Dim_Hotel!$I$2:$I$11)
 + (IF(J2543="",0,J2543)
    * _xlfn.XLOOKUP(B2543, Dim_Hotel!$A$2:$A$11, Dim_Hotel!$J$2:$J$11))</f>
        <v>175</v>
      </c>
    </row>
    <row r="2544" spans="1:13" x14ac:dyDescent="0.25">
      <c r="A2544" s="1">
        <f t="shared" si="312"/>
        <v>46277</v>
      </c>
      <c r="B2544" t="str" cm="1">
        <f t="array" ref="B2544">INDEX(HotelList,MOD(ROW()-2,10)+1)</f>
        <v>H003</v>
      </c>
      <c r="C2544">
        <f>_xlfn.XLOOKUP(B2544,Dim_Hotel!$A$2:$A$11,Dim_Hotel!$F$2:$F$11)</f>
        <v>121</v>
      </c>
      <c r="D2544">
        <f t="shared" si="313"/>
        <v>67</v>
      </c>
      <c r="E2544">
        <f t="shared" si="314"/>
        <v>0.55371900826446285</v>
      </c>
      <c r="F2544">
        <f t="shared" si="315"/>
        <v>145</v>
      </c>
      <c r="G2544">
        <f t="shared" si="316"/>
        <v>80.289256198347118</v>
      </c>
      <c r="H2544" t="str">
        <f>_xlfn.XLOOKUP(A2544,Fact_Events!$D$2:$D$20,Fact_Events!$A$2:$A$20, "")</f>
        <v/>
      </c>
      <c r="I2544">
        <f t="shared" si="317"/>
        <v>0</v>
      </c>
      <c r="J2544" t="str">
        <f>_xlfn.XLOOKUP(H2544, Fact_Events!$A$2:$A$20, Fact_Events!$F$2:$F$20, "")</f>
        <v/>
      </c>
      <c r="K2544" t="str">
        <f t="shared" si="318"/>
        <v>Low</v>
      </c>
      <c r="L2544">
        <f t="shared" si="319"/>
        <v>0.55000000000000004</v>
      </c>
      <c r="M2544">
        <f>_xlfn.XLOOKUP(B2544, Dim_Hotel!$A$2:$A$11, Dim_Hotel!$I$2:$I$11)
 + (IF(J2544="",0,J2544)
    * _xlfn.XLOOKUP(B2544, Dim_Hotel!$A$2:$A$11, Dim_Hotel!$J$2:$J$11))</f>
        <v>145</v>
      </c>
    </row>
    <row r="2545" spans="1:13" x14ac:dyDescent="0.25">
      <c r="A2545" s="1">
        <f t="shared" si="312"/>
        <v>46277</v>
      </c>
      <c r="B2545" t="str" cm="1">
        <f t="array" ref="B2545">INDEX(HotelList,MOD(ROW()-2,10)+1)</f>
        <v>H004</v>
      </c>
      <c r="C2545">
        <f>_xlfn.XLOOKUP(B2545,Dim_Hotel!$A$2:$A$11,Dim_Hotel!$F$2:$F$11)</f>
        <v>108</v>
      </c>
      <c r="D2545">
        <f t="shared" si="313"/>
        <v>59</v>
      </c>
      <c r="E2545">
        <f t="shared" si="314"/>
        <v>0.54629629629629628</v>
      </c>
      <c r="F2545">
        <f t="shared" si="315"/>
        <v>135</v>
      </c>
      <c r="G2545">
        <f t="shared" si="316"/>
        <v>73.75</v>
      </c>
      <c r="H2545" t="str">
        <f>_xlfn.XLOOKUP(A2545,Fact_Events!$D$2:$D$20,Fact_Events!$A$2:$A$20, "")</f>
        <v/>
      </c>
      <c r="I2545">
        <f t="shared" si="317"/>
        <v>0</v>
      </c>
      <c r="J2545" t="str">
        <f>_xlfn.XLOOKUP(H2545, Fact_Events!$A$2:$A$20, Fact_Events!$F$2:$F$20, "")</f>
        <v/>
      </c>
      <c r="K2545" t="str">
        <f t="shared" si="318"/>
        <v>Low</v>
      </c>
      <c r="L2545">
        <f t="shared" si="319"/>
        <v>0.55000000000000004</v>
      </c>
      <c r="M2545">
        <f>_xlfn.XLOOKUP(B2545, Dim_Hotel!$A$2:$A$11, Dim_Hotel!$I$2:$I$11)
 + (IF(J2545="",0,J2545)
    * _xlfn.XLOOKUP(B2545, Dim_Hotel!$A$2:$A$11, Dim_Hotel!$J$2:$J$11))</f>
        <v>135</v>
      </c>
    </row>
    <row r="2546" spans="1:13" x14ac:dyDescent="0.25">
      <c r="A2546" s="1">
        <f t="shared" si="312"/>
        <v>46277</v>
      </c>
      <c r="B2546" t="str" cm="1">
        <f t="array" ref="B2546">INDEX(HotelList,MOD(ROW()-2,10)+1)</f>
        <v>H005</v>
      </c>
      <c r="C2546">
        <f>_xlfn.XLOOKUP(B2546,Dim_Hotel!$A$2:$A$11,Dim_Hotel!$F$2:$F$11)</f>
        <v>66</v>
      </c>
      <c r="D2546">
        <f t="shared" si="313"/>
        <v>36</v>
      </c>
      <c r="E2546">
        <f t="shared" si="314"/>
        <v>0.54545454545454541</v>
      </c>
      <c r="F2546">
        <f t="shared" si="315"/>
        <v>82</v>
      </c>
      <c r="G2546">
        <f t="shared" si="316"/>
        <v>44.727272727272727</v>
      </c>
      <c r="H2546" t="str">
        <f>_xlfn.XLOOKUP(A2546,Fact_Events!$D$2:$D$20,Fact_Events!$A$2:$A$20, "")</f>
        <v/>
      </c>
      <c r="I2546">
        <f t="shared" si="317"/>
        <v>0</v>
      </c>
      <c r="J2546" t="str">
        <f>_xlfn.XLOOKUP(H2546, Fact_Events!$A$2:$A$20, Fact_Events!$F$2:$F$20, "")</f>
        <v/>
      </c>
      <c r="K2546" t="str">
        <f t="shared" si="318"/>
        <v>Low</v>
      </c>
      <c r="L2546">
        <f t="shared" si="319"/>
        <v>0.55000000000000004</v>
      </c>
      <c r="M2546">
        <f>_xlfn.XLOOKUP(B2546, Dim_Hotel!$A$2:$A$11, Dim_Hotel!$I$2:$I$11)
 + (IF(J2546="",0,J2546)
    * _xlfn.XLOOKUP(B2546, Dim_Hotel!$A$2:$A$11, Dim_Hotel!$J$2:$J$11))</f>
        <v>82</v>
      </c>
    </row>
    <row r="2547" spans="1:13" x14ac:dyDescent="0.25">
      <c r="A2547" s="1">
        <f t="shared" si="312"/>
        <v>46277</v>
      </c>
      <c r="B2547" t="str" cm="1">
        <f t="array" ref="B2547">INDEX(HotelList,MOD(ROW()-2,10)+1)</f>
        <v>H006</v>
      </c>
      <c r="C2547">
        <f>_xlfn.XLOOKUP(B2547,Dim_Hotel!$A$2:$A$11,Dim_Hotel!$F$2:$F$11)</f>
        <v>311</v>
      </c>
      <c r="D2547">
        <f t="shared" si="313"/>
        <v>171</v>
      </c>
      <c r="E2547">
        <f t="shared" si="314"/>
        <v>0.54983922829581988</v>
      </c>
      <c r="F2547">
        <f t="shared" si="315"/>
        <v>190</v>
      </c>
      <c r="G2547">
        <f t="shared" si="316"/>
        <v>104.46945337620578</v>
      </c>
      <c r="H2547" t="str">
        <f>_xlfn.XLOOKUP(A2547,Fact_Events!$D$2:$D$20,Fact_Events!$A$2:$A$20, "")</f>
        <v/>
      </c>
      <c r="I2547">
        <f t="shared" si="317"/>
        <v>0</v>
      </c>
      <c r="J2547" t="str">
        <f>_xlfn.XLOOKUP(H2547, Fact_Events!$A$2:$A$20, Fact_Events!$F$2:$F$20, "")</f>
        <v/>
      </c>
      <c r="K2547" t="str">
        <f t="shared" si="318"/>
        <v>Low</v>
      </c>
      <c r="L2547">
        <f t="shared" si="319"/>
        <v>0.55000000000000004</v>
      </c>
      <c r="M2547">
        <f>_xlfn.XLOOKUP(B2547, Dim_Hotel!$A$2:$A$11, Dim_Hotel!$I$2:$I$11)
 + (IF(J2547="",0,J2547)
    * _xlfn.XLOOKUP(B2547, Dim_Hotel!$A$2:$A$11, Dim_Hotel!$J$2:$J$11))</f>
        <v>190</v>
      </c>
    </row>
    <row r="2548" spans="1:13" x14ac:dyDescent="0.25">
      <c r="A2548" s="1">
        <f t="shared" si="312"/>
        <v>46277</v>
      </c>
      <c r="B2548" t="str" cm="1">
        <f t="array" ref="B2548">INDEX(HotelList,MOD(ROW()-2,10)+1)</f>
        <v>H007</v>
      </c>
      <c r="C2548">
        <f>_xlfn.XLOOKUP(B2548,Dim_Hotel!$A$2:$A$11,Dim_Hotel!$F$2:$F$11)</f>
        <v>132</v>
      </c>
      <c r="D2548">
        <f t="shared" si="313"/>
        <v>73</v>
      </c>
      <c r="E2548">
        <f t="shared" si="314"/>
        <v>0.55303030303030298</v>
      </c>
      <c r="F2548">
        <f t="shared" si="315"/>
        <v>165</v>
      </c>
      <c r="G2548">
        <f t="shared" si="316"/>
        <v>91.249999999999986</v>
      </c>
      <c r="H2548" t="str">
        <f>_xlfn.XLOOKUP(A2548,Fact_Events!$D$2:$D$20,Fact_Events!$A$2:$A$20, "")</f>
        <v/>
      </c>
      <c r="I2548">
        <f t="shared" si="317"/>
        <v>0</v>
      </c>
      <c r="J2548" t="str">
        <f>_xlfn.XLOOKUP(H2548, Fact_Events!$A$2:$A$20, Fact_Events!$F$2:$F$20, "")</f>
        <v/>
      </c>
      <c r="K2548" t="str">
        <f t="shared" si="318"/>
        <v>Low</v>
      </c>
      <c r="L2548">
        <f t="shared" si="319"/>
        <v>0.55000000000000004</v>
      </c>
      <c r="M2548">
        <f>_xlfn.XLOOKUP(B2548, Dim_Hotel!$A$2:$A$11, Dim_Hotel!$I$2:$I$11)
 + (IF(J2548="",0,J2548)
    * _xlfn.XLOOKUP(B2548, Dim_Hotel!$A$2:$A$11, Dim_Hotel!$J$2:$J$11))</f>
        <v>165</v>
      </c>
    </row>
    <row r="2549" spans="1:13" x14ac:dyDescent="0.25">
      <c r="A2549" s="1">
        <f t="shared" si="312"/>
        <v>46277</v>
      </c>
      <c r="B2549" t="str" cm="1">
        <f t="array" ref="B2549">INDEX(HotelList,MOD(ROW()-2,10)+1)</f>
        <v>H008</v>
      </c>
      <c r="C2549">
        <f>_xlfn.XLOOKUP(B2549,Dim_Hotel!$A$2:$A$11,Dim_Hotel!$F$2:$F$11)</f>
        <v>103</v>
      </c>
      <c r="D2549">
        <f t="shared" si="313"/>
        <v>57</v>
      </c>
      <c r="E2549">
        <f t="shared" si="314"/>
        <v>0.55339805825242716</v>
      </c>
      <c r="F2549">
        <f t="shared" si="315"/>
        <v>140</v>
      </c>
      <c r="G2549">
        <f t="shared" si="316"/>
        <v>77.475728155339809</v>
      </c>
      <c r="H2549" t="str">
        <f>_xlfn.XLOOKUP(A2549,Fact_Events!$D$2:$D$20,Fact_Events!$A$2:$A$20, "")</f>
        <v/>
      </c>
      <c r="I2549">
        <f t="shared" si="317"/>
        <v>0</v>
      </c>
      <c r="J2549" t="str">
        <f>_xlfn.XLOOKUP(H2549, Fact_Events!$A$2:$A$20, Fact_Events!$F$2:$F$20, "")</f>
        <v/>
      </c>
      <c r="K2549" t="str">
        <f t="shared" si="318"/>
        <v>Low</v>
      </c>
      <c r="L2549">
        <f t="shared" si="319"/>
        <v>0.55000000000000004</v>
      </c>
      <c r="M2549">
        <f>_xlfn.XLOOKUP(B2549, Dim_Hotel!$A$2:$A$11, Dim_Hotel!$I$2:$I$11)
 + (IF(J2549="",0,J2549)
    * _xlfn.XLOOKUP(B2549, Dim_Hotel!$A$2:$A$11, Dim_Hotel!$J$2:$J$11))</f>
        <v>140</v>
      </c>
    </row>
    <row r="2550" spans="1:13" x14ac:dyDescent="0.25">
      <c r="A2550" s="1">
        <f t="shared" si="312"/>
        <v>46277</v>
      </c>
      <c r="B2550" t="str" cm="1">
        <f t="array" ref="B2550">INDEX(HotelList,MOD(ROW()-2,10)+1)</f>
        <v>H009</v>
      </c>
      <c r="C2550">
        <f>_xlfn.XLOOKUP(B2550,Dim_Hotel!$A$2:$A$11,Dim_Hotel!$F$2:$F$11)</f>
        <v>114</v>
      </c>
      <c r="D2550">
        <f t="shared" si="313"/>
        <v>63</v>
      </c>
      <c r="E2550">
        <f t="shared" si="314"/>
        <v>0.55263157894736847</v>
      </c>
      <c r="F2550">
        <f t="shared" si="315"/>
        <v>185</v>
      </c>
      <c r="G2550">
        <f t="shared" si="316"/>
        <v>102.23684210526316</v>
      </c>
      <c r="H2550" t="str">
        <f>_xlfn.XLOOKUP(A2550,Fact_Events!$D$2:$D$20,Fact_Events!$A$2:$A$20, "")</f>
        <v/>
      </c>
      <c r="I2550">
        <f t="shared" si="317"/>
        <v>0</v>
      </c>
      <c r="J2550" t="str">
        <f>_xlfn.XLOOKUP(H2550, Fact_Events!$A$2:$A$20, Fact_Events!$F$2:$F$20, "")</f>
        <v/>
      </c>
      <c r="K2550" t="str">
        <f t="shared" si="318"/>
        <v>Low</v>
      </c>
      <c r="L2550">
        <f t="shared" si="319"/>
        <v>0.55000000000000004</v>
      </c>
      <c r="M2550">
        <f>_xlfn.XLOOKUP(B2550, Dim_Hotel!$A$2:$A$11, Dim_Hotel!$I$2:$I$11)
 + (IF(J2550="",0,J2550)
    * _xlfn.XLOOKUP(B2550, Dim_Hotel!$A$2:$A$11, Dim_Hotel!$J$2:$J$11))</f>
        <v>185</v>
      </c>
    </row>
    <row r="2551" spans="1:13" x14ac:dyDescent="0.25">
      <c r="A2551" s="1">
        <f t="shared" si="312"/>
        <v>46277</v>
      </c>
      <c r="B2551" t="str" cm="1">
        <f t="array" ref="B2551">INDEX(HotelList,MOD(ROW()-2,10)+1)</f>
        <v>H010</v>
      </c>
      <c r="C2551">
        <f>_xlfn.XLOOKUP(B2551,Dim_Hotel!$A$2:$A$11,Dim_Hotel!$F$2:$F$11)</f>
        <v>89</v>
      </c>
      <c r="D2551">
        <f t="shared" si="313"/>
        <v>49</v>
      </c>
      <c r="E2551">
        <f t="shared" si="314"/>
        <v>0.550561797752809</v>
      </c>
      <c r="F2551">
        <f t="shared" si="315"/>
        <v>150</v>
      </c>
      <c r="G2551">
        <f t="shared" si="316"/>
        <v>82.584269662921344</v>
      </c>
      <c r="H2551" t="str">
        <f>_xlfn.XLOOKUP(A2551,Fact_Events!$D$2:$D$20,Fact_Events!$A$2:$A$20, "")</f>
        <v/>
      </c>
      <c r="I2551">
        <f t="shared" si="317"/>
        <v>0</v>
      </c>
      <c r="J2551" t="str">
        <f>_xlfn.XLOOKUP(H2551, Fact_Events!$A$2:$A$20, Fact_Events!$F$2:$F$20, "")</f>
        <v/>
      </c>
      <c r="K2551" t="str">
        <f t="shared" si="318"/>
        <v>Low</v>
      </c>
      <c r="L2551">
        <f t="shared" si="319"/>
        <v>0.55000000000000004</v>
      </c>
      <c r="M2551">
        <f>_xlfn.XLOOKUP(B2551, Dim_Hotel!$A$2:$A$11, Dim_Hotel!$I$2:$I$11)
 + (IF(J2551="",0,J2551)
    * _xlfn.XLOOKUP(B2551, Dim_Hotel!$A$2:$A$11, Dim_Hotel!$J$2:$J$11))</f>
        <v>150</v>
      </c>
    </row>
    <row r="2552" spans="1:13" x14ac:dyDescent="0.25">
      <c r="A2552" s="1">
        <f t="shared" si="312"/>
        <v>46278</v>
      </c>
      <c r="B2552" t="str" cm="1">
        <f t="array" ref="B2552">INDEX(HotelList,MOD(ROW()-2,10)+1)</f>
        <v>H001</v>
      </c>
      <c r="C2552">
        <f>_xlfn.XLOOKUP(B2552,Dim_Hotel!$A$2:$A$11,Dim_Hotel!$F$2:$F$11)</f>
        <v>888</v>
      </c>
      <c r="D2552">
        <f t="shared" si="313"/>
        <v>488</v>
      </c>
      <c r="E2552">
        <f t="shared" si="314"/>
        <v>0.5495495495495496</v>
      </c>
      <c r="F2552">
        <f t="shared" si="315"/>
        <v>260</v>
      </c>
      <c r="G2552">
        <f t="shared" si="316"/>
        <v>142.88288288288288</v>
      </c>
      <c r="H2552" t="str">
        <f>_xlfn.XLOOKUP(A2552,Fact_Events!$D$2:$D$20,Fact_Events!$A$2:$A$20, "")</f>
        <v/>
      </c>
      <c r="I2552">
        <f t="shared" si="317"/>
        <v>0</v>
      </c>
      <c r="J2552" t="str">
        <f>_xlfn.XLOOKUP(H2552, Fact_Events!$A$2:$A$20, Fact_Events!$F$2:$F$20, "")</f>
        <v/>
      </c>
      <c r="K2552" t="str">
        <f t="shared" si="318"/>
        <v>Low</v>
      </c>
      <c r="L2552">
        <f t="shared" si="319"/>
        <v>0.55000000000000004</v>
      </c>
      <c r="M2552">
        <f>_xlfn.XLOOKUP(B2552, Dim_Hotel!$A$2:$A$11, Dim_Hotel!$I$2:$I$11)
 + (IF(J2552="",0,J2552)
    * _xlfn.XLOOKUP(B2552, Dim_Hotel!$A$2:$A$11, Dim_Hotel!$J$2:$J$11))</f>
        <v>260</v>
      </c>
    </row>
    <row r="2553" spans="1:13" x14ac:dyDescent="0.25">
      <c r="A2553" s="1">
        <f t="shared" si="312"/>
        <v>46278</v>
      </c>
      <c r="B2553" t="str" cm="1">
        <f t="array" ref="B2553">INDEX(HotelList,MOD(ROW()-2,10)+1)</f>
        <v>H002</v>
      </c>
      <c r="C2553">
        <f>_xlfn.XLOOKUP(B2553,Dim_Hotel!$A$2:$A$11,Dim_Hotel!$F$2:$F$11)</f>
        <v>147</v>
      </c>
      <c r="D2553">
        <f t="shared" si="313"/>
        <v>81</v>
      </c>
      <c r="E2553">
        <f t="shared" si="314"/>
        <v>0.55102040816326525</v>
      </c>
      <c r="F2553">
        <f t="shared" si="315"/>
        <v>175</v>
      </c>
      <c r="G2553">
        <f t="shared" si="316"/>
        <v>96.428571428571416</v>
      </c>
      <c r="H2553" t="str">
        <f>_xlfn.XLOOKUP(A2553,Fact_Events!$D$2:$D$20,Fact_Events!$A$2:$A$20, "")</f>
        <v/>
      </c>
      <c r="I2553">
        <f t="shared" si="317"/>
        <v>0</v>
      </c>
      <c r="J2553" t="str">
        <f>_xlfn.XLOOKUP(H2553, Fact_Events!$A$2:$A$20, Fact_Events!$F$2:$F$20, "")</f>
        <v/>
      </c>
      <c r="K2553" t="str">
        <f t="shared" si="318"/>
        <v>Low</v>
      </c>
      <c r="L2553">
        <f t="shared" si="319"/>
        <v>0.55000000000000004</v>
      </c>
      <c r="M2553">
        <f>_xlfn.XLOOKUP(B2553, Dim_Hotel!$A$2:$A$11, Dim_Hotel!$I$2:$I$11)
 + (IF(J2553="",0,J2553)
    * _xlfn.XLOOKUP(B2553, Dim_Hotel!$A$2:$A$11, Dim_Hotel!$J$2:$J$11))</f>
        <v>175</v>
      </c>
    </row>
    <row r="2554" spans="1:13" x14ac:dyDescent="0.25">
      <c r="A2554" s="1">
        <f t="shared" si="312"/>
        <v>46278</v>
      </c>
      <c r="B2554" t="str" cm="1">
        <f t="array" ref="B2554">INDEX(HotelList,MOD(ROW()-2,10)+1)</f>
        <v>H003</v>
      </c>
      <c r="C2554">
        <f>_xlfn.XLOOKUP(B2554,Dim_Hotel!$A$2:$A$11,Dim_Hotel!$F$2:$F$11)</f>
        <v>121</v>
      </c>
      <c r="D2554">
        <f t="shared" si="313"/>
        <v>67</v>
      </c>
      <c r="E2554">
        <f t="shared" si="314"/>
        <v>0.55371900826446285</v>
      </c>
      <c r="F2554">
        <f t="shared" si="315"/>
        <v>145</v>
      </c>
      <c r="G2554">
        <f t="shared" si="316"/>
        <v>80.289256198347118</v>
      </c>
      <c r="H2554" t="str">
        <f>_xlfn.XLOOKUP(A2554,Fact_Events!$D$2:$D$20,Fact_Events!$A$2:$A$20, "")</f>
        <v/>
      </c>
      <c r="I2554">
        <f t="shared" si="317"/>
        <v>0</v>
      </c>
      <c r="J2554" t="str">
        <f>_xlfn.XLOOKUP(H2554, Fact_Events!$A$2:$A$20, Fact_Events!$F$2:$F$20, "")</f>
        <v/>
      </c>
      <c r="K2554" t="str">
        <f t="shared" si="318"/>
        <v>Low</v>
      </c>
      <c r="L2554">
        <f t="shared" si="319"/>
        <v>0.55000000000000004</v>
      </c>
      <c r="M2554">
        <f>_xlfn.XLOOKUP(B2554, Dim_Hotel!$A$2:$A$11, Dim_Hotel!$I$2:$I$11)
 + (IF(J2554="",0,J2554)
    * _xlfn.XLOOKUP(B2554, Dim_Hotel!$A$2:$A$11, Dim_Hotel!$J$2:$J$11))</f>
        <v>145</v>
      </c>
    </row>
    <row r="2555" spans="1:13" x14ac:dyDescent="0.25">
      <c r="A2555" s="1">
        <f t="shared" si="312"/>
        <v>46278</v>
      </c>
      <c r="B2555" t="str" cm="1">
        <f t="array" ref="B2555">INDEX(HotelList,MOD(ROW()-2,10)+1)</f>
        <v>H004</v>
      </c>
      <c r="C2555">
        <f>_xlfn.XLOOKUP(B2555,Dim_Hotel!$A$2:$A$11,Dim_Hotel!$F$2:$F$11)</f>
        <v>108</v>
      </c>
      <c r="D2555">
        <f t="shared" si="313"/>
        <v>59</v>
      </c>
      <c r="E2555">
        <f t="shared" si="314"/>
        <v>0.54629629629629628</v>
      </c>
      <c r="F2555">
        <f t="shared" si="315"/>
        <v>135</v>
      </c>
      <c r="G2555">
        <f t="shared" si="316"/>
        <v>73.75</v>
      </c>
      <c r="H2555" t="str">
        <f>_xlfn.XLOOKUP(A2555,Fact_Events!$D$2:$D$20,Fact_Events!$A$2:$A$20, "")</f>
        <v/>
      </c>
      <c r="I2555">
        <f t="shared" si="317"/>
        <v>0</v>
      </c>
      <c r="J2555" t="str">
        <f>_xlfn.XLOOKUP(H2555, Fact_Events!$A$2:$A$20, Fact_Events!$F$2:$F$20, "")</f>
        <v/>
      </c>
      <c r="K2555" t="str">
        <f t="shared" si="318"/>
        <v>Low</v>
      </c>
      <c r="L2555">
        <f t="shared" si="319"/>
        <v>0.55000000000000004</v>
      </c>
      <c r="M2555">
        <f>_xlfn.XLOOKUP(B2555, Dim_Hotel!$A$2:$A$11, Dim_Hotel!$I$2:$I$11)
 + (IF(J2555="",0,J2555)
    * _xlfn.XLOOKUP(B2555, Dim_Hotel!$A$2:$A$11, Dim_Hotel!$J$2:$J$11))</f>
        <v>135</v>
      </c>
    </row>
    <row r="2556" spans="1:13" x14ac:dyDescent="0.25">
      <c r="A2556" s="1">
        <f t="shared" si="312"/>
        <v>46278</v>
      </c>
      <c r="B2556" t="str" cm="1">
        <f t="array" ref="B2556">INDEX(HotelList,MOD(ROW()-2,10)+1)</f>
        <v>H005</v>
      </c>
      <c r="C2556">
        <f>_xlfn.XLOOKUP(B2556,Dim_Hotel!$A$2:$A$11,Dim_Hotel!$F$2:$F$11)</f>
        <v>66</v>
      </c>
      <c r="D2556">
        <f t="shared" si="313"/>
        <v>36</v>
      </c>
      <c r="E2556">
        <f t="shared" si="314"/>
        <v>0.54545454545454541</v>
      </c>
      <c r="F2556">
        <f t="shared" si="315"/>
        <v>82</v>
      </c>
      <c r="G2556">
        <f t="shared" si="316"/>
        <v>44.727272727272727</v>
      </c>
      <c r="H2556" t="str">
        <f>_xlfn.XLOOKUP(A2556,Fact_Events!$D$2:$D$20,Fact_Events!$A$2:$A$20, "")</f>
        <v/>
      </c>
      <c r="I2556">
        <f t="shared" si="317"/>
        <v>0</v>
      </c>
      <c r="J2556" t="str">
        <f>_xlfn.XLOOKUP(H2556, Fact_Events!$A$2:$A$20, Fact_Events!$F$2:$F$20, "")</f>
        <v/>
      </c>
      <c r="K2556" t="str">
        <f t="shared" si="318"/>
        <v>Low</v>
      </c>
      <c r="L2556">
        <f t="shared" si="319"/>
        <v>0.55000000000000004</v>
      </c>
      <c r="M2556">
        <f>_xlfn.XLOOKUP(B2556, Dim_Hotel!$A$2:$A$11, Dim_Hotel!$I$2:$I$11)
 + (IF(J2556="",0,J2556)
    * _xlfn.XLOOKUP(B2556, Dim_Hotel!$A$2:$A$11, Dim_Hotel!$J$2:$J$11))</f>
        <v>82</v>
      </c>
    </row>
    <row r="2557" spans="1:13" x14ac:dyDescent="0.25">
      <c r="A2557" s="1">
        <f t="shared" si="312"/>
        <v>46278</v>
      </c>
      <c r="B2557" t="str" cm="1">
        <f t="array" ref="B2557">INDEX(HotelList,MOD(ROW()-2,10)+1)</f>
        <v>H006</v>
      </c>
      <c r="C2557">
        <f>_xlfn.XLOOKUP(B2557,Dim_Hotel!$A$2:$A$11,Dim_Hotel!$F$2:$F$11)</f>
        <v>311</v>
      </c>
      <c r="D2557">
        <f t="shared" si="313"/>
        <v>171</v>
      </c>
      <c r="E2557">
        <f t="shared" si="314"/>
        <v>0.54983922829581988</v>
      </c>
      <c r="F2557">
        <f t="shared" si="315"/>
        <v>190</v>
      </c>
      <c r="G2557">
        <f t="shared" si="316"/>
        <v>104.46945337620578</v>
      </c>
      <c r="H2557" t="str">
        <f>_xlfn.XLOOKUP(A2557,Fact_Events!$D$2:$D$20,Fact_Events!$A$2:$A$20, "")</f>
        <v/>
      </c>
      <c r="I2557">
        <f t="shared" si="317"/>
        <v>0</v>
      </c>
      <c r="J2557" t="str">
        <f>_xlfn.XLOOKUP(H2557, Fact_Events!$A$2:$A$20, Fact_Events!$F$2:$F$20, "")</f>
        <v/>
      </c>
      <c r="K2557" t="str">
        <f t="shared" si="318"/>
        <v>Low</v>
      </c>
      <c r="L2557">
        <f t="shared" si="319"/>
        <v>0.55000000000000004</v>
      </c>
      <c r="M2557">
        <f>_xlfn.XLOOKUP(B2557, Dim_Hotel!$A$2:$A$11, Dim_Hotel!$I$2:$I$11)
 + (IF(J2557="",0,J2557)
    * _xlfn.XLOOKUP(B2557, Dim_Hotel!$A$2:$A$11, Dim_Hotel!$J$2:$J$11))</f>
        <v>190</v>
      </c>
    </row>
    <row r="2558" spans="1:13" x14ac:dyDescent="0.25">
      <c r="A2558" s="1">
        <f t="shared" si="312"/>
        <v>46278</v>
      </c>
      <c r="B2558" t="str" cm="1">
        <f t="array" ref="B2558">INDEX(HotelList,MOD(ROW()-2,10)+1)</f>
        <v>H007</v>
      </c>
      <c r="C2558">
        <f>_xlfn.XLOOKUP(B2558,Dim_Hotel!$A$2:$A$11,Dim_Hotel!$F$2:$F$11)</f>
        <v>132</v>
      </c>
      <c r="D2558">
        <f t="shared" si="313"/>
        <v>73</v>
      </c>
      <c r="E2558">
        <f t="shared" si="314"/>
        <v>0.55303030303030298</v>
      </c>
      <c r="F2558">
        <f t="shared" si="315"/>
        <v>165</v>
      </c>
      <c r="G2558">
        <f t="shared" si="316"/>
        <v>91.249999999999986</v>
      </c>
      <c r="H2558" t="str">
        <f>_xlfn.XLOOKUP(A2558,Fact_Events!$D$2:$D$20,Fact_Events!$A$2:$A$20, "")</f>
        <v/>
      </c>
      <c r="I2558">
        <f t="shared" si="317"/>
        <v>0</v>
      </c>
      <c r="J2558" t="str">
        <f>_xlfn.XLOOKUP(H2558, Fact_Events!$A$2:$A$20, Fact_Events!$F$2:$F$20, "")</f>
        <v/>
      </c>
      <c r="K2558" t="str">
        <f t="shared" si="318"/>
        <v>Low</v>
      </c>
      <c r="L2558">
        <f t="shared" si="319"/>
        <v>0.55000000000000004</v>
      </c>
      <c r="M2558">
        <f>_xlfn.XLOOKUP(B2558, Dim_Hotel!$A$2:$A$11, Dim_Hotel!$I$2:$I$11)
 + (IF(J2558="",0,J2558)
    * _xlfn.XLOOKUP(B2558, Dim_Hotel!$A$2:$A$11, Dim_Hotel!$J$2:$J$11))</f>
        <v>165</v>
      </c>
    </row>
    <row r="2559" spans="1:13" x14ac:dyDescent="0.25">
      <c r="A2559" s="1">
        <f t="shared" si="312"/>
        <v>46278</v>
      </c>
      <c r="B2559" t="str" cm="1">
        <f t="array" ref="B2559">INDEX(HotelList,MOD(ROW()-2,10)+1)</f>
        <v>H008</v>
      </c>
      <c r="C2559">
        <f>_xlfn.XLOOKUP(B2559,Dim_Hotel!$A$2:$A$11,Dim_Hotel!$F$2:$F$11)</f>
        <v>103</v>
      </c>
      <c r="D2559">
        <f t="shared" si="313"/>
        <v>57</v>
      </c>
      <c r="E2559">
        <f t="shared" si="314"/>
        <v>0.55339805825242716</v>
      </c>
      <c r="F2559">
        <f t="shared" si="315"/>
        <v>140</v>
      </c>
      <c r="G2559">
        <f t="shared" si="316"/>
        <v>77.475728155339809</v>
      </c>
      <c r="H2559" t="str">
        <f>_xlfn.XLOOKUP(A2559,Fact_Events!$D$2:$D$20,Fact_Events!$A$2:$A$20, "")</f>
        <v/>
      </c>
      <c r="I2559">
        <f t="shared" si="317"/>
        <v>0</v>
      </c>
      <c r="J2559" t="str">
        <f>_xlfn.XLOOKUP(H2559, Fact_Events!$A$2:$A$20, Fact_Events!$F$2:$F$20, "")</f>
        <v/>
      </c>
      <c r="K2559" t="str">
        <f t="shared" si="318"/>
        <v>Low</v>
      </c>
      <c r="L2559">
        <f t="shared" si="319"/>
        <v>0.55000000000000004</v>
      </c>
      <c r="M2559">
        <f>_xlfn.XLOOKUP(B2559, Dim_Hotel!$A$2:$A$11, Dim_Hotel!$I$2:$I$11)
 + (IF(J2559="",0,J2559)
    * _xlfn.XLOOKUP(B2559, Dim_Hotel!$A$2:$A$11, Dim_Hotel!$J$2:$J$11))</f>
        <v>140</v>
      </c>
    </row>
    <row r="2560" spans="1:13" x14ac:dyDescent="0.25">
      <c r="A2560" s="1">
        <f t="shared" si="312"/>
        <v>46278</v>
      </c>
      <c r="B2560" t="str" cm="1">
        <f t="array" ref="B2560">INDEX(HotelList,MOD(ROW()-2,10)+1)</f>
        <v>H009</v>
      </c>
      <c r="C2560">
        <f>_xlfn.XLOOKUP(B2560,Dim_Hotel!$A$2:$A$11,Dim_Hotel!$F$2:$F$11)</f>
        <v>114</v>
      </c>
      <c r="D2560">
        <f t="shared" si="313"/>
        <v>63</v>
      </c>
      <c r="E2560">
        <f t="shared" si="314"/>
        <v>0.55263157894736847</v>
      </c>
      <c r="F2560">
        <f t="shared" si="315"/>
        <v>185</v>
      </c>
      <c r="G2560">
        <f t="shared" si="316"/>
        <v>102.23684210526316</v>
      </c>
      <c r="H2560" t="str">
        <f>_xlfn.XLOOKUP(A2560,Fact_Events!$D$2:$D$20,Fact_Events!$A$2:$A$20, "")</f>
        <v/>
      </c>
      <c r="I2560">
        <f t="shared" si="317"/>
        <v>0</v>
      </c>
      <c r="J2560" t="str">
        <f>_xlfn.XLOOKUP(H2560, Fact_Events!$A$2:$A$20, Fact_Events!$F$2:$F$20, "")</f>
        <v/>
      </c>
      <c r="K2560" t="str">
        <f t="shared" si="318"/>
        <v>Low</v>
      </c>
      <c r="L2560">
        <f t="shared" si="319"/>
        <v>0.55000000000000004</v>
      </c>
      <c r="M2560">
        <f>_xlfn.XLOOKUP(B2560, Dim_Hotel!$A$2:$A$11, Dim_Hotel!$I$2:$I$11)
 + (IF(J2560="",0,J2560)
    * _xlfn.XLOOKUP(B2560, Dim_Hotel!$A$2:$A$11, Dim_Hotel!$J$2:$J$11))</f>
        <v>185</v>
      </c>
    </row>
    <row r="2561" spans="1:13" x14ac:dyDescent="0.25">
      <c r="A2561" s="1">
        <f t="shared" si="312"/>
        <v>46278</v>
      </c>
      <c r="B2561" t="str" cm="1">
        <f t="array" ref="B2561">INDEX(HotelList,MOD(ROW()-2,10)+1)</f>
        <v>H010</v>
      </c>
      <c r="C2561">
        <f>_xlfn.XLOOKUP(B2561,Dim_Hotel!$A$2:$A$11,Dim_Hotel!$F$2:$F$11)</f>
        <v>89</v>
      </c>
      <c r="D2561">
        <f t="shared" si="313"/>
        <v>49</v>
      </c>
      <c r="E2561">
        <f t="shared" si="314"/>
        <v>0.550561797752809</v>
      </c>
      <c r="F2561">
        <f t="shared" si="315"/>
        <v>150</v>
      </c>
      <c r="G2561">
        <f t="shared" si="316"/>
        <v>82.584269662921344</v>
      </c>
      <c r="H2561" t="str">
        <f>_xlfn.XLOOKUP(A2561,Fact_Events!$D$2:$D$20,Fact_Events!$A$2:$A$20, "")</f>
        <v/>
      </c>
      <c r="I2561">
        <f t="shared" si="317"/>
        <v>0</v>
      </c>
      <c r="J2561" t="str">
        <f>_xlfn.XLOOKUP(H2561, Fact_Events!$A$2:$A$20, Fact_Events!$F$2:$F$20, "")</f>
        <v/>
      </c>
      <c r="K2561" t="str">
        <f t="shared" si="318"/>
        <v>Low</v>
      </c>
      <c r="L2561">
        <f t="shared" si="319"/>
        <v>0.55000000000000004</v>
      </c>
      <c r="M2561">
        <f>_xlfn.XLOOKUP(B2561, Dim_Hotel!$A$2:$A$11, Dim_Hotel!$I$2:$I$11)
 + (IF(J2561="",0,J2561)
    * _xlfn.XLOOKUP(B2561, Dim_Hotel!$A$2:$A$11, Dim_Hotel!$J$2:$J$11))</f>
        <v>150</v>
      </c>
    </row>
    <row r="2562" spans="1:13" x14ac:dyDescent="0.25">
      <c r="A2562" s="1">
        <f t="shared" si="312"/>
        <v>46279</v>
      </c>
      <c r="B2562" t="str" cm="1">
        <f t="array" ref="B2562">INDEX(HotelList,MOD(ROW()-2,10)+1)</f>
        <v>H001</v>
      </c>
      <c r="C2562">
        <f>_xlfn.XLOOKUP(B2562,Dim_Hotel!$A$2:$A$11,Dim_Hotel!$F$2:$F$11)</f>
        <v>888</v>
      </c>
      <c r="D2562">
        <f t="shared" si="313"/>
        <v>488</v>
      </c>
      <c r="E2562">
        <f t="shared" si="314"/>
        <v>0.5495495495495496</v>
      </c>
      <c r="F2562">
        <f t="shared" si="315"/>
        <v>260</v>
      </c>
      <c r="G2562">
        <f t="shared" si="316"/>
        <v>142.88288288288288</v>
      </c>
      <c r="H2562" t="str">
        <f>_xlfn.XLOOKUP(A2562,Fact_Events!$D$2:$D$20,Fact_Events!$A$2:$A$20, "")</f>
        <v/>
      </c>
      <c r="I2562">
        <f t="shared" si="317"/>
        <v>0</v>
      </c>
      <c r="J2562" t="str">
        <f>_xlfn.XLOOKUP(H2562, Fact_Events!$A$2:$A$20, Fact_Events!$F$2:$F$20, "")</f>
        <v/>
      </c>
      <c r="K2562" t="str">
        <f t="shared" si="318"/>
        <v>Low</v>
      </c>
      <c r="L2562">
        <f t="shared" si="319"/>
        <v>0.55000000000000004</v>
      </c>
      <c r="M2562">
        <f>_xlfn.XLOOKUP(B2562, Dim_Hotel!$A$2:$A$11, Dim_Hotel!$I$2:$I$11)
 + (IF(J2562="",0,J2562)
    * _xlfn.XLOOKUP(B2562, Dim_Hotel!$A$2:$A$11, Dim_Hotel!$J$2:$J$11))</f>
        <v>260</v>
      </c>
    </row>
    <row r="2563" spans="1:13" x14ac:dyDescent="0.25">
      <c r="A2563" s="1">
        <f t="shared" ref="A2563:A2626" si="320">DATE(2026,1,1) + INT((ROW()-2)/10)</f>
        <v>46279</v>
      </c>
      <c r="B2563" t="str" cm="1">
        <f t="array" ref="B2563">INDEX(HotelList,MOD(ROW()-2,10)+1)</f>
        <v>H002</v>
      </c>
      <c r="C2563">
        <f>_xlfn.XLOOKUP(B2563,Dim_Hotel!$A$2:$A$11,Dim_Hotel!$F$2:$F$11)</f>
        <v>147</v>
      </c>
      <c r="D2563">
        <f t="shared" ref="D2563:D2626" si="321">ROUND(L2563 * C2563, 0)</f>
        <v>81</v>
      </c>
      <c r="E2563">
        <f t="shared" ref="E2563:E2626" si="322">D2563/C2563</f>
        <v>0.55102040816326525</v>
      </c>
      <c r="F2563">
        <f t="shared" ref="F2563:F2626" si="323">M2563</f>
        <v>175</v>
      </c>
      <c r="G2563">
        <f t="shared" ref="G2563:G2626" si="324">E2563*F2563</f>
        <v>96.428571428571416</v>
      </c>
      <c r="H2563" t="str">
        <f>_xlfn.XLOOKUP(A2563,Fact_Events!$D$2:$D$20,Fact_Events!$A$2:$A$20, "")</f>
        <v/>
      </c>
      <c r="I2563">
        <f t="shared" ref="I2563:I2626" si="325">IF(H2563="",0,1)</f>
        <v>0</v>
      </c>
      <c r="J2563" t="str">
        <f>_xlfn.XLOOKUP(H2563, Fact_Events!$A$2:$A$20, Fact_Events!$F$2:$F$20, "")</f>
        <v/>
      </c>
      <c r="K2563" t="str">
        <f t="shared" ref="K2563:K2626" si="326">IF(I2563=0,"Low",
   IF(J2563&gt;=9,"High","Medium"))</f>
        <v>Low</v>
      </c>
      <c r="L2563">
        <f t="shared" ref="L2563:L2626" si="327">MIN(1,
  0.55
  + (I2563 * 0.25)
  + (IF(J2563="",0,J2563) / 100)
)</f>
        <v>0.55000000000000004</v>
      </c>
      <c r="M2563">
        <f>_xlfn.XLOOKUP(B2563, Dim_Hotel!$A$2:$A$11, Dim_Hotel!$I$2:$I$11)
 + (IF(J2563="",0,J2563)
    * _xlfn.XLOOKUP(B2563, Dim_Hotel!$A$2:$A$11, Dim_Hotel!$J$2:$J$11))</f>
        <v>175</v>
      </c>
    </row>
    <row r="2564" spans="1:13" x14ac:dyDescent="0.25">
      <c r="A2564" s="1">
        <f t="shared" si="320"/>
        <v>46279</v>
      </c>
      <c r="B2564" t="str" cm="1">
        <f t="array" ref="B2564">INDEX(HotelList,MOD(ROW()-2,10)+1)</f>
        <v>H003</v>
      </c>
      <c r="C2564">
        <f>_xlfn.XLOOKUP(B2564,Dim_Hotel!$A$2:$A$11,Dim_Hotel!$F$2:$F$11)</f>
        <v>121</v>
      </c>
      <c r="D2564">
        <f t="shared" si="321"/>
        <v>67</v>
      </c>
      <c r="E2564">
        <f t="shared" si="322"/>
        <v>0.55371900826446285</v>
      </c>
      <c r="F2564">
        <f t="shared" si="323"/>
        <v>145</v>
      </c>
      <c r="G2564">
        <f t="shared" si="324"/>
        <v>80.289256198347118</v>
      </c>
      <c r="H2564" t="str">
        <f>_xlfn.XLOOKUP(A2564,Fact_Events!$D$2:$D$20,Fact_Events!$A$2:$A$20, "")</f>
        <v/>
      </c>
      <c r="I2564">
        <f t="shared" si="325"/>
        <v>0</v>
      </c>
      <c r="J2564" t="str">
        <f>_xlfn.XLOOKUP(H2564, Fact_Events!$A$2:$A$20, Fact_Events!$F$2:$F$20, "")</f>
        <v/>
      </c>
      <c r="K2564" t="str">
        <f t="shared" si="326"/>
        <v>Low</v>
      </c>
      <c r="L2564">
        <f t="shared" si="327"/>
        <v>0.55000000000000004</v>
      </c>
      <c r="M2564">
        <f>_xlfn.XLOOKUP(B2564, Dim_Hotel!$A$2:$A$11, Dim_Hotel!$I$2:$I$11)
 + (IF(J2564="",0,J2564)
    * _xlfn.XLOOKUP(B2564, Dim_Hotel!$A$2:$A$11, Dim_Hotel!$J$2:$J$11))</f>
        <v>145</v>
      </c>
    </row>
    <row r="2565" spans="1:13" x14ac:dyDescent="0.25">
      <c r="A2565" s="1">
        <f t="shared" si="320"/>
        <v>46279</v>
      </c>
      <c r="B2565" t="str" cm="1">
        <f t="array" ref="B2565">INDEX(HotelList,MOD(ROW()-2,10)+1)</f>
        <v>H004</v>
      </c>
      <c r="C2565">
        <f>_xlfn.XLOOKUP(B2565,Dim_Hotel!$A$2:$A$11,Dim_Hotel!$F$2:$F$11)</f>
        <v>108</v>
      </c>
      <c r="D2565">
        <f t="shared" si="321"/>
        <v>59</v>
      </c>
      <c r="E2565">
        <f t="shared" si="322"/>
        <v>0.54629629629629628</v>
      </c>
      <c r="F2565">
        <f t="shared" si="323"/>
        <v>135</v>
      </c>
      <c r="G2565">
        <f t="shared" si="324"/>
        <v>73.75</v>
      </c>
      <c r="H2565" t="str">
        <f>_xlfn.XLOOKUP(A2565,Fact_Events!$D$2:$D$20,Fact_Events!$A$2:$A$20, "")</f>
        <v/>
      </c>
      <c r="I2565">
        <f t="shared" si="325"/>
        <v>0</v>
      </c>
      <c r="J2565" t="str">
        <f>_xlfn.XLOOKUP(H2565, Fact_Events!$A$2:$A$20, Fact_Events!$F$2:$F$20, "")</f>
        <v/>
      </c>
      <c r="K2565" t="str">
        <f t="shared" si="326"/>
        <v>Low</v>
      </c>
      <c r="L2565">
        <f t="shared" si="327"/>
        <v>0.55000000000000004</v>
      </c>
      <c r="M2565">
        <f>_xlfn.XLOOKUP(B2565, Dim_Hotel!$A$2:$A$11, Dim_Hotel!$I$2:$I$11)
 + (IF(J2565="",0,J2565)
    * _xlfn.XLOOKUP(B2565, Dim_Hotel!$A$2:$A$11, Dim_Hotel!$J$2:$J$11))</f>
        <v>135</v>
      </c>
    </row>
    <row r="2566" spans="1:13" x14ac:dyDescent="0.25">
      <c r="A2566" s="1">
        <f t="shared" si="320"/>
        <v>46279</v>
      </c>
      <c r="B2566" t="str" cm="1">
        <f t="array" ref="B2566">INDEX(HotelList,MOD(ROW()-2,10)+1)</f>
        <v>H005</v>
      </c>
      <c r="C2566">
        <f>_xlfn.XLOOKUP(B2566,Dim_Hotel!$A$2:$A$11,Dim_Hotel!$F$2:$F$11)</f>
        <v>66</v>
      </c>
      <c r="D2566">
        <f t="shared" si="321"/>
        <v>36</v>
      </c>
      <c r="E2566">
        <f t="shared" si="322"/>
        <v>0.54545454545454541</v>
      </c>
      <c r="F2566">
        <f t="shared" si="323"/>
        <v>82</v>
      </c>
      <c r="G2566">
        <f t="shared" si="324"/>
        <v>44.727272727272727</v>
      </c>
      <c r="H2566" t="str">
        <f>_xlfn.XLOOKUP(A2566,Fact_Events!$D$2:$D$20,Fact_Events!$A$2:$A$20, "")</f>
        <v/>
      </c>
      <c r="I2566">
        <f t="shared" si="325"/>
        <v>0</v>
      </c>
      <c r="J2566" t="str">
        <f>_xlfn.XLOOKUP(H2566, Fact_Events!$A$2:$A$20, Fact_Events!$F$2:$F$20, "")</f>
        <v/>
      </c>
      <c r="K2566" t="str">
        <f t="shared" si="326"/>
        <v>Low</v>
      </c>
      <c r="L2566">
        <f t="shared" si="327"/>
        <v>0.55000000000000004</v>
      </c>
      <c r="M2566">
        <f>_xlfn.XLOOKUP(B2566, Dim_Hotel!$A$2:$A$11, Dim_Hotel!$I$2:$I$11)
 + (IF(J2566="",0,J2566)
    * _xlfn.XLOOKUP(B2566, Dim_Hotel!$A$2:$A$11, Dim_Hotel!$J$2:$J$11))</f>
        <v>82</v>
      </c>
    </row>
    <row r="2567" spans="1:13" x14ac:dyDescent="0.25">
      <c r="A2567" s="1">
        <f t="shared" si="320"/>
        <v>46279</v>
      </c>
      <c r="B2567" t="str" cm="1">
        <f t="array" ref="B2567">INDEX(HotelList,MOD(ROW()-2,10)+1)</f>
        <v>H006</v>
      </c>
      <c r="C2567">
        <f>_xlfn.XLOOKUP(B2567,Dim_Hotel!$A$2:$A$11,Dim_Hotel!$F$2:$F$11)</f>
        <v>311</v>
      </c>
      <c r="D2567">
        <f t="shared" si="321"/>
        <v>171</v>
      </c>
      <c r="E2567">
        <f t="shared" si="322"/>
        <v>0.54983922829581988</v>
      </c>
      <c r="F2567">
        <f t="shared" si="323"/>
        <v>190</v>
      </c>
      <c r="G2567">
        <f t="shared" si="324"/>
        <v>104.46945337620578</v>
      </c>
      <c r="H2567" t="str">
        <f>_xlfn.XLOOKUP(A2567,Fact_Events!$D$2:$D$20,Fact_Events!$A$2:$A$20, "")</f>
        <v/>
      </c>
      <c r="I2567">
        <f t="shared" si="325"/>
        <v>0</v>
      </c>
      <c r="J2567" t="str">
        <f>_xlfn.XLOOKUP(H2567, Fact_Events!$A$2:$A$20, Fact_Events!$F$2:$F$20, "")</f>
        <v/>
      </c>
      <c r="K2567" t="str">
        <f t="shared" si="326"/>
        <v>Low</v>
      </c>
      <c r="L2567">
        <f t="shared" si="327"/>
        <v>0.55000000000000004</v>
      </c>
      <c r="M2567">
        <f>_xlfn.XLOOKUP(B2567, Dim_Hotel!$A$2:$A$11, Dim_Hotel!$I$2:$I$11)
 + (IF(J2567="",0,J2567)
    * _xlfn.XLOOKUP(B2567, Dim_Hotel!$A$2:$A$11, Dim_Hotel!$J$2:$J$11))</f>
        <v>190</v>
      </c>
    </row>
    <row r="2568" spans="1:13" x14ac:dyDescent="0.25">
      <c r="A2568" s="1">
        <f t="shared" si="320"/>
        <v>46279</v>
      </c>
      <c r="B2568" t="str" cm="1">
        <f t="array" ref="B2568">INDEX(HotelList,MOD(ROW()-2,10)+1)</f>
        <v>H007</v>
      </c>
      <c r="C2568">
        <f>_xlfn.XLOOKUP(B2568,Dim_Hotel!$A$2:$A$11,Dim_Hotel!$F$2:$F$11)</f>
        <v>132</v>
      </c>
      <c r="D2568">
        <f t="shared" si="321"/>
        <v>73</v>
      </c>
      <c r="E2568">
        <f t="shared" si="322"/>
        <v>0.55303030303030298</v>
      </c>
      <c r="F2568">
        <f t="shared" si="323"/>
        <v>165</v>
      </c>
      <c r="G2568">
        <f t="shared" si="324"/>
        <v>91.249999999999986</v>
      </c>
      <c r="H2568" t="str">
        <f>_xlfn.XLOOKUP(A2568,Fact_Events!$D$2:$D$20,Fact_Events!$A$2:$A$20, "")</f>
        <v/>
      </c>
      <c r="I2568">
        <f t="shared" si="325"/>
        <v>0</v>
      </c>
      <c r="J2568" t="str">
        <f>_xlfn.XLOOKUP(H2568, Fact_Events!$A$2:$A$20, Fact_Events!$F$2:$F$20, "")</f>
        <v/>
      </c>
      <c r="K2568" t="str">
        <f t="shared" si="326"/>
        <v>Low</v>
      </c>
      <c r="L2568">
        <f t="shared" si="327"/>
        <v>0.55000000000000004</v>
      </c>
      <c r="M2568">
        <f>_xlfn.XLOOKUP(B2568, Dim_Hotel!$A$2:$A$11, Dim_Hotel!$I$2:$I$11)
 + (IF(J2568="",0,J2568)
    * _xlfn.XLOOKUP(B2568, Dim_Hotel!$A$2:$A$11, Dim_Hotel!$J$2:$J$11))</f>
        <v>165</v>
      </c>
    </row>
    <row r="2569" spans="1:13" x14ac:dyDescent="0.25">
      <c r="A2569" s="1">
        <f t="shared" si="320"/>
        <v>46279</v>
      </c>
      <c r="B2569" t="str" cm="1">
        <f t="array" ref="B2569">INDEX(HotelList,MOD(ROW()-2,10)+1)</f>
        <v>H008</v>
      </c>
      <c r="C2569">
        <f>_xlfn.XLOOKUP(B2569,Dim_Hotel!$A$2:$A$11,Dim_Hotel!$F$2:$F$11)</f>
        <v>103</v>
      </c>
      <c r="D2569">
        <f t="shared" si="321"/>
        <v>57</v>
      </c>
      <c r="E2569">
        <f t="shared" si="322"/>
        <v>0.55339805825242716</v>
      </c>
      <c r="F2569">
        <f t="shared" si="323"/>
        <v>140</v>
      </c>
      <c r="G2569">
        <f t="shared" si="324"/>
        <v>77.475728155339809</v>
      </c>
      <c r="H2569" t="str">
        <f>_xlfn.XLOOKUP(A2569,Fact_Events!$D$2:$D$20,Fact_Events!$A$2:$A$20, "")</f>
        <v/>
      </c>
      <c r="I2569">
        <f t="shared" si="325"/>
        <v>0</v>
      </c>
      <c r="J2569" t="str">
        <f>_xlfn.XLOOKUP(H2569, Fact_Events!$A$2:$A$20, Fact_Events!$F$2:$F$20, "")</f>
        <v/>
      </c>
      <c r="K2569" t="str">
        <f t="shared" si="326"/>
        <v>Low</v>
      </c>
      <c r="L2569">
        <f t="shared" si="327"/>
        <v>0.55000000000000004</v>
      </c>
      <c r="M2569">
        <f>_xlfn.XLOOKUP(B2569, Dim_Hotel!$A$2:$A$11, Dim_Hotel!$I$2:$I$11)
 + (IF(J2569="",0,J2569)
    * _xlfn.XLOOKUP(B2569, Dim_Hotel!$A$2:$A$11, Dim_Hotel!$J$2:$J$11))</f>
        <v>140</v>
      </c>
    </row>
    <row r="2570" spans="1:13" x14ac:dyDescent="0.25">
      <c r="A2570" s="1">
        <f t="shared" si="320"/>
        <v>46279</v>
      </c>
      <c r="B2570" t="str" cm="1">
        <f t="array" ref="B2570">INDEX(HotelList,MOD(ROW()-2,10)+1)</f>
        <v>H009</v>
      </c>
      <c r="C2570">
        <f>_xlfn.XLOOKUP(B2570,Dim_Hotel!$A$2:$A$11,Dim_Hotel!$F$2:$F$11)</f>
        <v>114</v>
      </c>
      <c r="D2570">
        <f t="shared" si="321"/>
        <v>63</v>
      </c>
      <c r="E2570">
        <f t="shared" si="322"/>
        <v>0.55263157894736847</v>
      </c>
      <c r="F2570">
        <f t="shared" si="323"/>
        <v>185</v>
      </c>
      <c r="G2570">
        <f t="shared" si="324"/>
        <v>102.23684210526316</v>
      </c>
      <c r="H2570" t="str">
        <f>_xlfn.XLOOKUP(A2570,Fact_Events!$D$2:$D$20,Fact_Events!$A$2:$A$20, "")</f>
        <v/>
      </c>
      <c r="I2570">
        <f t="shared" si="325"/>
        <v>0</v>
      </c>
      <c r="J2570" t="str">
        <f>_xlfn.XLOOKUP(H2570, Fact_Events!$A$2:$A$20, Fact_Events!$F$2:$F$20, "")</f>
        <v/>
      </c>
      <c r="K2570" t="str">
        <f t="shared" si="326"/>
        <v>Low</v>
      </c>
      <c r="L2570">
        <f t="shared" si="327"/>
        <v>0.55000000000000004</v>
      </c>
      <c r="M2570">
        <f>_xlfn.XLOOKUP(B2570, Dim_Hotel!$A$2:$A$11, Dim_Hotel!$I$2:$I$11)
 + (IF(J2570="",0,J2570)
    * _xlfn.XLOOKUP(B2570, Dim_Hotel!$A$2:$A$11, Dim_Hotel!$J$2:$J$11))</f>
        <v>185</v>
      </c>
    </row>
    <row r="2571" spans="1:13" x14ac:dyDescent="0.25">
      <c r="A2571" s="1">
        <f t="shared" si="320"/>
        <v>46279</v>
      </c>
      <c r="B2571" t="str" cm="1">
        <f t="array" ref="B2571">INDEX(HotelList,MOD(ROW()-2,10)+1)</f>
        <v>H010</v>
      </c>
      <c r="C2571">
        <f>_xlfn.XLOOKUP(B2571,Dim_Hotel!$A$2:$A$11,Dim_Hotel!$F$2:$F$11)</f>
        <v>89</v>
      </c>
      <c r="D2571">
        <f t="shared" si="321"/>
        <v>49</v>
      </c>
      <c r="E2571">
        <f t="shared" si="322"/>
        <v>0.550561797752809</v>
      </c>
      <c r="F2571">
        <f t="shared" si="323"/>
        <v>150</v>
      </c>
      <c r="G2571">
        <f t="shared" si="324"/>
        <v>82.584269662921344</v>
      </c>
      <c r="H2571" t="str">
        <f>_xlfn.XLOOKUP(A2571,Fact_Events!$D$2:$D$20,Fact_Events!$A$2:$A$20, "")</f>
        <v/>
      </c>
      <c r="I2571">
        <f t="shared" si="325"/>
        <v>0</v>
      </c>
      <c r="J2571" t="str">
        <f>_xlfn.XLOOKUP(H2571, Fact_Events!$A$2:$A$20, Fact_Events!$F$2:$F$20, "")</f>
        <v/>
      </c>
      <c r="K2571" t="str">
        <f t="shared" si="326"/>
        <v>Low</v>
      </c>
      <c r="L2571">
        <f t="shared" si="327"/>
        <v>0.55000000000000004</v>
      </c>
      <c r="M2571">
        <f>_xlfn.XLOOKUP(B2571, Dim_Hotel!$A$2:$A$11, Dim_Hotel!$I$2:$I$11)
 + (IF(J2571="",0,J2571)
    * _xlfn.XLOOKUP(B2571, Dim_Hotel!$A$2:$A$11, Dim_Hotel!$J$2:$J$11))</f>
        <v>150</v>
      </c>
    </row>
    <row r="2572" spans="1:13" x14ac:dyDescent="0.25">
      <c r="A2572" s="1">
        <f t="shared" si="320"/>
        <v>46280</v>
      </c>
      <c r="B2572" t="str" cm="1">
        <f t="array" ref="B2572">INDEX(HotelList,MOD(ROW()-2,10)+1)</f>
        <v>H001</v>
      </c>
      <c r="C2572">
        <f>_xlfn.XLOOKUP(B2572,Dim_Hotel!$A$2:$A$11,Dim_Hotel!$F$2:$F$11)</f>
        <v>888</v>
      </c>
      <c r="D2572">
        <f t="shared" si="321"/>
        <v>488</v>
      </c>
      <c r="E2572">
        <f t="shared" si="322"/>
        <v>0.5495495495495496</v>
      </c>
      <c r="F2572">
        <f t="shared" si="323"/>
        <v>260</v>
      </c>
      <c r="G2572">
        <f t="shared" si="324"/>
        <v>142.88288288288288</v>
      </c>
      <c r="H2572" t="str">
        <f>_xlfn.XLOOKUP(A2572,Fact_Events!$D$2:$D$20,Fact_Events!$A$2:$A$20, "")</f>
        <v/>
      </c>
      <c r="I2572">
        <f t="shared" si="325"/>
        <v>0</v>
      </c>
      <c r="J2572" t="str">
        <f>_xlfn.XLOOKUP(H2572, Fact_Events!$A$2:$A$20, Fact_Events!$F$2:$F$20, "")</f>
        <v/>
      </c>
      <c r="K2572" t="str">
        <f t="shared" si="326"/>
        <v>Low</v>
      </c>
      <c r="L2572">
        <f t="shared" si="327"/>
        <v>0.55000000000000004</v>
      </c>
      <c r="M2572">
        <f>_xlfn.XLOOKUP(B2572, Dim_Hotel!$A$2:$A$11, Dim_Hotel!$I$2:$I$11)
 + (IF(J2572="",0,J2572)
    * _xlfn.XLOOKUP(B2572, Dim_Hotel!$A$2:$A$11, Dim_Hotel!$J$2:$J$11))</f>
        <v>260</v>
      </c>
    </row>
    <row r="2573" spans="1:13" x14ac:dyDescent="0.25">
      <c r="A2573" s="1">
        <f t="shared" si="320"/>
        <v>46280</v>
      </c>
      <c r="B2573" t="str" cm="1">
        <f t="array" ref="B2573">INDEX(HotelList,MOD(ROW()-2,10)+1)</f>
        <v>H002</v>
      </c>
      <c r="C2573">
        <f>_xlfn.XLOOKUP(B2573,Dim_Hotel!$A$2:$A$11,Dim_Hotel!$F$2:$F$11)</f>
        <v>147</v>
      </c>
      <c r="D2573">
        <f t="shared" si="321"/>
        <v>81</v>
      </c>
      <c r="E2573">
        <f t="shared" si="322"/>
        <v>0.55102040816326525</v>
      </c>
      <c r="F2573">
        <f t="shared" si="323"/>
        <v>175</v>
      </c>
      <c r="G2573">
        <f t="shared" si="324"/>
        <v>96.428571428571416</v>
      </c>
      <c r="H2573" t="str">
        <f>_xlfn.XLOOKUP(A2573,Fact_Events!$D$2:$D$20,Fact_Events!$A$2:$A$20, "")</f>
        <v/>
      </c>
      <c r="I2573">
        <f t="shared" si="325"/>
        <v>0</v>
      </c>
      <c r="J2573" t="str">
        <f>_xlfn.XLOOKUP(H2573, Fact_Events!$A$2:$A$20, Fact_Events!$F$2:$F$20, "")</f>
        <v/>
      </c>
      <c r="K2573" t="str">
        <f t="shared" si="326"/>
        <v>Low</v>
      </c>
      <c r="L2573">
        <f t="shared" si="327"/>
        <v>0.55000000000000004</v>
      </c>
      <c r="M2573">
        <f>_xlfn.XLOOKUP(B2573, Dim_Hotel!$A$2:$A$11, Dim_Hotel!$I$2:$I$11)
 + (IF(J2573="",0,J2573)
    * _xlfn.XLOOKUP(B2573, Dim_Hotel!$A$2:$A$11, Dim_Hotel!$J$2:$J$11))</f>
        <v>175</v>
      </c>
    </row>
    <row r="2574" spans="1:13" x14ac:dyDescent="0.25">
      <c r="A2574" s="1">
        <f t="shared" si="320"/>
        <v>46280</v>
      </c>
      <c r="B2574" t="str" cm="1">
        <f t="array" ref="B2574">INDEX(HotelList,MOD(ROW()-2,10)+1)</f>
        <v>H003</v>
      </c>
      <c r="C2574">
        <f>_xlfn.XLOOKUP(B2574,Dim_Hotel!$A$2:$A$11,Dim_Hotel!$F$2:$F$11)</f>
        <v>121</v>
      </c>
      <c r="D2574">
        <f t="shared" si="321"/>
        <v>67</v>
      </c>
      <c r="E2574">
        <f t="shared" si="322"/>
        <v>0.55371900826446285</v>
      </c>
      <c r="F2574">
        <f t="shared" si="323"/>
        <v>145</v>
      </c>
      <c r="G2574">
        <f t="shared" si="324"/>
        <v>80.289256198347118</v>
      </c>
      <c r="H2574" t="str">
        <f>_xlfn.XLOOKUP(A2574,Fact_Events!$D$2:$D$20,Fact_Events!$A$2:$A$20, "")</f>
        <v/>
      </c>
      <c r="I2574">
        <f t="shared" si="325"/>
        <v>0</v>
      </c>
      <c r="J2574" t="str">
        <f>_xlfn.XLOOKUP(H2574, Fact_Events!$A$2:$A$20, Fact_Events!$F$2:$F$20, "")</f>
        <v/>
      </c>
      <c r="K2574" t="str">
        <f t="shared" si="326"/>
        <v>Low</v>
      </c>
      <c r="L2574">
        <f t="shared" si="327"/>
        <v>0.55000000000000004</v>
      </c>
      <c r="M2574">
        <f>_xlfn.XLOOKUP(B2574, Dim_Hotel!$A$2:$A$11, Dim_Hotel!$I$2:$I$11)
 + (IF(J2574="",0,J2574)
    * _xlfn.XLOOKUP(B2574, Dim_Hotel!$A$2:$A$11, Dim_Hotel!$J$2:$J$11))</f>
        <v>145</v>
      </c>
    </row>
    <row r="2575" spans="1:13" x14ac:dyDescent="0.25">
      <c r="A2575" s="1">
        <f t="shared" si="320"/>
        <v>46280</v>
      </c>
      <c r="B2575" t="str" cm="1">
        <f t="array" ref="B2575">INDEX(HotelList,MOD(ROW()-2,10)+1)</f>
        <v>H004</v>
      </c>
      <c r="C2575">
        <f>_xlfn.XLOOKUP(B2575,Dim_Hotel!$A$2:$A$11,Dim_Hotel!$F$2:$F$11)</f>
        <v>108</v>
      </c>
      <c r="D2575">
        <f t="shared" si="321"/>
        <v>59</v>
      </c>
      <c r="E2575">
        <f t="shared" si="322"/>
        <v>0.54629629629629628</v>
      </c>
      <c r="F2575">
        <f t="shared" si="323"/>
        <v>135</v>
      </c>
      <c r="G2575">
        <f t="shared" si="324"/>
        <v>73.75</v>
      </c>
      <c r="H2575" t="str">
        <f>_xlfn.XLOOKUP(A2575,Fact_Events!$D$2:$D$20,Fact_Events!$A$2:$A$20, "")</f>
        <v/>
      </c>
      <c r="I2575">
        <f t="shared" si="325"/>
        <v>0</v>
      </c>
      <c r="J2575" t="str">
        <f>_xlfn.XLOOKUP(H2575, Fact_Events!$A$2:$A$20, Fact_Events!$F$2:$F$20, "")</f>
        <v/>
      </c>
      <c r="K2575" t="str">
        <f t="shared" si="326"/>
        <v>Low</v>
      </c>
      <c r="L2575">
        <f t="shared" si="327"/>
        <v>0.55000000000000004</v>
      </c>
      <c r="M2575">
        <f>_xlfn.XLOOKUP(B2575, Dim_Hotel!$A$2:$A$11, Dim_Hotel!$I$2:$I$11)
 + (IF(J2575="",0,J2575)
    * _xlfn.XLOOKUP(B2575, Dim_Hotel!$A$2:$A$11, Dim_Hotel!$J$2:$J$11))</f>
        <v>135</v>
      </c>
    </row>
    <row r="2576" spans="1:13" x14ac:dyDescent="0.25">
      <c r="A2576" s="1">
        <f t="shared" si="320"/>
        <v>46280</v>
      </c>
      <c r="B2576" t="str" cm="1">
        <f t="array" ref="B2576">INDEX(HotelList,MOD(ROW()-2,10)+1)</f>
        <v>H005</v>
      </c>
      <c r="C2576">
        <f>_xlfn.XLOOKUP(B2576,Dim_Hotel!$A$2:$A$11,Dim_Hotel!$F$2:$F$11)</f>
        <v>66</v>
      </c>
      <c r="D2576">
        <f t="shared" si="321"/>
        <v>36</v>
      </c>
      <c r="E2576">
        <f t="shared" si="322"/>
        <v>0.54545454545454541</v>
      </c>
      <c r="F2576">
        <f t="shared" si="323"/>
        <v>82</v>
      </c>
      <c r="G2576">
        <f t="shared" si="324"/>
        <v>44.727272727272727</v>
      </c>
      <c r="H2576" t="str">
        <f>_xlfn.XLOOKUP(A2576,Fact_Events!$D$2:$D$20,Fact_Events!$A$2:$A$20, "")</f>
        <v/>
      </c>
      <c r="I2576">
        <f t="shared" si="325"/>
        <v>0</v>
      </c>
      <c r="J2576" t="str">
        <f>_xlfn.XLOOKUP(H2576, Fact_Events!$A$2:$A$20, Fact_Events!$F$2:$F$20, "")</f>
        <v/>
      </c>
      <c r="K2576" t="str">
        <f t="shared" si="326"/>
        <v>Low</v>
      </c>
      <c r="L2576">
        <f t="shared" si="327"/>
        <v>0.55000000000000004</v>
      </c>
      <c r="M2576">
        <f>_xlfn.XLOOKUP(B2576, Dim_Hotel!$A$2:$A$11, Dim_Hotel!$I$2:$I$11)
 + (IF(J2576="",0,J2576)
    * _xlfn.XLOOKUP(B2576, Dim_Hotel!$A$2:$A$11, Dim_Hotel!$J$2:$J$11))</f>
        <v>82</v>
      </c>
    </row>
    <row r="2577" spans="1:13" x14ac:dyDescent="0.25">
      <c r="A2577" s="1">
        <f t="shared" si="320"/>
        <v>46280</v>
      </c>
      <c r="B2577" t="str" cm="1">
        <f t="array" ref="B2577">INDEX(HotelList,MOD(ROW()-2,10)+1)</f>
        <v>H006</v>
      </c>
      <c r="C2577">
        <f>_xlfn.XLOOKUP(B2577,Dim_Hotel!$A$2:$A$11,Dim_Hotel!$F$2:$F$11)</f>
        <v>311</v>
      </c>
      <c r="D2577">
        <f t="shared" si="321"/>
        <v>171</v>
      </c>
      <c r="E2577">
        <f t="shared" si="322"/>
        <v>0.54983922829581988</v>
      </c>
      <c r="F2577">
        <f t="shared" si="323"/>
        <v>190</v>
      </c>
      <c r="G2577">
        <f t="shared" si="324"/>
        <v>104.46945337620578</v>
      </c>
      <c r="H2577" t="str">
        <f>_xlfn.XLOOKUP(A2577,Fact_Events!$D$2:$D$20,Fact_Events!$A$2:$A$20, "")</f>
        <v/>
      </c>
      <c r="I2577">
        <f t="shared" si="325"/>
        <v>0</v>
      </c>
      <c r="J2577" t="str">
        <f>_xlfn.XLOOKUP(H2577, Fact_Events!$A$2:$A$20, Fact_Events!$F$2:$F$20, "")</f>
        <v/>
      </c>
      <c r="K2577" t="str">
        <f t="shared" si="326"/>
        <v>Low</v>
      </c>
      <c r="L2577">
        <f t="shared" si="327"/>
        <v>0.55000000000000004</v>
      </c>
      <c r="M2577">
        <f>_xlfn.XLOOKUP(B2577, Dim_Hotel!$A$2:$A$11, Dim_Hotel!$I$2:$I$11)
 + (IF(J2577="",0,J2577)
    * _xlfn.XLOOKUP(B2577, Dim_Hotel!$A$2:$A$11, Dim_Hotel!$J$2:$J$11))</f>
        <v>190</v>
      </c>
    </row>
    <row r="2578" spans="1:13" x14ac:dyDescent="0.25">
      <c r="A2578" s="1">
        <f t="shared" si="320"/>
        <v>46280</v>
      </c>
      <c r="B2578" t="str" cm="1">
        <f t="array" ref="B2578">INDEX(HotelList,MOD(ROW()-2,10)+1)</f>
        <v>H007</v>
      </c>
      <c r="C2578">
        <f>_xlfn.XLOOKUP(B2578,Dim_Hotel!$A$2:$A$11,Dim_Hotel!$F$2:$F$11)</f>
        <v>132</v>
      </c>
      <c r="D2578">
        <f t="shared" si="321"/>
        <v>73</v>
      </c>
      <c r="E2578">
        <f t="shared" si="322"/>
        <v>0.55303030303030298</v>
      </c>
      <c r="F2578">
        <f t="shared" si="323"/>
        <v>165</v>
      </c>
      <c r="G2578">
        <f t="shared" si="324"/>
        <v>91.249999999999986</v>
      </c>
      <c r="H2578" t="str">
        <f>_xlfn.XLOOKUP(A2578,Fact_Events!$D$2:$D$20,Fact_Events!$A$2:$A$20, "")</f>
        <v/>
      </c>
      <c r="I2578">
        <f t="shared" si="325"/>
        <v>0</v>
      </c>
      <c r="J2578" t="str">
        <f>_xlfn.XLOOKUP(H2578, Fact_Events!$A$2:$A$20, Fact_Events!$F$2:$F$20, "")</f>
        <v/>
      </c>
      <c r="K2578" t="str">
        <f t="shared" si="326"/>
        <v>Low</v>
      </c>
      <c r="L2578">
        <f t="shared" si="327"/>
        <v>0.55000000000000004</v>
      </c>
      <c r="M2578">
        <f>_xlfn.XLOOKUP(B2578, Dim_Hotel!$A$2:$A$11, Dim_Hotel!$I$2:$I$11)
 + (IF(J2578="",0,J2578)
    * _xlfn.XLOOKUP(B2578, Dim_Hotel!$A$2:$A$11, Dim_Hotel!$J$2:$J$11))</f>
        <v>165</v>
      </c>
    </row>
    <row r="2579" spans="1:13" x14ac:dyDescent="0.25">
      <c r="A2579" s="1">
        <f t="shared" si="320"/>
        <v>46280</v>
      </c>
      <c r="B2579" t="str" cm="1">
        <f t="array" ref="B2579">INDEX(HotelList,MOD(ROW()-2,10)+1)</f>
        <v>H008</v>
      </c>
      <c r="C2579">
        <f>_xlfn.XLOOKUP(B2579,Dim_Hotel!$A$2:$A$11,Dim_Hotel!$F$2:$F$11)</f>
        <v>103</v>
      </c>
      <c r="D2579">
        <f t="shared" si="321"/>
        <v>57</v>
      </c>
      <c r="E2579">
        <f t="shared" si="322"/>
        <v>0.55339805825242716</v>
      </c>
      <c r="F2579">
        <f t="shared" si="323"/>
        <v>140</v>
      </c>
      <c r="G2579">
        <f t="shared" si="324"/>
        <v>77.475728155339809</v>
      </c>
      <c r="H2579" t="str">
        <f>_xlfn.XLOOKUP(A2579,Fact_Events!$D$2:$D$20,Fact_Events!$A$2:$A$20, "")</f>
        <v/>
      </c>
      <c r="I2579">
        <f t="shared" si="325"/>
        <v>0</v>
      </c>
      <c r="J2579" t="str">
        <f>_xlfn.XLOOKUP(H2579, Fact_Events!$A$2:$A$20, Fact_Events!$F$2:$F$20, "")</f>
        <v/>
      </c>
      <c r="K2579" t="str">
        <f t="shared" si="326"/>
        <v>Low</v>
      </c>
      <c r="L2579">
        <f t="shared" si="327"/>
        <v>0.55000000000000004</v>
      </c>
      <c r="M2579">
        <f>_xlfn.XLOOKUP(B2579, Dim_Hotel!$A$2:$A$11, Dim_Hotel!$I$2:$I$11)
 + (IF(J2579="",0,J2579)
    * _xlfn.XLOOKUP(B2579, Dim_Hotel!$A$2:$A$11, Dim_Hotel!$J$2:$J$11))</f>
        <v>140</v>
      </c>
    </row>
    <row r="2580" spans="1:13" x14ac:dyDescent="0.25">
      <c r="A2580" s="1">
        <f t="shared" si="320"/>
        <v>46280</v>
      </c>
      <c r="B2580" t="str" cm="1">
        <f t="array" ref="B2580">INDEX(HotelList,MOD(ROW()-2,10)+1)</f>
        <v>H009</v>
      </c>
      <c r="C2580">
        <f>_xlfn.XLOOKUP(B2580,Dim_Hotel!$A$2:$A$11,Dim_Hotel!$F$2:$F$11)</f>
        <v>114</v>
      </c>
      <c r="D2580">
        <f t="shared" si="321"/>
        <v>63</v>
      </c>
      <c r="E2580">
        <f t="shared" si="322"/>
        <v>0.55263157894736847</v>
      </c>
      <c r="F2580">
        <f t="shared" si="323"/>
        <v>185</v>
      </c>
      <c r="G2580">
        <f t="shared" si="324"/>
        <v>102.23684210526316</v>
      </c>
      <c r="H2580" t="str">
        <f>_xlfn.XLOOKUP(A2580,Fact_Events!$D$2:$D$20,Fact_Events!$A$2:$A$20, "")</f>
        <v/>
      </c>
      <c r="I2580">
        <f t="shared" si="325"/>
        <v>0</v>
      </c>
      <c r="J2580" t="str">
        <f>_xlfn.XLOOKUP(H2580, Fact_Events!$A$2:$A$20, Fact_Events!$F$2:$F$20, "")</f>
        <v/>
      </c>
      <c r="K2580" t="str">
        <f t="shared" si="326"/>
        <v>Low</v>
      </c>
      <c r="L2580">
        <f t="shared" si="327"/>
        <v>0.55000000000000004</v>
      </c>
      <c r="M2580">
        <f>_xlfn.XLOOKUP(B2580, Dim_Hotel!$A$2:$A$11, Dim_Hotel!$I$2:$I$11)
 + (IF(J2580="",0,J2580)
    * _xlfn.XLOOKUP(B2580, Dim_Hotel!$A$2:$A$11, Dim_Hotel!$J$2:$J$11))</f>
        <v>185</v>
      </c>
    </row>
    <row r="2581" spans="1:13" x14ac:dyDescent="0.25">
      <c r="A2581" s="1">
        <f t="shared" si="320"/>
        <v>46280</v>
      </c>
      <c r="B2581" t="str" cm="1">
        <f t="array" ref="B2581">INDEX(HotelList,MOD(ROW()-2,10)+1)</f>
        <v>H010</v>
      </c>
      <c r="C2581">
        <f>_xlfn.XLOOKUP(B2581,Dim_Hotel!$A$2:$A$11,Dim_Hotel!$F$2:$F$11)</f>
        <v>89</v>
      </c>
      <c r="D2581">
        <f t="shared" si="321"/>
        <v>49</v>
      </c>
      <c r="E2581">
        <f t="shared" si="322"/>
        <v>0.550561797752809</v>
      </c>
      <c r="F2581">
        <f t="shared" si="323"/>
        <v>150</v>
      </c>
      <c r="G2581">
        <f t="shared" si="324"/>
        <v>82.584269662921344</v>
      </c>
      <c r="H2581" t="str">
        <f>_xlfn.XLOOKUP(A2581,Fact_Events!$D$2:$D$20,Fact_Events!$A$2:$A$20, "")</f>
        <v/>
      </c>
      <c r="I2581">
        <f t="shared" si="325"/>
        <v>0</v>
      </c>
      <c r="J2581" t="str">
        <f>_xlfn.XLOOKUP(H2581, Fact_Events!$A$2:$A$20, Fact_Events!$F$2:$F$20, "")</f>
        <v/>
      </c>
      <c r="K2581" t="str">
        <f t="shared" si="326"/>
        <v>Low</v>
      </c>
      <c r="L2581">
        <f t="shared" si="327"/>
        <v>0.55000000000000004</v>
      </c>
      <c r="M2581">
        <f>_xlfn.XLOOKUP(B2581, Dim_Hotel!$A$2:$A$11, Dim_Hotel!$I$2:$I$11)
 + (IF(J2581="",0,J2581)
    * _xlfn.XLOOKUP(B2581, Dim_Hotel!$A$2:$A$11, Dim_Hotel!$J$2:$J$11))</f>
        <v>150</v>
      </c>
    </row>
    <row r="2582" spans="1:13" x14ac:dyDescent="0.25">
      <c r="A2582" s="1">
        <f t="shared" si="320"/>
        <v>46281</v>
      </c>
      <c r="B2582" t="str" cm="1">
        <f t="array" ref="B2582">INDEX(HotelList,MOD(ROW()-2,10)+1)</f>
        <v>H001</v>
      </c>
      <c r="C2582">
        <f>_xlfn.XLOOKUP(B2582,Dim_Hotel!$A$2:$A$11,Dim_Hotel!$F$2:$F$11)</f>
        <v>888</v>
      </c>
      <c r="D2582">
        <f t="shared" si="321"/>
        <v>488</v>
      </c>
      <c r="E2582">
        <f t="shared" si="322"/>
        <v>0.5495495495495496</v>
      </c>
      <c r="F2582">
        <f t="shared" si="323"/>
        <v>260</v>
      </c>
      <c r="G2582">
        <f t="shared" si="324"/>
        <v>142.88288288288288</v>
      </c>
      <c r="H2582" t="str">
        <f>_xlfn.XLOOKUP(A2582,Fact_Events!$D$2:$D$20,Fact_Events!$A$2:$A$20, "")</f>
        <v/>
      </c>
      <c r="I2582">
        <f t="shared" si="325"/>
        <v>0</v>
      </c>
      <c r="J2582" t="str">
        <f>_xlfn.XLOOKUP(H2582, Fact_Events!$A$2:$A$20, Fact_Events!$F$2:$F$20, "")</f>
        <v/>
      </c>
      <c r="K2582" t="str">
        <f t="shared" si="326"/>
        <v>Low</v>
      </c>
      <c r="L2582">
        <f t="shared" si="327"/>
        <v>0.55000000000000004</v>
      </c>
      <c r="M2582">
        <f>_xlfn.XLOOKUP(B2582, Dim_Hotel!$A$2:$A$11, Dim_Hotel!$I$2:$I$11)
 + (IF(J2582="",0,J2582)
    * _xlfn.XLOOKUP(B2582, Dim_Hotel!$A$2:$A$11, Dim_Hotel!$J$2:$J$11))</f>
        <v>260</v>
      </c>
    </row>
    <row r="2583" spans="1:13" x14ac:dyDescent="0.25">
      <c r="A2583" s="1">
        <f t="shared" si="320"/>
        <v>46281</v>
      </c>
      <c r="B2583" t="str" cm="1">
        <f t="array" ref="B2583">INDEX(HotelList,MOD(ROW()-2,10)+1)</f>
        <v>H002</v>
      </c>
      <c r="C2583">
        <f>_xlfn.XLOOKUP(B2583,Dim_Hotel!$A$2:$A$11,Dim_Hotel!$F$2:$F$11)</f>
        <v>147</v>
      </c>
      <c r="D2583">
        <f t="shared" si="321"/>
        <v>81</v>
      </c>
      <c r="E2583">
        <f t="shared" si="322"/>
        <v>0.55102040816326525</v>
      </c>
      <c r="F2583">
        <f t="shared" si="323"/>
        <v>175</v>
      </c>
      <c r="G2583">
        <f t="shared" si="324"/>
        <v>96.428571428571416</v>
      </c>
      <c r="H2583" t="str">
        <f>_xlfn.XLOOKUP(A2583,Fact_Events!$D$2:$D$20,Fact_Events!$A$2:$A$20, "")</f>
        <v/>
      </c>
      <c r="I2583">
        <f t="shared" si="325"/>
        <v>0</v>
      </c>
      <c r="J2583" t="str">
        <f>_xlfn.XLOOKUP(H2583, Fact_Events!$A$2:$A$20, Fact_Events!$F$2:$F$20, "")</f>
        <v/>
      </c>
      <c r="K2583" t="str">
        <f t="shared" si="326"/>
        <v>Low</v>
      </c>
      <c r="L2583">
        <f t="shared" si="327"/>
        <v>0.55000000000000004</v>
      </c>
      <c r="M2583">
        <f>_xlfn.XLOOKUP(B2583, Dim_Hotel!$A$2:$A$11, Dim_Hotel!$I$2:$I$11)
 + (IF(J2583="",0,J2583)
    * _xlfn.XLOOKUP(B2583, Dim_Hotel!$A$2:$A$11, Dim_Hotel!$J$2:$J$11))</f>
        <v>175</v>
      </c>
    </row>
    <row r="2584" spans="1:13" x14ac:dyDescent="0.25">
      <c r="A2584" s="1">
        <f t="shared" si="320"/>
        <v>46281</v>
      </c>
      <c r="B2584" t="str" cm="1">
        <f t="array" ref="B2584">INDEX(HotelList,MOD(ROW()-2,10)+1)</f>
        <v>H003</v>
      </c>
      <c r="C2584">
        <f>_xlfn.XLOOKUP(B2584,Dim_Hotel!$A$2:$A$11,Dim_Hotel!$F$2:$F$11)</f>
        <v>121</v>
      </c>
      <c r="D2584">
        <f t="shared" si="321"/>
        <v>67</v>
      </c>
      <c r="E2584">
        <f t="shared" si="322"/>
        <v>0.55371900826446285</v>
      </c>
      <c r="F2584">
        <f t="shared" si="323"/>
        <v>145</v>
      </c>
      <c r="G2584">
        <f t="shared" si="324"/>
        <v>80.289256198347118</v>
      </c>
      <c r="H2584" t="str">
        <f>_xlfn.XLOOKUP(A2584,Fact_Events!$D$2:$D$20,Fact_Events!$A$2:$A$20, "")</f>
        <v/>
      </c>
      <c r="I2584">
        <f t="shared" si="325"/>
        <v>0</v>
      </c>
      <c r="J2584" t="str">
        <f>_xlfn.XLOOKUP(H2584, Fact_Events!$A$2:$A$20, Fact_Events!$F$2:$F$20, "")</f>
        <v/>
      </c>
      <c r="K2584" t="str">
        <f t="shared" si="326"/>
        <v>Low</v>
      </c>
      <c r="L2584">
        <f t="shared" si="327"/>
        <v>0.55000000000000004</v>
      </c>
      <c r="M2584">
        <f>_xlfn.XLOOKUP(B2584, Dim_Hotel!$A$2:$A$11, Dim_Hotel!$I$2:$I$11)
 + (IF(J2584="",0,J2584)
    * _xlfn.XLOOKUP(B2584, Dim_Hotel!$A$2:$A$11, Dim_Hotel!$J$2:$J$11))</f>
        <v>145</v>
      </c>
    </row>
    <row r="2585" spans="1:13" x14ac:dyDescent="0.25">
      <c r="A2585" s="1">
        <f t="shared" si="320"/>
        <v>46281</v>
      </c>
      <c r="B2585" t="str" cm="1">
        <f t="array" ref="B2585">INDEX(HotelList,MOD(ROW()-2,10)+1)</f>
        <v>H004</v>
      </c>
      <c r="C2585">
        <f>_xlfn.XLOOKUP(B2585,Dim_Hotel!$A$2:$A$11,Dim_Hotel!$F$2:$F$11)</f>
        <v>108</v>
      </c>
      <c r="D2585">
        <f t="shared" si="321"/>
        <v>59</v>
      </c>
      <c r="E2585">
        <f t="shared" si="322"/>
        <v>0.54629629629629628</v>
      </c>
      <c r="F2585">
        <f t="shared" si="323"/>
        <v>135</v>
      </c>
      <c r="G2585">
        <f t="shared" si="324"/>
        <v>73.75</v>
      </c>
      <c r="H2585" t="str">
        <f>_xlfn.XLOOKUP(A2585,Fact_Events!$D$2:$D$20,Fact_Events!$A$2:$A$20, "")</f>
        <v/>
      </c>
      <c r="I2585">
        <f t="shared" si="325"/>
        <v>0</v>
      </c>
      <c r="J2585" t="str">
        <f>_xlfn.XLOOKUP(H2585, Fact_Events!$A$2:$A$20, Fact_Events!$F$2:$F$20, "")</f>
        <v/>
      </c>
      <c r="K2585" t="str">
        <f t="shared" si="326"/>
        <v>Low</v>
      </c>
      <c r="L2585">
        <f t="shared" si="327"/>
        <v>0.55000000000000004</v>
      </c>
      <c r="M2585">
        <f>_xlfn.XLOOKUP(B2585, Dim_Hotel!$A$2:$A$11, Dim_Hotel!$I$2:$I$11)
 + (IF(J2585="",0,J2585)
    * _xlfn.XLOOKUP(B2585, Dim_Hotel!$A$2:$A$11, Dim_Hotel!$J$2:$J$11))</f>
        <v>135</v>
      </c>
    </row>
    <row r="2586" spans="1:13" x14ac:dyDescent="0.25">
      <c r="A2586" s="1">
        <f t="shared" si="320"/>
        <v>46281</v>
      </c>
      <c r="B2586" t="str" cm="1">
        <f t="array" ref="B2586">INDEX(HotelList,MOD(ROW()-2,10)+1)</f>
        <v>H005</v>
      </c>
      <c r="C2586">
        <f>_xlfn.XLOOKUP(B2586,Dim_Hotel!$A$2:$A$11,Dim_Hotel!$F$2:$F$11)</f>
        <v>66</v>
      </c>
      <c r="D2586">
        <f t="shared" si="321"/>
        <v>36</v>
      </c>
      <c r="E2586">
        <f t="shared" si="322"/>
        <v>0.54545454545454541</v>
      </c>
      <c r="F2586">
        <f t="shared" si="323"/>
        <v>82</v>
      </c>
      <c r="G2586">
        <f t="shared" si="324"/>
        <v>44.727272727272727</v>
      </c>
      <c r="H2586" t="str">
        <f>_xlfn.XLOOKUP(A2586,Fact_Events!$D$2:$D$20,Fact_Events!$A$2:$A$20, "")</f>
        <v/>
      </c>
      <c r="I2586">
        <f t="shared" si="325"/>
        <v>0</v>
      </c>
      <c r="J2586" t="str">
        <f>_xlfn.XLOOKUP(H2586, Fact_Events!$A$2:$A$20, Fact_Events!$F$2:$F$20, "")</f>
        <v/>
      </c>
      <c r="K2586" t="str">
        <f t="shared" si="326"/>
        <v>Low</v>
      </c>
      <c r="L2586">
        <f t="shared" si="327"/>
        <v>0.55000000000000004</v>
      </c>
      <c r="M2586">
        <f>_xlfn.XLOOKUP(B2586, Dim_Hotel!$A$2:$A$11, Dim_Hotel!$I$2:$I$11)
 + (IF(J2586="",0,J2586)
    * _xlfn.XLOOKUP(B2586, Dim_Hotel!$A$2:$A$11, Dim_Hotel!$J$2:$J$11))</f>
        <v>82</v>
      </c>
    </row>
    <row r="2587" spans="1:13" x14ac:dyDescent="0.25">
      <c r="A2587" s="1">
        <f t="shared" si="320"/>
        <v>46281</v>
      </c>
      <c r="B2587" t="str" cm="1">
        <f t="array" ref="B2587">INDEX(HotelList,MOD(ROW()-2,10)+1)</f>
        <v>H006</v>
      </c>
      <c r="C2587">
        <f>_xlfn.XLOOKUP(B2587,Dim_Hotel!$A$2:$A$11,Dim_Hotel!$F$2:$F$11)</f>
        <v>311</v>
      </c>
      <c r="D2587">
        <f t="shared" si="321"/>
        <v>171</v>
      </c>
      <c r="E2587">
        <f t="shared" si="322"/>
        <v>0.54983922829581988</v>
      </c>
      <c r="F2587">
        <f t="shared" si="323"/>
        <v>190</v>
      </c>
      <c r="G2587">
        <f t="shared" si="324"/>
        <v>104.46945337620578</v>
      </c>
      <c r="H2587" t="str">
        <f>_xlfn.XLOOKUP(A2587,Fact_Events!$D$2:$D$20,Fact_Events!$A$2:$A$20, "")</f>
        <v/>
      </c>
      <c r="I2587">
        <f t="shared" si="325"/>
        <v>0</v>
      </c>
      <c r="J2587" t="str">
        <f>_xlfn.XLOOKUP(H2587, Fact_Events!$A$2:$A$20, Fact_Events!$F$2:$F$20, "")</f>
        <v/>
      </c>
      <c r="K2587" t="str">
        <f t="shared" si="326"/>
        <v>Low</v>
      </c>
      <c r="L2587">
        <f t="shared" si="327"/>
        <v>0.55000000000000004</v>
      </c>
      <c r="M2587">
        <f>_xlfn.XLOOKUP(B2587, Dim_Hotel!$A$2:$A$11, Dim_Hotel!$I$2:$I$11)
 + (IF(J2587="",0,J2587)
    * _xlfn.XLOOKUP(B2587, Dim_Hotel!$A$2:$A$11, Dim_Hotel!$J$2:$J$11))</f>
        <v>190</v>
      </c>
    </row>
    <row r="2588" spans="1:13" x14ac:dyDescent="0.25">
      <c r="A2588" s="1">
        <f t="shared" si="320"/>
        <v>46281</v>
      </c>
      <c r="B2588" t="str" cm="1">
        <f t="array" ref="B2588">INDEX(HotelList,MOD(ROW()-2,10)+1)</f>
        <v>H007</v>
      </c>
      <c r="C2588">
        <f>_xlfn.XLOOKUP(B2588,Dim_Hotel!$A$2:$A$11,Dim_Hotel!$F$2:$F$11)</f>
        <v>132</v>
      </c>
      <c r="D2588">
        <f t="shared" si="321"/>
        <v>73</v>
      </c>
      <c r="E2588">
        <f t="shared" si="322"/>
        <v>0.55303030303030298</v>
      </c>
      <c r="F2588">
        <f t="shared" si="323"/>
        <v>165</v>
      </c>
      <c r="G2588">
        <f t="shared" si="324"/>
        <v>91.249999999999986</v>
      </c>
      <c r="H2588" t="str">
        <f>_xlfn.XLOOKUP(A2588,Fact_Events!$D$2:$D$20,Fact_Events!$A$2:$A$20, "")</f>
        <v/>
      </c>
      <c r="I2588">
        <f t="shared" si="325"/>
        <v>0</v>
      </c>
      <c r="J2588" t="str">
        <f>_xlfn.XLOOKUP(H2588, Fact_Events!$A$2:$A$20, Fact_Events!$F$2:$F$20, "")</f>
        <v/>
      </c>
      <c r="K2588" t="str">
        <f t="shared" si="326"/>
        <v>Low</v>
      </c>
      <c r="L2588">
        <f t="shared" si="327"/>
        <v>0.55000000000000004</v>
      </c>
      <c r="M2588">
        <f>_xlfn.XLOOKUP(B2588, Dim_Hotel!$A$2:$A$11, Dim_Hotel!$I$2:$I$11)
 + (IF(J2588="",0,J2588)
    * _xlfn.XLOOKUP(B2588, Dim_Hotel!$A$2:$A$11, Dim_Hotel!$J$2:$J$11))</f>
        <v>165</v>
      </c>
    </row>
    <row r="2589" spans="1:13" x14ac:dyDescent="0.25">
      <c r="A2589" s="1">
        <f t="shared" si="320"/>
        <v>46281</v>
      </c>
      <c r="B2589" t="str" cm="1">
        <f t="array" ref="B2589">INDEX(HotelList,MOD(ROW()-2,10)+1)</f>
        <v>H008</v>
      </c>
      <c r="C2589">
        <f>_xlfn.XLOOKUP(B2589,Dim_Hotel!$A$2:$A$11,Dim_Hotel!$F$2:$F$11)</f>
        <v>103</v>
      </c>
      <c r="D2589">
        <f t="shared" si="321"/>
        <v>57</v>
      </c>
      <c r="E2589">
        <f t="shared" si="322"/>
        <v>0.55339805825242716</v>
      </c>
      <c r="F2589">
        <f t="shared" si="323"/>
        <v>140</v>
      </c>
      <c r="G2589">
        <f t="shared" si="324"/>
        <v>77.475728155339809</v>
      </c>
      <c r="H2589" t="str">
        <f>_xlfn.XLOOKUP(A2589,Fact_Events!$D$2:$D$20,Fact_Events!$A$2:$A$20, "")</f>
        <v/>
      </c>
      <c r="I2589">
        <f t="shared" si="325"/>
        <v>0</v>
      </c>
      <c r="J2589" t="str">
        <f>_xlfn.XLOOKUP(H2589, Fact_Events!$A$2:$A$20, Fact_Events!$F$2:$F$20, "")</f>
        <v/>
      </c>
      <c r="K2589" t="str">
        <f t="shared" si="326"/>
        <v>Low</v>
      </c>
      <c r="L2589">
        <f t="shared" si="327"/>
        <v>0.55000000000000004</v>
      </c>
      <c r="M2589">
        <f>_xlfn.XLOOKUP(B2589, Dim_Hotel!$A$2:$A$11, Dim_Hotel!$I$2:$I$11)
 + (IF(J2589="",0,J2589)
    * _xlfn.XLOOKUP(B2589, Dim_Hotel!$A$2:$A$11, Dim_Hotel!$J$2:$J$11))</f>
        <v>140</v>
      </c>
    </row>
    <row r="2590" spans="1:13" x14ac:dyDescent="0.25">
      <c r="A2590" s="1">
        <f t="shared" si="320"/>
        <v>46281</v>
      </c>
      <c r="B2590" t="str" cm="1">
        <f t="array" ref="B2590">INDEX(HotelList,MOD(ROW()-2,10)+1)</f>
        <v>H009</v>
      </c>
      <c r="C2590">
        <f>_xlfn.XLOOKUP(B2590,Dim_Hotel!$A$2:$A$11,Dim_Hotel!$F$2:$F$11)</f>
        <v>114</v>
      </c>
      <c r="D2590">
        <f t="shared" si="321"/>
        <v>63</v>
      </c>
      <c r="E2590">
        <f t="shared" si="322"/>
        <v>0.55263157894736847</v>
      </c>
      <c r="F2590">
        <f t="shared" si="323"/>
        <v>185</v>
      </c>
      <c r="G2590">
        <f t="shared" si="324"/>
        <v>102.23684210526316</v>
      </c>
      <c r="H2590" t="str">
        <f>_xlfn.XLOOKUP(A2590,Fact_Events!$D$2:$D$20,Fact_Events!$A$2:$A$20, "")</f>
        <v/>
      </c>
      <c r="I2590">
        <f t="shared" si="325"/>
        <v>0</v>
      </c>
      <c r="J2590" t="str">
        <f>_xlfn.XLOOKUP(H2590, Fact_Events!$A$2:$A$20, Fact_Events!$F$2:$F$20, "")</f>
        <v/>
      </c>
      <c r="K2590" t="str">
        <f t="shared" si="326"/>
        <v>Low</v>
      </c>
      <c r="L2590">
        <f t="shared" si="327"/>
        <v>0.55000000000000004</v>
      </c>
      <c r="M2590">
        <f>_xlfn.XLOOKUP(B2590, Dim_Hotel!$A$2:$A$11, Dim_Hotel!$I$2:$I$11)
 + (IF(J2590="",0,J2590)
    * _xlfn.XLOOKUP(B2590, Dim_Hotel!$A$2:$A$11, Dim_Hotel!$J$2:$J$11))</f>
        <v>185</v>
      </c>
    </row>
    <row r="2591" spans="1:13" x14ac:dyDescent="0.25">
      <c r="A2591" s="1">
        <f t="shared" si="320"/>
        <v>46281</v>
      </c>
      <c r="B2591" t="str" cm="1">
        <f t="array" ref="B2591">INDEX(HotelList,MOD(ROW()-2,10)+1)</f>
        <v>H010</v>
      </c>
      <c r="C2591">
        <f>_xlfn.XLOOKUP(B2591,Dim_Hotel!$A$2:$A$11,Dim_Hotel!$F$2:$F$11)</f>
        <v>89</v>
      </c>
      <c r="D2591">
        <f t="shared" si="321"/>
        <v>49</v>
      </c>
      <c r="E2591">
        <f t="shared" si="322"/>
        <v>0.550561797752809</v>
      </c>
      <c r="F2591">
        <f t="shared" si="323"/>
        <v>150</v>
      </c>
      <c r="G2591">
        <f t="shared" si="324"/>
        <v>82.584269662921344</v>
      </c>
      <c r="H2591" t="str">
        <f>_xlfn.XLOOKUP(A2591,Fact_Events!$D$2:$D$20,Fact_Events!$A$2:$A$20, "")</f>
        <v/>
      </c>
      <c r="I2591">
        <f t="shared" si="325"/>
        <v>0</v>
      </c>
      <c r="J2591" t="str">
        <f>_xlfn.XLOOKUP(H2591, Fact_Events!$A$2:$A$20, Fact_Events!$F$2:$F$20, "")</f>
        <v/>
      </c>
      <c r="K2591" t="str">
        <f t="shared" si="326"/>
        <v>Low</v>
      </c>
      <c r="L2591">
        <f t="shared" si="327"/>
        <v>0.55000000000000004</v>
      </c>
      <c r="M2591">
        <f>_xlfn.XLOOKUP(B2591, Dim_Hotel!$A$2:$A$11, Dim_Hotel!$I$2:$I$11)
 + (IF(J2591="",0,J2591)
    * _xlfn.XLOOKUP(B2591, Dim_Hotel!$A$2:$A$11, Dim_Hotel!$J$2:$J$11))</f>
        <v>150</v>
      </c>
    </row>
    <row r="2592" spans="1:13" x14ac:dyDescent="0.25">
      <c r="A2592" s="1">
        <f t="shared" si="320"/>
        <v>46282</v>
      </c>
      <c r="B2592" t="str" cm="1">
        <f t="array" ref="B2592">INDEX(HotelList,MOD(ROW()-2,10)+1)</f>
        <v>H001</v>
      </c>
      <c r="C2592">
        <f>_xlfn.XLOOKUP(B2592,Dim_Hotel!$A$2:$A$11,Dim_Hotel!$F$2:$F$11)</f>
        <v>888</v>
      </c>
      <c r="D2592">
        <f t="shared" si="321"/>
        <v>488</v>
      </c>
      <c r="E2592">
        <f t="shared" si="322"/>
        <v>0.5495495495495496</v>
      </c>
      <c r="F2592">
        <f t="shared" si="323"/>
        <v>260</v>
      </c>
      <c r="G2592">
        <f t="shared" si="324"/>
        <v>142.88288288288288</v>
      </c>
      <c r="H2592" t="str">
        <f>_xlfn.XLOOKUP(A2592,Fact_Events!$D$2:$D$20,Fact_Events!$A$2:$A$20, "")</f>
        <v/>
      </c>
      <c r="I2592">
        <f t="shared" si="325"/>
        <v>0</v>
      </c>
      <c r="J2592" t="str">
        <f>_xlfn.XLOOKUP(H2592, Fact_Events!$A$2:$A$20, Fact_Events!$F$2:$F$20, "")</f>
        <v/>
      </c>
      <c r="K2592" t="str">
        <f t="shared" si="326"/>
        <v>Low</v>
      </c>
      <c r="L2592">
        <f t="shared" si="327"/>
        <v>0.55000000000000004</v>
      </c>
      <c r="M2592">
        <f>_xlfn.XLOOKUP(B2592, Dim_Hotel!$A$2:$A$11, Dim_Hotel!$I$2:$I$11)
 + (IF(J2592="",0,J2592)
    * _xlfn.XLOOKUP(B2592, Dim_Hotel!$A$2:$A$11, Dim_Hotel!$J$2:$J$11))</f>
        <v>260</v>
      </c>
    </row>
    <row r="2593" spans="1:13" x14ac:dyDescent="0.25">
      <c r="A2593" s="1">
        <f t="shared" si="320"/>
        <v>46282</v>
      </c>
      <c r="B2593" t="str" cm="1">
        <f t="array" ref="B2593">INDEX(HotelList,MOD(ROW()-2,10)+1)</f>
        <v>H002</v>
      </c>
      <c r="C2593">
        <f>_xlfn.XLOOKUP(B2593,Dim_Hotel!$A$2:$A$11,Dim_Hotel!$F$2:$F$11)</f>
        <v>147</v>
      </c>
      <c r="D2593">
        <f t="shared" si="321"/>
        <v>81</v>
      </c>
      <c r="E2593">
        <f t="shared" si="322"/>
        <v>0.55102040816326525</v>
      </c>
      <c r="F2593">
        <f t="shared" si="323"/>
        <v>175</v>
      </c>
      <c r="G2593">
        <f t="shared" si="324"/>
        <v>96.428571428571416</v>
      </c>
      <c r="H2593" t="str">
        <f>_xlfn.XLOOKUP(A2593,Fact_Events!$D$2:$D$20,Fact_Events!$A$2:$A$20, "")</f>
        <v/>
      </c>
      <c r="I2593">
        <f t="shared" si="325"/>
        <v>0</v>
      </c>
      <c r="J2593" t="str">
        <f>_xlfn.XLOOKUP(H2593, Fact_Events!$A$2:$A$20, Fact_Events!$F$2:$F$20, "")</f>
        <v/>
      </c>
      <c r="K2593" t="str">
        <f t="shared" si="326"/>
        <v>Low</v>
      </c>
      <c r="L2593">
        <f t="shared" si="327"/>
        <v>0.55000000000000004</v>
      </c>
      <c r="M2593">
        <f>_xlfn.XLOOKUP(B2593, Dim_Hotel!$A$2:$A$11, Dim_Hotel!$I$2:$I$11)
 + (IF(J2593="",0,J2593)
    * _xlfn.XLOOKUP(B2593, Dim_Hotel!$A$2:$A$11, Dim_Hotel!$J$2:$J$11))</f>
        <v>175</v>
      </c>
    </row>
    <row r="2594" spans="1:13" x14ac:dyDescent="0.25">
      <c r="A2594" s="1">
        <f t="shared" si="320"/>
        <v>46282</v>
      </c>
      <c r="B2594" t="str" cm="1">
        <f t="array" ref="B2594">INDEX(HotelList,MOD(ROW()-2,10)+1)</f>
        <v>H003</v>
      </c>
      <c r="C2594">
        <f>_xlfn.XLOOKUP(B2594,Dim_Hotel!$A$2:$A$11,Dim_Hotel!$F$2:$F$11)</f>
        <v>121</v>
      </c>
      <c r="D2594">
        <f t="shared" si="321"/>
        <v>67</v>
      </c>
      <c r="E2594">
        <f t="shared" si="322"/>
        <v>0.55371900826446285</v>
      </c>
      <c r="F2594">
        <f t="shared" si="323"/>
        <v>145</v>
      </c>
      <c r="G2594">
        <f t="shared" si="324"/>
        <v>80.289256198347118</v>
      </c>
      <c r="H2594" t="str">
        <f>_xlfn.XLOOKUP(A2594,Fact_Events!$D$2:$D$20,Fact_Events!$A$2:$A$20, "")</f>
        <v/>
      </c>
      <c r="I2594">
        <f t="shared" si="325"/>
        <v>0</v>
      </c>
      <c r="J2594" t="str">
        <f>_xlfn.XLOOKUP(H2594, Fact_Events!$A$2:$A$20, Fact_Events!$F$2:$F$20, "")</f>
        <v/>
      </c>
      <c r="K2594" t="str">
        <f t="shared" si="326"/>
        <v>Low</v>
      </c>
      <c r="L2594">
        <f t="shared" si="327"/>
        <v>0.55000000000000004</v>
      </c>
      <c r="M2594">
        <f>_xlfn.XLOOKUP(B2594, Dim_Hotel!$A$2:$A$11, Dim_Hotel!$I$2:$I$11)
 + (IF(J2594="",0,J2594)
    * _xlfn.XLOOKUP(B2594, Dim_Hotel!$A$2:$A$11, Dim_Hotel!$J$2:$J$11))</f>
        <v>145</v>
      </c>
    </row>
    <row r="2595" spans="1:13" x14ac:dyDescent="0.25">
      <c r="A2595" s="1">
        <f t="shared" si="320"/>
        <v>46282</v>
      </c>
      <c r="B2595" t="str" cm="1">
        <f t="array" ref="B2595">INDEX(HotelList,MOD(ROW()-2,10)+1)</f>
        <v>H004</v>
      </c>
      <c r="C2595">
        <f>_xlfn.XLOOKUP(B2595,Dim_Hotel!$A$2:$A$11,Dim_Hotel!$F$2:$F$11)</f>
        <v>108</v>
      </c>
      <c r="D2595">
        <f t="shared" si="321"/>
        <v>59</v>
      </c>
      <c r="E2595">
        <f t="shared" si="322"/>
        <v>0.54629629629629628</v>
      </c>
      <c r="F2595">
        <f t="shared" si="323"/>
        <v>135</v>
      </c>
      <c r="G2595">
        <f t="shared" si="324"/>
        <v>73.75</v>
      </c>
      <c r="H2595" t="str">
        <f>_xlfn.XLOOKUP(A2595,Fact_Events!$D$2:$D$20,Fact_Events!$A$2:$A$20, "")</f>
        <v/>
      </c>
      <c r="I2595">
        <f t="shared" si="325"/>
        <v>0</v>
      </c>
      <c r="J2595" t="str">
        <f>_xlfn.XLOOKUP(H2595, Fact_Events!$A$2:$A$20, Fact_Events!$F$2:$F$20, "")</f>
        <v/>
      </c>
      <c r="K2595" t="str">
        <f t="shared" si="326"/>
        <v>Low</v>
      </c>
      <c r="L2595">
        <f t="shared" si="327"/>
        <v>0.55000000000000004</v>
      </c>
      <c r="M2595">
        <f>_xlfn.XLOOKUP(B2595, Dim_Hotel!$A$2:$A$11, Dim_Hotel!$I$2:$I$11)
 + (IF(J2595="",0,J2595)
    * _xlfn.XLOOKUP(B2595, Dim_Hotel!$A$2:$A$11, Dim_Hotel!$J$2:$J$11))</f>
        <v>135</v>
      </c>
    </row>
    <row r="2596" spans="1:13" x14ac:dyDescent="0.25">
      <c r="A2596" s="1">
        <f t="shared" si="320"/>
        <v>46282</v>
      </c>
      <c r="B2596" t="str" cm="1">
        <f t="array" ref="B2596">INDEX(HotelList,MOD(ROW()-2,10)+1)</f>
        <v>H005</v>
      </c>
      <c r="C2596">
        <f>_xlfn.XLOOKUP(B2596,Dim_Hotel!$A$2:$A$11,Dim_Hotel!$F$2:$F$11)</f>
        <v>66</v>
      </c>
      <c r="D2596">
        <f t="shared" si="321"/>
        <v>36</v>
      </c>
      <c r="E2596">
        <f t="shared" si="322"/>
        <v>0.54545454545454541</v>
      </c>
      <c r="F2596">
        <f t="shared" si="323"/>
        <v>82</v>
      </c>
      <c r="G2596">
        <f t="shared" si="324"/>
        <v>44.727272727272727</v>
      </c>
      <c r="H2596" t="str">
        <f>_xlfn.XLOOKUP(A2596,Fact_Events!$D$2:$D$20,Fact_Events!$A$2:$A$20, "")</f>
        <v/>
      </c>
      <c r="I2596">
        <f t="shared" si="325"/>
        <v>0</v>
      </c>
      <c r="J2596" t="str">
        <f>_xlfn.XLOOKUP(H2596, Fact_Events!$A$2:$A$20, Fact_Events!$F$2:$F$20, "")</f>
        <v/>
      </c>
      <c r="K2596" t="str">
        <f t="shared" si="326"/>
        <v>Low</v>
      </c>
      <c r="L2596">
        <f t="shared" si="327"/>
        <v>0.55000000000000004</v>
      </c>
      <c r="M2596">
        <f>_xlfn.XLOOKUP(B2596, Dim_Hotel!$A$2:$A$11, Dim_Hotel!$I$2:$I$11)
 + (IF(J2596="",0,J2596)
    * _xlfn.XLOOKUP(B2596, Dim_Hotel!$A$2:$A$11, Dim_Hotel!$J$2:$J$11))</f>
        <v>82</v>
      </c>
    </row>
    <row r="2597" spans="1:13" x14ac:dyDescent="0.25">
      <c r="A2597" s="1">
        <f t="shared" si="320"/>
        <v>46282</v>
      </c>
      <c r="B2597" t="str" cm="1">
        <f t="array" ref="B2597">INDEX(HotelList,MOD(ROW()-2,10)+1)</f>
        <v>H006</v>
      </c>
      <c r="C2597">
        <f>_xlfn.XLOOKUP(B2597,Dim_Hotel!$A$2:$A$11,Dim_Hotel!$F$2:$F$11)</f>
        <v>311</v>
      </c>
      <c r="D2597">
        <f t="shared" si="321"/>
        <v>171</v>
      </c>
      <c r="E2597">
        <f t="shared" si="322"/>
        <v>0.54983922829581988</v>
      </c>
      <c r="F2597">
        <f t="shared" si="323"/>
        <v>190</v>
      </c>
      <c r="G2597">
        <f t="shared" si="324"/>
        <v>104.46945337620578</v>
      </c>
      <c r="H2597" t="str">
        <f>_xlfn.XLOOKUP(A2597,Fact_Events!$D$2:$D$20,Fact_Events!$A$2:$A$20, "")</f>
        <v/>
      </c>
      <c r="I2597">
        <f t="shared" si="325"/>
        <v>0</v>
      </c>
      <c r="J2597" t="str">
        <f>_xlfn.XLOOKUP(H2597, Fact_Events!$A$2:$A$20, Fact_Events!$F$2:$F$20, "")</f>
        <v/>
      </c>
      <c r="K2597" t="str">
        <f t="shared" si="326"/>
        <v>Low</v>
      </c>
      <c r="L2597">
        <f t="shared" si="327"/>
        <v>0.55000000000000004</v>
      </c>
      <c r="M2597">
        <f>_xlfn.XLOOKUP(B2597, Dim_Hotel!$A$2:$A$11, Dim_Hotel!$I$2:$I$11)
 + (IF(J2597="",0,J2597)
    * _xlfn.XLOOKUP(B2597, Dim_Hotel!$A$2:$A$11, Dim_Hotel!$J$2:$J$11))</f>
        <v>190</v>
      </c>
    </row>
    <row r="2598" spans="1:13" x14ac:dyDescent="0.25">
      <c r="A2598" s="1">
        <f t="shared" si="320"/>
        <v>46282</v>
      </c>
      <c r="B2598" t="str" cm="1">
        <f t="array" ref="B2598">INDEX(HotelList,MOD(ROW()-2,10)+1)</f>
        <v>H007</v>
      </c>
      <c r="C2598">
        <f>_xlfn.XLOOKUP(B2598,Dim_Hotel!$A$2:$A$11,Dim_Hotel!$F$2:$F$11)</f>
        <v>132</v>
      </c>
      <c r="D2598">
        <f t="shared" si="321"/>
        <v>73</v>
      </c>
      <c r="E2598">
        <f t="shared" si="322"/>
        <v>0.55303030303030298</v>
      </c>
      <c r="F2598">
        <f t="shared" si="323"/>
        <v>165</v>
      </c>
      <c r="G2598">
        <f t="shared" si="324"/>
        <v>91.249999999999986</v>
      </c>
      <c r="H2598" t="str">
        <f>_xlfn.XLOOKUP(A2598,Fact_Events!$D$2:$D$20,Fact_Events!$A$2:$A$20, "")</f>
        <v/>
      </c>
      <c r="I2598">
        <f t="shared" si="325"/>
        <v>0</v>
      </c>
      <c r="J2598" t="str">
        <f>_xlfn.XLOOKUP(H2598, Fact_Events!$A$2:$A$20, Fact_Events!$F$2:$F$20, "")</f>
        <v/>
      </c>
      <c r="K2598" t="str">
        <f t="shared" si="326"/>
        <v>Low</v>
      </c>
      <c r="L2598">
        <f t="shared" si="327"/>
        <v>0.55000000000000004</v>
      </c>
      <c r="M2598">
        <f>_xlfn.XLOOKUP(B2598, Dim_Hotel!$A$2:$A$11, Dim_Hotel!$I$2:$I$11)
 + (IF(J2598="",0,J2598)
    * _xlfn.XLOOKUP(B2598, Dim_Hotel!$A$2:$A$11, Dim_Hotel!$J$2:$J$11))</f>
        <v>165</v>
      </c>
    </row>
    <row r="2599" spans="1:13" x14ac:dyDescent="0.25">
      <c r="A2599" s="1">
        <f t="shared" si="320"/>
        <v>46282</v>
      </c>
      <c r="B2599" t="str" cm="1">
        <f t="array" ref="B2599">INDEX(HotelList,MOD(ROW()-2,10)+1)</f>
        <v>H008</v>
      </c>
      <c r="C2599">
        <f>_xlfn.XLOOKUP(B2599,Dim_Hotel!$A$2:$A$11,Dim_Hotel!$F$2:$F$11)</f>
        <v>103</v>
      </c>
      <c r="D2599">
        <f t="shared" si="321"/>
        <v>57</v>
      </c>
      <c r="E2599">
        <f t="shared" si="322"/>
        <v>0.55339805825242716</v>
      </c>
      <c r="F2599">
        <f t="shared" si="323"/>
        <v>140</v>
      </c>
      <c r="G2599">
        <f t="shared" si="324"/>
        <v>77.475728155339809</v>
      </c>
      <c r="H2599" t="str">
        <f>_xlfn.XLOOKUP(A2599,Fact_Events!$D$2:$D$20,Fact_Events!$A$2:$A$20, "")</f>
        <v/>
      </c>
      <c r="I2599">
        <f t="shared" si="325"/>
        <v>0</v>
      </c>
      <c r="J2599" t="str">
        <f>_xlfn.XLOOKUP(H2599, Fact_Events!$A$2:$A$20, Fact_Events!$F$2:$F$20, "")</f>
        <v/>
      </c>
      <c r="K2599" t="str">
        <f t="shared" si="326"/>
        <v>Low</v>
      </c>
      <c r="L2599">
        <f t="shared" si="327"/>
        <v>0.55000000000000004</v>
      </c>
      <c r="M2599">
        <f>_xlfn.XLOOKUP(B2599, Dim_Hotel!$A$2:$A$11, Dim_Hotel!$I$2:$I$11)
 + (IF(J2599="",0,J2599)
    * _xlfn.XLOOKUP(B2599, Dim_Hotel!$A$2:$A$11, Dim_Hotel!$J$2:$J$11))</f>
        <v>140</v>
      </c>
    </row>
    <row r="2600" spans="1:13" x14ac:dyDescent="0.25">
      <c r="A2600" s="1">
        <f t="shared" si="320"/>
        <v>46282</v>
      </c>
      <c r="B2600" t="str" cm="1">
        <f t="array" ref="B2600">INDEX(HotelList,MOD(ROW()-2,10)+1)</f>
        <v>H009</v>
      </c>
      <c r="C2600">
        <f>_xlfn.XLOOKUP(B2600,Dim_Hotel!$A$2:$A$11,Dim_Hotel!$F$2:$F$11)</f>
        <v>114</v>
      </c>
      <c r="D2600">
        <f t="shared" si="321"/>
        <v>63</v>
      </c>
      <c r="E2600">
        <f t="shared" si="322"/>
        <v>0.55263157894736847</v>
      </c>
      <c r="F2600">
        <f t="shared" si="323"/>
        <v>185</v>
      </c>
      <c r="G2600">
        <f t="shared" si="324"/>
        <v>102.23684210526316</v>
      </c>
      <c r="H2600" t="str">
        <f>_xlfn.XLOOKUP(A2600,Fact_Events!$D$2:$D$20,Fact_Events!$A$2:$A$20, "")</f>
        <v/>
      </c>
      <c r="I2600">
        <f t="shared" si="325"/>
        <v>0</v>
      </c>
      <c r="J2600" t="str">
        <f>_xlfn.XLOOKUP(H2600, Fact_Events!$A$2:$A$20, Fact_Events!$F$2:$F$20, "")</f>
        <v/>
      </c>
      <c r="K2600" t="str">
        <f t="shared" si="326"/>
        <v>Low</v>
      </c>
      <c r="L2600">
        <f t="shared" si="327"/>
        <v>0.55000000000000004</v>
      </c>
      <c r="M2600">
        <f>_xlfn.XLOOKUP(B2600, Dim_Hotel!$A$2:$A$11, Dim_Hotel!$I$2:$I$11)
 + (IF(J2600="",0,J2600)
    * _xlfn.XLOOKUP(B2600, Dim_Hotel!$A$2:$A$11, Dim_Hotel!$J$2:$J$11))</f>
        <v>185</v>
      </c>
    </row>
    <row r="2601" spans="1:13" x14ac:dyDescent="0.25">
      <c r="A2601" s="1">
        <f t="shared" si="320"/>
        <v>46282</v>
      </c>
      <c r="B2601" t="str" cm="1">
        <f t="array" ref="B2601">INDEX(HotelList,MOD(ROW()-2,10)+1)</f>
        <v>H010</v>
      </c>
      <c r="C2601">
        <f>_xlfn.XLOOKUP(B2601,Dim_Hotel!$A$2:$A$11,Dim_Hotel!$F$2:$F$11)</f>
        <v>89</v>
      </c>
      <c r="D2601">
        <f t="shared" si="321"/>
        <v>49</v>
      </c>
      <c r="E2601">
        <f t="shared" si="322"/>
        <v>0.550561797752809</v>
      </c>
      <c r="F2601">
        <f t="shared" si="323"/>
        <v>150</v>
      </c>
      <c r="G2601">
        <f t="shared" si="324"/>
        <v>82.584269662921344</v>
      </c>
      <c r="H2601" t="str">
        <f>_xlfn.XLOOKUP(A2601,Fact_Events!$D$2:$D$20,Fact_Events!$A$2:$A$20, "")</f>
        <v/>
      </c>
      <c r="I2601">
        <f t="shared" si="325"/>
        <v>0</v>
      </c>
      <c r="J2601" t="str">
        <f>_xlfn.XLOOKUP(H2601, Fact_Events!$A$2:$A$20, Fact_Events!$F$2:$F$20, "")</f>
        <v/>
      </c>
      <c r="K2601" t="str">
        <f t="shared" si="326"/>
        <v>Low</v>
      </c>
      <c r="L2601">
        <f t="shared" si="327"/>
        <v>0.55000000000000004</v>
      </c>
      <c r="M2601">
        <f>_xlfn.XLOOKUP(B2601, Dim_Hotel!$A$2:$A$11, Dim_Hotel!$I$2:$I$11)
 + (IF(J2601="",0,J2601)
    * _xlfn.XLOOKUP(B2601, Dim_Hotel!$A$2:$A$11, Dim_Hotel!$J$2:$J$11))</f>
        <v>150</v>
      </c>
    </row>
    <row r="2602" spans="1:13" x14ac:dyDescent="0.25">
      <c r="A2602" s="1">
        <f t="shared" si="320"/>
        <v>46283</v>
      </c>
      <c r="B2602" t="str" cm="1">
        <f t="array" ref="B2602">INDEX(HotelList,MOD(ROW()-2,10)+1)</f>
        <v>H001</v>
      </c>
      <c r="C2602">
        <f>_xlfn.XLOOKUP(B2602,Dim_Hotel!$A$2:$A$11,Dim_Hotel!$F$2:$F$11)</f>
        <v>888</v>
      </c>
      <c r="D2602">
        <f t="shared" si="321"/>
        <v>488</v>
      </c>
      <c r="E2602">
        <f t="shared" si="322"/>
        <v>0.5495495495495496</v>
      </c>
      <c r="F2602">
        <f t="shared" si="323"/>
        <v>260</v>
      </c>
      <c r="G2602">
        <f t="shared" si="324"/>
        <v>142.88288288288288</v>
      </c>
      <c r="H2602" t="str">
        <f>_xlfn.XLOOKUP(A2602,Fact_Events!$D$2:$D$20,Fact_Events!$A$2:$A$20, "")</f>
        <v/>
      </c>
      <c r="I2602">
        <f t="shared" si="325"/>
        <v>0</v>
      </c>
      <c r="J2602" t="str">
        <f>_xlfn.XLOOKUP(H2602, Fact_Events!$A$2:$A$20, Fact_Events!$F$2:$F$20, "")</f>
        <v/>
      </c>
      <c r="K2602" t="str">
        <f t="shared" si="326"/>
        <v>Low</v>
      </c>
      <c r="L2602">
        <f t="shared" si="327"/>
        <v>0.55000000000000004</v>
      </c>
      <c r="M2602">
        <f>_xlfn.XLOOKUP(B2602, Dim_Hotel!$A$2:$A$11, Dim_Hotel!$I$2:$I$11)
 + (IF(J2602="",0,J2602)
    * _xlfn.XLOOKUP(B2602, Dim_Hotel!$A$2:$A$11, Dim_Hotel!$J$2:$J$11))</f>
        <v>260</v>
      </c>
    </row>
    <row r="2603" spans="1:13" x14ac:dyDescent="0.25">
      <c r="A2603" s="1">
        <f t="shared" si="320"/>
        <v>46283</v>
      </c>
      <c r="B2603" t="str" cm="1">
        <f t="array" ref="B2603">INDEX(HotelList,MOD(ROW()-2,10)+1)</f>
        <v>H002</v>
      </c>
      <c r="C2603">
        <f>_xlfn.XLOOKUP(B2603,Dim_Hotel!$A$2:$A$11,Dim_Hotel!$F$2:$F$11)</f>
        <v>147</v>
      </c>
      <c r="D2603">
        <f t="shared" si="321"/>
        <v>81</v>
      </c>
      <c r="E2603">
        <f t="shared" si="322"/>
        <v>0.55102040816326525</v>
      </c>
      <c r="F2603">
        <f t="shared" si="323"/>
        <v>175</v>
      </c>
      <c r="G2603">
        <f t="shared" si="324"/>
        <v>96.428571428571416</v>
      </c>
      <c r="H2603" t="str">
        <f>_xlfn.XLOOKUP(A2603,Fact_Events!$D$2:$D$20,Fact_Events!$A$2:$A$20, "")</f>
        <v/>
      </c>
      <c r="I2603">
        <f t="shared" si="325"/>
        <v>0</v>
      </c>
      <c r="J2603" t="str">
        <f>_xlfn.XLOOKUP(H2603, Fact_Events!$A$2:$A$20, Fact_Events!$F$2:$F$20, "")</f>
        <v/>
      </c>
      <c r="K2603" t="str">
        <f t="shared" si="326"/>
        <v>Low</v>
      </c>
      <c r="L2603">
        <f t="shared" si="327"/>
        <v>0.55000000000000004</v>
      </c>
      <c r="M2603">
        <f>_xlfn.XLOOKUP(B2603, Dim_Hotel!$A$2:$A$11, Dim_Hotel!$I$2:$I$11)
 + (IF(J2603="",0,J2603)
    * _xlfn.XLOOKUP(B2603, Dim_Hotel!$A$2:$A$11, Dim_Hotel!$J$2:$J$11))</f>
        <v>175</v>
      </c>
    </row>
    <row r="2604" spans="1:13" x14ac:dyDescent="0.25">
      <c r="A2604" s="1">
        <f t="shared" si="320"/>
        <v>46283</v>
      </c>
      <c r="B2604" t="str" cm="1">
        <f t="array" ref="B2604">INDEX(HotelList,MOD(ROW()-2,10)+1)</f>
        <v>H003</v>
      </c>
      <c r="C2604">
        <f>_xlfn.XLOOKUP(B2604,Dim_Hotel!$A$2:$A$11,Dim_Hotel!$F$2:$F$11)</f>
        <v>121</v>
      </c>
      <c r="D2604">
        <f t="shared" si="321"/>
        <v>67</v>
      </c>
      <c r="E2604">
        <f t="shared" si="322"/>
        <v>0.55371900826446285</v>
      </c>
      <c r="F2604">
        <f t="shared" si="323"/>
        <v>145</v>
      </c>
      <c r="G2604">
        <f t="shared" si="324"/>
        <v>80.289256198347118</v>
      </c>
      <c r="H2604" t="str">
        <f>_xlfn.XLOOKUP(A2604,Fact_Events!$D$2:$D$20,Fact_Events!$A$2:$A$20, "")</f>
        <v/>
      </c>
      <c r="I2604">
        <f t="shared" si="325"/>
        <v>0</v>
      </c>
      <c r="J2604" t="str">
        <f>_xlfn.XLOOKUP(H2604, Fact_Events!$A$2:$A$20, Fact_Events!$F$2:$F$20, "")</f>
        <v/>
      </c>
      <c r="K2604" t="str">
        <f t="shared" si="326"/>
        <v>Low</v>
      </c>
      <c r="L2604">
        <f t="shared" si="327"/>
        <v>0.55000000000000004</v>
      </c>
      <c r="M2604">
        <f>_xlfn.XLOOKUP(B2604, Dim_Hotel!$A$2:$A$11, Dim_Hotel!$I$2:$I$11)
 + (IF(J2604="",0,J2604)
    * _xlfn.XLOOKUP(B2604, Dim_Hotel!$A$2:$A$11, Dim_Hotel!$J$2:$J$11))</f>
        <v>145</v>
      </c>
    </row>
    <row r="2605" spans="1:13" x14ac:dyDescent="0.25">
      <c r="A2605" s="1">
        <f t="shared" si="320"/>
        <v>46283</v>
      </c>
      <c r="B2605" t="str" cm="1">
        <f t="array" ref="B2605">INDEX(HotelList,MOD(ROW()-2,10)+1)</f>
        <v>H004</v>
      </c>
      <c r="C2605">
        <f>_xlfn.XLOOKUP(B2605,Dim_Hotel!$A$2:$A$11,Dim_Hotel!$F$2:$F$11)</f>
        <v>108</v>
      </c>
      <c r="D2605">
        <f t="shared" si="321"/>
        <v>59</v>
      </c>
      <c r="E2605">
        <f t="shared" si="322"/>
        <v>0.54629629629629628</v>
      </c>
      <c r="F2605">
        <f t="shared" si="323"/>
        <v>135</v>
      </c>
      <c r="G2605">
        <f t="shared" si="324"/>
        <v>73.75</v>
      </c>
      <c r="H2605" t="str">
        <f>_xlfn.XLOOKUP(A2605,Fact_Events!$D$2:$D$20,Fact_Events!$A$2:$A$20, "")</f>
        <v/>
      </c>
      <c r="I2605">
        <f t="shared" si="325"/>
        <v>0</v>
      </c>
      <c r="J2605" t="str">
        <f>_xlfn.XLOOKUP(H2605, Fact_Events!$A$2:$A$20, Fact_Events!$F$2:$F$20, "")</f>
        <v/>
      </c>
      <c r="K2605" t="str">
        <f t="shared" si="326"/>
        <v>Low</v>
      </c>
      <c r="L2605">
        <f t="shared" si="327"/>
        <v>0.55000000000000004</v>
      </c>
      <c r="M2605">
        <f>_xlfn.XLOOKUP(B2605, Dim_Hotel!$A$2:$A$11, Dim_Hotel!$I$2:$I$11)
 + (IF(J2605="",0,J2605)
    * _xlfn.XLOOKUP(B2605, Dim_Hotel!$A$2:$A$11, Dim_Hotel!$J$2:$J$11))</f>
        <v>135</v>
      </c>
    </row>
    <row r="2606" spans="1:13" x14ac:dyDescent="0.25">
      <c r="A2606" s="1">
        <f t="shared" si="320"/>
        <v>46283</v>
      </c>
      <c r="B2606" t="str" cm="1">
        <f t="array" ref="B2606">INDEX(HotelList,MOD(ROW()-2,10)+1)</f>
        <v>H005</v>
      </c>
      <c r="C2606">
        <f>_xlfn.XLOOKUP(B2606,Dim_Hotel!$A$2:$A$11,Dim_Hotel!$F$2:$F$11)</f>
        <v>66</v>
      </c>
      <c r="D2606">
        <f t="shared" si="321"/>
        <v>36</v>
      </c>
      <c r="E2606">
        <f t="shared" si="322"/>
        <v>0.54545454545454541</v>
      </c>
      <c r="F2606">
        <f t="shared" si="323"/>
        <v>82</v>
      </c>
      <c r="G2606">
        <f t="shared" si="324"/>
        <v>44.727272727272727</v>
      </c>
      <c r="H2606" t="str">
        <f>_xlfn.XLOOKUP(A2606,Fact_Events!$D$2:$D$20,Fact_Events!$A$2:$A$20, "")</f>
        <v/>
      </c>
      <c r="I2606">
        <f t="shared" si="325"/>
        <v>0</v>
      </c>
      <c r="J2606" t="str">
        <f>_xlfn.XLOOKUP(H2606, Fact_Events!$A$2:$A$20, Fact_Events!$F$2:$F$20, "")</f>
        <v/>
      </c>
      <c r="K2606" t="str">
        <f t="shared" si="326"/>
        <v>Low</v>
      </c>
      <c r="L2606">
        <f t="shared" si="327"/>
        <v>0.55000000000000004</v>
      </c>
      <c r="M2606">
        <f>_xlfn.XLOOKUP(B2606, Dim_Hotel!$A$2:$A$11, Dim_Hotel!$I$2:$I$11)
 + (IF(J2606="",0,J2606)
    * _xlfn.XLOOKUP(B2606, Dim_Hotel!$A$2:$A$11, Dim_Hotel!$J$2:$J$11))</f>
        <v>82</v>
      </c>
    </row>
    <row r="2607" spans="1:13" x14ac:dyDescent="0.25">
      <c r="A2607" s="1">
        <f t="shared" si="320"/>
        <v>46283</v>
      </c>
      <c r="B2607" t="str" cm="1">
        <f t="array" ref="B2607">INDEX(HotelList,MOD(ROW()-2,10)+1)</f>
        <v>H006</v>
      </c>
      <c r="C2607">
        <f>_xlfn.XLOOKUP(B2607,Dim_Hotel!$A$2:$A$11,Dim_Hotel!$F$2:$F$11)</f>
        <v>311</v>
      </c>
      <c r="D2607">
        <f t="shared" si="321"/>
        <v>171</v>
      </c>
      <c r="E2607">
        <f t="shared" si="322"/>
        <v>0.54983922829581988</v>
      </c>
      <c r="F2607">
        <f t="shared" si="323"/>
        <v>190</v>
      </c>
      <c r="G2607">
        <f t="shared" si="324"/>
        <v>104.46945337620578</v>
      </c>
      <c r="H2607" t="str">
        <f>_xlfn.XLOOKUP(A2607,Fact_Events!$D$2:$D$20,Fact_Events!$A$2:$A$20, "")</f>
        <v/>
      </c>
      <c r="I2607">
        <f t="shared" si="325"/>
        <v>0</v>
      </c>
      <c r="J2607" t="str">
        <f>_xlfn.XLOOKUP(H2607, Fact_Events!$A$2:$A$20, Fact_Events!$F$2:$F$20, "")</f>
        <v/>
      </c>
      <c r="K2607" t="str">
        <f t="shared" si="326"/>
        <v>Low</v>
      </c>
      <c r="L2607">
        <f t="shared" si="327"/>
        <v>0.55000000000000004</v>
      </c>
      <c r="M2607">
        <f>_xlfn.XLOOKUP(B2607, Dim_Hotel!$A$2:$A$11, Dim_Hotel!$I$2:$I$11)
 + (IF(J2607="",0,J2607)
    * _xlfn.XLOOKUP(B2607, Dim_Hotel!$A$2:$A$11, Dim_Hotel!$J$2:$J$11))</f>
        <v>190</v>
      </c>
    </row>
    <row r="2608" spans="1:13" x14ac:dyDescent="0.25">
      <c r="A2608" s="1">
        <f t="shared" si="320"/>
        <v>46283</v>
      </c>
      <c r="B2608" t="str" cm="1">
        <f t="array" ref="B2608">INDEX(HotelList,MOD(ROW()-2,10)+1)</f>
        <v>H007</v>
      </c>
      <c r="C2608">
        <f>_xlfn.XLOOKUP(B2608,Dim_Hotel!$A$2:$A$11,Dim_Hotel!$F$2:$F$11)</f>
        <v>132</v>
      </c>
      <c r="D2608">
        <f t="shared" si="321"/>
        <v>73</v>
      </c>
      <c r="E2608">
        <f t="shared" si="322"/>
        <v>0.55303030303030298</v>
      </c>
      <c r="F2608">
        <f t="shared" si="323"/>
        <v>165</v>
      </c>
      <c r="G2608">
        <f t="shared" si="324"/>
        <v>91.249999999999986</v>
      </c>
      <c r="H2608" t="str">
        <f>_xlfn.XLOOKUP(A2608,Fact_Events!$D$2:$D$20,Fact_Events!$A$2:$A$20, "")</f>
        <v/>
      </c>
      <c r="I2608">
        <f t="shared" si="325"/>
        <v>0</v>
      </c>
      <c r="J2608" t="str">
        <f>_xlfn.XLOOKUP(H2608, Fact_Events!$A$2:$A$20, Fact_Events!$F$2:$F$20, "")</f>
        <v/>
      </c>
      <c r="K2608" t="str">
        <f t="shared" si="326"/>
        <v>Low</v>
      </c>
      <c r="L2608">
        <f t="shared" si="327"/>
        <v>0.55000000000000004</v>
      </c>
      <c r="M2608">
        <f>_xlfn.XLOOKUP(B2608, Dim_Hotel!$A$2:$A$11, Dim_Hotel!$I$2:$I$11)
 + (IF(J2608="",0,J2608)
    * _xlfn.XLOOKUP(B2608, Dim_Hotel!$A$2:$A$11, Dim_Hotel!$J$2:$J$11))</f>
        <v>165</v>
      </c>
    </row>
    <row r="2609" spans="1:13" x14ac:dyDescent="0.25">
      <c r="A2609" s="1">
        <f t="shared" si="320"/>
        <v>46283</v>
      </c>
      <c r="B2609" t="str" cm="1">
        <f t="array" ref="B2609">INDEX(HotelList,MOD(ROW()-2,10)+1)</f>
        <v>H008</v>
      </c>
      <c r="C2609">
        <f>_xlfn.XLOOKUP(B2609,Dim_Hotel!$A$2:$A$11,Dim_Hotel!$F$2:$F$11)</f>
        <v>103</v>
      </c>
      <c r="D2609">
        <f t="shared" si="321"/>
        <v>57</v>
      </c>
      <c r="E2609">
        <f t="shared" si="322"/>
        <v>0.55339805825242716</v>
      </c>
      <c r="F2609">
        <f t="shared" si="323"/>
        <v>140</v>
      </c>
      <c r="G2609">
        <f t="shared" si="324"/>
        <v>77.475728155339809</v>
      </c>
      <c r="H2609" t="str">
        <f>_xlfn.XLOOKUP(A2609,Fact_Events!$D$2:$D$20,Fact_Events!$A$2:$A$20, "")</f>
        <v/>
      </c>
      <c r="I2609">
        <f t="shared" si="325"/>
        <v>0</v>
      </c>
      <c r="J2609" t="str">
        <f>_xlfn.XLOOKUP(H2609, Fact_Events!$A$2:$A$20, Fact_Events!$F$2:$F$20, "")</f>
        <v/>
      </c>
      <c r="K2609" t="str">
        <f t="shared" si="326"/>
        <v>Low</v>
      </c>
      <c r="L2609">
        <f t="shared" si="327"/>
        <v>0.55000000000000004</v>
      </c>
      <c r="M2609">
        <f>_xlfn.XLOOKUP(B2609, Dim_Hotel!$A$2:$A$11, Dim_Hotel!$I$2:$I$11)
 + (IF(J2609="",0,J2609)
    * _xlfn.XLOOKUP(B2609, Dim_Hotel!$A$2:$A$11, Dim_Hotel!$J$2:$J$11))</f>
        <v>140</v>
      </c>
    </row>
    <row r="2610" spans="1:13" x14ac:dyDescent="0.25">
      <c r="A2610" s="1">
        <f t="shared" si="320"/>
        <v>46283</v>
      </c>
      <c r="B2610" t="str" cm="1">
        <f t="array" ref="B2610">INDEX(HotelList,MOD(ROW()-2,10)+1)</f>
        <v>H009</v>
      </c>
      <c r="C2610">
        <f>_xlfn.XLOOKUP(B2610,Dim_Hotel!$A$2:$A$11,Dim_Hotel!$F$2:$F$11)</f>
        <v>114</v>
      </c>
      <c r="D2610">
        <f t="shared" si="321"/>
        <v>63</v>
      </c>
      <c r="E2610">
        <f t="shared" si="322"/>
        <v>0.55263157894736847</v>
      </c>
      <c r="F2610">
        <f t="shared" si="323"/>
        <v>185</v>
      </c>
      <c r="G2610">
        <f t="shared" si="324"/>
        <v>102.23684210526316</v>
      </c>
      <c r="H2610" t="str">
        <f>_xlfn.XLOOKUP(A2610,Fact_Events!$D$2:$D$20,Fact_Events!$A$2:$A$20, "")</f>
        <v/>
      </c>
      <c r="I2610">
        <f t="shared" si="325"/>
        <v>0</v>
      </c>
      <c r="J2610" t="str">
        <f>_xlfn.XLOOKUP(H2610, Fact_Events!$A$2:$A$20, Fact_Events!$F$2:$F$20, "")</f>
        <v/>
      </c>
      <c r="K2610" t="str">
        <f t="shared" si="326"/>
        <v>Low</v>
      </c>
      <c r="L2610">
        <f t="shared" si="327"/>
        <v>0.55000000000000004</v>
      </c>
      <c r="M2610">
        <f>_xlfn.XLOOKUP(B2610, Dim_Hotel!$A$2:$A$11, Dim_Hotel!$I$2:$I$11)
 + (IF(J2610="",0,J2610)
    * _xlfn.XLOOKUP(B2610, Dim_Hotel!$A$2:$A$11, Dim_Hotel!$J$2:$J$11))</f>
        <v>185</v>
      </c>
    </row>
    <row r="2611" spans="1:13" x14ac:dyDescent="0.25">
      <c r="A2611" s="1">
        <f t="shared" si="320"/>
        <v>46283</v>
      </c>
      <c r="B2611" t="str" cm="1">
        <f t="array" ref="B2611">INDEX(HotelList,MOD(ROW()-2,10)+1)</f>
        <v>H010</v>
      </c>
      <c r="C2611">
        <f>_xlfn.XLOOKUP(B2611,Dim_Hotel!$A$2:$A$11,Dim_Hotel!$F$2:$F$11)</f>
        <v>89</v>
      </c>
      <c r="D2611">
        <f t="shared" si="321"/>
        <v>49</v>
      </c>
      <c r="E2611">
        <f t="shared" si="322"/>
        <v>0.550561797752809</v>
      </c>
      <c r="F2611">
        <f t="shared" si="323"/>
        <v>150</v>
      </c>
      <c r="G2611">
        <f t="shared" si="324"/>
        <v>82.584269662921344</v>
      </c>
      <c r="H2611" t="str">
        <f>_xlfn.XLOOKUP(A2611,Fact_Events!$D$2:$D$20,Fact_Events!$A$2:$A$20, "")</f>
        <v/>
      </c>
      <c r="I2611">
        <f t="shared" si="325"/>
        <v>0</v>
      </c>
      <c r="J2611" t="str">
        <f>_xlfn.XLOOKUP(H2611, Fact_Events!$A$2:$A$20, Fact_Events!$F$2:$F$20, "")</f>
        <v/>
      </c>
      <c r="K2611" t="str">
        <f t="shared" si="326"/>
        <v>Low</v>
      </c>
      <c r="L2611">
        <f t="shared" si="327"/>
        <v>0.55000000000000004</v>
      </c>
      <c r="M2611">
        <f>_xlfn.XLOOKUP(B2611, Dim_Hotel!$A$2:$A$11, Dim_Hotel!$I$2:$I$11)
 + (IF(J2611="",0,J2611)
    * _xlfn.XLOOKUP(B2611, Dim_Hotel!$A$2:$A$11, Dim_Hotel!$J$2:$J$11))</f>
        <v>150</v>
      </c>
    </row>
    <row r="2612" spans="1:13" x14ac:dyDescent="0.25">
      <c r="A2612" s="1">
        <f t="shared" si="320"/>
        <v>46284</v>
      </c>
      <c r="B2612" t="str" cm="1">
        <f t="array" ref="B2612">INDEX(HotelList,MOD(ROW()-2,10)+1)</f>
        <v>H001</v>
      </c>
      <c r="C2612">
        <f>_xlfn.XLOOKUP(B2612,Dim_Hotel!$A$2:$A$11,Dim_Hotel!$F$2:$F$11)</f>
        <v>888</v>
      </c>
      <c r="D2612">
        <f t="shared" si="321"/>
        <v>488</v>
      </c>
      <c r="E2612">
        <f t="shared" si="322"/>
        <v>0.5495495495495496</v>
      </c>
      <c r="F2612">
        <f t="shared" si="323"/>
        <v>260</v>
      </c>
      <c r="G2612">
        <f t="shared" si="324"/>
        <v>142.88288288288288</v>
      </c>
      <c r="H2612" t="str">
        <f>_xlfn.XLOOKUP(A2612,Fact_Events!$D$2:$D$20,Fact_Events!$A$2:$A$20, "")</f>
        <v/>
      </c>
      <c r="I2612">
        <f t="shared" si="325"/>
        <v>0</v>
      </c>
      <c r="J2612" t="str">
        <f>_xlfn.XLOOKUP(H2612, Fact_Events!$A$2:$A$20, Fact_Events!$F$2:$F$20, "")</f>
        <v/>
      </c>
      <c r="K2612" t="str">
        <f t="shared" si="326"/>
        <v>Low</v>
      </c>
      <c r="L2612">
        <f t="shared" si="327"/>
        <v>0.55000000000000004</v>
      </c>
      <c r="M2612">
        <f>_xlfn.XLOOKUP(B2612, Dim_Hotel!$A$2:$A$11, Dim_Hotel!$I$2:$I$11)
 + (IF(J2612="",0,J2612)
    * _xlfn.XLOOKUP(B2612, Dim_Hotel!$A$2:$A$11, Dim_Hotel!$J$2:$J$11))</f>
        <v>260</v>
      </c>
    </row>
    <row r="2613" spans="1:13" x14ac:dyDescent="0.25">
      <c r="A2613" s="1">
        <f t="shared" si="320"/>
        <v>46284</v>
      </c>
      <c r="B2613" t="str" cm="1">
        <f t="array" ref="B2613">INDEX(HotelList,MOD(ROW()-2,10)+1)</f>
        <v>H002</v>
      </c>
      <c r="C2613">
        <f>_xlfn.XLOOKUP(B2613,Dim_Hotel!$A$2:$A$11,Dim_Hotel!$F$2:$F$11)</f>
        <v>147</v>
      </c>
      <c r="D2613">
        <f t="shared" si="321"/>
        <v>81</v>
      </c>
      <c r="E2613">
        <f t="shared" si="322"/>
        <v>0.55102040816326525</v>
      </c>
      <c r="F2613">
        <f t="shared" si="323"/>
        <v>175</v>
      </c>
      <c r="G2613">
        <f t="shared" si="324"/>
        <v>96.428571428571416</v>
      </c>
      <c r="H2613" t="str">
        <f>_xlfn.XLOOKUP(A2613,Fact_Events!$D$2:$D$20,Fact_Events!$A$2:$A$20, "")</f>
        <v/>
      </c>
      <c r="I2613">
        <f t="shared" si="325"/>
        <v>0</v>
      </c>
      <c r="J2613" t="str">
        <f>_xlfn.XLOOKUP(H2613, Fact_Events!$A$2:$A$20, Fact_Events!$F$2:$F$20, "")</f>
        <v/>
      </c>
      <c r="K2613" t="str">
        <f t="shared" si="326"/>
        <v>Low</v>
      </c>
      <c r="L2613">
        <f t="shared" si="327"/>
        <v>0.55000000000000004</v>
      </c>
      <c r="M2613">
        <f>_xlfn.XLOOKUP(B2613, Dim_Hotel!$A$2:$A$11, Dim_Hotel!$I$2:$I$11)
 + (IF(J2613="",0,J2613)
    * _xlfn.XLOOKUP(B2613, Dim_Hotel!$A$2:$A$11, Dim_Hotel!$J$2:$J$11))</f>
        <v>175</v>
      </c>
    </row>
    <row r="2614" spans="1:13" x14ac:dyDescent="0.25">
      <c r="A2614" s="1">
        <f t="shared" si="320"/>
        <v>46284</v>
      </c>
      <c r="B2614" t="str" cm="1">
        <f t="array" ref="B2614">INDEX(HotelList,MOD(ROW()-2,10)+1)</f>
        <v>H003</v>
      </c>
      <c r="C2614">
        <f>_xlfn.XLOOKUP(B2614,Dim_Hotel!$A$2:$A$11,Dim_Hotel!$F$2:$F$11)</f>
        <v>121</v>
      </c>
      <c r="D2614">
        <f t="shared" si="321"/>
        <v>67</v>
      </c>
      <c r="E2614">
        <f t="shared" si="322"/>
        <v>0.55371900826446285</v>
      </c>
      <c r="F2614">
        <f t="shared" si="323"/>
        <v>145</v>
      </c>
      <c r="G2614">
        <f t="shared" si="324"/>
        <v>80.289256198347118</v>
      </c>
      <c r="H2614" t="str">
        <f>_xlfn.XLOOKUP(A2614,Fact_Events!$D$2:$D$20,Fact_Events!$A$2:$A$20, "")</f>
        <v/>
      </c>
      <c r="I2614">
        <f t="shared" si="325"/>
        <v>0</v>
      </c>
      <c r="J2614" t="str">
        <f>_xlfn.XLOOKUP(H2614, Fact_Events!$A$2:$A$20, Fact_Events!$F$2:$F$20, "")</f>
        <v/>
      </c>
      <c r="K2614" t="str">
        <f t="shared" si="326"/>
        <v>Low</v>
      </c>
      <c r="L2614">
        <f t="shared" si="327"/>
        <v>0.55000000000000004</v>
      </c>
      <c r="M2614">
        <f>_xlfn.XLOOKUP(B2614, Dim_Hotel!$A$2:$A$11, Dim_Hotel!$I$2:$I$11)
 + (IF(J2614="",0,J2614)
    * _xlfn.XLOOKUP(B2614, Dim_Hotel!$A$2:$A$11, Dim_Hotel!$J$2:$J$11))</f>
        <v>145</v>
      </c>
    </row>
    <row r="2615" spans="1:13" x14ac:dyDescent="0.25">
      <c r="A2615" s="1">
        <f t="shared" si="320"/>
        <v>46284</v>
      </c>
      <c r="B2615" t="str" cm="1">
        <f t="array" ref="B2615">INDEX(HotelList,MOD(ROW()-2,10)+1)</f>
        <v>H004</v>
      </c>
      <c r="C2615">
        <f>_xlfn.XLOOKUP(B2615,Dim_Hotel!$A$2:$A$11,Dim_Hotel!$F$2:$F$11)</f>
        <v>108</v>
      </c>
      <c r="D2615">
        <f t="shared" si="321"/>
        <v>59</v>
      </c>
      <c r="E2615">
        <f t="shared" si="322"/>
        <v>0.54629629629629628</v>
      </c>
      <c r="F2615">
        <f t="shared" si="323"/>
        <v>135</v>
      </c>
      <c r="G2615">
        <f t="shared" si="324"/>
        <v>73.75</v>
      </c>
      <c r="H2615" t="str">
        <f>_xlfn.XLOOKUP(A2615,Fact_Events!$D$2:$D$20,Fact_Events!$A$2:$A$20, "")</f>
        <v/>
      </c>
      <c r="I2615">
        <f t="shared" si="325"/>
        <v>0</v>
      </c>
      <c r="J2615" t="str">
        <f>_xlfn.XLOOKUP(H2615, Fact_Events!$A$2:$A$20, Fact_Events!$F$2:$F$20, "")</f>
        <v/>
      </c>
      <c r="K2615" t="str">
        <f t="shared" si="326"/>
        <v>Low</v>
      </c>
      <c r="L2615">
        <f t="shared" si="327"/>
        <v>0.55000000000000004</v>
      </c>
      <c r="M2615">
        <f>_xlfn.XLOOKUP(B2615, Dim_Hotel!$A$2:$A$11, Dim_Hotel!$I$2:$I$11)
 + (IF(J2615="",0,J2615)
    * _xlfn.XLOOKUP(B2615, Dim_Hotel!$A$2:$A$11, Dim_Hotel!$J$2:$J$11))</f>
        <v>135</v>
      </c>
    </row>
    <row r="2616" spans="1:13" x14ac:dyDescent="0.25">
      <c r="A2616" s="1">
        <f t="shared" si="320"/>
        <v>46284</v>
      </c>
      <c r="B2616" t="str" cm="1">
        <f t="array" ref="B2616">INDEX(HotelList,MOD(ROW()-2,10)+1)</f>
        <v>H005</v>
      </c>
      <c r="C2616">
        <f>_xlfn.XLOOKUP(B2616,Dim_Hotel!$A$2:$A$11,Dim_Hotel!$F$2:$F$11)</f>
        <v>66</v>
      </c>
      <c r="D2616">
        <f t="shared" si="321"/>
        <v>36</v>
      </c>
      <c r="E2616">
        <f t="shared" si="322"/>
        <v>0.54545454545454541</v>
      </c>
      <c r="F2616">
        <f t="shared" si="323"/>
        <v>82</v>
      </c>
      <c r="G2616">
        <f t="shared" si="324"/>
        <v>44.727272727272727</v>
      </c>
      <c r="H2616" t="str">
        <f>_xlfn.XLOOKUP(A2616,Fact_Events!$D$2:$D$20,Fact_Events!$A$2:$A$20, "")</f>
        <v/>
      </c>
      <c r="I2616">
        <f t="shared" si="325"/>
        <v>0</v>
      </c>
      <c r="J2616" t="str">
        <f>_xlfn.XLOOKUP(H2616, Fact_Events!$A$2:$A$20, Fact_Events!$F$2:$F$20, "")</f>
        <v/>
      </c>
      <c r="K2616" t="str">
        <f t="shared" si="326"/>
        <v>Low</v>
      </c>
      <c r="L2616">
        <f t="shared" si="327"/>
        <v>0.55000000000000004</v>
      </c>
      <c r="M2616">
        <f>_xlfn.XLOOKUP(B2616, Dim_Hotel!$A$2:$A$11, Dim_Hotel!$I$2:$I$11)
 + (IF(J2616="",0,J2616)
    * _xlfn.XLOOKUP(B2616, Dim_Hotel!$A$2:$A$11, Dim_Hotel!$J$2:$J$11))</f>
        <v>82</v>
      </c>
    </row>
    <row r="2617" spans="1:13" x14ac:dyDescent="0.25">
      <c r="A2617" s="1">
        <f t="shared" si="320"/>
        <v>46284</v>
      </c>
      <c r="B2617" t="str" cm="1">
        <f t="array" ref="B2617">INDEX(HotelList,MOD(ROW()-2,10)+1)</f>
        <v>H006</v>
      </c>
      <c r="C2617">
        <f>_xlfn.XLOOKUP(B2617,Dim_Hotel!$A$2:$A$11,Dim_Hotel!$F$2:$F$11)</f>
        <v>311</v>
      </c>
      <c r="D2617">
        <f t="shared" si="321"/>
        <v>171</v>
      </c>
      <c r="E2617">
        <f t="shared" si="322"/>
        <v>0.54983922829581988</v>
      </c>
      <c r="F2617">
        <f t="shared" si="323"/>
        <v>190</v>
      </c>
      <c r="G2617">
        <f t="shared" si="324"/>
        <v>104.46945337620578</v>
      </c>
      <c r="H2617" t="str">
        <f>_xlfn.XLOOKUP(A2617,Fact_Events!$D$2:$D$20,Fact_Events!$A$2:$A$20, "")</f>
        <v/>
      </c>
      <c r="I2617">
        <f t="shared" si="325"/>
        <v>0</v>
      </c>
      <c r="J2617" t="str">
        <f>_xlfn.XLOOKUP(H2617, Fact_Events!$A$2:$A$20, Fact_Events!$F$2:$F$20, "")</f>
        <v/>
      </c>
      <c r="K2617" t="str">
        <f t="shared" si="326"/>
        <v>Low</v>
      </c>
      <c r="L2617">
        <f t="shared" si="327"/>
        <v>0.55000000000000004</v>
      </c>
      <c r="M2617">
        <f>_xlfn.XLOOKUP(B2617, Dim_Hotel!$A$2:$A$11, Dim_Hotel!$I$2:$I$11)
 + (IF(J2617="",0,J2617)
    * _xlfn.XLOOKUP(B2617, Dim_Hotel!$A$2:$A$11, Dim_Hotel!$J$2:$J$11))</f>
        <v>190</v>
      </c>
    </row>
    <row r="2618" spans="1:13" x14ac:dyDescent="0.25">
      <c r="A2618" s="1">
        <f t="shared" si="320"/>
        <v>46284</v>
      </c>
      <c r="B2618" t="str" cm="1">
        <f t="array" ref="B2618">INDEX(HotelList,MOD(ROW()-2,10)+1)</f>
        <v>H007</v>
      </c>
      <c r="C2618">
        <f>_xlfn.XLOOKUP(B2618,Dim_Hotel!$A$2:$A$11,Dim_Hotel!$F$2:$F$11)</f>
        <v>132</v>
      </c>
      <c r="D2618">
        <f t="shared" si="321"/>
        <v>73</v>
      </c>
      <c r="E2618">
        <f t="shared" si="322"/>
        <v>0.55303030303030298</v>
      </c>
      <c r="F2618">
        <f t="shared" si="323"/>
        <v>165</v>
      </c>
      <c r="G2618">
        <f t="shared" si="324"/>
        <v>91.249999999999986</v>
      </c>
      <c r="H2618" t="str">
        <f>_xlfn.XLOOKUP(A2618,Fact_Events!$D$2:$D$20,Fact_Events!$A$2:$A$20, "")</f>
        <v/>
      </c>
      <c r="I2618">
        <f t="shared" si="325"/>
        <v>0</v>
      </c>
      <c r="J2618" t="str">
        <f>_xlfn.XLOOKUP(H2618, Fact_Events!$A$2:$A$20, Fact_Events!$F$2:$F$20, "")</f>
        <v/>
      </c>
      <c r="K2618" t="str">
        <f t="shared" si="326"/>
        <v>Low</v>
      </c>
      <c r="L2618">
        <f t="shared" si="327"/>
        <v>0.55000000000000004</v>
      </c>
      <c r="M2618">
        <f>_xlfn.XLOOKUP(B2618, Dim_Hotel!$A$2:$A$11, Dim_Hotel!$I$2:$I$11)
 + (IF(J2618="",0,J2618)
    * _xlfn.XLOOKUP(B2618, Dim_Hotel!$A$2:$A$11, Dim_Hotel!$J$2:$J$11))</f>
        <v>165</v>
      </c>
    </row>
    <row r="2619" spans="1:13" x14ac:dyDescent="0.25">
      <c r="A2619" s="1">
        <f t="shared" si="320"/>
        <v>46284</v>
      </c>
      <c r="B2619" t="str" cm="1">
        <f t="array" ref="B2619">INDEX(HotelList,MOD(ROW()-2,10)+1)</f>
        <v>H008</v>
      </c>
      <c r="C2619">
        <f>_xlfn.XLOOKUP(B2619,Dim_Hotel!$A$2:$A$11,Dim_Hotel!$F$2:$F$11)</f>
        <v>103</v>
      </c>
      <c r="D2619">
        <f t="shared" si="321"/>
        <v>57</v>
      </c>
      <c r="E2619">
        <f t="shared" si="322"/>
        <v>0.55339805825242716</v>
      </c>
      <c r="F2619">
        <f t="shared" si="323"/>
        <v>140</v>
      </c>
      <c r="G2619">
        <f t="shared" si="324"/>
        <v>77.475728155339809</v>
      </c>
      <c r="H2619" t="str">
        <f>_xlfn.XLOOKUP(A2619,Fact_Events!$D$2:$D$20,Fact_Events!$A$2:$A$20, "")</f>
        <v/>
      </c>
      <c r="I2619">
        <f t="shared" si="325"/>
        <v>0</v>
      </c>
      <c r="J2619" t="str">
        <f>_xlfn.XLOOKUP(H2619, Fact_Events!$A$2:$A$20, Fact_Events!$F$2:$F$20, "")</f>
        <v/>
      </c>
      <c r="K2619" t="str">
        <f t="shared" si="326"/>
        <v>Low</v>
      </c>
      <c r="L2619">
        <f t="shared" si="327"/>
        <v>0.55000000000000004</v>
      </c>
      <c r="M2619">
        <f>_xlfn.XLOOKUP(B2619, Dim_Hotel!$A$2:$A$11, Dim_Hotel!$I$2:$I$11)
 + (IF(J2619="",0,J2619)
    * _xlfn.XLOOKUP(B2619, Dim_Hotel!$A$2:$A$11, Dim_Hotel!$J$2:$J$11))</f>
        <v>140</v>
      </c>
    </row>
    <row r="2620" spans="1:13" x14ac:dyDescent="0.25">
      <c r="A2620" s="1">
        <f t="shared" si="320"/>
        <v>46284</v>
      </c>
      <c r="B2620" t="str" cm="1">
        <f t="array" ref="B2620">INDEX(HotelList,MOD(ROW()-2,10)+1)</f>
        <v>H009</v>
      </c>
      <c r="C2620">
        <f>_xlfn.XLOOKUP(B2620,Dim_Hotel!$A$2:$A$11,Dim_Hotel!$F$2:$F$11)</f>
        <v>114</v>
      </c>
      <c r="D2620">
        <f t="shared" si="321"/>
        <v>63</v>
      </c>
      <c r="E2620">
        <f t="shared" si="322"/>
        <v>0.55263157894736847</v>
      </c>
      <c r="F2620">
        <f t="shared" si="323"/>
        <v>185</v>
      </c>
      <c r="G2620">
        <f t="shared" si="324"/>
        <v>102.23684210526316</v>
      </c>
      <c r="H2620" t="str">
        <f>_xlfn.XLOOKUP(A2620,Fact_Events!$D$2:$D$20,Fact_Events!$A$2:$A$20, "")</f>
        <v/>
      </c>
      <c r="I2620">
        <f t="shared" si="325"/>
        <v>0</v>
      </c>
      <c r="J2620" t="str">
        <f>_xlfn.XLOOKUP(H2620, Fact_Events!$A$2:$A$20, Fact_Events!$F$2:$F$20, "")</f>
        <v/>
      </c>
      <c r="K2620" t="str">
        <f t="shared" si="326"/>
        <v>Low</v>
      </c>
      <c r="L2620">
        <f t="shared" si="327"/>
        <v>0.55000000000000004</v>
      </c>
      <c r="M2620">
        <f>_xlfn.XLOOKUP(B2620, Dim_Hotel!$A$2:$A$11, Dim_Hotel!$I$2:$I$11)
 + (IF(J2620="",0,J2620)
    * _xlfn.XLOOKUP(B2620, Dim_Hotel!$A$2:$A$11, Dim_Hotel!$J$2:$J$11))</f>
        <v>185</v>
      </c>
    </row>
    <row r="2621" spans="1:13" x14ac:dyDescent="0.25">
      <c r="A2621" s="1">
        <f t="shared" si="320"/>
        <v>46284</v>
      </c>
      <c r="B2621" t="str" cm="1">
        <f t="array" ref="B2621">INDEX(HotelList,MOD(ROW()-2,10)+1)</f>
        <v>H010</v>
      </c>
      <c r="C2621">
        <f>_xlfn.XLOOKUP(B2621,Dim_Hotel!$A$2:$A$11,Dim_Hotel!$F$2:$F$11)</f>
        <v>89</v>
      </c>
      <c r="D2621">
        <f t="shared" si="321"/>
        <v>49</v>
      </c>
      <c r="E2621">
        <f t="shared" si="322"/>
        <v>0.550561797752809</v>
      </c>
      <c r="F2621">
        <f t="shared" si="323"/>
        <v>150</v>
      </c>
      <c r="G2621">
        <f t="shared" si="324"/>
        <v>82.584269662921344</v>
      </c>
      <c r="H2621" t="str">
        <f>_xlfn.XLOOKUP(A2621,Fact_Events!$D$2:$D$20,Fact_Events!$A$2:$A$20, "")</f>
        <v/>
      </c>
      <c r="I2621">
        <f t="shared" si="325"/>
        <v>0</v>
      </c>
      <c r="J2621" t="str">
        <f>_xlfn.XLOOKUP(H2621, Fact_Events!$A$2:$A$20, Fact_Events!$F$2:$F$20, "")</f>
        <v/>
      </c>
      <c r="K2621" t="str">
        <f t="shared" si="326"/>
        <v>Low</v>
      </c>
      <c r="L2621">
        <f t="shared" si="327"/>
        <v>0.55000000000000004</v>
      </c>
      <c r="M2621">
        <f>_xlfn.XLOOKUP(B2621, Dim_Hotel!$A$2:$A$11, Dim_Hotel!$I$2:$I$11)
 + (IF(J2621="",0,J2621)
    * _xlfn.XLOOKUP(B2621, Dim_Hotel!$A$2:$A$11, Dim_Hotel!$J$2:$J$11))</f>
        <v>150</v>
      </c>
    </row>
    <row r="2622" spans="1:13" x14ac:dyDescent="0.25">
      <c r="A2622" s="1">
        <f t="shared" si="320"/>
        <v>46285</v>
      </c>
      <c r="B2622" t="str" cm="1">
        <f t="array" ref="B2622">INDEX(HotelList,MOD(ROW()-2,10)+1)</f>
        <v>H001</v>
      </c>
      <c r="C2622">
        <f>_xlfn.XLOOKUP(B2622,Dim_Hotel!$A$2:$A$11,Dim_Hotel!$F$2:$F$11)</f>
        <v>888</v>
      </c>
      <c r="D2622">
        <f t="shared" si="321"/>
        <v>488</v>
      </c>
      <c r="E2622">
        <f t="shared" si="322"/>
        <v>0.5495495495495496</v>
      </c>
      <c r="F2622">
        <f t="shared" si="323"/>
        <v>260</v>
      </c>
      <c r="G2622">
        <f t="shared" si="324"/>
        <v>142.88288288288288</v>
      </c>
      <c r="H2622" t="str">
        <f>_xlfn.XLOOKUP(A2622,Fact_Events!$D$2:$D$20,Fact_Events!$A$2:$A$20, "")</f>
        <v/>
      </c>
      <c r="I2622">
        <f t="shared" si="325"/>
        <v>0</v>
      </c>
      <c r="J2622" t="str">
        <f>_xlfn.XLOOKUP(H2622, Fact_Events!$A$2:$A$20, Fact_Events!$F$2:$F$20, "")</f>
        <v/>
      </c>
      <c r="K2622" t="str">
        <f t="shared" si="326"/>
        <v>Low</v>
      </c>
      <c r="L2622">
        <f t="shared" si="327"/>
        <v>0.55000000000000004</v>
      </c>
      <c r="M2622">
        <f>_xlfn.XLOOKUP(B2622, Dim_Hotel!$A$2:$A$11, Dim_Hotel!$I$2:$I$11)
 + (IF(J2622="",0,J2622)
    * _xlfn.XLOOKUP(B2622, Dim_Hotel!$A$2:$A$11, Dim_Hotel!$J$2:$J$11))</f>
        <v>260</v>
      </c>
    </row>
    <row r="2623" spans="1:13" x14ac:dyDescent="0.25">
      <c r="A2623" s="1">
        <f t="shared" si="320"/>
        <v>46285</v>
      </c>
      <c r="B2623" t="str" cm="1">
        <f t="array" ref="B2623">INDEX(HotelList,MOD(ROW()-2,10)+1)</f>
        <v>H002</v>
      </c>
      <c r="C2623">
        <f>_xlfn.XLOOKUP(B2623,Dim_Hotel!$A$2:$A$11,Dim_Hotel!$F$2:$F$11)</f>
        <v>147</v>
      </c>
      <c r="D2623">
        <f t="shared" si="321"/>
        <v>81</v>
      </c>
      <c r="E2623">
        <f t="shared" si="322"/>
        <v>0.55102040816326525</v>
      </c>
      <c r="F2623">
        <f t="shared" si="323"/>
        <v>175</v>
      </c>
      <c r="G2623">
        <f t="shared" si="324"/>
        <v>96.428571428571416</v>
      </c>
      <c r="H2623" t="str">
        <f>_xlfn.XLOOKUP(A2623,Fact_Events!$D$2:$D$20,Fact_Events!$A$2:$A$20, "")</f>
        <v/>
      </c>
      <c r="I2623">
        <f t="shared" si="325"/>
        <v>0</v>
      </c>
      <c r="J2623" t="str">
        <f>_xlfn.XLOOKUP(H2623, Fact_Events!$A$2:$A$20, Fact_Events!$F$2:$F$20, "")</f>
        <v/>
      </c>
      <c r="K2623" t="str">
        <f t="shared" si="326"/>
        <v>Low</v>
      </c>
      <c r="L2623">
        <f t="shared" si="327"/>
        <v>0.55000000000000004</v>
      </c>
      <c r="M2623">
        <f>_xlfn.XLOOKUP(B2623, Dim_Hotel!$A$2:$A$11, Dim_Hotel!$I$2:$I$11)
 + (IF(J2623="",0,J2623)
    * _xlfn.XLOOKUP(B2623, Dim_Hotel!$A$2:$A$11, Dim_Hotel!$J$2:$J$11))</f>
        <v>175</v>
      </c>
    </row>
    <row r="2624" spans="1:13" x14ac:dyDescent="0.25">
      <c r="A2624" s="1">
        <f t="shared" si="320"/>
        <v>46285</v>
      </c>
      <c r="B2624" t="str" cm="1">
        <f t="array" ref="B2624">INDEX(HotelList,MOD(ROW()-2,10)+1)</f>
        <v>H003</v>
      </c>
      <c r="C2624">
        <f>_xlfn.XLOOKUP(B2624,Dim_Hotel!$A$2:$A$11,Dim_Hotel!$F$2:$F$11)</f>
        <v>121</v>
      </c>
      <c r="D2624">
        <f t="shared" si="321"/>
        <v>67</v>
      </c>
      <c r="E2624">
        <f t="shared" si="322"/>
        <v>0.55371900826446285</v>
      </c>
      <c r="F2624">
        <f t="shared" si="323"/>
        <v>145</v>
      </c>
      <c r="G2624">
        <f t="shared" si="324"/>
        <v>80.289256198347118</v>
      </c>
      <c r="H2624" t="str">
        <f>_xlfn.XLOOKUP(A2624,Fact_Events!$D$2:$D$20,Fact_Events!$A$2:$A$20, "")</f>
        <v/>
      </c>
      <c r="I2624">
        <f t="shared" si="325"/>
        <v>0</v>
      </c>
      <c r="J2624" t="str">
        <f>_xlfn.XLOOKUP(H2624, Fact_Events!$A$2:$A$20, Fact_Events!$F$2:$F$20, "")</f>
        <v/>
      </c>
      <c r="K2624" t="str">
        <f t="shared" si="326"/>
        <v>Low</v>
      </c>
      <c r="L2624">
        <f t="shared" si="327"/>
        <v>0.55000000000000004</v>
      </c>
      <c r="M2624">
        <f>_xlfn.XLOOKUP(B2624, Dim_Hotel!$A$2:$A$11, Dim_Hotel!$I$2:$I$11)
 + (IF(J2624="",0,J2624)
    * _xlfn.XLOOKUP(B2624, Dim_Hotel!$A$2:$A$11, Dim_Hotel!$J$2:$J$11))</f>
        <v>145</v>
      </c>
    </row>
    <row r="2625" spans="1:13" x14ac:dyDescent="0.25">
      <c r="A2625" s="1">
        <f t="shared" si="320"/>
        <v>46285</v>
      </c>
      <c r="B2625" t="str" cm="1">
        <f t="array" ref="B2625">INDEX(HotelList,MOD(ROW()-2,10)+1)</f>
        <v>H004</v>
      </c>
      <c r="C2625">
        <f>_xlfn.XLOOKUP(B2625,Dim_Hotel!$A$2:$A$11,Dim_Hotel!$F$2:$F$11)</f>
        <v>108</v>
      </c>
      <c r="D2625">
        <f t="shared" si="321"/>
        <v>59</v>
      </c>
      <c r="E2625">
        <f t="shared" si="322"/>
        <v>0.54629629629629628</v>
      </c>
      <c r="F2625">
        <f t="shared" si="323"/>
        <v>135</v>
      </c>
      <c r="G2625">
        <f t="shared" si="324"/>
        <v>73.75</v>
      </c>
      <c r="H2625" t="str">
        <f>_xlfn.XLOOKUP(A2625,Fact_Events!$D$2:$D$20,Fact_Events!$A$2:$A$20, "")</f>
        <v/>
      </c>
      <c r="I2625">
        <f t="shared" si="325"/>
        <v>0</v>
      </c>
      <c r="J2625" t="str">
        <f>_xlfn.XLOOKUP(H2625, Fact_Events!$A$2:$A$20, Fact_Events!$F$2:$F$20, "")</f>
        <v/>
      </c>
      <c r="K2625" t="str">
        <f t="shared" si="326"/>
        <v>Low</v>
      </c>
      <c r="L2625">
        <f t="shared" si="327"/>
        <v>0.55000000000000004</v>
      </c>
      <c r="M2625">
        <f>_xlfn.XLOOKUP(B2625, Dim_Hotel!$A$2:$A$11, Dim_Hotel!$I$2:$I$11)
 + (IF(J2625="",0,J2625)
    * _xlfn.XLOOKUP(B2625, Dim_Hotel!$A$2:$A$11, Dim_Hotel!$J$2:$J$11))</f>
        <v>135</v>
      </c>
    </row>
    <row r="2626" spans="1:13" x14ac:dyDescent="0.25">
      <c r="A2626" s="1">
        <f t="shared" si="320"/>
        <v>46285</v>
      </c>
      <c r="B2626" t="str" cm="1">
        <f t="array" ref="B2626">INDEX(HotelList,MOD(ROW()-2,10)+1)</f>
        <v>H005</v>
      </c>
      <c r="C2626">
        <f>_xlfn.XLOOKUP(B2626,Dim_Hotel!$A$2:$A$11,Dim_Hotel!$F$2:$F$11)</f>
        <v>66</v>
      </c>
      <c r="D2626">
        <f t="shared" si="321"/>
        <v>36</v>
      </c>
      <c r="E2626">
        <f t="shared" si="322"/>
        <v>0.54545454545454541</v>
      </c>
      <c r="F2626">
        <f t="shared" si="323"/>
        <v>82</v>
      </c>
      <c r="G2626">
        <f t="shared" si="324"/>
        <v>44.727272727272727</v>
      </c>
      <c r="H2626" t="str">
        <f>_xlfn.XLOOKUP(A2626,Fact_Events!$D$2:$D$20,Fact_Events!$A$2:$A$20, "")</f>
        <v/>
      </c>
      <c r="I2626">
        <f t="shared" si="325"/>
        <v>0</v>
      </c>
      <c r="J2626" t="str">
        <f>_xlfn.XLOOKUP(H2626, Fact_Events!$A$2:$A$20, Fact_Events!$F$2:$F$20, "")</f>
        <v/>
      </c>
      <c r="K2626" t="str">
        <f t="shared" si="326"/>
        <v>Low</v>
      </c>
      <c r="L2626">
        <f t="shared" si="327"/>
        <v>0.55000000000000004</v>
      </c>
      <c r="M2626">
        <f>_xlfn.XLOOKUP(B2626, Dim_Hotel!$A$2:$A$11, Dim_Hotel!$I$2:$I$11)
 + (IF(J2626="",0,J2626)
    * _xlfn.XLOOKUP(B2626, Dim_Hotel!$A$2:$A$11, Dim_Hotel!$J$2:$J$11))</f>
        <v>82</v>
      </c>
    </row>
    <row r="2627" spans="1:13" x14ac:dyDescent="0.25">
      <c r="A2627" s="1">
        <f t="shared" ref="A2627:A2690" si="328">DATE(2026,1,1) + INT((ROW()-2)/10)</f>
        <v>46285</v>
      </c>
      <c r="B2627" t="str" cm="1">
        <f t="array" ref="B2627">INDEX(HotelList,MOD(ROW()-2,10)+1)</f>
        <v>H006</v>
      </c>
      <c r="C2627">
        <f>_xlfn.XLOOKUP(B2627,Dim_Hotel!$A$2:$A$11,Dim_Hotel!$F$2:$F$11)</f>
        <v>311</v>
      </c>
      <c r="D2627">
        <f t="shared" ref="D2627:D2690" si="329">ROUND(L2627 * C2627, 0)</f>
        <v>171</v>
      </c>
      <c r="E2627">
        <f t="shared" ref="E2627:E2690" si="330">D2627/C2627</f>
        <v>0.54983922829581988</v>
      </c>
      <c r="F2627">
        <f t="shared" ref="F2627:F2690" si="331">M2627</f>
        <v>190</v>
      </c>
      <c r="G2627">
        <f t="shared" ref="G2627:G2690" si="332">E2627*F2627</f>
        <v>104.46945337620578</v>
      </c>
      <c r="H2627" t="str">
        <f>_xlfn.XLOOKUP(A2627,Fact_Events!$D$2:$D$20,Fact_Events!$A$2:$A$20, "")</f>
        <v/>
      </c>
      <c r="I2627">
        <f t="shared" ref="I2627:I2690" si="333">IF(H2627="",0,1)</f>
        <v>0</v>
      </c>
      <c r="J2627" t="str">
        <f>_xlfn.XLOOKUP(H2627, Fact_Events!$A$2:$A$20, Fact_Events!$F$2:$F$20, "")</f>
        <v/>
      </c>
      <c r="K2627" t="str">
        <f t="shared" ref="K2627:K2690" si="334">IF(I2627=0,"Low",
   IF(J2627&gt;=9,"High","Medium"))</f>
        <v>Low</v>
      </c>
      <c r="L2627">
        <f t="shared" ref="L2627:L2690" si="335">MIN(1,
  0.55
  + (I2627 * 0.25)
  + (IF(J2627="",0,J2627) / 100)
)</f>
        <v>0.55000000000000004</v>
      </c>
      <c r="M2627">
        <f>_xlfn.XLOOKUP(B2627, Dim_Hotel!$A$2:$A$11, Dim_Hotel!$I$2:$I$11)
 + (IF(J2627="",0,J2627)
    * _xlfn.XLOOKUP(B2627, Dim_Hotel!$A$2:$A$11, Dim_Hotel!$J$2:$J$11))</f>
        <v>190</v>
      </c>
    </row>
    <row r="2628" spans="1:13" x14ac:dyDescent="0.25">
      <c r="A2628" s="1">
        <f t="shared" si="328"/>
        <v>46285</v>
      </c>
      <c r="B2628" t="str" cm="1">
        <f t="array" ref="B2628">INDEX(HotelList,MOD(ROW()-2,10)+1)</f>
        <v>H007</v>
      </c>
      <c r="C2628">
        <f>_xlfn.XLOOKUP(B2628,Dim_Hotel!$A$2:$A$11,Dim_Hotel!$F$2:$F$11)</f>
        <v>132</v>
      </c>
      <c r="D2628">
        <f t="shared" si="329"/>
        <v>73</v>
      </c>
      <c r="E2628">
        <f t="shared" si="330"/>
        <v>0.55303030303030298</v>
      </c>
      <c r="F2628">
        <f t="shared" si="331"/>
        <v>165</v>
      </c>
      <c r="G2628">
        <f t="shared" si="332"/>
        <v>91.249999999999986</v>
      </c>
      <c r="H2628" t="str">
        <f>_xlfn.XLOOKUP(A2628,Fact_Events!$D$2:$D$20,Fact_Events!$A$2:$A$20, "")</f>
        <v/>
      </c>
      <c r="I2628">
        <f t="shared" si="333"/>
        <v>0</v>
      </c>
      <c r="J2628" t="str">
        <f>_xlfn.XLOOKUP(H2628, Fact_Events!$A$2:$A$20, Fact_Events!$F$2:$F$20, "")</f>
        <v/>
      </c>
      <c r="K2628" t="str">
        <f t="shared" si="334"/>
        <v>Low</v>
      </c>
      <c r="L2628">
        <f t="shared" si="335"/>
        <v>0.55000000000000004</v>
      </c>
      <c r="M2628">
        <f>_xlfn.XLOOKUP(B2628, Dim_Hotel!$A$2:$A$11, Dim_Hotel!$I$2:$I$11)
 + (IF(J2628="",0,J2628)
    * _xlfn.XLOOKUP(B2628, Dim_Hotel!$A$2:$A$11, Dim_Hotel!$J$2:$J$11))</f>
        <v>165</v>
      </c>
    </row>
    <row r="2629" spans="1:13" x14ac:dyDescent="0.25">
      <c r="A2629" s="1">
        <f t="shared" si="328"/>
        <v>46285</v>
      </c>
      <c r="B2629" t="str" cm="1">
        <f t="array" ref="B2629">INDEX(HotelList,MOD(ROW()-2,10)+1)</f>
        <v>H008</v>
      </c>
      <c r="C2629">
        <f>_xlfn.XLOOKUP(B2629,Dim_Hotel!$A$2:$A$11,Dim_Hotel!$F$2:$F$11)</f>
        <v>103</v>
      </c>
      <c r="D2629">
        <f t="shared" si="329"/>
        <v>57</v>
      </c>
      <c r="E2629">
        <f t="shared" si="330"/>
        <v>0.55339805825242716</v>
      </c>
      <c r="F2629">
        <f t="shared" si="331"/>
        <v>140</v>
      </c>
      <c r="G2629">
        <f t="shared" si="332"/>
        <v>77.475728155339809</v>
      </c>
      <c r="H2629" t="str">
        <f>_xlfn.XLOOKUP(A2629,Fact_Events!$D$2:$D$20,Fact_Events!$A$2:$A$20, "")</f>
        <v/>
      </c>
      <c r="I2629">
        <f t="shared" si="333"/>
        <v>0</v>
      </c>
      <c r="J2629" t="str">
        <f>_xlfn.XLOOKUP(H2629, Fact_Events!$A$2:$A$20, Fact_Events!$F$2:$F$20, "")</f>
        <v/>
      </c>
      <c r="K2629" t="str">
        <f t="shared" si="334"/>
        <v>Low</v>
      </c>
      <c r="L2629">
        <f t="shared" si="335"/>
        <v>0.55000000000000004</v>
      </c>
      <c r="M2629">
        <f>_xlfn.XLOOKUP(B2629, Dim_Hotel!$A$2:$A$11, Dim_Hotel!$I$2:$I$11)
 + (IF(J2629="",0,J2629)
    * _xlfn.XLOOKUP(B2629, Dim_Hotel!$A$2:$A$11, Dim_Hotel!$J$2:$J$11))</f>
        <v>140</v>
      </c>
    </row>
    <row r="2630" spans="1:13" x14ac:dyDescent="0.25">
      <c r="A2630" s="1">
        <f t="shared" si="328"/>
        <v>46285</v>
      </c>
      <c r="B2630" t="str" cm="1">
        <f t="array" ref="B2630">INDEX(HotelList,MOD(ROW()-2,10)+1)</f>
        <v>H009</v>
      </c>
      <c r="C2630">
        <f>_xlfn.XLOOKUP(B2630,Dim_Hotel!$A$2:$A$11,Dim_Hotel!$F$2:$F$11)</f>
        <v>114</v>
      </c>
      <c r="D2630">
        <f t="shared" si="329"/>
        <v>63</v>
      </c>
      <c r="E2630">
        <f t="shared" si="330"/>
        <v>0.55263157894736847</v>
      </c>
      <c r="F2630">
        <f t="shared" si="331"/>
        <v>185</v>
      </c>
      <c r="G2630">
        <f t="shared" si="332"/>
        <v>102.23684210526316</v>
      </c>
      <c r="H2630" t="str">
        <f>_xlfn.XLOOKUP(A2630,Fact_Events!$D$2:$D$20,Fact_Events!$A$2:$A$20, "")</f>
        <v/>
      </c>
      <c r="I2630">
        <f t="shared" si="333"/>
        <v>0</v>
      </c>
      <c r="J2630" t="str">
        <f>_xlfn.XLOOKUP(H2630, Fact_Events!$A$2:$A$20, Fact_Events!$F$2:$F$20, "")</f>
        <v/>
      </c>
      <c r="K2630" t="str">
        <f t="shared" si="334"/>
        <v>Low</v>
      </c>
      <c r="L2630">
        <f t="shared" si="335"/>
        <v>0.55000000000000004</v>
      </c>
      <c r="M2630">
        <f>_xlfn.XLOOKUP(B2630, Dim_Hotel!$A$2:$A$11, Dim_Hotel!$I$2:$I$11)
 + (IF(J2630="",0,J2630)
    * _xlfn.XLOOKUP(B2630, Dim_Hotel!$A$2:$A$11, Dim_Hotel!$J$2:$J$11))</f>
        <v>185</v>
      </c>
    </row>
    <row r="2631" spans="1:13" x14ac:dyDescent="0.25">
      <c r="A2631" s="1">
        <f t="shared" si="328"/>
        <v>46285</v>
      </c>
      <c r="B2631" t="str" cm="1">
        <f t="array" ref="B2631">INDEX(HotelList,MOD(ROW()-2,10)+1)</f>
        <v>H010</v>
      </c>
      <c r="C2631">
        <f>_xlfn.XLOOKUP(B2631,Dim_Hotel!$A$2:$A$11,Dim_Hotel!$F$2:$F$11)</f>
        <v>89</v>
      </c>
      <c r="D2631">
        <f t="shared" si="329"/>
        <v>49</v>
      </c>
      <c r="E2631">
        <f t="shared" si="330"/>
        <v>0.550561797752809</v>
      </c>
      <c r="F2631">
        <f t="shared" si="331"/>
        <v>150</v>
      </c>
      <c r="G2631">
        <f t="shared" si="332"/>
        <v>82.584269662921344</v>
      </c>
      <c r="H2631" t="str">
        <f>_xlfn.XLOOKUP(A2631,Fact_Events!$D$2:$D$20,Fact_Events!$A$2:$A$20, "")</f>
        <v/>
      </c>
      <c r="I2631">
        <f t="shared" si="333"/>
        <v>0</v>
      </c>
      <c r="J2631" t="str">
        <f>_xlfn.XLOOKUP(H2631, Fact_Events!$A$2:$A$20, Fact_Events!$F$2:$F$20, "")</f>
        <v/>
      </c>
      <c r="K2631" t="str">
        <f t="shared" si="334"/>
        <v>Low</v>
      </c>
      <c r="L2631">
        <f t="shared" si="335"/>
        <v>0.55000000000000004</v>
      </c>
      <c r="M2631">
        <f>_xlfn.XLOOKUP(B2631, Dim_Hotel!$A$2:$A$11, Dim_Hotel!$I$2:$I$11)
 + (IF(J2631="",0,J2631)
    * _xlfn.XLOOKUP(B2631, Dim_Hotel!$A$2:$A$11, Dim_Hotel!$J$2:$J$11))</f>
        <v>150</v>
      </c>
    </row>
    <row r="2632" spans="1:13" x14ac:dyDescent="0.25">
      <c r="A2632" s="1">
        <f t="shared" si="328"/>
        <v>46286</v>
      </c>
      <c r="B2632" t="str" cm="1">
        <f t="array" ref="B2632">INDEX(HotelList,MOD(ROW()-2,10)+1)</f>
        <v>H001</v>
      </c>
      <c r="C2632">
        <f>_xlfn.XLOOKUP(B2632,Dim_Hotel!$A$2:$A$11,Dim_Hotel!$F$2:$F$11)</f>
        <v>888</v>
      </c>
      <c r="D2632">
        <f t="shared" si="329"/>
        <v>488</v>
      </c>
      <c r="E2632">
        <f t="shared" si="330"/>
        <v>0.5495495495495496</v>
      </c>
      <c r="F2632">
        <f t="shared" si="331"/>
        <v>260</v>
      </c>
      <c r="G2632">
        <f t="shared" si="332"/>
        <v>142.88288288288288</v>
      </c>
      <c r="H2632" t="str">
        <f>_xlfn.XLOOKUP(A2632,Fact_Events!$D$2:$D$20,Fact_Events!$A$2:$A$20, "")</f>
        <v/>
      </c>
      <c r="I2632">
        <f t="shared" si="333"/>
        <v>0</v>
      </c>
      <c r="J2632" t="str">
        <f>_xlfn.XLOOKUP(H2632, Fact_Events!$A$2:$A$20, Fact_Events!$F$2:$F$20, "")</f>
        <v/>
      </c>
      <c r="K2632" t="str">
        <f t="shared" si="334"/>
        <v>Low</v>
      </c>
      <c r="L2632">
        <f t="shared" si="335"/>
        <v>0.55000000000000004</v>
      </c>
      <c r="M2632">
        <f>_xlfn.XLOOKUP(B2632, Dim_Hotel!$A$2:$A$11, Dim_Hotel!$I$2:$I$11)
 + (IF(J2632="",0,J2632)
    * _xlfn.XLOOKUP(B2632, Dim_Hotel!$A$2:$A$11, Dim_Hotel!$J$2:$J$11))</f>
        <v>260</v>
      </c>
    </row>
    <row r="2633" spans="1:13" x14ac:dyDescent="0.25">
      <c r="A2633" s="1">
        <f t="shared" si="328"/>
        <v>46286</v>
      </c>
      <c r="B2633" t="str" cm="1">
        <f t="array" ref="B2633">INDEX(HotelList,MOD(ROW()-2,10)+1)</f>
        <v>H002</v>
      </c>
      <c r="C2633">
        <f>_xlfn.XLOOKUP(B2633,Dim_Hotel!$A$2:$A$11,Dim_Hotel!$F$2:$F$11)</f>
        <v>147</v>
      </c>
      <c r="D2633">
        <f t="shared" si="329"/>
        <v>81</v>
      </c>
      <c r="E2633">
        <f t="shared" si="330"/>
        <v>0.55102040816326525</v>
      </c>
      <c r="F2633">
        <f t="shared" si="331"/>
        <v>175</v>
      </c>
      <c r="G2633">
        <f t="shared" si="332"/>
        <v>96.428571428571416</v>
      </c>
      <c r="H2633" t="str">
        <f>_xlfn.XLOOKUP(A2633,Fact_Events!$D$2:$D$20,Fact_Events!$A$2:$A$20, "")</f>
        <v/>
      </c>
      <c r="I2633">
        <f t="shared" si="333"/>
        <v>0</v>
      </c>
      <c r="J2633" t="str">
        <f>_xlfn.XLOOKUP(H2633, Fact_Events!$A$2:$A$20, Fact_Events!$F$2:$F$20, "")</f>
        <v/>
      </c>
      <c r="K2633" t="str">
        <f t="shared" si="334"/>
        <v>Low</v>
      </c>
      <c r="L2633">
        <f t="shared" si="335"/>
        <v>0.55000000000000004</v>
      </c>
      <c r="M2633">
        <f>_xlfn.XLOOKUP(B2633, Dim_Hotel!$A$2:$A$11, Dim_Hotel!$I$2:$I$11)
 + (IF(J2633="",0,J2633)
    * _xlfn.XLOOKUP(B2633, Dim_Hotel!$A$2:$A$11, Dim_Hotel!$J$2:$J$11))</f>
        <v>175</v>
      </c>
    </row>
    <row r="2634" spans="1:13" x14ac:dyDescent="0.25">
      <c r="A2634" s="1">
        <f t="shared" si="328"/>
        <v>46286</v>
      </c>
      <c r="B2634" t="str" cm="1">
        <f t="array" ref="B2634">INDEX(HotelList,MOD(ROW()-2,10)+1)</f>
        <v>H003</v>
      </c>
      <c r="C2634">
        <f>_xlfn.XLOOKUP(B2634,Dim_Hotel!$A$2:$A$11,Dim_Hotel!$F$2:$F$11)</f>
        <v>121</v>
      </c>
      <c r="D2634">
        <f t="shared" si="329"/>
        <v>67</v>
      </c>
      <c r="E2634">
        <f t="shared" si="330"/>
        <v>0.55371900826446285</v>
      </c>
      <c r="F2634">
        <f t="shared" si="331"/>
        <v>145</v>
      </c>
      <c r="G2634">
        <f t="shared" si="332"/>
        <v>80.289256198347118</v>
      </c>
      <c r="H2634" t="str">
        <f>_xlfn.XLOOKUP(A2634,Fact_Events!$D$2:$D$20,Fact_Events!$A$2:$A$20, "")</f>
        <v/>
      </c>
      <c r="I2634">
        <f t="shared" si="333"/>
        <v>0</v>
      </c>
      <c r="J2634" t="str">
        <f>_xlfn.XLOOKUP(H2634, Fact_Events!$A$2:$A$20, Fact_Events!$F$2:$F$20, "")</f>
        <v/>
      </c>
      <c r="K2634" t="str">
        <f t="shared" si="334"/>
        <v>Low</v>
      </c>
      <c r="L2634">
        <f t="shared" si="335"/>
        <v>0.55000000000000004</v>
      </c>
      <c r="M2634">
        <f>_xlfn.XLOOKUP(B2634, Dim_Hotel!$A$2:$A$11, Dim_Hotel!$I$2:$I$11)
 + (IF(J2634="",0,J2634)
    * _xlfn.XLOOKUP(B2634, Dim_Hotel!$A$2:$A$11, Dim_Hotel!$J$2:$J$11))</f>
        <v>145</v>
      </c>
    </row>
    <row r="2635" spans="1:13" x14ac:dyDescent="0.25">
      <c r="A2635" s="1">
        <f t="shared" si="328"/>
        <v>46286</v>
      </c>
      <c r="B2635" t="str" cm="1">
        <f t="array" ref="B2635">INDEX(HotelList,MOD(ROW()-2,10)+1)</f>
        <v>H004</v>
      </c>
      <c r="C2635">
        <f>_xlfn.XLOOKUP(B2635,Dim_Hotel!$A$2:$A$11,Dim_Hotel!$F$2:$F$11)</f>
        <v>108</v>
      </c>
      <c r="D2635">
        <f t="shared" si="329"/>
        <v>59</v>
      </c>
      <c r="E2635">
        <f t="shared" si="330"/>
        <v>0.54629629629629628</v>
      </c>
      <c r="F2635">
        <f t="shared" si="331"/>
        <v>135</v>
      </c>
      <c r="G2635">
        <f t="shared" si="332"/>
        <v>73.75</v>
      </c>
      <c r="H2635" t="str">
        <f>_xlfn.XLOOKUP(A2635,Fact_Events!$D$2:$D$20,Fact_Events!$A$2:$A$20, "")</f>
        <v/>
      </c>
      <c r="I2635">
        <f t="shared" si="333"/>
        <v>0</v>
      </c>
      <c r="J2635" t="str">
        <f>_xlfn.XLOOKUP(H2635, Fact_Events!$A$2:$A$20, Fact_Events!$F$2:$F$20, "")</f>
        <v/>
      </c>
      <c r="K2635" t="str">
        <f t="shared" si="334"/>
        <v>Low</v>
      </c>
      <c r="L2635">
        <f t="shared" si="335"/>
        <v>0.55000000000000004</v>
      </c>
      <c r="M2635">
        <f>_xlfn.XLOOKUP(B2635, Dim_Hotel!$A$2:$A$11, Dim_Hotel!$I$2:$I$11)
 + (IF(J2635="",0,J2635)
    * _xlfn.XLOOKUP(B2635, Dim_Hotel!$A$2:$A$11, Dim_Hotel!$J$2:$J$11))</f>
        <v>135</v>
      </c>
    </row>
    <row r="2636" spans="1:13" x14ac:dyDescent="0.25">
      <c r="A2636" s="1">
        <f t="shared" si="328"/>
        <v>46286</v>
      </c>
      <c r="B2636" t="str" cm="1">
        <f t="array" ref="B2636">INDEX(HotelList,MOD(ROW()-2,10)+1)</f>
        <v>H005</v>
      </c>
      <c r="C2636">
        <f>_xlfn.XLOOKUP(B2636,Dim_Hotel!$A$2:$A$11,Dim_Hotel!$F$2:$F$11)</f>
        <v>66</v>
      </c>
      <c r="D2636">
        <f t="shared" si="329"/>
        <v>36</v>
      </c>
      <c r="E2636">
        <f t="shared" si="330"/>
        <v>0.54545454545454541</v>
      </c>
      <c r="F2636">
        <f t="shared" si="331"/>
        <v>82</v>
      </c>
      <c r="G2636">
        <f t="shared" si="332"/>
        <v>44.727272727272727</v>
      </c>
      <c r="H2636" t="str">
        <f>_xlfn.XLOOKUP(A2636,Fact_Events!$D$2:$D$20,Fact_Events!$A$2:$A$20, "")</f>
        <v/>
      </c>
      <c r="I2636">
        <f t="shared" si="333"/>
        <v>0</v>
      </c>
      <c r="J2636" t="str">
        <f>_xlfn.XLOOKUP(H2636, Fact_Events!$A$2:$A$20, Fact_Events!$F$2:$F$20, "")</f>
        <v/>
      </c>
      <c r="K2636" t="str">
        <f t="shared" si="334"/>
        <v>Low</v>
      </c>
      <c r="L2636">
        <f t="shared" si="335"/>
        <v>0.55000000000000004</v>
      </c>
      <c r="M2636">
        <f>_xlfn.XLOOKUP(B2636, Dim_Hotel!$A$2:$A$11, Dim_Hotel!$I$2:$I$11)
 + (IF(J2636="",0,J2636)
    * _xlfn.XLOOKUP(B2636, Dim_Hotel!$A$2:$A$11, Dim_Hotel!$J$2:$J$11))</f>
        <v>82</v>
      </c>
    </row>
    <row r="2637" spans="1:13" x14ac:dyDescent="0.25">
      <c r="A2637" s="1">
        <f t="shared" si="328"/>
        <v>46286</v>
      </c>
      <c r="B2637" t="str" cm="1">
        <f t="array" ref="B2637">INDEX(HotelList,MOD(ROW()-2,10)+1)</f>
        <v>H006</v>
      </c>
      <c r="C2637">
        <f>_xlfn.XLOOKUP(B2637,Dim_Hotel!$A$2:$A$11,Dim_Hotel!$F$2:$F$11)</f>
        <v>311</v>
      </c>
      <c r="D2637">
        <f t="shared" si="329"/>
        <v>171</v>
      </c>
      <c r="E2637">
        <f t="shared" si="330"/>
        <v>0.54983922829581988</v>
      </c>
      <c r="F2637">
        <f t="shared" si="331"/>
        <v>190</v>
      </c>
      <c r="G2637">
        <f t="shared" si="332"/>
        <v>104.46945337620578</v>
      </c>
      <c r="H2637" t="str">
        <f>_xlfn.XLOOKUP(A2637,Fact_Events!$D$2:$D$20,Fact_Events!$A$2:$A$20, "")</f>
        <v/>
      </c>
      <c r="I2637">
        <f t="shared" si="333"/>
        <v>0</v>
      </c>
      <c r="J2637" t="str">
        <f>_xlfn.XLOOKUP(H2637, Fact_Events!$A$2:$A$20, Fact_Events!$F$2:$F$20, "")</f>
        <v/>
      </c>
      <c r="K2637" t="str">
        <f t="shared" si="334"/>
        <v>Low</v>
      </c>
      <c r="L2637">
        <f t="shared" si="335"/>
        <v>0.55000000000000004</v>
      </c>
      <c r="M2637">
        <f>_xlfn.XLOOKUP(B2637, Dim_Hotel!$A$2:$A$11, Dim_Hotel!$I$2:$I$11)
 + (IF(J2637="",0,J2637)
    * _xlfn.XLOOKUP(B2637, Dim_Hotel!$A$2:$A$11, Dim_Hotel!$J$2:$J$11))</f>
        <v>190</v>
      </c>
    </row>
    <row r="2638" spans="1:13" x14ac:dyDescent="0.25">
      <c r="A2638" s="1">
        <f t="shared" si="328"/>
        <v>46286</v>
      </c>
      <c r="B2638" t="str" cm="1">
        <f t="array" ref="B2638">INDEX(HotelList,MOD(ROW()-2,10)+1)</f>
        <v>H007</v>
      </c>
      <c r="C2638">
        <f>_xlfn.XLOOKUP(B2638,Dim_Hotel!$A$2:$A$11,Dim_Hotel!$F$2:$F$11)</f>
        <v>132</v>
      </c>
      <c r="D2638">
        <f t="shared" si="329"/>
        <v>73</v>
      </c>
      <c r="E2638">
        <f t="shared" si="330"/>
        <v>0.55303030303030298</v>
      </c>
      <c r="F2638">
        <f t="shared" si="331"/>
        <v>165</v>
      </c>
      <c r="G2638">
        <f t="shared" si="332"/>
        <v>91.249999999999986</v>
      </c>
      <c r="H2638" t="str">
        <f>_xlfn.XLOOKUP(A2638,Fact_Events!$D$2:$D$20,Fact_Events!$A$2:$A$20, "")</f>
        <v/>
      </c>
      <c r="I2638">
        <f t="shared" si="333"/>
        <v>0</v>
      </c>
      <c r="J2638" t="str">
        <f>_xlfn.XLOOKUP(H2638, Fact_Events!$A$2:$A$20, Fact_Events!$F$2:$F$20, "")</f>
        <v/>
      </c>
      <c r="K2638" t="str">
        <f t="shared" si="334"/>
        <v>Low</v>
      </c>
      <c r="L2638">
        <f t="shared" si="335"/>
        <v>0.55000000000000004</v>
      </c>
      <c r="M2638">
        <f>_xlfn.XLOOKUP(B2638, Dim_Hotel!$A$2:$A$11, Dim_Hotel!$I$2:$I$11)
 + (IF(J2638="",0,J2638)
    * _xlfn.XLOOKUP(B2638, Dim_Hotel!$A$2:$A$11, Dim_Hotel!$J$2:$J$11))</f>
        <v>165</v>
      </c>
    </row>
    <row r="2639" spans="1:13" x14ac:dyDescent="0.25">
      <c r="A2639" s="1">
        <f t="shared" si="328"/>
        <v>46286</v>
      </c>
      <c r="B2639" t="str" cm="1">
        <f t="array" ref="B2639">INDEX(HotelList,MOD(ROW()-2,10)+1)</f>
        <v>H008</v>
      </c>
      <c r="C2639">
        <f>_xlfn.XLOOKUP(B2639,Dim_Hotel!$A$2:$A$11,Dim_Hotel!$F$2:$F$11)</f>
        <v>103</v>
      </c>
      <c r="D2639">
        <f t="shared" si="329"/>
        <v>57</v>
      </c>
      <c r="E2639">
        <f t="shared" si="330"/>
        <v>0.55339805825242716</v>
      </c>
      <c r="F2639">
        <f t="shared" si="331"/>
        <v>140</v>
      </c>
      <c r="G2639">
        <f t="shared" si="332"/>
        <v>77.475728155339809</v>
      </c>
      <c r="H2639" t="str">
        <f>_xlfn.XLOOKUP(A2639,Fact_Events!$D$2:$D$20,Fact_Events!$A$2:$A$20, "")</f>
        <v/>
      </c>
      <c r="I2639">
        <f t="shared" si="333"/>
        <v>0</v>
      </c>
      <c r="J2639" t="str">
        <f>_xlfn.XLOOKUP(H2639, Fact_Events!$A$2:$A$20, Fact_Events!$F$2:$F$20, "")</f>
        <v/>
      </c>
      <c r="K2639" t="str">
        <f t="shared" si="334"/>
        <v>Low</v>
      </c>
      <c r="L2639">
        <f t="shared" si="335"/>
        <v>0.55000000000000004</v>
      </c>
      <c r="M2639">
        <f>_xlfn.XLOOKUP(B2639, Dim_Hotel!$A$2:$A$11, Dim_Hotel!$I$2:$I$11)
 + (IF(J2639="",0,J2639)
    * _xlfn.XLOOKUP(B2639, Dim_Hotel!$A$2:$A$11, Dim_Hotel!$J$2:$J$11))</f>
        <v>140</v>
      </c>
    </row>
    <row r="2640" spans="1:13" x14ac:dyDescent="0.25">
      <c r="A2640" s="1">
        <f t="shared" si="328"/>
        <v>46286</v>
      </c>
      <c r="B2640" t="str" cm="1">
        <f t="array" ref="B2640">INDEX(HotelList,MOD(ROW()-2,10)+1)</f>
        <v>H009</v>
      </c>
      <c r="C2640">
        <f>_xlfn.XLOOKUP(B2640,Dim_Hotel!$A$2:$A$11,Dim_Hotel!$F$2:$F$11)</f>
        <v>114</v>
      </c>
      <c r="D2640">
        <f t="shared" si="329"/>
        <v>63</v>
      </c>
      <c r="E2640">
        <f t="shared" si="330"/>
        <v>0.55263157894736847</v>
      </c>
      <c r="F2640">
        <f t="shared" si="331"/>
        <v>185</v>
      </c>
      <c r="G2640">
        <f t="shared" si="332"/>
        <v>102.23684210526316</v>
      </c>
      <c r="H2640" t="str">
        <f>_xlfn.XLOOKUP(A2640,Fact_Events!$D$2:$D$20,Fact_Events!$A$2:$A$20, "")</f>
        <v/>
      </c>
      <c r="I2640">
        <f t="shared" si="333"/>
        <v>0</v>
      </c>
      <c r="J2640" t="str">
        <f>_xlfn.XLOOKUP(H2640, Fact_Events!$A$2:$A$20, Fact_Events!$F$2:$F$20, "")</f>
        <v/>
      </c>
      <c r="K2640" t="str">
        <f t="shared" si="334"/>
        <v>Low</v>
      </c>
      <c r="L2640">
        <f t="shared" si="335"/>
        <v>0.55000000000000004</v>
      </c>
      <c r="M2640">
        <f>_xlfn.XLOOKUP(B2640, Dim_Hotel!$A$2:$A$11, Dim_Hotel!$I$2:$I$11)
 + (IF(J2640="",0,J2640)
    * _xlfn.XLOOKUP(B2640, Dim_Hotel!$A$2:$A$11, Dim_Hotel!$J$2:$J$11))</f>
        <v>185</v>
      </c>
    </row>
    <row r="2641" spans="1:13" x14ac:dyDescent="0.25">
      <c r="A2641" s="1">
        <f t="shared" si="328"/>
        <v>46286</v>
      </c>
      <c r="B2641" t="str" cm="1">
        <f t="array" ref="B2641">INDEX(HotelList,MOD(ROW()-2,10)+1)</f>
        <v>H010</v>
      </c>
      <c r="C2641">
        <f>_xlfn.XLOOKUP(B2641,Dim_Hotel!$A$2:$A$11,Dim_Hotel!$F$2:$F$11)</f>
        <v>89</v>
      </c>
      <c r="D2641">
        <f t="shared" si="329"/>
        <v>49</v>
      </c>
      <c r="E2641">
        <f t="shared" si="330"/>
        <v>0.550561797752809</v>
      </c>
      <c r="F2641">
        <f t="shared" si="331"/>
        <v>150</v>
      </c>
      <c r="G2641">
        <f t="shared" si="332"/>
        <v>82.584269662921344</v>
      </c>
      <c r="H2641" t="str">
        <f>_xlfn.XLOOKUP(A2641,Fact_Events!$D$2:$D$20,Fact_Events!$A$2:$A$20, "")</f>
        <v/>
      </c>
      <c r="I2641">
        <f t="shared" si="333"/>
        <v>0</v>
      </c>
      <c r="J2641" t="str">
        <f>_xlfn.XLOOKUP(H2641, Fact_Events!$A$2:$A$20, Fact_Events!$F$2:$F$20, "")</f>
        <v/>
      </c>
      <c r="K2641" t="str">
        <f t="shared" si="334"/>
        <v>Low</v>
      </c>
      <c r="L2641">
        <f t="shared" si="335"/>
        <v>0.55000000000000004</v>
      </c>
      <c r="M2641">
        <f>_xlfn.XLOOKUP(B2641, Dim_Hotel!$A$2:$A$11, Dim_Hotel!$I$2:$I$11)
 + (IF(J2641="",0,J2641)
    * _xlfn.XLOOKUP(B2641, Dim_Hotel!$A$2:$A$11, Dim_Hotel!$J$2:$J$11))</f>
        <v>150</v>
      </c>
    </row>
    <row r="2642" spans="1:13" x14ac:dyDescent="0.25">
      <c r="A2642" s="1">
        <f t="shared" si="328"/>
        <v>46287</v>
      </c>
      <c r="B2642" t="str" cm="1">
        <f t="array" ref="B2642">INDEX(HotelList,MOD(ROW()-2,10)+1)</f>
        <v>H001</v>
      </c>
      <c r="C2642">
        <f>_xlfn.XLOOKUP(B2642,Dim_Hotel!$A$2:$A$11,Dim_Hotel!$F$2:$F$11)</f>
        <v>888</v>
      </c>
      <c r="D2642">
        <f t="shared" si="329"/>
        <v>488</v>
      </c>
      <c r="E2642">
        <f t="shared" si="330"/>
        <v>0.5495495495495496</v>
      </c>
      <c r="F2642">
        <f t="shared" si="331"/>
        <v>260</v>
      </c>
      <c r="G2642">
        <f t="shared" si="332"/>
        <v>142.88288288288288</v>
      </c>
      <c r="H2642" t="str">
        <f>_xlfn.XLOOKUP(A2642,Fact_Events!$D$2:$D$20,Fact_Events!$A$2:$A$20, "")</f>
        <v/>
      </c>
      <c r="I2642">
        <f t="shared" si="333"/>
        <v>0</v>
      </c>
      <c r="J2642" t="str">
        <f>_xlfn.XLOOKUP(H2642, Fact_Events!$A$2:$A$20, Fact_Events!$F$2:$F$20, "")</f>
        <v/>
      </c>
      <c r="K2642" t="str">
        <f t="shared" si="334"/>
        <v>Low</v>
      </c>
      <c r="L2642">
        <f t="shared" si="335"/>
        <v>0.55000000000000004</v>
      </c>
      <c r="M2642">
        <f>_xlfn.XLOOKUP(B2642, Dim_Hotel!$A$2:$A$11, Dim_Hotel!$I$2:$I$11)
 + (IF(J2642="",0,J2642)
    * _xlfn.XLOOKUP(B2642, Dim_Hotel!$A$2:$A$11, Dim_Hotel!$J$2:$J$11))</f>
        <v>260</v>
      </c>
    </row>
    <row r="2643" spans="1:13" x14ac:dyDescent="0.25">
      <c r="A2643" s="1">
        <f t="shared" si="328"/>
        <v>46287</v>
      </c>
      <c r="B2643" t="str" cm="1">
        <f t="array" ref="B2643">INDEX(HotelList,MOD(ROW()-2,10)+1)</f>
        <v>H002</v>
      </c>
      <c r="C2643">
        <f>_xlfn.XLOOKUP(B2643,Dim_Hotel!$A$2:$A$11,Dim_Hotel!$F$2:$F$11)</f>
        <v>147</v>
      </c>
      <c r="D2643">
        <f t="shared" si="329"/>
        <v>81</v>
      </c>
      <c r="E2643">
        <f t="shared" si="330"/>
        <v>0.55102040816326525</v>
      </c>
      <c r="F2643">
        <f t="shared" si="331"/>
        <v>175</v>
      </c>
      <c r="G2643">
        <f t="shared" si="332"/>
        <v>96.428571428571416</v>
      </c>
      <c r="H2643" t="str">
        <f>_xlfn.XLOOKUP(A2643,Fact_Events!$D$2:$D$20,Fact_Events!$A$2:$A$20, "")</f>
        <v/>
      </c>
      <c r="I2643">
        <f t="shared" si="333"/>
        <v>0</v>
      </c>
      <c r="J2643" t="str">
        <f>_xlfn.XLOOKUP(H2643, Fact_Events!$A$2:$A$20, Fact_Events!$F$2:$F$20, "")</f>
        <v/>
      </c>
      <c r="K2643" t="str">
        <f t="shared" si="334"/>
        <v>Low</v>
      </c>
      <c r="L2643">
        <f t="shared" si="335"/>
        <v>0.55000000000000004</v>
      </c>
      <c r="M2643">
        <f>_xlfn.XLOOKUP(B2643, Dim_Hotel!$A$2:$A$11, Dim_Hotel!$I$2:$I$11)
 + (IF(J2643="",0,J2643)
    * _xlfn.XLOOKUP(B2643, Dim_Hotel!$A$2:$A$11, Dim_Hotel!$J$2:$J$11))</f>
        <v>175</v>
      </c>
    </row>
    <row r="2644" spans="1:13" x14ac:dyDescent="0.25">
      <c r="A2644" s="1">
        <f t="shared" si="328"/>
        <v>46287</v>
      </c>
      <c r="B2644" t="str" cm="1">
        <f t="array" ref="B2644">INDEX(HotelList,MOD(ROW()-2,10)+1)</f>
        <v>H003</v>
      </c>
      <c r="C2644">
        <f>_xlfn.XLOOKUP(B2644,Dim_Hotel!$A$2:$A$11,Dim_Hotel!$F$2:$F$11)</f>
        <v>121</v>
      </c>
      <c r="D2644">
        <f t="shared" si="329"/>
        <v>67</v>
      </c>
      <c r="E2644">
        <f t="shared" si="330"/>
        <v>0.55371900826446285</v>
      </c>
      <c r="F2644">
        <f t="shared" si="331"/>
        <v>145</v>
      </c>
      <c r="G2644">
        <f t="shared" si="332"/>
        <v>80.289256198347118</v>
      </c>
      <c r="H2644" t="str">
        <f>_xlfn.XLOOKUP(A2644,Fact_Events!$D$2:$D$20,Fact_Events!$A$2:$A$20, "")</f>
        <v/>
      </c>
      <c r="I2644">
        <f t="shared" si="333"/>
        <v>0</v>
      </c>
      <c r="J2644" t="str">
        <f>_xlfn.XLOOKUP(H2644, Fact_Events!$A$2:$A$20, Fact_Events!$F$2:$F$20, "")</f>
        <v/>
      </c>
      <c r="K2644" t="str">
        <f t="shared" si="334"/>
        <v>Low</v>
      </c>
      <c r="L2644">
        <f t="shared" si="335"/>
        <v>0.55000000000000004</v>
      </c>
      <c r="M2644">
        <f>_xlfn.XLOOKUP(B2644, Dim_Hotel!$A$2:$A$11, Dim_Hotel!$I$2:$I$11)
 + (IF(J2644="",0,J2644)
    * _xlfn.XLOOKUP(B2644, Dim_Hotel!$A$2:$A$11, Dim_Hotel!$J$2:$J$11))</f>
        <v>145</v>
      </c>
    </row>
    <row r="2645" spans="1:13" x14ac:dyDescent="0.25">
      <c r="A2645" s="1">
        <f t="shared" si="328"/>
        <v>46287</v>
      </c>
      <c r="B2645" t="str" cm="1">
        <f t="array" ref="B2645">INDEX(HotelList,MOD(ROW()-2,10)+1)</f>
        <v>H004</v>
      </c>
      <c r="C2645">
        <f>_xlfn.XLOOKUP(B2645,Dim_Hotel!$A$2:$A$11,Dim_Hotel!$F$2:$F$11)</f>
        <v>108</v>
      </c>
      <c r="D2645">
        <f t="shared" si="329"/>
        <v>59</v>
      </c>
      <c r="E2645">
        <f t="shared" si="330"/>
        <v>0.54629629629629628</v>
      </c>
      <c r="F2645">
        <f t="shared" si="331"/>
        <v>135</v>
      </c>
      <c r="G2645">
        <f t="shared" si="332"/>
        <v>73.75</v>
      </c>
      <c r="H2645" t="str">
        <f>_xlfn.XLOOKUP(A2645,Fact_Events!$D$2:$D$20,Fact_Events!$A$2:$A$20, "")</f>
        <v/>
      </c>
      <c r="I2645">
        <f t="shared" si="333"/>
        <v>0</v>
      </c>
      <c r="J2645" t="str">
        <f>_xlfn.XLOOKUP(H2645, Fact_Events!$A$2:$A$20, Fact_Events!$F$2:$F$20, "")</f>
        <v/>
      </c>
      <c r="K2645" t="str">
        <f t="shared" si="334"/>
        <v>Low</v>
      </c>
      <c r="L2645">
        <f t="shared" si="335"/>
        <v>0.55000000000000004</v>
      </c>
      <c r="M2645">
        <f>_xlfn.XLOOKUP(B2645, Dim_Hotel!$A$2:$A$11, Dim_Hotel!$I$2:$I$11)
 + (IF(J2645="",0,J2645)
    * _xlfn.XLOOKUP(B2645, Dim_Hotel!$A$2:$A$11, Dim_Hotel!$J$2:$J$11))</f>
        <v>135</v>
      </c>
    </row>
    <row r="2646" spans="1:13" x14ac:dyDescent="0.25">
      <c r="A2646" s="1">
        <f t="shared" si="328"/>
        <v>46287</v>
      </c>
      <c r="B2646" t="str" cm="1">
        <f t="array" ref="B2646">INDEX(HotelList,MOD(ROW()-2,10)+1)</f>
        <v>H005</v>
      </c>
      <c r="C2646">
        <f>_xlfn.XLOOKUP(B2646,Dim_Hotel!$A$2:$A$11,Dim_Hotel!$F$2:$F$11)</f>
        <v>66</v>
      </c>
      <c r="D2646">
        <f t="shared" si="329"/>
        <v>36</v>
      </c>
      <c r="E2646">
        <f t="shared" si="330"/>
        <v>0.54545454545454541</v>
      </c>
      <c r="F2646">
        <f t="shared" si="331"/>
        <v>82</v>
      </c>
      <c r="G2646">
        <f t="shared" si="332"/>
        <v>44.727272727272727</v>
      </c>
      <c r="H2646" t="str">
        <f>_xlfn.XLOOKUP(A2646,Fact_Events!$D$2:$D$20,Fact_Events!$A$2:$A$20, "")</f>
        <v/>
      </c>
      <c r="I2646">
        <f t="shared" si="333"/>
        <v>0</v>
      </c>
      <c r="J2646" t="str">
        <f>_xlfn.XLOOKUP(H2646, Fact_Events!$A$2:$A$20, Fact_Events!$F$2:$F$20, "")</f>
        <v/>
      </c>
      <c r="K2646" t="str">
        <f t="shared" si="334"/>
        <v>Low</v>
      </c>
      <c r="L2646">
        <f t="shared" si="335"/>
        <v>0.55000000000000004</v>
      </c>
      <c r="M2646">
        <f>_xlfn.XLOOKUP(B2646, Dim_Hotel!$A$2:$A$11, Dim_Hotel!$I$2:$I$11)
 + (IF(J2646="",0,J2646)
    * _xlfn.XLOOKUP(B2646, Dim_Hotel!$A$2:$A$11, Dim_Hotel!$J$2:$J$11))</f>
        <v>82</v>
      </c>
    </row>
    <row r="2647" spans="1:13" x14ac:dyDescent="0.25">
      <c r="A2647" s="1">
        <f t="shared" si="328"/>
        <v>46287</v>
      </c>
      <c r="B2647" t="str" cm="1">
        <f t="array" ref="B2647">INDEX(HotelList,MOD(ROW()-2,10)+1)</f>
        <v>H006</v>
      </c>
      <c r="C2647">
        <f>_xlfn.XLOOKUP(B2647,Dim_Hotel!$A$2:$A$11,Dim_Hotel!$F$2:$F$11)</f>
        <v>311</v>
      </c>
      <c r="D2647">
        <f t="shared" si="329"/>
        <v>171</v>
      </c>
      <c r="E2647">
        <f t="shared" si="330"/>
        <v>0.54983922829581988</v>
      </c>
      <c r="F2647">
        <f t="shared" si="331"/>
        <v>190</v>
      </c>
      <c r="G2647">
        <f t="shared" si="332"/>
        <v>104.46945337620578</v>
      </c>
      <c r="H2647" t="str">
        <f>_xlfn.XLOOKUP(A2647,Fact_Events!$D$2:$D$20,Fact_Events!$A$2:$A$20, "")</f>
        <v/>
      </c>
      <c r="I2647">
        <f t="shared" si="333"/>
        <v>0</v>
      </c>
      <c r="J2647" t="str">
        <f>_xlfn.XLOOKUP(H2647, Fact_Events!$A$2:$A$20, Fact_Events!$F$2:$F$20, "")</f>
        <v/>
      </c>
      <c r="K2647" t="str">
        <f t="shared" si="334"/>
        <v>Low</v>
      </c>
      <c r="L2647">
        <f t="shared" si="335"/>
        <v>0.55000000000000004</v>
      </c>
      <c r="M2647">
        <f>_xlfn.XLOOKUP(B2647, Dim_Hotel!$A$2:$A$11, Dim_Hotel!$I$2:$I$11)
 + (IF(J2647="",0,J2647)
    * _xlfn.XLOOKUP(B2647, Dim_Hotel!$A$2:$A$11, Dim_Hotel!$J$2:$J$11))</f>
        <v>190</v>
      </c>
    </row>
    <row r="2648" spans="1:13" x14ac:dyDescent="0.25">
      <c r="A2648" s="1">
        <f t="shared" si="328"/>
        <v>46287</v>
      </c>
      <c r="B2648" t="str" cm="1">
        <f t="array" ref="B2648">INDEX(HotelList,MOD(ROW()-2,10)+1)</f>
        <v>H007</v>
      </c>
      <c r="C2648">
        <f>_xlfn.XLOOKUP(B2648,Dim_Hotel!$A$2:$A$11,Dim_Hotel!$F$2:$F$11)</f>
        <v>132</v>
      </c>
      <c r="D2648">
        <f t="shared" si="329"/>
        <v>73</v>
      </c>
      <c r="E2648">
        <f t="shared" si="330"/>
        <v>0.55303030303030298</v>
      </c>
      <c r="F2648">
        <f t="shared" si="331"/>
        <v>165</v>
      </c>
      <c r="G2648">
        <f t="shared" si="332"/>
        <v>91.249999999999986</v>
      </c>
      <c r="H2648" t="str">
        <f>_xlfn.XLOOKUP(A2648,Fact_Events!$D$2:$D$20,Fact_Events!$A$2:$A$20, "")</f>
        <v/>
      </c>
      <c r="I2648">
        <f t="shared" si="333"/>
        <v>0</v>
      </c>
      <c r="J2648" t="str">
        <f>_xlfn.XLOOKUP(H2648, Fact_Events!$A$2:$A$20, Fact_Events!$F$2:$F$20, "")</f>
        <v/>
      </c>
      <c r="K2648" t="str">
        <f t="shared" si="334"/>
        <v>Low</v>
      </c>
      <c r="L2648">
        <f t="shared" si="335"/>
        <v>0.55000000000000004</v>
      </c>
      <c r="M2648">
        <f>_xlfn.XLOOKUP(B2648, Dim_Hotel!$A$2:$A$11, Dim_Hotel!$I$2:$I$11)
 + (IF(J2648="",0,J2648)
    * _xlfn.XLOOKUP(B2648, Dim_Hotel!$A$2:$A$11, Dim_Hotel!$J$2:$J$11))</f>
        <v>165</v>
      </c>
    </row>
    <row r="2649" spans="1:13" x14ac:dyDescent="0.25">
      <c r="A2649" s="1">
        <f t="shared" si="328"/>
        <v>46287</v>
      </c>
      <c r="B2649" t="str" cm="1">
        <f t="array" ref="B2649">INDEX(HotelList,MOD(ROW()-2,10)+1)</f>
        <v>H008</v>
      </c>
      <c r="C2649">
        <f>_xlfn.XLOOKUP(B2649,Dim_Hotel!$A$2:$A$11,Dim_Hotel!$F$2:$F$11)</f>
        <v>103</v>
      </c>
      <c r="D2649">
        <f t="shared" si="329"/>
        <v>57</v>
      </c>
      <c r="E2649">
        <f t="shared" si="330"/>
        <v>0.55339805825242716</v>
      </c>
      <c r="F2649">
        <f t="shared" si="331"/>
        <v>140</v>
      </c>
      <c r="G2649">
        <f t="shared" si="332"/>
        <v>77.475728155339809</v>
      </c>
      <c r="H2649" t="str">
        <f>_xlfn.XLOOKUP(A2649,Fact_Events!$D$2:$D$20,Fact_Events!$A$2:$A$20, "")</f>
        <v/>
      </c>
      <c r="I2649">
        <f t="shared" si="333"/>
        <v>0</v>
      </c>
      <c r="J2649" t="str">
        <f>_xlfn.XLOOKUP(H2649, Fact_Events!$A$2:$A$20, Fact_Events!$F$2:$F$20, "")</f>
        <v/>
      </c>
      <c r="K2649" t="str">
        <f t="shared" si="334"/>
        <v>Low</v>
      </c>
      <c r="L2649">
        <f t="shared" si="335"/>
        <v>0.55000000000000004</v>
      </c>
      <c r="M2649">
        <f>_xlfn.XLOOKUP(B2649, Dim_Hotel!$A$2:$A$11, Dim_Hotel!$I$2:$I$11)
 + (IF(J2649="",0,J2649)
    * _xlfn.XLOOKUP(B2649, Dim_Hotel!$A$2:$A$11, Dim_Hotel!$J$2:$J$11))</f>
        <v>140</v>
      </c>
    </row>
    <row r="2650" spans="1:13" x14ac:dyDescent="0.25">
      <c r="A2650" s="1">
        <f t="shared" si="328"/>
        <v>46287</v>
      </c>
      <c r="B2650" t="str" cm="1">
        <f t="array" ref="B2650">INDEX(HotelList,MOD(ROW()-2,10)+1)</f>
        <v>H009</v>
      </c>
      <c r="C2650">
        <f>_xlfn.XLOOKUP(B2650,Dim_Hotel!$A$2:$A$11,Dim_Hotel!$F$2:$F$11)</f>
        <v>114</v>
      </c>
      <c r="D2650">
        <f t="shared" si="329"/>
        <v>63</v>
      </c>
      <c r="E2650">
        <f t="shared" si="330"/>
        <v>0.55263157894736847</v>
      </c>
      <c r="F2650">
        <f t="shared" si="331"/>
        <v>185</v>
      </c>
      <c r="G2650">
        <f t="shared" si="332"/>
        <v>102.23684210526316</v>
      </c>
      <c r="H2650" t="str">
        <f>_xlfn.XLOOKUP(A2650,Fact_Events!$D$2:$D$20,Fact_Events!$A$2:$A$20, "")</f>
        <v/>
      </c>
      <c r="I2650">
        <f t="shared" si="333"/>
        <v>0</v>
      </c>
      <c r="J2650" t="str">
        <f>_xlfn.XLOOKUP(H2650, Fact_Events!$A$2:$A$20, Fact_Events!$F$2:$F$20, "")</f>
        <v/>
      </c>
      <c r="K2650" t="str">
        <f t="shared" si="334"/>
        <v>Low</v>
      </c>
      <c r="L2650">
        <f t="shared" si="335"/>
        <v>0.55000000000000004</v>
      </c>
      <c r="M2650">
        <f>_xlfn.XLOOKUP(B2650, Dim_Hotel!$A$2:$A$11, Dim_Hotel!$I$2:$I$11)
 + (IF(J2650="",0,J2650)
    * _xlfn.XLOOKUP(B2650, Dim_Hotel!$A$2:$A$11, Dim_Hotel!$J$2:$J$11))</f>
        <v>185</v>
      </c>
    </row>
    <row r="2651" spans="1:13" x14ac:dyDescent="0.25">
      <c r="A2651" s="1">
        <f t="shared" si="328"/>
        <v>46287</v>
      </c>
      <c r="B2651" t="str" cm="1">
        <f t="array" ref="B2651">INDEX(HotelList,MOD(ROW()-2,10)+1)</f>
        <v>H010</v>
      </c>
      <c r="C2651">
        <f>_xlfn.XLOOKUP(B2651,Dim_Hotel!$A$2:$A$11,Dim_Hotel!$F$2:$F$11)</f>
        <v>89</v>
      </c>
      <c r="D2651">
        <f t="shared" si="329"/>
        <v>49</v>
      </c>
      <c r="E2651">
        <f t="shared" si="330"/>
        <v>0.550561797752809</v>
      </c>
      <c r="F2651">
        <f t="shared" si="331"/>
        <v>150</v>
      </c>
      <c r="G2651">
        <f t="shared" si="332"/>
        <v>82.584269662921344</v>
      </c>
      <c r="H2651" t="str">
        <f>_xlfn.XLOOKUP(A2651,Fact_Events!$D$2:$D$20,Fact_Events!$A$2:$A$20, "")</f>
        <v/>
      </c>
      <c r="I2651">
        <f t="shared" si="333"/>
        <v>0</v>
      </c>
      <c r="J2651" t="str">
        <f>_xlfn.XLOOKUP(H2651, Fact_Events!$A$2:$A$20, Fact_Events!$F$2:$F$20, "")</f>
        <v/>
      </c>
      <c r="K2651" t="str">
        <f t="shared" si="334"/>
        <v>Low</v>
      </c>
      <c r="L2651">
        <f t="shared" si="335"/>
        <v>0.55000000000000004</v>
      </c>
      <c r="M2651">
        <f>_xlfn.XLOOKUP(B2651, Dim_Hotel!$A$2:$A$11, Dim_Hotel!$I$2:$I$11)
 + (IF(J2651="",0,J2651)
    * _xlfn.XLOOKUP(B2651, Dim_Hotel!$A$2:$A$11, Dim_Hotel!$J$2:$J$11))</f>
        <v>150</v>
      </c>
    </row>
    <row r="2652" spans="1:13" x14ac:dyDescent="0.25">
      <c r="A2652" s="1">
        <f t="shared" si="328"/>
        <v>46288</v>
      </c>
      <c r="B2652" t="str" cm="1">
        <f t="array" ref="B2652">INDEX(HotelList,MOD(ROW()-2,10)+1)</f>
        <v>H001</v>
      </c>
      <c r="C2652">
        <f>_xlfn.XLOOKUP(B2652,Dim_Hotel!$A$2:$A$11,Dim_Hotel!$F$2:$F$11)</f>
        <v>888</v>
      </c>
      <c r="D2652">
        <f t="shared" si="329"/>
        <v>488</v>
      </c>
      <c r="E2652">
        <f t="shared" si="330"/>
        <v>0.5495495495495496</v>
      </c>
      <c r="F2652">
        <f t="shared" si="331"/>
        <v>260</v>
      </c>
      <c r="G2652">
        <f t="shared" si="332"/>
        <v>142.88288288288288</v>
      </c>
      <c r="H2652" t="str">
        <f>_xlfn.XLOOKUP(A2652,Fact_Events!$D$2:$D$20,Fact_Events!$A$2:$A$20, "")</f>
        <v/>
      </c>
      <c r="I2652">
        <f t="shared" si="333"/>
        <v>0</v>
      </c>
      <c r="J2652" t="str">
        <f>_xlfn.XLOOKUP(H2652, Fact_Events!$A$2:$A$20, Fact_Events!$F$2:$F$20, "")</f>
        <v/>
      </c>
      <c r="K2652" t="str">
        <f t="shared" si="334"/>
        <v>Low</v>
      </c>
      <c r="L2652">
        <f t="shared" si="335"/>
        <v>0.55000000000000004</v>
      </c>
      <c r="M2652">
        <f>_xlfn.XLOOKUP(B2652, Dim_Hotel!$A$2:$A$11, Dim_Hotel!$I$2:$I$11)
 + (IF(J2652="",0,J2652)
    * _xlfn.XLOOKUP(B2652, Dim_Hotel!$A$2:$A$11, Dim_Hotel!$J$2:$J$11))</f>
        <v>260</v>
      </c>
    </row>
    <row r="2653" spans="1:13" x14ac:dyDescent="0.25">
      <c r="A2653" s="1">
        <f t="shared" si="328"/>
        <v>46288</v>
      </c>
      <c r="B2653" t="str" cm="1">
        <f t="array" ref="B2653">INDEX(HotelList,MOD(ROW()-2,10)+1)</f>
        <v>H002</v>
      </c>
      <c r="C2653">
        <f>_xlfn.XLOOKUP(B2653,Dim_Hotel!$A$2:$A$11,Dim_Hotel!$F$2:$F$11)</f>
        <v>147</v>
      </c>
      <c r="D2653">
        <f t="shared" si="329"/>
        <v>81</v>
      </c>
      <c r="E2653">
        <f t="shared" si="330"/>
        <v>0.55102040816326525</v>
      </c>
      <c r="F2653">
        <f t="shared" si="331"/>
        <v>175</v>
      </c>
      <c r="G2653">
        <f t="shared" si="332"/>
        <v>96.428571428571416</v>
      </c>
      <c r="H2653" t="str">
        <f>_xlfn.XLOOKUP(A2653,Fact_Events!$D$2:$D$20,Fact_Events!$A$2:$A$20, "")</f>
        <v/>
      </c>
      <c r="I2653">
        <f t="shared" si="333"/>
        <v>0</v>
      </c>
      <c r="J2653" t="str">
        <f>_xlfn.XLOOKUP(H2653, Fact_Events!$A$2:$A$20, Fact_Events!$F$2:$F$20, "")</f>
        <v/>
      </c>
      <c r="K2653" t="str">
        <f t="shared" si="334"/>
        <v>Low</v>
      </c>
      <c r="L2653">
        <f t="shared" si="335"/>
        <v>0.55000000000000004</v>
      </c>
      <c r="M2653">
        <f>_xlfn.XLOOKUP(B2653, Dim_Hotel!$A$2:$A$11, Dim_Hotel!$I$2:$I$11)
 + (IF(J2653="",0,J2653)
    * _xlfn.XLOOKUP(B2653, Dim_Hotel!$A$2:$A$11, Dim_Hotel!$J$2:$J$11))</f>
        <v>175</v>
      </c>
    </row>
    <row r="2654" spans="1:13" x14ac:dyDescent="0.25">
      <c r="A2654" s="1">
        <f t="shared" si="328"/>
        <v>46288</v>
      </c>
      <c r="B2654" t="str" cm="1">
        <f t="array" ref="B2654">INDEX(HotelList,MOD(ROW()-2,10)+1)</f>
        <v>H003</v>
      </c>
      <c r="C2654">
        <f>_xlfn.XLOOKUP(B2654,Dim_Hotel!$A$2:$A$11,Dim_Hotel!$F$2:$F$11)</f>
        <v>121</v>
      </c>
      <c r="D2654">
        <f t="shared" si="329"/>
        <v>67</v>
      </c>
      <c r="E2654">
        <f t="shared" si="330"/>
        <v>0.55371900826446285</v>
      </c>
      <c r="F2654">
        <f t="shared" si="331"/>
        <v>145</v>
      </c>
      <c r="G2654">
        <f t="shared" si="332"/>
        <v>80.289256198347118</v>
      </c>
      <c r="H2654" t="str">
        <f>_xlfn.XLOOKUP(A2654,Fact_Events!$D$2:$D$20,Fact_Events!$A$2:$A$20, "")</f>
        <v/>
      </c>
      <c r="I2654">
        <f t="shared" si="333"/>
        <v>0</v>
      </c>
      <c r="J2654" t="str">
        <f>_xlfn.XLOOKUP(H2654, Fact_Events!$A$2:$A$20, Fact_Events!$F$2:$F$20, "")</f>
        <v/>
      </c>
      <c r="K2654" t="str">
        <f t="shared" si="334"/>
        <v>Low</v>
      </c>
      <c r="L2654">
        <f t="shared" si="335"/>
        <v>0.55000000000000004</v>
      </c>
      <c r="M2654">
        <f>_xlfn.XLOOKUP(B2654, Dim_Hotel!$A$2:$A$11, Dim_Hotel!$I$2:$I$11)
 + (IF(J2654="",0,J2654)
    * _xlfn.XLOOKUP(B2654, Dim_Hotel!$A$2:$A$11, Dim_Hotel!$J$2:$J$11))</f>
        <v>145</v>
      </c>
    </row>
    <row r="2655" spans="1:13" x14ac:dyDescent="0.25">
      <c r="A2655" s="1">
        <f t="shared" si="328"/>
        <v>46288</v>
      </c>
      <c r="B2655" t="str" cm="1">
        <f t="array" ref="B2655">INDEX(HotelList,MOD(ROW()-2,10)+1)</f>
        <v>H004</v>
      </c>
      <c r="C2655">
        <f>_xlfn.XLOOKUP(B2655,Dim_Hotel!$A$2:$A$11,Dim_Hotel!$F$2:$F$11)</f>
        <v>108</v>
      </c>
      <c r="D2655">
        <f t="shared" si="329"/>
        <v>59</v>
      </c>
      <c r="E2655">
        <f t="shared" si="330"/>
        <v>0.54629629629629628</v>
      </c>
      <c r="F2655">
        <f t="shared" si="331"/>
        <v>135</v>
      </c>
      <c r="G2655">
        <f t="shared" si="332"/>
        <v>73.75</v>
      </c>
      <c r="H2655" t="str">
        <f>_xlfn.XLOOKUP(A2655,Fact_Events!$D$2:$D$20,Fact_Events!$A$2:$A$20, "")</f>
        <v/>
      </c>
      <c r="I2655">
        <f t="shared" si="333"/>
        <v>0</v>
      </c>
      <c r="J2655" t="str">
        <f>_xlfn.XLOOKUP(H2655, Fact_Events!$A$2:$A$20, Fact_Events!$F$2:$F$20, "")</f>
        <v/>
      </c>
      <c r="K2655" t="str">
        <f t="shared" si="334"/>
        <v>Low</v>
      </c>
      <c r="L2655">
        <f t="shared" si="335"/>
        <v>0.55000000000000004</v>
      </c>
      <c r="M2655">
        <f>_xlfn.XLOOKUP(B2655, Dim_Hotel!$A$2:$A$11, Dim_Hotel!$I$2:$I$11)
 + (IF(J2655="",0,J2655)
    * _xlfn.XLOOKUP(B2655, Dim_Hotel!$A$2:$A$11, Dim_Hotel!$J$2:$J$11))</f>
        <v>135</v>
      </c>
    </row>
    <row r="2656" spans="1:13" x14ac:dyDescent="0.25">
      <c r="A2656" s="1">
        <f t="shared" si="328"/>
        <v>46288</v>
      </c>
      <c r="B2656" t="str" cm="1">
        <f t="array" ref="B2656">INDEX(HotelList,MOD(ROW()-2,10)+1)</f>
        <v>H005</v>
      </c>
      <c r="C2656">
        <f>_xlfn.XLOOKUP(B2656,Dim_Hotel!$A$2:$A$11,Dim_Hotel!$F$2:$F$11)</f>
        <v>66</v>
      </c>
      <c r="D2656">
        <f t="shared" si="329"/>
        <v>36</v>
      </c>
      <c r="E2656">
        <f t="shared" si="330"/>
        <v>0.54545454545454541</v>
      </c>
      <c r="F2656">
        <f t="shared" si="331"/>
        <v>82</v>
      </c>
      <c r="G2656">
        <f t="shared" si="332"/>
        <v>44.727272727272727</v>
      </c>
      <c r="H2656" t="str">
        <f>_xlfn.XLOOKUP(A2656,Fact_Events!$D$2:$D$20,Fact_Events!$A$2:$A$20, "")</f>
        <v/>
      </c>
      <c r="I2656">
        <f t="shared" si="333"/>
        <v>0</v>
      </c>
      <c r="J2656" t="str">
        <f>_xlfn.XLOOKUP(H2656, Fact_Events!$A$2:$A$20, Fact_Events!$F$2:$F$20, "")</f>
        <v/>
      </c>
      <c r="K2656" t="str">
        <f t="shared" si="334"/>
        <v>Low</v>
      </c>
      <c r="L2656">
        <f t="shared" si="335"/>
        <v>0.55000000000000004</v>
      </c>
      <c r="M2656">
        <f>_xlfn.XLOOKUP(B2656, Dim_Hotel!$A$2:$A$11, Dim_Hotel!$I$2:$I$11)
 + (IF(J2656="",0,J2656)
    * _xlfn.XLOOKUP(B2656, Dim_Hotel!$A$2:$A$11, Dim_Hotel!$J$2:$J$11))</f>
        <v>82</v>
      </c>
    </row>
    <row r="2657" spans="1:13" x14ac:dyDescent="0.25">
      <c r="A2657" s="1">
        <f t="shared" si="328"/>
        <v>46288</v>
      </c>
      <c r="B2657" t="str" cm="1">
        <f t="array" ref="B2657">INDEX(HotelList,MOD(ROW()-2,10)+1)</f>
        <v>H006</v>
      </c>
      <c r="C2657">
        <f>_xlfn.XLOOKUP(B2657,Dim_Hotel!$A$2:$A$11,Dim_Hotel!$F$2:$F$11)</f>
        <v>311</v>
      </c>
      <c r="D2657">
        <f t="shared" si="329"/>
        <v>171</v>
      </c>
      <c r="E2657">
        <f t="shared" si="330"/>
        <v>0.54983922829581988</v>
      </c>
      <c r="F2657">
        <f t="shared" si="331"/>
        <v>190</v>
      </c>
      <c r="G2657">
        <f t="shared" si="332"/>
        <v>104.46945337620578</v>
      </c>
      <c r="H2657" t="str">
        <f>_xlfn.XLOOKUP(A2657,Fact_Events!$D$2:$D$20,Fact_Events!$A$2:$A$20, "")</f>
        <v/>
      </c>
      <c r="I2657">
        <f t="shared" si="333"/>
        <v>0</v>
      </c>
      <c r="J2657" t="str">
        <f>_xlfn.XLOOKUP(H2657, Fact_Events!$A$2:$A$20, Fact_Events!$F$2:$F$20, "")</f>
        <v/>
      </c>
      <c r="K2657" t="str">
        <f t="shared" si="334"/>
        <v>Low</v>
      </c>
      <c r="L2657">
        <f t="shared" si="335"/>
        <v>0.55000000000000004</v>
      </c>
      <c r="M2657">
        <f>_xlfn.XLOOKUP(B2657, Dim_Hotel!$A$2:$A$11, Dim_Hotel!$I$2:$I$11)
 + (IF(J2657="",0,J2657)
    * _xlfn.XLOOKUP(B2657, Dim_Hotel!$A$2:$A$11, Dim_Hotel!$J$2:$J$11))</f>
        <v>190</v>
      </c>
    </row>
    <row r="2658" spans="1:13" x14ac:dyDescent="0.25">
      <c r="A2658" s="1">
        <f t="shared" si="328"/>
        <v>46288</v>
      </c>
      <c r="B2658" t="str" cm="1">
        <f t="array" ref="B2658">INDEX(HotelList,MOD(ROW()-2,10)+1)</f>
        <v>H007</v>
      </c>
      <c r="C2658">
        <f>_xlfn.XLOOKUP(B2658,Dim_Hotel!$A$2:$A$11,Dim_Hotel!$F$2:$F$11)</f>
        <v>132</v>
      </c>
      <c r="D2658">
        <f t="shared" si="329"/>
        <v>73</v>
      </c>
      <c r="E2658">
        <f t="shared" si="330"/>
        <v>0.55303030303030298</v>
      </c>
      <c r="F2658">
        <f t="shared" si="331"/>
        <v>165</v>
      </c>
      <c r="G2658">
        <f t="shared" si="332"/>
        <v>91.249999999999986</v>
      </c>
      <c r="H2658" t="str">
        <f>_xlfn.XLOOKUP(A2658,Fact_Events!$D$2:$D$20,Fact_Events!$A$2:$A$20, "")</f>
        <v/>
      </c>
      <c r="I2658">
        <f t="shared" si="333"/>
        <v>0</v>
      </c>
      <c r="J2658" t="str">
        <f>_xlfn.XLOOKUP(H2658, Fact_Events!$A$2:$A$20, Fact_Events!$F$2:$F$20, "")</f>
        <v/>
      </c>
      <c r="K2658" t="str">
        <f t="shared" si="334"/>
        <v>Low</v>
      </c>
      <c r="L2658">
        <f t="shared" si="335"/>
        <v>0.55000000000000004</v>
      </c>
      <c r="M2658">
        <f>_xlfn.XLOOKUP(B2658, Dim_Hotel!$A$2:$A$11, Dim_Hotel!$I$2:$I$11)
 + (IF(J2658="",0,J2658)
    * _xlfn.XLOOKUP(B2658, Dim_Hotel!$A$2:$A$11, Dim_Hotel!$J$2:$J$11))</f>
        <v>165</v>
      </c>
    </row>
    <row r="2659" spans="1:13" x14ac:dyDescent="0.25">
      <c r="A2659" s="1">
        <f t="shared" si="328"/>
        <v>46288</v>
      </c>
      <c r="B2659" t="str" cm="1">
        <f t="array" ref="B2659">INDEX(HotelList,MOD(ROW()-2,10)+1)</f>
        <v>H008</v>
      </c>
      <c r="C2659">
        <f>_xlfn.XLOOKUP(B2659,Dim_Hotel!$A$2:$A$11,Dim_Hotel!$F$2:$F$11)</f>
        <v>103</v>
      </c>
      <c r="D2659">
        <f t="shared" si="329"/>
        <v>57</v>
      </c>
      <c r="E2659">
        <f t="shared" si="330"/>
        <v>0.55339805825242716</v>
      </c>
      <c r="F2659">
        <f t="shared" si="331"/>
        <v>140</v>
      </c>
      <c r="G2659">
        <f t="shared" si="332"/>
        <v>77.475728155339809</v>
      </c>
      <c r="H2659" t="str">
        <f>_xlfn.XLOOKUP(A2659,Fact_Events!$D$2:$D$20,Fact_Events!$A$2:$A$20, "")</f>
        <v/>
      </c>
      <c r="I2659">
        <f t="shared" si="333"/>
        <v>0</v>
      </c>
      <c r="J2659" t="str">
        <f>_xlfn.XLOOKUP(H2659, Fact_Events!$A$2:$A$20, Fact_Events!$F$2:$F$20, "")</f>
        <v/>
      </c>
      <c r="K2659" t="str">
        <f t="shared" si="334"/>
        <v>Low</v>
      </c>
      <c r="L2659">
        <f t="shared" si="335"/>
        <v>0.55000000000000004</v>
      </c>
      <c r="M2659">
        <f>_xlfn.XLOOKUP(B2659, Dim_Hotel!$A$2:$A$11, Dim_Hotel!$I$2:$I$11)
 + (IF(J2659="",0,J2659)
    * _xlfn.XLOOKUP(B2659, Dim_Hotel!$A$2:$A$11, Dim_Hotel!$J$2:$J$11))</f>
        <v>140</v>
      </c>
    </row>
    <row r="2660" spans="1:13" x14ac:dyDescent="0.25">
      <c r="A2660" s="1">
        <f t="shared" si="328"/>
        <v>46288</v>
      </c>
      <c r="B2660" t="str" cm="1">
        <f t="array" ref="B2660">INDEX(HotelList,MOD(ROW()-2,10)+1)</f>
        <v>H009</v>
      </c>
      <c r="C2660">
        <f>_xlfn.XLOOKUP(B2660,Dim_Hotel!$A$2:$A$11,Dim_Hotel!$F$2:$F$11)</f>
        <v>114</v>
      </c>
      <c r="D2660">
        <f t="shared" si="329"/>
        <v>63</v>
      </c>
      <c r="E2660">
        <f t="shared" si="330"/>
        <v>0.55263157894736847</v>
      </c>
      <c r="F2660">
        <f t="shared" si="331"/>
        <v>185</v>
      </c>
      <c r="G2660">
        <f t="shared" si="332"/>
        <v>102.23684210526316</v>
      </c>
      <c r="H2660" t="str">
        <f>_xlfn.XLOOKUP(A2660,Fact_Events!$D$2:$D$20,Fact_Events!$A$2:$A$20, "")</f>
        <v/>
      </c>
      <c r="I2660">
        <f t="shared" si="333"/>
        <v>0</v>
      </c>
      <c r="J2660" t="str">
        <f>_xlfn.XLOOKUP(H2660, Fact_Events!$A$2:$A$20, Fact_Events!$F$2:$F$20, "")</f>
        <v/>
      </c>
      <c r="K2660" t="str">
        <f t="shared" si="334"/>
        <v>Low</v>
      </c>
      <c r="L2660">
        <f t="shared" si="335"/>
        <v>0.55000000000000004</v>
      </c>
      <c r="M2660">
        <f>_xlfn.XLOOKUP(B2660, Dim_Hotel!$A$2:$A$11, Dim_Hotel!$I$2:$I$11)
 + (IF(J2660="",0,J2660)
    * _xlfn.XLOOKUP(B2660, Dim_Hotel!$A$2:$A$11, Dim_Hotel!$J$2:$J$11))</f>
        <v>185</v>
      </c>
    </row>
    <row r="2661" spans="1:13" x14ac:dyDescent="0.25">
      <c r="A2661" s="1">
        <f t="shared" si="328"/>
        <v>46288</v>
      </c>
      <c r="B2661" t="str" cm="1">
        <f t="array" ref="B2661">INDEX(HotelList,MOD(ROW()-2,10)+1)</f>
        <v>H010</v>
      </c>
      <c r="C2661">
        <f>_xlfn.XLOOKUP(B2661,Dim_Hotel!$A$2:$A$11,Dim_Hotel!$F$2:$F$11)</f>
        <v>89</v>
      </c>
      <c r="D2661">
        <f t="shared" si="329"/>
        <v>49</v>
      </c>
      <c r="E2661">
        <f t="shared" si="330"/>
        <v>0.550561797752809</v>
      </c>
      <c r="F2661">
        <f t="shared" si="331"/>
        <v>150</v>
      </c>
      <c r="G2661">
        <f t="shared" si="332"/>
        <v>82.584269662921344</v>
      </c>
      <c r="H2661" t="str">
        <f>_xlfn.XLOOKUP(A2661,Fact_Events!$D$2:$D$20,Fact_Events!$A$2:$A$20, "")</f>
        <v/>
      </c>
      <c r="I2661">
        <f t="shared" si="333"/>
        <v>0</v>
      </c>
      <c r="J2661" t="str">
        <f>_xlfn.XLOOKUP(H2661, Fact_Events!$A$2:$A$20, Fact_Events!$F$2:$F$20, "")</f>
        <v/>
      </c>
      <c r="K2661" t="str">
        <f t="shared" si="334"/>
        <v>Low</v>
      </c>
      <c r="L2661">
        <f t="shared" si="335"/>
        <v>0.55000000000000004</v>
      </c>
      <c r="M2661">
        <f>_xlfn.XLOOKUP(B2661, Dim_Hotel!$A$2:$A$11, Dim_Hotel!$I$2:$I$11)
 + (IF(J2661="",0,J2661)
    * _xlfn.XLOOKUP(B2661, Dim_Hotel!$A$2:$A$11, Dim_Hotel!$J$2:$J$11))</f>
        <v>150</v>
      </c>
    </row>
    <row r="2662" spans="1:13" x14ac:dyDescent="0.25">
      <c r="A2662" s="1">
        <f t="shared" si="328"/>
        <v>46289</v>
      </c>
      <c r="B2662" t="str" cm="1">
        <f t="array" ref="B2662">INDEX(HotelList,MOD(ROW()-2,10)+1)</f>
        <v>H001</v>
      </c>
      <c r="C2662">
        <f>_xlfn.XLOOKUP(B2662,Dim_Hotel!$A$2:$A$11,Dim_Hotel!$F$2:$F$11)</f>
        <v>888</v>
      </c>
      <c r="D2662">
        <f t="shared" si="329"/>
        <v>488</v>
      </c>
      <c r="E2662">
        <f t="shared" si="330"/>
        <v>0.5495495495495496</v>
      </c>
      <c r="F2662">
        <f t="shared" si="331"/>
        <v>260</v>
      </c>
      <c r="G2662">
        <f t="shared" si="332"/>
        <v>142.88288288288288</v>
      </c>
      <c r="H2662" t="str">
        <f>_xlfn.XLOOKUP(A2662,Fact_Events!$D$2:$D$20,Fact_Events!$A$2:$A$20, "")</f>
        <v/>
      </c>
      <c r="I2662">
        <f t="shared" si="333"/>
        <v>0</v>
      </c>
      <c r="J2662" t="str">
        <f>_xlfn.XLOOKUP(H2662, Fact_Events!$A$2:$A$20, Fact_Events!$F$2:$F$20, "")</f>
        <v/>
      </c>
      <c r="K2662" t="str">
        <f t="shared" si="334"/>
        <v>Low</v>
      </c>
      <c r="L2662">
        <f t="shared" si="335"/>
        <v>0.55000000000000004</v>
      </c>
      <c r="M2662">
        <f>_xlfn.XLOOKUP(B2662, Dim_Hotel!$A$2:$A$11, Dim_Hotel!$I$2:$I$11)
 + (IF(J2662="",0,J2662)
    * _xlfn.XLOOKUP(B2662, Dim_Hotel!$A$2:$A$11, Dim_Hotel!$J$2:$J$11))</f>
        <v>260</v>
      </c>
    </row>
    <row r="2663" spans="1:13" x14ac:dyDescent="0.25">
      <c r="A2663" s="1">
        <f t="shared" si="328"/>
        <v>46289</v>
      </c>
      <c r="B2663" t="str" cm="1">
        <f t="array" ref="B2663">INDEX(HotelList,MOD(ROW()-2,10)+1)</f>
        <v>H002</v>
      </c>
      <c r="C2663">
        <f>_xlfn.XLOOKUP(B2663,Dim_Hotel!$A$2:$A$11,Dim_Hotel!$F$2:$F$11)</f>
        <v>147</v>
      </c>
      <c r="D2663">
        <f t="shared" si="329"/>
        <v>81</v>
      </c>
      <c r="E2663">
        <f t="shared" si="330"/>
        <v>0.55102040816326525</v>
      </c>
      <c r="F2663">
        <f t="shared" si="331"/>
        <v>175</v>
      </c>
      <c r="G2663">
        <f t="shared" si="332"/>
        <v>96.428571428571416</v>
      </c>
      <c r="H2663" t="str">
        <f>_xlfn.XLOOKUP(A2663,Fact_Events!$D$2:$D$20,Fact_Events!$A$2:$A$20, "")</f>
        <v/>
      </c>
      <c r="I2663">
        <f t="shared" si="333"/>
        <v>0</v>
      </c>
      <c r="J2663" t="str">
        <f>_xlfn.XLOOKUP(H2663, Fact_Events!$A$2:$A$20, Fact_Events!$F$2:$F$20, "")</f>
        <v/>
      </c>
      <c r="K2663" t="str">
        <f t="shared" si="334"/>
        <v>Low</v>
      </c>
      <c r="L2663">
        <f t="shared" si="335"/>
        <v>0.55000000000000004</v>
      </c>
      <c r="M2663">
        <f>_xlfn.XLOOKUP(B2663, Dim_Hotel!$A$2:$A$11, Dim_Hotel!$I$2:$I$11)
 + (IF(J2663="",0,J2663)
    * _xlfn.XLOOKUP(B2663, Dim_Hotel!$A$2:$A$11, Dim_Hotel!$J$2:$J$11))</f>
        <v>175</v>
      </c>
    </row>
    <row r="2664" spans="1:13" x14ac:dyDescent="0.25">
      <c r="A2664" s="1">
        <f t="shared" si="328"/>
        <v>46289</v>
      </c>
      <c r="B2664" t="str" cm="1">
        <f t="array" ref="B2664">INDEX(HotelList,MOD(ROW()-2,10)+1)</f>
        <v>H003</v>
      </c>
      <c r="C2664">
        <f>_xlfn.XLOOKUP(B2664,Dim_Hotel!$A$2:$A$11,Dim_Hotel!$F$2:$F$11)</f>
        <v>121</v>
      </c>
      <c r="D2664">
        <f t="shared" si="329"/>
        <v>67</v>
      </c>
      <c r="E2664">
        <f t="shared" si="330"/>
        <v>0.55371900826446285</v>
      </c>
      <c r="F2664">
        <f t="shared" si="331"/>
        <v>145</v>
      </c>
      <c r="G2664">
        <f t="shared" si="332"/>
        <v>80.289256198347118</v>
      </c>
      <c r="H2664" t="str">
        <f>_xlfn.XLOOKUP(A2664,Fact_Events!$D$2:$D$20,Fact_Events!$A$2:$A$20, "")</f>
        <v/>
      </c>
      <c r="I2664">
        <f t="shared" si="333"/>
        <v>0</v>
      </c>
      <c r="J2664" t="str">
        <f>_xlfn.XLOOKUP(H2664, Fact_Events!$A$2:$A$20, Fact_Events!$F$2:$F$20, "")</f>
        <v/>
      </c>
      <c r="K2664" t="str">
        <f t="shared" si="334"/>
        <v>Low</v>
      </c>
      <c r="L2664">
        <f t="shared" si="335"/>
        <v>0.55000000000000004</v>
      </c>
      <c r="M2664">
        <f>_xlfn.XLOOKUP(B2664, Dim_Hotel!$A$2:$A$11, Dim_Hotel!$I$2:$I$11)
 + (IF(J2664="",0,J2664)
    * _xlfn.XLOOKUP(B2664, Dim_Hotel!$A$2:$A$11, Dim_Hotel!$J$2:$J$11))</f>
        <v>145</v>
      </c>
    </row>
    <row r="2665" spans="1:13" x14ac:dyDescent="0.25">
      <c r="A2665" s="1">
        <f t="shared" si="328"/>
        <v>46289</v>
      </c>
      <c r="B2665" t="str" cm="1">
        <f t="array" ref="B2665">INDEX(HotelList,MOD(ROW()-2,10)+1)</f>
        <v>H004</v>
      </c>
      <c r="C2665">
        <f>_xlfn.XLOOKUP(B2665,Dim_Hotel!$A$2:$A$11,Dim_Hotel!$F$2:$F$11)</f>
        <v>108</v>
      </c>
      <c r="D2665">
        <f t="shared" si="329"/>
        <v>59</v>
      </c>
      <c r="E2665">
        <f t="shared" si="330"/>
        <v>0.54629629629629628</v>
      </c>
      <c r="F2665">
        <f t="shared" si="331"/>
        <v>135</v>
      </c>
      <c r="G2665">
        <f t="shared" si="332"/>
        <v>73.75</v>
      </c>
      <c r="H2665" t="str">
        <f>_xlfn.XLOOKUP(A2665,Fact_Events!$D$2:$D$20,Fact_Events!$A$2:$A$20, "")</f>
        <v/>
      </c>
      <c r="I2665">
        <f t="shared" si="333"/>
        <v>0</v>
      </c>
      <c r="J2665" t="str">
        <f>_xlfn.XLOOKUP(H2665, Fact_Events!$A$2:$A$20, Fact_Events!$F$2:$F$20, "")</f>
        <v/>
      </c>
      <c r="K2665" t="str">
        <f t="shared" si="334"/>
        <v>Low</v>
      </c>
      <c r="L2665">
        <f t="shared" si="335"/>
        <v>0.55000000000000004</v>
      </c>
      <c r="M2665">
        <f>_xlfn.XLOOKUP(B2665, Dim_Hotel!$A$2:$A$11, Dim_Hotel!$I$2:$I$11)
 + (IF(J2665="",0,J2665)
    * _xlfn.XLOOKUP(B2665, Dim_Hotel!$A$2:$A$11, Dim_Hotel!$J$2:$J$11))</f>
        <v>135</v>
      </c>
    </row>
    <row r="2666" spans="1:13" x14ac:dyDescent="0.25">
      <c r="A2666" s="1">
        <f t="shared" si="328"/>
        <v>46289</v>
      </c>
      <c r="B2666" t="str" cm="1">
        <f t="array" ref="B2666">INDEX(HotelList,MOD(ROW()-2,10)+1)</f>
        <v>H005</v>
      </c>
      <c r="C2666">
        <f>_xlfn.XLOOKUP(B2666,Dim_Hotel!$A$2:$A$11,Dim_Hotel!$F$2:$F$11)</f>
        <v>66</v>
      </c>
      <c r="D2666">
        <f t="shared" si="329"/>
        <v>36</v>
      </c>
      <c r="E2666">
        <f t="shared" si="330"/>
        <v>0.54545454545454541</v>
      </c>
      <c r="F2666">
        <f t="shared" si="331"/>
        <v>82</v>
      </c>
      <c r="G2666">
        <f t="shared" si="332"/>
        <v>44.727272727272727</v>
      </c>
      <c r="H2666" t="str">
        <f>_xlfn.XLOOKUP(A2666,Fact_Events!$D$2:$D$20,Fact_Events!$A$2:$A$20, "")</f>
        <v/>
      </c>
      <c r="I2666">
        <f t="shared" si="333"/>
        <v>0</v>
      </c>
      <c r="J2666" t="str">
        <f>_xlfn.XLOOKUP(H2666, Fact_Events!$A$2:$A$20, Fact_Events!$F$2:$F$20, "")</f>
        <v/>
      </c>
      <c r="K2666" t="str">
        <f t="shared" si="334"/>
        <v>Low</v>
      </c>
      <c r="L2666">
        <f t="shared" si="335"/>
        <v>0.55000000000000004</v>
      </c>
      <c r="M2666">
        <f>_xlfn.XLOOKUP(B2666, Dim_Hotel!$A$2:$A$11, Dim_Hotel!$I$2:$I$11)
 + (IF(J2666="",0,J2666)
    * _xlfn.XLOOKUP(B2666, Dim_Hotel!$A$2:$A$11, Dim_Hotel!$J$2:$J$11))</f>
        <v>82</v>
      </c>
    </row>
    <row r="2667" spans="1:13" x14ac:dyDescent="0.25">
      <c r="A2667" s="1">
        <f t="shared" si="328"/>
        <v>46289</v>
      </c>
      <c r="B2667" t="str" cm="1">
        <f t="array" ref="B2667">INDEX(HotelList,MOD(ROW()-2,10)+1)</f>
        <v>H006</v>
      </c>
      <c r="C2667">
        <f>_xlfn.XLOOKUP(B2667,Dim_Hotel!$A$2:$A$11,Dim_Hotel!$F$2:$F$11)</f>
        <v>311</v>
      </c>
      <c r="D2667">
        <f t="shared" si="329"/>
        <v>171</v>
      </c>
      <c r="E2667">
        <f t="shared" si="330"/>
        <v>0.54983922829581988</v>
      </c>
      <c r="F2667">
        <f t="shared" si="331"/>
        <v>190</v>
      </c>
      <c r="G2667">
        <f t="shared" si="332"/>
        <v>104.46945337620578</v>
      </c>
      <c r="H2667" t="str">
        <f>_xlfn.XLOOKUP(A2667,Fact_Events!$D$2:$D$20,Fact_Events!$A$2:$A$20, "")</f>
        <v/>
      </c>
      <c r="I2667">
        <f t="shared" si="333"/>
        <v>0</v>
      </c>
      <c r="J2667" t="str">
        <f>_xlfn.XLOOKUP(H2667, Fact_Events!$A$2:$A$20, Fact_Events!$F$2:$F$20, "")</f>
        <v/>
      </c>
      <c r="K2667" t="str">
        <f t="shared" si="334"/>
        <v>Low</v>
      </c>
      <c r="L2667">
        <f t="shared" si="335"/>
        <v>0.55000000000000004</v>
      </c>
      <c r="M2667">
        <f>_xlfn.XLOOKUP(B2667, Dim_Hotel!$A$2:$A$11, Dim_Hotel!$I$2:$I$11)
 + (IF(J2667="",0,J2667)
    * _xlfn.XLOOKUP(B2667, Dim_Hotel!$A$2:$A$11, Dim_Hotel!$J$2:$J$11))</f>
        <v>190</v>
      </c>
    </row>
    <row r="2668" spans="1:13" x14ac:dyDescent="0.25">
      <c r="A2668" s="1">
        <f t="shared" si="328"/>
        <v>46289</v>
      </c>
      <c r="B2668" t="str" cm="1">
        <f t="array" ref="B2668">INDEX(HotelList,MOD(ROW()-2,10)+1)</f>
        <v>H007</v>
      </c>
      <c r="C2668">
        <f>_xlfn.XLOOKUP(B2668,Dim_Hotel!$A$2:$A$11,Dim_Hotel!$F$2:$F$11)</f>
        <v>132</v>
      </c>
      <c r="D2668">
        <f t="shared" si="329"/>
        <v>73</v>
      </c>
      <c r="E2668">
        <f t="shared" si="330"/>
        <v>0.55303030303030298</v>
      </c>
      <c r="F2668">
        <f t="shared" si="331"/>
        <v>165</v>
      </c>
      <c r="G2668">
        <f t="shared" si="332"/>
        <v>91.249999999999986</v>
      </c>
      <c r="H2668" t="str">
        <f>_xlfn.XLOOKUP(A2668,Fact_Events!$D$2:$D$20,Fact_Events!$A$2:$A$20, "")</f>
        <v/>
      </c>
      <c r="I2668">
        <f t="shared" si="333"/>
        <v>0</v>
      </c>
      <c r="J2668" t="str">
        <f>_xlfn.XLOOKUP(H2668, Fact_Events!$A$2:$A$20, Fact_Events!$F$2:$F$20, "")</f>
        <v/>
      </c>
      <c r="K2668" t="str">
        <f t="shared" si="334"/>
        <v>Low</v>
      </c>
      <c r="L2668">
        <f t="shared" si="335"/>
        <v>0.55000000000000004</v>
      </c>
      <c r="M2668">
        <f>_xlfn.XLOOKUP(B2668, Dim_Hotel!$A$2:$A$11, Dim_Hotel!$I$2:$I$11)
 + (IF(J2668="",0,J2668)
    * _xlfn.XLOOKUP(B2668, Dim_Hotel!$A$2:$A$11, Dim_Hotel!$J$2:$J$11))</f>
        <v>165</v>
      </c>
    </row>
    <row r="2669" spans="1:13" x14ac:dyDescent="0.25">
      <c r="A2669" s="1">
        <f t="shared" si="328"/>
        <v>46289</v>
      </c>
      <c r="B2669" t="str" cm="1">
        <f t="array" ref="B2669">INDEX(HotelList,MOD(ROW()-2,10)+1)</f>
        <v>H008</v>
      </c>
      <c r="C2669">
        <f>_xlfn.XLOOKUP(B2669,Dim_Hotel!$A$2:$A$11,Dim_Hotel!$F$2:$F$11)</f>
        <v>103</v>
      </c>
      <c r="D2669">
        <f t="shared" si="329"/>
        <v>57</v>
      </c>
      <c r="E2669">
        <f t="shared" si="330"/>
        <v>0.55339805825242716</v>
      </c>
      <c r="F2669">
        <f t="shared" si="331"/>
        <v>140</v>
      </c>
      <c r="G2669">
        <f t="shared" si="332"/>
        <v>77.475728155339809</v>
      </c>
      <c r="H2669" t="str">
        <f>_xlfn.XLOOKUP(A2669,Fact_Events!$D$2:$D$20,Fact_Events!$A$2:$A$20, "")</f>
        <v/>
      </c>
      <c r="I2669">
        <f t="shared" si="333"/>
        <v>0</v>
      </c>
      <c r="J2669" t="str">
        <f>_xlfn.XLOOKUP(H2669, Fact_Events!$A$2:$A$20, Fact_Events!$F$2:$F$20, "")</f>
        <v/>
      </c>
      <c r="K2669" t="str">
        <f t="shared" si="334"/>
        <v>Low</v>
      </c>
      <c r="L2669">
        <f t="shared" si="335"/>
        <v>0.55000000000000004</v>
      </c>
      <c r="M2669">
        <f>_xlfn.XLOOKUP(B2669, Dim_Hotel!$A$2:$A$11, Dim_Hotel!$I$2:$I$11)
 + (IF(J2669="",0,J2669)
    * _xlfn.XLOOKUP(B2669, Dim_Hotel!$A$2:$A$11, Dim_Hotel!$J$2:$J$11))</f>
        <v>140</v>
      </c>
    </row>
    <row r="2670" spans="1:13" x14ac:dyDescent="0.25">
      <c r="A2670" s="1">
        <f t="shared" si="328"/>
        <v>46289</v>
      </c>
      <c r="B2670" t="str" cm="1">
        <f t="array" ref="B2670">INDEX(HotelList,MOD(ROW()-2,10)+1)</f>
        <v>H009</v>
      </c>
      <c r="C2670">
        <f>_xlfn.XLOOKUP(B2670,Dim_Hotel!$A$2:$A$11,Dim_Hotel!$F$2:$F$11)</f>
        <v>114</v>
      </c>
      <c r="D2670">
        <f t="shared" si="329"/>
        <v>63</v>
      </c>
      <c r="E2670">
        <f t="shared" si="330"/>
        <v>0.55263157894736847</v>
      </c>
      <c r="F2670">
        <f t="shared" si="331"/>
        <v>185</v>
      </c>
      <c r="G2670">
        <f t="shared" si="332"/>
        <v>102.23684210526316</v>
      </c>
      <c r="H2670" t="str">
        <f>_xlfn.XLOOKUP(A2670,Fact_Events!$D$2:$D$20,Fact_Events!$A$2:$A$20, "")</f>
        <v/>
      </c>
      <c r="I2670">
        <f t="shared" si="333"/>
        <v>0</v>
      </c>
      <c r="J2670" t="str">
        <f>_xlfn.XLOOKUP(H2670, Fact_Events!$A$2:$A$20, Fact_Events!$F$2:$F$20, "")</f>
        <v/>
      </c>
      <c r="K2670" t="str">
        <f t="shared" si="334"/>
        <v>Low</v>
      </c>
      <c r="L2670">
        <f t="shared" si="335"/>
        <v>0.55000000000000004</v>
      </c>
      <c r="M2670">
        <f>_xlfn.XLOOKUP(B2670, Dim_Hotel!$A$2:$A$11, Dim_Hotel!$I$2:$I$11)
 + (IF(J2670="",0,J2670)
    * _xlfn.XLOOKUP(B2670, Dim_Hotel!$A$2:$A$11, Dim_Hotel!$J$2:$J$11))</f>
        <v>185</v>
      </c>
    </row>
    <row r="2671" spans="1:13" x14ac:dyDescent="0.25">
      <c r="A2671" s="1">
        <f t="shared" si="328"/>
        <v>46289</v>
      </c>
      <c r="B2671" t="str" cm="1">
        <f t="array" ref="B2671">INDEX(HotelList,MOD(ROW()-2,10)+1)</f>
        <v>H010</v>
      </c>
      <c r="C2671">
        <f>_xlfn.XLOOKUP(B2671,Dim_Hotel!$A$2:$A$11,Dim_Hotel!$F$2:$F$11)</f>
        <v>89</v>
      </c>
      <c r="D2671">
        <f t="shared" si="329"/>
        <v>49</v>
      </c>
      <c r="E2671">
        <f t="shared" si="330"/>
        <v>0.550561797752809</v>
      </c>
      <c r="F2671">
        <f t="shared" si="331"/>
        <v>150</v>
      </c>
      <c r="G2671">
        <f t="shared" si="332"/>
        <v>82.584269662921344</v>
      </c>
      <c r="H2671" t="str">
        <f>_xlfn.XLOOKUP(A2671,Fact_Events!$D$2:$D$20,Fact_Events!$A$2:$A$20, "")</f>
        <v/>
      </c>
      <c r="I2671">
        <f t="shared" si="333"/>
        <v>0</v>
      </c>
      <c r="J2671" t="str">
        <f>_xlfn.XLOOKUP(H2671, Fact_Events!$A$2:$A$20, Fact_Events!$F$2:$F$20, "")</f>
        <v/>
      </c>
      <c r="K2671" t="str">
        <f t="shared" si="334"/>
        <v>Low</v>
      </c>
      <c r="L2671">
        <f t="shared" si="335"/>
        <v>0.55000000000000004</v>
      </c>
      <c r="M2671">
        <f>_xlfn.XLOOKUP(B2671, Dim_Hotel!$A$2:$A$11, Dim_Hotel!$I$2:$I$11)
 + (IF(J2671="",0,J2671)
    * _xlfn.XLOOKUP(B2671, Dim_Hotel!$A$2:$A$11, Dim_Hotel!$J$2:$J$11))</f>
        <v>150</v>
      </c>
    </row>
    <row r="2672" spans="1:13" x14ac:dyDescent="0.25">
      <c r="A2672" s="1">
        <f t="shared" si="328"/>
        <v>46290</v>
      </c>
      <c r="B2672" t="str" cm="1">
        <f t="array" ref="B2672">INDEX(HotelList,MOD(ROW()-2,10)+1)</f>
        <v>H001</v>
      </c>
      <c r="C2672">
        <f>_xlfn.XLOOKUP(B2672,Dim_Hotel!$A$2:$A$11,Dim_Hotel!$F$2:$F$11)</f>
        <v>888</v>
      </c>
      <c r="D2672">
        <f t="shared" si="329"/>
        <v>488</v>
      </c>
      <c r="E2672">
        <f t="shared" si="330"/>
        <v>0.5495495495495496</v>
      </c>
      <c r="F2672">
        <f t="shared" si="331"/>
        <v>260</v>
      </c>
      <c r="G2672">
        <f t="shared" si="332"/>
        <v>142.88288288288288</v>
      </c>
      <c r="H2672" t="str">
        <f>_xlfn.XLOOKUP(A2672,Fact_Events!$D$2:$D$20,Fact_Events!$A$2:$A$20, "")</f>
        <v/>
      </c>
      <c r="I2672">
        <f t="shared" si="333"/>
        <v>0</v>
      </c>
      <c r="J2672" t="str">
        <f>_xlfn.XLOOKUP(H2672, Fact_Events!$A$2:$A$20, Fact_Events!$F$2:$F$20, "")</f>
        <v/>
      </c>
      <c r="K2672" t="str">
        <f t="shared" si="334"/>
        <v>Low</v>
      </c>
      <c r="L2672">
        <f t="shared" si="335"/>
        <v>0.55000000000000004</v>
      </c>
      <c r="M2672">
        <f>_xlfn.XLOOKUP(B2672, Dim_Hotel!$A$2:$A$11, Dim_Hotel!$I$2:$I$11)
 + (IF(J2672="",0,J2672)
    * _xlfn.XLOOKUP(B2672, Dim_Hotel!$A$2:$A$11, Dim_Hotel!$J$2:$J$11))</f>
        <v>260</v>
      </c>
    </row>
    <row r="2673" spans="1:13" x14ac:dyDescent="0.25">
      <c r="A2673" s="1">
        <f t="shared" si="328"/>
        <v>46290</v>
      </c>
      <c r="B2673" t="str" cm="1">
        <f t="array" ref="B2673">INDEX(HotelList,MOD(ROW()-2,10)+1)</f>
        <v>H002</v>
      </c>
      <c r="C2673">
        <f>_xlfn.XLOOKUP(B2673,Dim_Hotel!$A$2:$A$11,Dim_Hotel!$F$2:$F$11)</f>
        <v>147</v>
      </c>
      <c r="D2673">
        <f t="shared" si="329"/>
        <v>81</v>
      </c>
      <c r="E2673">
        <f t="shared" si="330"/>
        <v>0.55102040816326525</v>
      </c>
      <c r="F2673">
        <f t="shared" si="331"/>
        <v>175</v>
      </c>
      <c r="G2673">
        <f t="shared" si="332"/>
        <v>96.428571428571416</v>
      </c>
      <c r="H2673" t="str">
        <f>_xlfn.XLOOKUP(A2673,Fact_Events!$D$2:$D$20,Fact_Events!$A$2:$A$20, "")</f>
        <v/>
      </c>
      <c r="I2673">
        <f t="shared" si="333"/>
        <v>0</v>
      </c>
      <c r="J2673" t="str">
        <f>_xlfn.XLOOKUP(H2673, Fact_Events!$A$2:$A$20, Fact_Events!$F$2:$F$20, "")</f>
        <v/>
      </c>
      <c r="K2673" t="str">
        <f t="shared" si="334"/>
        <v>Low</v>
      </c>
      <c r="L2673">
        <f t="shared" si="335"/>
        <v>0.55000000000000004</v>
      </c>
      <c r="M2673">
        <f>_xlfn.XLOOKUP(B2673, Dim_Hotel!$A$2:$A$11, Dim_Hotel!$I$2:$I$11)
 + (IF(J2673="",0,J2673)
    * _xlfn.XLOOKUP(B2673, Dim_Hotel!$A$2:$A$11, Dim_Hotel!$J$2:$J$11))</f>
        <v>175</v>
      </c>
    </row>
    <row r="2674" spans="1:13" x14ac:dyDescent="0.25">
      <c r="A2674" s="1">
        <f t="shared" si="328"/>
        <v>46290</v>
      </c>
      <c r="B2674" t="str" cm="1">
        <f t="array" ref="B2674">INDEX(HotelList,MOD(ROW()-2,10)+1)</f>
        <v>H003</v>
      </c>
      <c r="C2674">
        <f>_xlfn.XLOOKUP(B2674,Dim_Hotel!$A$2:$A$11,Dim_Hotel!$F$2:$F$11)</f>
        <v>121</v>
      </c>
      <c r="D2674">
        <f t="shared" si="329"/>
        <v>67</v>
      </c>
      <c r="E2674">
        <f t="shared" si="330"/>
        <v>0.55371900826446285</v>
      </c>
      <c r="F2674">
        <f t="shared" si="331"/>
        <v>145</v>
      </c>
      <c r="G2674">
        <f t="shared" si="332"/>
        <v>80.289256198347118</v>
      </c>
      <c r="H2674" t="str">
        <f>_xlfn.XLOOKUP(A2674,Fact_Events!$D$2:$D$20,Fact_Events!$A$2:$A$20, "")</f>
        <v/>
      </c>
      <c r="I2674">
        <f t="shared" si="333"/>
        <v>0</v>
      </c>
      <c r="J2674" t="str">
        <f>_xlfn.XLOOKUP(H2674, Fact_Events!$A$2:$A$20, Fact_Events!$F$2:$F$20, "")</f>
        <v/>
      </c>
      <c r="K2674" t="str">
        <f t="shared" si="334"/>
        <v>Low</v>
      </c>
      <c r="L2674">
        <f t="shared" si="335"/>
        <v>0.55000000000000004</v>
      </c>
      <c r="M2674">
        <f>_xlfn.XLOOKUP(B2674, Dim_Hotel!$A$2:$A$11, Dim_Hotel!$I$2:$I$11)
 + (IF(J2674="",0,J2674)
    * _xlfn.XLOOKUP(B2674, Dim_Hotel!$A$2:$A$11, Dim_Hotel!$J$2:$J$11))</f>
        <v>145</v>
      </c>
    </row>
    <row r="2675" spans="1:13" x14ac:dyDescent="0.25">
      <c r="A2675" s="1">
        <f t="shared" si="328"/>
        <v>46290</v>
      </c>
      <c r="B2675" t="str" cm="1">
        <f t="array" ref="B2675">INDEX(HotelList,MOD(ROW()-2,10)+1)</f>
        <v>H004</v>
      </c>
      <c r="C2675">
        <f>_xlfn.XLOOKUP(B2675,Dim_Hotel!$A$2:$A$11,Dim_Hotel!$F$2:$F$11)</f>
        <v>108</v>
      </c>
      <c r="D2675">
        <f t="shared" si="329"/>
        <v>59</v>
      </c>
      <c r="E2675">
        <f t="shared" si="330"/>
        <v>0.54629629629629628</v>
      </c>
      <c r="F2675">
        <f t="shared" si="331"/>
        <v>135</v>
      </c>
      <c r="G2675">
        <f t="shared" si="332"/>
        <v>73.75</v>
      </c>
      <c r="H2675" t="str">
        <f>_xlfn.XLOOKUP(A2675,Fact_Events!$D$2:$D$20,Fact_Events!$A$2:$A$20, "")</f>
        <v/>
      </c>
      <c r="I2675">
        <f t="shared" si="333"/>
        <v>0</v>
      </c>
      <c r="J2675" t="str">
        <f>_xlfn.XLOOKUP(H2675, Fact_Events!$A$2:$A$20, Fact_Events!$F$2:$F$20, "")</f>
        <v/>
      </c>
      <c r="K2675" t="str">
        <f t="shared" si="334"/>
        <v>Low</v>
      </c>
      <c r="L2675">
        <f t="shared" si="335"/>
        <v>0.55000000000000004</v>
      </c>
      <c r="M2675">
        <f>_xlfn.XLOOKUP(B2675, Dim_Hotel!$A$2:$A$11, Dim_Hotel!$I$2:$I$11)
 + (IF(J2675="",0,J2675)
    * _xlfn.XLOOKUP(B2675, Dim_Hotel!$A$2:$A$11, Dim_Hotel!$J$2:$J$11))</f>
        <v>135</v>
      </c>
    </row>
    <row r="2676" spans="1:13" x14ac:dyDescent="0.25">
      <c r="A2676" s="1">
        <f t="shared" si="328"/>
        <v>46290</v>
      </c>
      <c r="B2676" t="str" cm="1">
        <f t="array" ref="B2676">INDEX(HotelList,MOD(ROW()-2,10)+1)</f>
        <v>H005</v>
      </c>
      <c r="C2676">
        <f>_xlfn.XLOOKUP(B2676,Dim_Hotel!$A$2:$A$11,Dim_Hotel!$F$2:$F$11)</f>
        <v>66</v>
      </c>
      <c r="D2676">
        <f t="shared" si="329"/>
        <v>36</v>
      </c>
      <c r="E2676">
        <f t="shared" si="330"/>
        <v>0.54545454545454541</v>
      </c>
      <c r="F2676">
        <f t="shared" si="331"/>
        <v>82</v>
      </c>
      <c r="G2676">
        <f t="shared" si="332"/>
        <v>44.727272727272727</v>
      </c>
      <c r="H2676" t="str">
        <f>_xlfn.XLOOKUP(A2676,Fact_Events!$D$2:$D$20,Fact_Events!$A$2:$A$20, "")</f>
        <v/>
      </c>
      <c r="I2676">
        <f t="shared" si="333"/>
        <v>0</v>
      </c>
      <c r="J2676" t="str">
        <f>_xlfn.XLOOKUP(H2676, Fact_Events!$A$2:$A$20, Fact_Events!$F$2:$F$20, "")</f>
        <v/>
      </c>
      <c r="K2676" t="str">
        <f t="shared" si="334"/>
        <v>Low</v>
      </c>
      <c r="L2676">
        <f t="shared" si="335"/>
        <v>0.55000000000000004</v>
      </c>
      <c r="M2676">
        <f>_xlfn.XLOOKUP(B2676, Dim_Hotel!$A$2:$A$11, Dim_Hotel!$I$2:$I$11)
 + (IF(J2676="",0,J2676)
    * _xlfn.XLOOKUP(B2676, Dim_Hotel!$A$2:$A$11, Dim_Hotel!$J$2:$J$11))</f>
        <v>82</v>
      </c>
    </row>
    <row r="2677" spans="1:13" x14ac:dyDescent="0.25">
      <c r="A2677" s="1">
        <f t="shared" si="328"/>
        <v>46290</v>
      </c>
      <c r="B2677" t="str" cm="1">
        <f t="array" ref="B2677">INDEX(HotelList,MOD(ROW()-2,10)+1)</f>
        <v>H006</v>
      </c>
      <c r="C2677">
        <f>_xlfn.XLOOKUP(B2677,Dim_Hotel!$A$2:$A$11,Dim_Hotel!$F$2:$F$11)</f>
        <v>311</v>
      </c>
      <c r="D2677">
        <f t="shared" si="329"/>
        <v>171</v>
      </c>
      <c r="E2677">
        <f t="shared" si="330"/>
        <v>0.54983922829581988</v>
      </c>
      <c r="F2677">
        <f t="shared" si="331"/>
        <v>190</v>
      </c>
      <c r="G2677">
        <f t="shared" si="332"/>
        <v>104.46945337620578</v>
      </c>
      <c r="H2677" t="str">
        <f>_xlfn.XLOOKUP(A2677,Fact_Events!$D$2:$D$20,Fact_Events!$A$2:$A$20, "")</f>
        <v/>
      </c>
      <c r="I2677">
        <f t="shared" si="333"/>
        <v>0</v>
      </c>
      <c r="J2677" t="str">
        <f>_xlfn.XLOOKUP(H2677, Fact_Events!$A$2:$A$20, Fact_Events!$F$2:$F$20, "")</f>
        <v/>
      </c>
      <c r="K2677" t="str">
        <f t="shared" si="334"/>
        <v>Low</v>
      </c>
      <c r="L2677">
        <f t="shared" si="335"/>
        <v>0.55000000000000004</v>
      </c>
      <c r="M2677">
        <f>_xlfn.XLOOKUP(B2677, Dim_Hotel!$A$2:$A$11, Dim_Hotel!$I$2:$I$11)
 + (IF(J2677="",0,J2677)
    * _xlfn.XLOOKUP(B2677, Dim_Hotel!$A$2:$A$11, Dim_Hotel!$J$2:$J$11))</f>
        <v>190</v>
      </c>
    </row>
    <row r="2678" spans="1:13" x14ac:dyDescent="0.25">
      <c r="A2678" s="1">
        <f t="shared" si="328"/>
        <v>46290</v>
      </c>
      <c r="B2678" t="str" cm="1">
        <f t="array" ref="B2678">INDEX(HotelList,MOD(ROW()-2,10)+1)</f>
        <v>H007</v>
      </c>
      <c r="C2678">
        <f>_xlfn.XLOOKUP(B2678,Dim_Hotel!$A$2:$A$11,Dim_Hotel!$F$2:$F$11)</f>
        <v>132</v>
      </c>
      <c r="D2678">
        <f t="shared" si="329"/>
        <v>73</v>
      </c>
      <c r="E2678">
        <f t="shared" si="330"/>
        <v>0.55303030303030298</v>
      </c>
      <c r="F2678">
        <f t="shared" si="331"/>
        <v>165</v>
      </c>
      <c r="G2678">
        <f t="shared" si="332"/>
        <v>91.249999999999986</v>
      </c>
      <c r="H2678" t="str">
        <f>_xlfn.XLOOKUP(A2678,Fact_Events!$D$2:$D$20,Fact_Events!$A$2:$A$20, "")</f>
        <v/>
      </c>
      <c r="I2678">
        <f t="shared" si="333"/>
        <v>0</v>
      </c>
      <c r="J2678" t="str">
        <f>_xlfn.XLOOKUP(H2678, Fact_Events!$A$2:$A$20, Fact_Events!$F$2:$F$20, "")</f>
        <v/>
      </c>
      <c r="K2678" t="str">
        <f t="shared" si="334"/>
        <v>Low</v>
      </c>
      <c r="L2678">
        <f t="shared" si="335"/>
        <v>0.55000000000000004</v>
      </c>
      <c r="M2678">
        <f>_xlfn.XLOOKUP(B2678, Dim_Hotel!$A$2:$A$11, Dim_Hotel!$I$2:$I$11)
 + (IF(J2678="",0,J2678)
    * _xlfn.XLOOKUP(B2678, Dim_Hotel!$A$2:$A$11, Dim_Hotel!$J$2:$J$11))</f>
        <v>165</v>
      </c>
    </row>
    <row r="2679" spans="1:13" x14ac:dyDescent="0.25">
      <c r="A2679" s="1">
        <f t="shared" si="328"/>
        <v>46290</v>
      </c>
      <c r="B2679" t="str" cm="1">
        <f t="array" ref="B2679">INDEX(HotelList,MOD(ROW()-2,10)+1)</f>
        <v>H008</v>
      </c>
      <c r="C2679">
        <f>_xlfn.XLOOKUP(B2679,Dim_Hotel!$A$2:$A$11,Dim_Hotel!$F$2:$F$11)</f>
        <v>103</v>
      </c>
      <c r="D2679">
        <f t="shared" si="329"/>
        <v>57</v>
      </c>
      <c r="E2679">
        <f t="shared" si="330"/>
        <v>0.55339805825242716</v>
      </c>
      <c r="F2679">
        <f t="shared" si="331"/>
        <v>140</v>
      </c>
      <c r="G2679">
        <f t="shared" si="332"/>
        <v>77.475728155339809</v>
      </c>
      <c r="H2679" t="str">
        <f>_xlfn.XLOOKUP(A2679,Fact_Events!$D$2:$D$20,Fact_Events!$A$2:$A$20, "")</f>
        <v/>
      </c>
      <c r="I2679">
        <f t="shared" si="333"/>
        <v>0</v>
      </c>
      <c r="J2679" t="str">
        <f>_xlfn.XLOOKUP(H2679, Fact_Events!$A$2:$A$20, Fact_Events!$F$2:$F$20, "")</f>
        <v/>
      </c>
      <c r="K2679" t="str">
        <f t="shared" si="334"/>
        <v>Low</v>
      </c>
      <c r="L2679">
        <f t="shared" si="335"/>
        <v>0.55000000000000004</v>
      </c>
      <c r="M2679">
        <f>_xlfn.XLOOKUP(B2679, Dim_Hotel!$A$2:$A$11, Dim_Hotel!$I$2:$I$11)
 + (IF(J2679="",0,J2679)
    * _xlfn.XLOOKUP(B2679, Dim_Hotel!$A$2:$A$11, Dim_Hotel!$J$2:$J$11))</f>
        <v>140</v>
      </c>
    </row>
    <row r="2680" spans="1:13" x14ac:dyDescent="0.25">
      <c r="A2680" s="1">
        <f t="shared" si="328"/>
        <v>46290</v>
      </c>
      <c r="B2680" t="str" cm="1">
        <f t="array" ref="B2680">INDEX(HotelList,MOD(ROW()-2,10)+1)</f>
        <v>H009</v>
      </c>
      <c r="C2680">
        <f>_xlfn.XLOOKUP(B2680,Dim_Hotel!$A$2:$A$11,Dim_Hotel!$F$2:$F$11)</f>
        <v>114</v>
      </c>
      <c r="D2680">
        <f t="shared" si="329"/>
        <v>63</v>
      </c>
      <c r="E2680">
        <f t="shared" si="330"/>
        <v>0.55263157894736847</v>
      </c>
      <c r="F2680">
        <f t="shared" si="331"/>
        <v>185</v>
      </c>
      <c r="G2680">
        <f t="shared" si="332"/>
        <v>102.23684210526316</v>
      </c>
      <c r="H2680" t="str">
        <f>_xlfn.XLOOKUP(A2680,Fact_Events!$D$2:$D$20,Fact_Events!$A$2:$A$20, "")</f>
        <v/>
      </c>
      <c r="I2680">
        <f t="shared" si="333"/>
        <v>0</v>
      </c>
      <c r="J2680" t="str">
        <f>_xlfn.XLOOKUP(H2680, Fact_Events!$A$2:$A$20, Fact_Events!$F$2:$F$20, "")</f>
        <v/>
      </c>
      <c r="K2680" t="str">
        <f t="shared" si="334"/>
        <v>Low</v>
      </c>
      <c r="L2680">
        <f t="shared" si="335"/>
        <v>0.55000000000000004</v>
      </c>
      <c r="M2680">
        <f>_xlfn.XLOOKUP(B2680, Dim_Hotel!$A$2:$A$11, Dim_Hotel!$I$2:$I$11)
 + (IF(J2680="",0,J2680)
    * _xlfn.XLOOKUP(B2680, Dim_Hotel!$A$2:$A$11, Dim_Hotel!$J$2:$J$11))</f>
        <v>185</v>
      </c>
    </row>
    <row r="2681" spans="1:13" x14ac:dyDescent="0.25">
      <c r="A2681" s="1">
        <f t="shared" si="328"/>
        <v>46290</v>
      </c>
      <c r="B2681" t="str" cm="1">
        <f t="array" ref="B2681">INDEX(HotelList,MOD(ROW()-2,10)+1)</f>
        <v>H010</v>
      </c>
      <c r="C2681">
        <f>_xlfn.XLOOKUP(B2681,Dim_Hotel!$A$2:$A$11,Dim_Hotel!$F$2:$F$11)</f>
        <v>89</v>
      </c>
      <c r="D2681">
        <f t="shared" si="329"/>
        <v>49</v>
      </c>
      <c r="E2681">
        <f t="shared" si="330"/>
        <v>0.550561797752809</v>
      </c>
      <c r="F2681">
        <f t="shared" si="331"/>
        <v>150</v>
      </c>
      <c r="G2681">
        <f t="shared" si="332"/>
        <v>82.584269662921344</v>
      </c>
      <c r="H2681" t="str">
        <f>_xlfn.XLOOKUP(A2681,Fact_Events!$D$2:$D$20,Fact_Events!$A$2:$A$20, "")</f>
        <v/>
      </c>
      <c r="I2681">
        <f t="shared" si="333"/>
        <v>0</v>
      </c>
      <c r="J2681" t="str">
        <f>_xlfn.XLOOKUP(H2681, Fact_Events!$A$2:$A$20, Fact_Events!$F$2:$F$20, "")</f>
        <v/>
      </c>
      <c r="K2681" t="str">
        <f t="shared" si="334"/>
        <v>Low</v>
      </c>
      <c r="L2681">
        <f t="shared" si="335"/>
        <v>0.55000000000000004</v>
      </c>
      <c r="M2681">
        <f>_xlfn.XLOOKUP(B2681, Dim_Hotel!$A$2:$A$11, Dim_Hotel!$I$2:$I$11)
 + (IF(J2681="",0,J2681)
    * _xlfn.XLOOKUP(B2681, Dim_Hotel!$A$2:$A$11, Dim_Hotel!$J$2:$J$11))</f>
        <v>150</v>
      </c>
    </row>
    <row r="2682" spans="1:13" x14ac:dyDescent="0.25">
      <c r="A2682" s="1">
        <f t="shared" si="328"/>
        <v>46291</v>
      </c>
      <c r="B2682" t="str" cm="1">
        <f t="array" ref="B2682">INDEX(HotelList,MOD(ROW()-2,10)+1)</f>
        <v>H001</v>
      </c>
      <c r="C2682">
        <f>_xlfn.XLOOKUP(B2682,Dim_Hotel!$A$2:$A$11,Dim_Hotel!$F$2:$F$11)</f>
        <v>888</v>
      </c>
      <c r="D2682">
        <f t="shared" si="329"/>
        <v>488</v>
      </c>
      <c r="E2682">
        <f t="shared" si="330"/>
        <v>0.5495495495495496</v>
      </c>
      <c r="F2682">
        <f t="shared" si="331"/>
        <v>260</v>
      </c>
      <c r="G2682">
        <f t="shared" si="332"/>
        <v>142.88288288288288</v>
      </c>
      <c r="H2682" t="str">
        <f>_xlfn.XLOOKUP(A2682,Fact_Events!$D$2:$D$20,Fact_Events!$A$2:$A$20, "")</f>
        <v/>
      </c>
      <c r="I2682">
        <f t="shared" si="333"/>
        <v>0</v>
      </c>
      <c r="J2682" t="str">
        <f>_xlfn.XLOOKUP(H2682, Fact_Events!$A$2:$A$20, Fact_Events!$F$2:$F$20, "")</f>
        <v/>
      </c>
      <c r="K2682" t="str">
        <f t="shared" si="334"/>
        <v>Low</v>
      </c>
      <c r="L2682">
        <f t="shared" si="335"/>
        <v>0.55000000000000004</v>
      </c>
      <c r="M2682">
        <f>_xlfn.XLOOKUP(B2682, Dim_Hotel!$A$2:$A$11, Dim_Hotel!$I$2:$I$11)
 + (IF(J2682="",0,J2682)
    * _xlfn.XLOOKUP(B2682, Dim_Hotel!$A$2:$A$11, Dim_Hotel!$J$2:$J$11))</f>
        <v>260</v>
      </c>
    </row>
    <row r="2683" spans="1:13" x14ac:dyDescent="0.25">
      <c r="A2683" s="1">
        <f t="shared" si="328"/>
        <v>46291</v>
      </c>
      <c r="B2683" t="str" cm="1">
        <f t="array" ref="B2683">INDEX(HotelList,MOD(ROW()-2,10)+1)</f>
        <v>H002</v>
      </c>
      <c r="C2683">
        <f>_xlfn.XLOOKUP(B2683,Dim_Hotel!$A$2:$A$11,Dim_Hotel!$F$2:$F$11)</f>
        <v>147</v>
      </c>
      <c r="D2683">
        <f t="shared" si="329"/>
        <v>81</v>
      </c>
      <c r="E2683">
        <f t="shared" si="330"/>
        <v>0.55102040816326525</v>
      </c>
      <c r="F2683">
        <f t="shared" si="331"/>
        <v>175</v>
      </c>
      <c r="G2683">
        <f t="shared" si="332"/>
        <v>96.428571428571416</v>
      </c>
      <c r="H2683" t="str">
        <f>_xlfn.XLOOKUP(A2683,Fact_Events!$D$2:$D$20,Fact_Events!$A$2:$A$20, "")</f>
        <v/>
      </c>
      <c r="I2683">
        <f t="shared" si="333"/>
        <v>0</v>
      </c>
      <c r="J2683" t="str">
        <f>_xlfn.XLOOKUP(H2683, Fact_Events!$A$2:$A$20, Fact_Events!$F$2:$F$20, "")</f>
        <v/>
      </c>
      <c r="K2683" t="str">
        <f t="shared" si="334"/>
        <v>Low</v>
      </c>
      <c r="L2683">
        <f t="shared" si="335"/>
        <v>0.55000000000000004</v>
      </c>
      <c r="M2683">
        <f>_xlfn.XLOOKUP(B2683, Dim_Hotel!$A$2:$A$11, Dim_Hotel!$I$2:$I$11)
 + (IF(J2683="",0,J2683)
    * _xlfn.XLOOKUP(B2683, Dim_Hotel!$A$2:$A$11, Dim_Hotel!$J$2:$J$11))</f>
        <v>175</v>
      </c>
    </row>
    <row r="2684" spans="1:13" x14ac:dyDescent="0.25">
      <c r="A2684" s="1">
        <f t="shared" si="328"/>
        <v>46291</v>
      </c>
      <c r="B2684" t="str" cm="1">
        <f t="array" ref="B2684">INDEX(HotelList,MOD(ROW()-2,10)+1)</f>
        <v>H003</v>
      </c>
      <c r="C2684">
        <f>_xlfn.XLOOKUP(B2684,Dim_Hotel!$A$2:$A$11,Dim_Hotel!$F$2:$F$11)</f>
        <v>121</v>
      </c>
      <c r="D2684">
        <f t="shared" si="329"/>
        <v>67</v>
      </c>
      <c r="E2684">
        <f t="shared" si="330"/>
        <v>0.55371900826446285</v>
      </c>
      <c r="F2684">
        <f t="shared" si="331"/>
        <v>145</v>
      </c>
      <c r="G2684">
        <f t="shared" si="332"/>
        <v>80.289256198347118</v>
      </c>
      <c r="H2684" t="str">
        <f>_xlfn.XLOOKUP(A2684,Fact_Events!$D$2:$D$20,Fact_Events!$A$2:$A$20, "")</f>
        <v/>
      </c>
      <c r="I2684">
        <f t="shared" si="333"/>
        <v>0</v>
      </c>
      <c r="J2684" t="str">
        <f>_xlfn.XLOOKUP(H2684, Fact_Events!$A$2:$A$20, Fact_Events!$F$2:$F$20, "")</f>
        <v/>
      </c>
      <c r="K2684" t="str">
        <f t="shared" si="334"/>
        <v>Low</v>
      </c>
      <c r="L2684">
        <f t="shared" si="335"/>
        <v>0.55000000000000004</v>
      </c>
      <c r="M2684">
        <f>_xlfn.XLOOKUP(B2684, Dim_Hotel!$A$2:$A$11, Dim_Hotel!$I$2:$I$11)
 + (IF(J2684="",0,J2684)
    * _xlfn.XLOOKUP(B2684, Dim_Hotel!$A$2:$A$11, Dim_Hotel!$J$2:$J$11))</f>
        <v>145</v>
      </c>
    </row>
    <row r="2685" spans="1:13" x14ac:dyDescent="0.25">
      <c r="A2685" s="1">
        <f t="shared" si="328"/>
        <v>46291</v>
      </c>
      <c r="B2685" t="str" cm="1">
        <f t="array" ref="B2685">INDEX(HotelList,MOD(ROW()-2,10)+1)</f>
        <v>H004</v>
      </c>
      <c r="C2685">
        <f>_xlfn.XLOOKUP(B2685,Dim_Hotel!$A$2:$A$11,Dim_Hotel!$F$2:$F$11)</f>
        <v>108</v>
      </c>
      <c r="D2685">
        <f t="shared" si="329"/>
        <v>59</v>
      </c>
      <c r="E2685">
        <f t="shared" si="330"/>
        <v>0.54629629629629628</v>
      </c>
      <c r="F2685">
        <f t="shared" si="331"/>
        <v>135</v>
      </c>
      <c r="G2685">
        <f t="shared" si="332"/>
        <v>73.75</v>
      </c>
      <c r="H2685" t="str">
        <f>_xlfn.XLOOKUP(A2685,Fact_Events!$D$2:$D$20,Fact_Events!$A$2:$A$20, "")</f>
        <v/>
      </c>
      <c r="I2685">
        <f t="shared" si="333"/>
        <v>0</v>
      </c>
      <c r="J2685" t="str">
        <f>_xlfn.XLOOKUP(H2685, Fact_Events!$A$2:$A$20, Fact_Events!$F$2:$F$20, "")</f>
        <v/>
      </c>
      <c r="K2685" t="str">
        <f t="shared" si="334"/>
        <v>Low</v>
      </c>
      <c r="L2685">
        <f t="shared" si="335"/>
        <v>0.55000000000000004</v>
      </c>
      <c r="M2685">
        <f>_xlfn.XLOOKUP(B2685, Dim_Hotel!$A$2:$A$11, Dim_Hotel!$I$2:$I$11)
 + (IF(J2685="",0,J2685)
    * _xlfn.XLOOKUP(B2685, Dim_Hotel!$A$2:$A$11, Dim_Hotel!$J$2:$J$11))</f>
        <v>135</v>
      </c>
    </row>
    <row r="2686" spans="1:13" x14ac:dyDescent="0.25">
      <c r="A2686" s="1">
        <f t="shared" si="328"/>
        <v>46291</v>
      </c>
      <c r="B2686" t="str" cm="1">
        <f t="array" ref="B2686">INDEX(HotelList,MOD(ROW()-2,10)+1)</f>
        <v>H005</v>
      </c>
      <c r="C2686">
        <f>_xlfn.XLOOKUP(B2686,Dim_Hotel!$A$2:$A$11,Dim_Hotel!$F$2:$F$11)</f>
        <v>66</v>
      </c>
      <c r="D2686">
        <f t="shared" si="329"/>
        <v>36</v>
      </c>
      <c r="E2686">
        <f t="shared" si="330"/>
        <v>0.54545454545454541</v>
      </c>
      <c r="F2686">
        <f t="shared" si="331"/>
        <v>82</v>
      </c>
      <c r="G2686">
        <f t="shared" si="332"/>
        <v>44.727272727272727</v>
      </c>
      <c r="H2686" t="str">
        <f>_xlfn.XLOOKUP(A2686,Fact_Events!$D$2:$D$20,Fact_Events!$A$2:$A$20, "")</f>
        <v/>
      </c>
      <c r="I2686">
        <f t="shared" si="333"/>
        <v>0</v>
      </c>
      <c r="J2686" t="str">
        <f>_xlfn.XLOOKUP(H2686, Fact_Events!$A$2:$A$20, Fact_Events!$F$2:$F$20, "")</f>
        <v/>
      </c>
      <c r="K2686" t="str">
        <f t="shared" si="334"/>
        <v>Low</v>
      </c>
      <c r="L2686">
        <f t="shared" si="335"/>
        <v>0.55000000000000004</v>
      </c>
      <c r="M2686">
        <f>_xlfn.XLOOKUP(B2686, Dim_Hotel!$A$2:$A$11, Dim_Hotel!$I$2:$I$11)
 + (IF(J2686="",0,J2686)
    * _xlfn.XLOOKUP(B2686, Dim_Hotel!$A$2:$A$11, Dim_Hotel!$J$2:$J$11))</f>
        <v>82</v>
      </c>
    </row>
    <row r="2687" spans="1:13" x14ac:dyDescent="0.25">
      <c r="A2687" s="1">
        <f t="shared" si="328"/>
        <v>46291</v>
      </c>
      <c r="B2687" t="str" cm="1">
        <f t="array" ref="B2687">INDEX(HotelList,MOD(ROW()-2,10)+1)</f>
        <v>H006</v>
      </c>
      <c r="C2687">
        <f>_xlfn.XLOOKUP(B2687,Dim_Hotel!$A$2:$A$11,Dim_Hotel!$F$2:$F$11)</f>
        <v>311</v>
      </c>
      <c r="D2687">
        <f t="shared" si="329"/>
        <v>171</v>
      </c>
      <c r="E2687">
        <f t="shared" si="330"/>
        <v>0.54983922829581988</v>
      </c>
      <c r="F2687">
        <f t="shared" si="331"/>
        <v>190</v>
      </c>
      <c r="G2687">
        <f t="shared" si="332"/>
        <v>104.46945337620578</v>
      </c>
      <c r="H2687" t="str">
        <f>_xlfn.XLOOKUP(A2687,Fact_Events!$D$2:$D$20,Fact_Events!$A$2:$A$20, "")</f>
        <v/>
      </c>
      <c r="I2687">
        <f t="shared" si="333"/>
        <v>0</v>
      </c>
      <c r="J2687" t="str">
        <f>_xlfn.XLOOKUP(H2687, Fact_Events!$A$2:$A$20, Fact_Events!$F$2:$F$20, "")</f>
        <v/>
      </c>
      <c r="K2687" t="str">
        <f t="shared" si="334"/>
        <v>Low</v>
      </c>
      <c r="L2687">
        <f t="shared" si="335"/>
        <v>0.55000000000000004</v>
      </c>
      <c r="M2687">
        <f>_xlfn.XLOOKUP(B2687, Dim_Hotel!$A$2:$A$11, Dim_Hotel!$I$2:$I$11)
 + (IF(J2687="",0,J2687)
    * _xlfn.XLOOKUP(B2687, Dim_Hotel!$A$2:$A$11, Dim_Hotel!$J$2:$J$11))</f>
        <v>190</v>
      </c>
    </row>
    <row r="2688" spans="1:13" x14ac:dyDescent="0.25">
      <c r="A2688" s="1">
        <f t="shared" si="328"/>
        <v>46291</v>
      </c>
      <c r="B2688" t="str" cm="1">
        <f t="array" ref="B2688">INDEX(HotelList,MOD(ROW()-2,10)+1)</f>
        <v>H007</v>
      </c>
      <c r="C2688">
        <f>_xlfn.XLOOKUP(B2688,Dim_Hotel!$A$2:$A$11,Dim_Hotel!$F$2:$F$11)</f>
        <v>132</v>
      </c>
      <c r="D2688">
        <f t="shared" si="329"/>
        <v>73</v>
      </c>
      <c r="E2688">
        <f t="shared" si="330"/>
        <v>0.55303030303030298</v>
      </c>
      <c r="F2688">
        <f t="shared" si="331"/>
        <v>165</v>
      </c>
      <c r="G2688">
        <f t="shared" si="332"/>
        <v>91.249999999999986</v>
      </c>
      <c r="H2688" t="str">
        <f>_xlfn.XLOOKUP(A2688,Fact_Events!$D$2:$D$20,Fact_Events!$A$2:$A$20, "")</f>
        <v/>
      </c>
      <c r="I2688">
        <f t="shared" si="333"/>
        <v>0</v>
      </c>
      <c r="J2688" t="str">
        <f>_xlfn.XLOOKUP(H2688, Fact_Events!$A$2:$A$20, Fact_Events!$F$2:$F$20, "")</f>
        <v/>
      </c>
      <c r="K2688" t="str">
        <f t="shared" si="334"/>
        <v>Low</v>
      </c>
      <c r="L2688">
        <f t="shared" si="335"/>
        <v>0.55000000000000004</v>
      </c>
      <c r="M2688">
        <f>_xlfn.XLOOKUP(B2688, Dim_Hotel!$A$2:$A$11, Dim_Hotel!$I$2:$I$11)
 + (IF(J2688="",0,J2688)
    * _xlfn.XLOOKUP(B2688, Dim_Hotel!$A$2:$A$11, Dim_Hotel!$J$2:$J$11))</f>
        <v>165</v>
      </c>
    </row>
    <row r="2689" spans="1:13" x14ac:dyDescent="0.25">
      <c r="A2689" s="1">
        <f t="shared" si="328"/>
        <v>46291</v>
      </c>
      <c r="B2689" t="str" cm="1">
        <f t="array" ref="B2689">INDEX(HotelList,MOD(ROW()-2,10)+1)</f>
        <v>H008</v>
      </c>
      <c r="C2689">
        <f>_xlfn.XLOOKUP(B2689,Dim_Hotel!$A$2:$A$11,Dim_Hotel!$F$2:$F$11)</f>
        <v>103</v>
      </c>
      <c r="D2689">
        <f t="shared" si="329"/>
        <v>57</v>
      </c>
      <c r="E2689">
        <f t="shared" si="330"/>
        <v>0.55339805825242716</v>
      </c>
      <c r="F2689">
        <f t="shared" si="331"/>
        <v>140</v>
      </c>
      <c r="G2689">
        <f t="shared" si="332"/>
        <v>77.475728155339809</v>
      </c>
      <c r="H2689" t="str">
        <f>_xlfn.XLOOKUP(A2689,Fact_Events!$D$2:$D$20,Fact_Events!$A$2:$A$20, "")</f>
        <v/>
      </c>
      <c r="I2689">
        <f t="shared" si="333"/>
        <v>0</v>
      </c>
      <c r="J2689" t="str">
        <f>_xlfn.XLOOKUP(H2689, Fact_Events!$A$2:$A$20, Fact_Events!$F$2:$F$20, "")</f>
        <v/>
      </c>
      <c r="K2689" t="str">
        <f t="shared" si="334"/>
        <v>Low</v>
      </c>
      <c r="L2689">
        <f t="shared" si="335"/>
        <v>0.55000000000000004</v>
      </c>
      <c r="M2689">
        <f>_xlfn.XLOOKUP(B2689, Dim_Hotel!$A$2:$A$11, Dim_Hotel!$I$2:$I$11)
 + (IF(J2689="",0,J2689)
    * _xlfn.XLOOKUP(B2689, Dim_Hotel!$A$2:$A$11, Dim_Hotel!$J$2:$J$11))</f>
        <v>140</v>
      </c>
    </row>
    <row r="2690" spans="1:13" x14ac:dyDescent="0.25">
      <c r="A2690" s="1">
        <f t="shared" si="328"/>
        <v>46291</v>
      </c>
      <c r="B2690" t="str" cm="1">
        <f t="array" ref="B2690">INDEX(HotelList,MOD(ROW()-2,10)+1)</f>
        <v>H009</v>
      </c>
      <c r="C2690">
        <f>_xlfn.XLOOKUP(B2690,Dim_Hotel!$A$2:$A$11,Dim_Hotel!$F$2:$F$11)</f>
        <v>114</v>
      </c>
      <c r="D2690">
        <f t="shared" si="329"/>
        <v>63</v>
      </c>
      <c r="E2690">
        <f t="shared" si="330"/>
        <v>0.55263157894736847</v>
      </c>
      <c r="F2690">
        <f t="shared" si="331"/>
        <v>185</v>
      </c>
      <c r="G2690">
        <f t="shared" si="332"/>
        <v>102.23684210526316</v>
      </c>
      <c r="H2690" t="str">
        <f>_xlfn.XLOOKUP(A2690,Fact_Events!$D$2:$D$20,Fact_Events!$A$2:$A$20, "")</f>
        <v/>
      </c>
      <c r="I2690">
        <f t="shared" si="333"/>
        <v>0</v>
      </c>
      <c r="J2690" t="str">
        <f>_xlfn.XLOOKUP(H2690, Fact_Events!$A$2:$A$20, Fact_Events!$F$2:$F$20, "")</f>
        <v/>
      </c>
      <c r="K2690" t="str">
        <f t="shared" si="334"/>
        <v>Low</v>
      </c>
      <c r="L2690">
        <f t="shared" si="335"/>
        <v>0.55000000000000004</v>
      </c>
      <c r="M2690">
        <f>_xlfn.XLOOKUP(B2690, Dim_Hotel!$A$2:$A$11, Dim_Hotel!$I$2:$I$11)
 + (IF(J2690="",0,J2690)
    * _xlfn.XLOOKUP(B2690, Dim_Hotel!$A$2:$A$11, Dim_Hotel!$J$2:$J$11))</f>
        <v>185</v>
      </c>
    </row>
    <row r="2691" spans="1:13" x14ac:dyDescent="0.25">
      <c r="A2691" s="1">
        <f t="shared" ref="A2691:A2754" si="336">DATE(2026,1,1) + INT((ROW()-2)/10)</f>
        <v>46291</v>
      </c>
      <c r="B2691" t="str" cm="1">
        <f t="array" ref="B2691">INDEX(HotelList,MOD(ROW()-2,10)+1)</f>
        <v>H010</v>
      </c>
      <c r="C2691">
        <f>_xlfn.XLOOKUP(B2691,Dim_Hotel!$A$2:$A$11,Dim_Hotel!$F$2:$F$11)</f>
        <v>89</v>
      </c>
      <c r="D2691">
        <f t="shared" ref="D2691:D2754" si="337">ROUND(L2691 * C2691, 0)</f>
        <v>49</v>
      </c>
      <c r="E2691">
        <f t="shared" ref="E2691:E2754" si="338">D2691/C2691</f>
        <v>0.550561797752809</v>
      </c>
      <c r="F2691">
        <f t="shared" ref="F2691:F2754" si="339">M2691</f>
        <v>150</v>
      </c>
      <c r="G2691">
        <f t="shared" ref="G2691:G2754" si="340">E2691*F2691</f>
        <v>82.584269662921344</v>
      </c>
      <c r="H2691" t="str">
        <f>_xlfn.XLOOKUP(A2691,Fact_Events!$D$2:$D$20,Fact_Events!$A$2:$A$20, "")</f>
        <v/>
      </c>
      <c r="I2691">
        <f t="shared" ref="I2691:I2754" si="341">IF(H2691="",0,1)</f>
        <v>0</v>
      </c>
      <c r="J2691" t="str">
        <f>_xlfn.XLOOKUP(H2691, Fact_Events!$A$2:$A$20, Fact_Events!$F$2:$F$20, "")</f>
        <v/>
      </c>
      <c r="K2691" t="str">
        <f t="shared" ref="K2691:K2754" si="342">IF(I2691=0,"Low",
   IF(J2691&gt;=9,"High","Medium"))</f>
        <v>Low</v>
      </c>
      <c r="L2691">
        <f t="shared" ref="L2691:L2754" si="343">MIN(1,
  0.55
  + (I2691 * 0.25)
  + (IF(J2691="",0,J2691) / 100)
)</f>
        <v>0.55000000000000004</v>
      </c>
      <c r="M2691">
        <f>_xlfn.XLOOKUP(B2691, Dim_Hotel!$A$2:$A$11, Dim_Hotel!$I$2:$I$11)
 + (IF(J2691="",0,J2691)
    * _xlfn.XLOOKUP(B2691, Dim_Hotel!$A$2:$A$11, Dim_Hotel!$J$2:$J$11))</f>
        <v>150</v>
      </c>
    </row>
    <row r="2692" spans="1:13" x14ac:dyDescent="0.25">
      <c r="A2692" s="1">
        <f t="shared" si="336"/>
        <v>46292</v>
      </c>
      <c r="B2692" t="str" cm="1">
        <f t="array" ref="B2692">INDEX(HotelList,MOD(ROW()-2,10)+1)</f>
        <v>H001</v>
      </c>
      <c r="C2692">
        <f>_xlfn.XLOOKUP(B2692,Dim_Hotel!$A$2:$A$11,Dim_Hotel!$F$2:$F$11)</f>
        <v>888</v>
      </c>
      <c r="D2692">
        <f t="shared" si="337"/>
        <v>488</v>
      </c>
      <c r="E2692">
        <f t="shared" si="338"/>
        <v>0.5495495495495496</v>
      </c>
      <c r="F2692">
        <f t="shared" si="339"/>
        <v>260</v>
      </c>
      <c r="G2692">
        <f t="shared" si="340"/>
        <v>142.88288288288288</v>
      </c>
      <c r="H2692" t="str">
        <f>_xlfn.XLOOKUP(A2692,Fact_Events!$D$2:$D$20,Fact_Events!$A$2:$A$20, "")</f>
        <v/>
      </c>
      <c r="I2692">
        <f t="shared" si="341"/>
        <v>0</v>
      </c>
      <c r="J2692" t="str">
        <f>_xlfn.XLOOKUP(H2692, Fact_Events!$A$2:$A$20, Fact_Events!$F$2:$F$20, "")</f>
        <v/>
      </c>
      <c r="K2692" t="str">
        <f t="shared" si="342"/>
        <v>Low</v>
      </c>
      <c r="L2692">
        <f t="shared" si="343"/>
        <v>0.55000000000000004</v>
      </c>
      <c r="M2692">
        <f>_xlfn.XLOOKUP(B2692, Dim_Hotel!$A$2:$A$11, Dim_Hotel!$I$2:$I$11)
 + (IF(J2692="",0,J2692)
    * _xlfn.XLOOKUP(B2692, Dim_Hotel!$A$2:$A$11, Dim_Hotel!$J$2:$J$11))</f>
        <v>260</v>
      </c>
    </row>
    <row r="2693" spans="1:13" x14ac:dyDescent="0.25">
      <c r="A2693" s="1">
        <f t="shared" si="336"/>
        <v>46292</v>
      </c>
      <c r="B2693" t="str" cm="1">
        <f t="array" ref="B2693">INDEX(HotelList,MOD(ROW()-2,10)+1)</f>
        <v>H002</v>
      </c>
      <c r="C2693">
        <f>_xlfn.XLOOKUP(B2693,Dim_Hotel!$A$2:$A$11,Dim_Hotel!$F$2:$F$11)</f>
        <v>147</v>
      </c>
      <c r="D2693">
        <f t="shared" si="337"/>
        <v>81</v>
      </c>
      <c r="E2693">
        <f t="shared" si="338"/>
        <v>0.55102040816326525</v>
      </c>
      <c r="F2693">
        <f t="shared" si="339"/>
        <v>175</v>
      </c>
      <c r="G2693">
        <f t="shared" si="340"/>
        <v>96.428571428571416</v>
      </c>
      <c r="H2693" t="str">
        <f>_xlfn.XLOOKUP(A2693,Fact_Events!$D$2:$D$20,Fact_Events!$A$2:$A$20, "")</f>
        <v/>
      </c>
      <c r="I2693">
        <f t="shared" si="341"/>
        <v>0</v>
      </c>
      <c r="J2693" t="str">
        <f>_xlfn.XLOOKUP(H2693, Fact_Events!$A$2:$A$20, Fact_Events!$F$2:$F$20, "")</f>
        <v/>
      </c>
      <c r="K2693" t="str">
        <f t="shared" si="342"/>
        <v>Low</v>
      </c>
      <c r="L2693">
        <f t="shared" si="343"/>
        <v>0.55000000000000004</v>
      </c>
      <c r="M2693">
        <f>_xlfn.XLOOKUP(B2693, Dim_Hotel!$A$2:$A$11, Dim_Hotel!$I$2:$I$11)
 + (IF(J2693="",0,J2693)
    * _xlfn.XLOOKUP(B2693, Dim_Hotel!$A$2:$A$11, Dim_Hotel!$J$2:$J$11))</f>
        <v>175</v>
      </c>
    </row>
    <row r="2694" spans="1:13" x14ac:dyDescent="0.25">
      <c r="A2694" s="1">
        <f t="shared" si="336"/>
        <v>46292</v>
      </c>
      <c r="B2694" t="str" cm="1">
        <f t="array" ref="B2694">INDEX(HotelList,MOD(ROW()-2,10)+1)</f>
        <v>H003</v>
      </c>
      <c r="C2694">
        <f>_xlfn.XLOOKUP(B2694,Dim_Hotel!$A$2:$A$11,Dim_Hotel!$F$2:$F$11)</f>
        <v>121</v>
      </c>
      <c r="D2694">
        <f t="shared" si="337"/>
        <v>67</v>
      </c>
      <c r="E2694">
        <f t="shared" si="338"/>
        <v>0.55371900826446285</v>
      </c>
      <c r="F2694">
        <f t="shared" si="339"/>
        <v>145</v>
      </c>
      <c r="G2694">
        <f t="shared" si="340"/>
        <v>80.289256198347118</v>
      </c>
      <c r="H2694" t="str">
        <f>_xlfn.XLOOKUP(A2694,Fact_Events!$D$2:$D$20,Fact_Events!$A$2:$A$20, "")</f>
        <v/>
      </c>
      <c r="I2694">
        <f t="shared" si="341"/>
        <v>0</v>
      </c>
      <c r="J2694" t="str">
        <f>_xlfn.XLOOKUP(H2694, Fact_Events!$A$2:$A$20, Fact_Events!$F$2:$F$20, "")</f>
        <v/>
      </c>
      <c r="K2694" t="str">
        <f t="shared" si="342"/>
        <v>Low</v>
      </c>
      <c r="L2694">
        <f t="shared" si="343"/>
        <v>0.55000000000000004</v>
      </c>
      <c r="M2694">
        <f>_xlfn.XLOOKUP(B2694, Dim_Hotel!$A$2:$A$11, Dim_Hotel!$I$2:$I$11)
 + (IF(J2694="",0,J2694)
    * _xlfn.XLOOKUP(B2694, Dim_Hotel!$A$2:$A$11, Dim_Hotel!$J$2:$J$11))</f>
        <v>145</v>
      </c>
    </row>
    <row r="2695" spans="1:13" x14ac:dyDescent="0.25">
      <c r="A2695" s="1">
        <f t="shared" si="336"/>
        <v>46292</v>
      </c>
      <c r="B2695" t="str" cm="1">
        <f t="array" ref="B2695">INDEX(HotelList,MOD(ROW()-2,10)+1)</f>
        <v>H004</v>
      </c>
      <c r="C2695">
        <f>_xlfn.XLOOKUP(B2695,Dim_Hotel!$A$2:$A$11,Dim_Hotel!$F$2:$F$11)</f>
        <v>108</v>
      </c>
      <c r="D2695">
        <f t="shared" si="337"/>
        <v>59</v>
      </c>
      <c r="E2695">
        <f t="shared" si="338"/>
        <v>0.54629629629629628</v>
      </c>
      <c r="F2695">
        <f t="shared" si="339"/>
        <v>135</v>
      </c>
      <c r="G2695">
        <f t="shared" si="340"/>
        <v>73.75</v>
      </c>
      <c r="H2695" t="str">
        <f>_xlfn.XLOOKUP(A2695,Fact_Events!$D$2:$D$20,Fact_Events!$A$2:$A$20, "")</f>
        <v/>
      </c>
      <c r="I2695">
        <f t="shared" si="341"/>
        <v>0</v>
      </c>
      <c r="J2695" t="str">
        <f>_xlfn.XLOOKUP(H2695, Fact_Events!$A$2:$A$20, Fact_Events!$F$2:$F$20, "")</f>
        <v/>
      </c>
      <c r="K2695" t="str">
        <f t="shared" si="342"/>
        <v>Low</v>
      </c>
      <c r="L2695">
        <f t="shared" si="343"/>
        <v>0.55000000000000004</v>
      </c>
      <c r="M2695">
        <f>_xlfn.XLOOKUP(B2695, Dim_Hotel!$A$2:$A$11, Dim_Hotel!$I$2:$I$11)
 + (IF(J2695="",0,J2695)
    * _xlfn.XLOOKUP(B2695, Dim_Hotel!$A$2:$A$11, Dim_Hotel!$J$2:$J$11))</f>
        <v>135</v>
      </c>
    </row>
    <row r="2696" spans="1:13" x14ac:dyDescent="0.25">
      <c r="A2696" s="1">
        <f t="shared" si="336"/>
        <v>46292</v>
      </c>
      <c r="B2696" t="str" cm="1">
        <f t="array" ref="B2696">INDEX(HotelList,MOD(ROW()-2,10)+1)</f>
        <v>H005</v>
      </c>
      <c r="C2696">
        <f>_xlfn.XLOOKUP(B2696,Dim_Hotel!$A$2:$A$11,Dim_Hotel!$F$2:$F$11)</f>
        <v>66</v>
      </c>
      <c r="D2696">
        <f t="shared" si="337"/>
        <v>36</v>
      </c>
      <c r="E2696">
        <f t="shared" si="338"/>
        <v>0.54545454545454541</v>
      </c>
      <c r="F2696">
        <f t="shared" si="339"/>
        <v>82</v>
      </c>
      <c r="G2696">
        <f t="shared" si="340"/>
        <v>44.727272727272727</v>
      </c>
      <c r="H2696" t="str">
        <f>_xlfn.XLOOKUP(A2696,Fact_Events!$D$2:$D$20,Fact_Events!$A$2:$A$20, "")</f>
        <v/>
      </c>
      <c r="I2696">
        <f t="shared" si="341"/>
        <v>0</v>
      </c>
      <c r="J2696" t="str">
        <f>_xlfn.XLOOKUP(H2696, Fact_Events!$A$2:$A$20, Fact_Events!$F$2:$F$20, "")</f>
        <v/>
      </c>
      <c r="K2696" t="str">
        <f t="shared" si="342"/>
        <v>Low</v>
      </c>
      <c r="L2696">
        <f t="shared" si="343"/>
        <v>0.55000000000000004</v>
      </c>
      <c r="M2696">
        <f>_xlfn.XLOOKUP(B2696, Dim_Hotel!$A$2:$A$11, Dim_Hotel!$I$2:$I$11)
 + (IF(J2696="",0,J2696)
    * _xlfn.XLOOKUP(B2696, Dim_Hotel!$A$2:$A$11, Dim_Hotel!$J$2:$J$11))</f>
        <v>82</v>
      </c>
    </row>
    <row r="2697" spans="1:13" x14ac:dyDescent="0.25">
      <c r="A2697" s="1">
        <f t="shared" si="336"/>
        <v>46292</v>
      </c>
      <c r="B2697" t="str" cm="1">
        <f t="array" ref="B2697">INDEX(HotelList,MOD(ROW()-2,10)+1)</f>
        <v>H006</v>
      </c>
      <c r="C2697">
        <f>_xlfn.XLOOKUP(B2697,Dim_Hotel!$A$2:$A$11,Dim_Hotel!$F$2:$F$11)</f>
        <v>311</v>
      </c>
      <c r="D2697">
        <f t="shared" si="337"/>
        <v>171</v>
      </c>
      <c r="E2697">
        <f t="shared" si="338"/>
        <v>0.54983922829581988</v>
      </c>
      <c r="F2697">
        <f t="shared" si="339"/>
        <v>190</v>
      </c>
      <c r="G2697">
        <f t="shared" si="340"/>
        <v>104.46945337620578</v>
      </c>
      <c r="H2697" t="str">
        <f>_xlfn.XLOOKUP(A2697,Fact_Events!$D$2:$D$20,Fact_Events!$A$2:$A$20, "")</f>
        <v/>
      </c>
      <c r="I2697">
        <f t="shared" si="341"/>
        <v>0</v>
      </c>
      <c r="J2697" t="str">
        <f>_xlfn.XLOOKUP(H2697, Fact_Events!$A$2:$A$20, Fact_Events!$F$2:$F$20, "")</f>
        <v/>
      </c>
      <c r="K2697" t="str">
        <f t="shared" si="342"/>
        <v>Low</v>
      </c>
      <c r="L2697">
        <f t="shared" si="343"/>
        <v>0.55000000000000004</v>
      </c>
      <c r="M2697">
        <f>_xlfn.XLOOKUP(B2697, Dim_Hotel!$A$2:$A$11, Dim_Hotel!$I$2:$I$11)
 + (IF(J2697="",0,J2697)
    * _xlfn.XLOOKUP(B2697, Dim_Hotel!$A$2:$A$11, Dim_Hotel!$J$2:$J$11))</f>
        <v>190</v>
      </c>
    </row>
    <row r="2698" spans="1:13" x14ac:dyDescent="0.25">
      <c r="A2698" s="1">
        <f t="shared" si="336"/>
        <v>46292</v>
      </c>
      <c r="B2698" t="str" cm="1">
        <f t="array" ref="B2698">INDEX(HotelList,MOD(ROW()-2,10)+1)</f>
        <v>H007</v>
      </c>
      <c r="C2698">
        <f>_xlfn.XLOOKUP(B2698,Dim_Hotel!$A$2:$A$11,Dim_Hotel!$F$2:$F$11)</f>
        <v>132</v>
      </c>
      <c r="D2698">
        <f t="shared" si="337"/>
        <v>73</v>
      </c>
      <c r="E2698">
        <f t="shared" si="338"/>
        <v>0.55303030303030298</v>
      </c>
      <c r="F2698">
        <f t="shared" si="339"/>
        <v>165</v>
      </c>
      <c r="G2698">
        <f t="shared" si="340"/>
        <v>91.249999999999986</v>
      </c>
      <c r="H2698" t="str">
        <f>_xlfn.XLOOKUP(A2698,Fact_Events!$D$2:$D$20,Fact_Events!$A$2:$A$20, "")</f>
        <v/>
      </c>
      <c r="I2698">
        <f t="shared" si="341"/>
        <v>0</v>
      </c>
      <c r="J2698" t="str">
        <f>_xlfn.XLOOKUP(H2698, Fact_Events!$A$2:$A$20, Fact_Events!$F$2:$F$20, "")</f>
        <v/>
      </c>
      <c r="K2698" t="str">
        <f t="shared" si="342"/>
        <v>Low</v>
      </c>
      <c r="L2698">
        <f t="shared" si="343"/>
        <v>0.55000000000000004</v>
      </c>
      <c r="M2698">
        <f>_xlfn.XLOOKUP(B2698, Dim_Hotel!$A$2:$A$11, Dim_Hotel!$I$2:$I$11)
 + (IF(J2698="",0,J2698)
    * _xlfn.XLOOKUP(B2698, Dim_Hotel!$A$2:$A$11, Dim_Hotel!$J$2:$J$11))</f>
        <v>165</v>
      </c>
    </row>
    <row r="2699" spans="1:13" x14ac:dyDescent="0.25">
      <c r="A2699" s="1">
        <f t="shared" si="336"/>
        <v>46292</v>
      </c>
      <c r="B2699" t="str" cm="1">
        <f t="array" ref="B2699">INDEX(HotelList,MOD(ROW()-2,10)+1)</f>
        <v>H008</v>
      </c>
      <c r="C2699">
        <f>_xlfn.XLOOKUP(B2699,Dim_Hotel!$A$2:$A$11,Dim_Hotel!$F$2:$F$11)</f>
        <v>103</v>
      </c>
      <c r="D2699">
        <f t="shared" si="337"/>
        <v>57</v>
      </c>
      <c r="E2699">
        <f t="shared" si="338"/>
        <v>0.55339805825242716</v>
      </c>
      <c r="F2699">
        <f t="shared" si="339"/>
        <v>140</v>
      </c>
      <c r="G2699">
        <f t="shared" si="340"/>
        <v>77.475728155339809</v>
      </c>
      <c r="H2699" t="str">
        <f>_xlfn.XLOOKUP(A2699,Fact_Events!$D$2:$D$20,Fact_Events!$A$2:$A$20, "")</f>
        <v/>
      </c>
      <c r="I2699">
        <f t="shared" si="341"/>
        <v>0</v>
      </c>
      <c r="J2699" t="str">
        <f>_xlfn.XLOOKUP(H2699, Fact_Events!$A$2:$A$20, Fact_Events!$F$2:$F$20, "")</f>
        <v/>
      </c>
      <c r="K2699" t="str">
        <f t="shared" si="342"/>
        <v>Low</v>
      </c>
      <c r="L2699">
        <f t="shared" si="343"/>
        <v>0.55000000000000004</v>
      </c>
      <c r="M2699">
        <f>_xlfn.XLOOKUP(B2699, Dim_Hotel!$A$2:$A$11, Dim_Hotel!$I$2:$I$11)
 + (IF(J2699="",0,J2699)
    * _xlfn.XLOOKUP(B2699, Dim_Hotel!$A$2:$A$11, Dim_Hotel!$J$2:$J$11))</f>
        <v>140</v>
      </c>
    </row>
    <row r="2700" spans="1:13" x14ac:dyDescent="0.25">
      <c r="A2700" s="1">
        <f t="shared" si="336"/>
        <v>46292</v>
      </c>
      <c r="B2700" t="str" cm="1">
        <f t="array" ref="B2700">INDEX(HotelList,MOD(ROW()-2,10)+1)</f>
        <v>H009</v>
      </c>
      <c r="C2700">
        <f>_xlfn.XLOOKUP(B2700,Dim_Hotel!$A$2:$A$11,Dim_Hotel!$F$2:$F$11)</f>
        <v>114</v>
      </c>
      <c r="D2700">
        <f t="shared" si="337"/>
        <v>63</v>
      </c>
      <c r="E2700">
        <f t="shared" si="338"/>
        <v>0.55263157894736847</v>
      </c>
      <c r="F2700">
        <f t="shared" si="339"/>
        <v>185</v>
      </c>
      <c r="G2700">
        <f t="shared" si="340"/>
        <v>102.23684210526316</v>
      </c>
      <c r="H2700" t="str">
        <f>_xlfn.XLOOKUP(A2700,Fact_Events!$D$2:$D$20,Fact_Events!$A$2:$A$20, "")</f>
        <v/>
      </c>
      <c r="I2700">
        <f t="shared" si="341"/>
        <v>0</v>
      </c>
      <c r="J2700" t="str">
        <f>_xlfn.XLOOKUP(H2700, Fact_Events!$A$2:$A$20, Fact_Events!$F$2:$F$20, "")</f>
        <v/>
      </c>
      <c r="K2700" t="str">
        <f t="shared" si="342"/>
        <v>Low</v>
      </c>
      <c r="L2700">
        <f t="shared" si="343"/>
        <v>0.55000000000000004</v>
      </c>
      <c r="M2700">
        <f>_xlfn.XLOOKUP(B2700, Dim_Hotel!$A$2:$A$11, Dim_Hotel!$I$2:$I$11)
 + (IF(J2700="",0,J2700)
    * _xlfn.XLOOKUP(B2700, Dim_Hotel!$A$2:$A$11, Dim_Hotel!$J$2:$J$11))</f>
        <v>185</v>
      </c>
    </row>
    <row r="2701" spans="1:13" x14ac:dyDescent="0.25">
      <c r="A2701" s="1">
        <f t="shared" si="336"/>
        <v>46292</v>
      </c>
      <c r="B2701" t="str" cm="1">
        <f t="array" ref="B2701">INDEX(HotelList,MOD(ROW()-2,10)+1)</f>
        <v>H010</v>
      </c>
      <c r="C2701">
        <f>_xlfn.XLOOKUP(B2701,Dim_Hotel!$A$2:$A$11,Dim_Hotel!$F$2:$F$11)</f>
        <v>89</v>
      </c>
      <c r="D2701">
        <f t="shared" si="337"/>
        <v>49</v>
      </c>
      <c r="E2701">
        <f t="shared" si="338"/>
        <v>0.550561797752809</v>
      </c>
      <c r="F2701">
        <f t="shared" si="339"/>
        <v>150</v>
      </c>
      <c r="G2701">
        <f t="shared" si="340"/>
        <v>82.584269662921344</v>
      </c>
      <c r="H2701" t="str">
        <f>_xlfn.XLOOKUP(A2701,Fact_Events!$D$2:$D$20,Fact_Events!$A$2:$A$20, "")</f>
        <v/>
      </c>
      <c r="I2701">
        <f t="shared" si="341"/>
        <v>0</v>
      </c>
      <c r="J2701" t="str">
        <f>_xlfn.XLOOKUP(H2701, Fact_Events!$A$2:$A$20, Fact_Events!$F$2:$F$20, "")</f>
        <v/>
      </c>
      <c r="K2701" t="str">
        <f t="shared" si="342"/>
        <v>Low</v>
      </c>
      <c r="L2701">
        <f t="shared" si="343"/>
        <v>0.55000000000000004</v>
      </c>
      <c r="M2701">
        <f>_xlfn.XLOOKUP(B2701, Dim_Hotel!$A$2:$A$11, Dim_Hotel!$I$2:$I$11)
 + (IF(J2701="",0,J2701)
    * _xlfn.XLOOKUP(B2701, Dim_Hotel!$A$2:$A$11, Dim_Hotel!$J$2:$J$11))</f>
        <v>150</v>
      </c>
    </row>
    <row r="2702" spans="1:13" x14ac:dyDescent="0.25">
      <c r="A2702" s="1">
        <f t="shared" si="336"/>
        <v>46293</v>
      </c>
      <c r="B2702" t="str" cm="1">
        <f t="array" ref="B2702">INDEX(HotelList,MOD(ROW()-2,10)+1)</f>
        <v>H001</v>
      </c>
      <c r="C2702">
        <f>_xlfn.XLOOKUP(B2702,Dim_Hotel!$A$2:$A$11,Dim_Hotel!$F$2:$F$11)</f>
        <v>888</v>
      </c>
      <c r="D2702">
        <f t="shared" si="337"/>
        <v>488</v>
      </c>
      <c r="E2702">
        <f t="shared" si="338"/>
        <v>0.5495495495495496</v>
      </c>
      <c r="F2702">
        <f t="shared" si="339"/>
        <v>260</v>
      </c>
      <c r="G2702">
        <f t="shared" si="340"/>
        <v>142.88288288288288</v>
      </c>
      <c r="H2702" t="str">
        <f>_xlfn.XLOOKUP(A2702,Fact_Events!$D$2:$D$20,Fact_Events!$A$2:$A$20, "")</f>
        <v/>
      </c>
      <c r="I2702">
        <f t="shared" si="341"/>
        <v>0</v>
      </c>
      <c r="J2702" t="str">
        <f>_xlfn.XLOOKUP(H2702, Fact_Events!$A$2:$A$20, Fact_Events!$F$2:$F$20, "")</f>
        <v/>
      </c>
      <c r="K2702" t="str">
        <f t="shared" si="342"/>
        <v>Low</v>
      </c>
      <c r="L2702">
        <f t="shared" si="343"/>
        <v>0.55000000000000004</v>
      </c>
      <c r="M2702">
        <f>_xlfn.XLOOKUP(B2702, Dim_Hotel!$A$2:$A$11, Dim_Hotel!$I$2:$I$11)
 + (IF(J2702="",0,J2702)
    * _xlfn.XLOOKUP(B2702, Dim_Hotel!$A$2:$A$11, Dim_Hotel!$J$2:$J$11))</f>
        <v>260</v>
      </c>
    </row>
    <row r="2703" spans="1:13" x14ac:dyDescent="0.25">
      <c r="A2703" s="1">
        <f t="shared" si="336"/>
        <v>46293</v>
      </c>
      <c r="B2703" t="str" cm="1">
        <f t="array" ref="B2703">INDEX(HotelList,MOD(ROW()-2,10)+1)</f>
        <v>H002</v>
      </c>
      <c r="C2703">
        <f>_xlfn.XLOOKUP(B2703,Dim_Hotel!$A$2:$A$11,Dim_Hotel!$F$2:$F$11)</f>
        <v>147</v>
      </c>
      <c r="D2703">
        <f t="shared" si="337"/>
        <v>81</v>
      </c>
      <c r="E2703">
        <f t="shared" si="338"/>
        <v>0.55102040816326525</v>
      </c>
      <c r="F2703">
        <f t="shared" si="339"/>
        <v>175</v>
      </c>
      <c r="G2703">
        <f t="shared" si="340"/>
        <v>96.428571428571416</v>
      </c>
      <c r="H2703" t="str">
        <f>_xlfn.XLOOKUP(A2703,Fact_Events!$D$2:$D$20,Fact_Events!$A$2:$A$20, "")</f>
        <v/>
      </c>
      <c r="I2703">
        <f t="shared" si="341"/>
        <v>0</v>
      </c>
      <c r="J2703" t="str">
        <f>_xlfn.XLOOKUP(H2703, Fact_Events!$A$2:$A$20, Fact_Events!$F$2:$F$20, "")</f>
        <v/>
      </c>
      <c r="K2703" t="str">
        <f t="shared" si="342"/>
        <v>Low</v>
      </c>
      <c r="L2703">
        <f t="shared" si="343"/>
        <v>0.55000000000000004</v>
      </c>
      <c r="M2703">
        <f>_xlfn.XLOOKUP(B2703, Dim_Hotel!$A$2:$A$11, Dim_Hotel!$I$2:$I$11)
 + (IF(J2703="",0,J2703)
    * _xlfn.XLOOKUP(B2703, Dim_Hotel!$A$2:$A$11, Dim_Hotel!$J$2:$J$11))</f>
        <v>175</v>
      </c>
    </row>
    <row r="2704" spans="1:13" x14ac:dyDescent="0.25">
      <c r="A2704" s="1">
        <f t="shared" si="336"/>
        <v>46293</v>
      </c>
      <c r="B2704" t="str" cm="1">
        <f t="array" ref="B2704">INDEX(HotelList,MOD(ROW()-2,10)+1)</f>
        <v>H003</v>
      </c>
      <c r="C2704">
        <f>_xlfn.XLOOKUP(B2704,Dim_Hotel!$A$2:$A$11,Dim_Hotel!$F$2:$F$11)</f>
        <v>121</v>
      </c>
      <c r="D2704">
        <f t="shared" si="337"/>
        <v>67</v>
      </c>
      <c r="E2704">
        <f t="shared" si="338"/>
        <v>0.55371900826446285</v>
      </c>
      <c r="F2704">
        <f t="shared" si="339"/>
        <v>145</v>
      </c>
      <c r="G2704">
        <f t="shared" si="340"/>
        <v>80.289256198347118</v>
      </c>
      <c r="H2704" t="str">
        <f>_xlfn.XLOOKUP(A2704,Fact_Events!$D$2:$D$20,Fact_Events!$A$2:$A$20, "")</f>
        <v/>
      </c>
      <c r="I2704">
        <f t="shared" si="341"/>
        <v>0</v>
      </c>
      <c r="J2704" t="str">
        <f>_xlfn.XLOOKUP(H2704, Fact_Events!$A$2:$A$20, Fact_Events!$F$2:$F$20, "")</f>
        <v/>
      </c>
      <c r="K2704" t="str">
        <f t="shared" si="342"/>
        <v>Low</v>
      </c>
      <c r="L2704">
        <f t="shared" si="343"/>
        <v>0.55000000000000004</v>
      </c>
      <c r="M2704">
        <f>_xlfn.XLOOKUP(B2704, Dim_Hotel!$A$2:$A$11, Dim_Hotel!$I$2:$I$11)
 + (IF(J2704="",0,J2704)
    * _xlfn.XLOOKUP(B2704, Dim_Hotel!$A$2:$A$11, Dim_Hotel!$J$2:$J$11))</f>
        <v>145</v>
      </c>
    </row>
    <row r="2705" spans="1:13" x14ac:dyDescent="0.25">
      <c r="A2705" s="1">
        <f t="shared" si="336"/>
        <v>46293</v>
      </c>
      <c r="B2705" t="str" cm="1">
        <f t="array" ref="B2705">INDEX(HotelList,MOD(ROW()-2,10)+1)</f>
        <v>H004</v>
      </c>
      <c r="C2705">
        <f>_xlfn.XLOOKUP(B2705,Dim_Hotel!$A$2:$A$11,Dim_Hotel!$F$2:$F$11)</f>
        <v>108</v>
      </c>
      <c r="D2705">
        <f t="shared" si="337"/>
        <v>59</v>
      </c>
      <c r="E2705">
        <f t="shared" si="338"/>
        <v>0.54629629629629628</v>
      </c>
      <c r="F2705">
        <f t="shared" si="339"/>
        <v>135</v>
      </c>
      <c r="G2705">
        <f t="shared" si="340"/>
        <v>73.75</v>
      </c>
      <c r="H2705" t="str">
        <f>_xlfn.XLOOKUP(A2705,Fact_Events!$D$2:$D$20,Fact_Events!$A$2:$A$20, "")</f>
        <v/>
      </c>
      <c r="I2705">
        <f t="shared" si="341"/>
        <v>0</v>
      </c>
      <c r="J2705" t="str">
        <f>_xlfn.XLOOKUP(H2705, Fact_Events!$A$2:$A$20, Fact_Events!$F$2:$F$20, "")</f>
        <v/>
      </c>
      <c r="K2705" t="str">
        <f t="shared" si="342"/>
        <v>Low</v>
      </c>
      <c r="L2705">
        <f t="shared" si="343"/>
        <v>0.55000000000000004</v>
      </c>
      <c r="M2705">
        <f>_xlfn.XLOOKUP(B2705, Dim_Hotel!$A$2:$A$11, Dim_Hotel!$I$2:$I$11)
 + (IF(J2705="",0,J2705)
    * _xlfn.XLOOKUP(B2705, Dim_Hotel!$A$2:$A$11, Dim_Hotel!$J$2:$J$11))</f>
        <v>135</v>
      </c>
    </row>
    <row r="2706" spans="1:13" x14ac:dyDescent="0.25">
      <c r="A2706" s="1">
        <f t="shared" si="336"/>
        <v>46293</v>
      </c>
      <c r="B2706" t="str" cm="1">
        <f t="array" ref="B2706">INDEX(HotelList,MOD(ROW()-2,10)+1)</f>
        <v>H005</v>
      </c>
      <c r="C2706">
        <f>_xlfn.XLOOKUP(B2706,Dim_Hotel!$A$2:$A$11,Dim_Hotel!$F$2:$F$11)</f>
        <v>66</v>
      </c>
      <c r="D2706">
        <f t="shared" si="337"/>
        <v>36</v>
      </c>
      <c r="E2706">
        <f t="shared" si="338"/>
        <v>0.54545454545454541</v>
      </c>
      <c r="F2706">
        <f t="shared" si="339"/>
        <v>82</v>
      </c>
      <c r="G2706">
        <f t="shared" si="340"/>
        <v>44.727272727272727</v>
      </c>
      <c r="H2706" t="str">
        <f>_xlfn.XLOOKUP(A2706,Fact_Events!$D$2:$D$20,Fact_Events!$A$2:$A$20, "")</f>
        <v/>
      </c>
      <c r="I2706">
        <f t="shared" si="341"/>
        <v>0</v>
      </c>
      <c r="J2706" t="str">
        <f>_xlfn.XLOOKUP(H2706, Fact_Events!$A$2:$A$20, Fact_Events!$F$2:$F$20, "")</f>
        <v/>
      </c>
      <c r="K2706" t="str">
        <f t="shared" si="342"/>
        <v>Low</v>
      </c>
      <c r="L2706">
        <f t="shared" si="343"/>
        <v>0.55000000000000004</v>
      </c>
      <c r="M2706">
        <f>_xlfn.XLOOKUP(B2706, Dim_Hotel!$A$2:$A$11, Dim_Hotel!$I$2:$I$11)
 + (IF(J2706="",0,J2706)
    * _xlfn.XLOOKUP(B2706, Dim_Hotel!$A$2:$A$11, Dim_Hotel!$J$2:$J$11))</f>
        <v>82</v>
      </c>
    </row>
    <row r="2707" spans="1:13" x14ac:dyDescent="0.25">
      <c r="A2707" s="1">
        <f t="shared" si="336"/>
        <v>46293</v>
      </c>
      <c r="B2707" t="str" cm="1">
        <f t="array" ref="B2707">INDEX(HotelList,MOD(ROW()-2,10)+1)</f>
        <v>H006</v>
      </c>
      <c r="C2707">
        <f>_xlfn.XLOOKUP(B2707,Dim_Hotel!$A$2:$A$11,Dim_Hotel!$F$2:$F$11)</f>
        <v>311</v>
      </c>
      <c r="D2707">
        <f t="shared" si="337"/>
        <v>171</v>
      </c>
      <c r="E2707">
        <f t="shared" si="338"/>
        <v>0.54983922829581988</v>
      </c>
      <c r="F2707">
        <f t="shared" si="339"/>
        <v>190</v>
      </c>
      <c r="G2707">
        <f t="shared" si="340"/>
        <v>104.46945337620578</v>
      </c>
      <c r="H2707" t="str">
        <f>_xlfn.XLOOKUP(A2707,Fact_Events!$D$2:$D$20,Fact_Events!$A$2:$A$20, "")</f>
        <v/>
      </c>
      <c r="I2707">
        <f t="shared" si="341"/>
        <v>0</v>
      </c>
      <c r="J2707" t="str">
        <f>_xlfn.XLOOKUP(H2707, Fact_Events!$A$2:$A$20, Fact_Events!$F$2:$F$20, "")</f>
        <v/>
      </c>
      <c r="K2707" t="str">
        <f t="shared" si="342"/>
        <v>Low</v>
      </c>
      <c r="L2707">
        <f t="shared" si="343"/>
        <v>0.55000000000000004</v>
      </c>
      <c r="M2707">
        <f>_xlfn.XLOOKUP(B2707, Dim_Hotel!$A$2:$A$11, Dim_Hotel!$I$2:$I$11)
 + (IF(J2707="",0,J2707)
    * _xlfn.XLOOKUP(B2707, Dim_Hotel!$A$2:$A$11, Dim_Hotel!$J$2:$J$11))</f>
        <v>190</v>
      </c>
    </row>
    <row r="2708" spans="1:13" x14ac:dyDescent="0.25">
      <c r="A2708" s="1">
        <f t="shared" si="336"/>
        <v>46293</v>
      </c>
      <c r="B2708" t="str" cm="1">
        <f t="array" ref="B2708">INDEX(HotelList,MOD(ROW()-2,10)+1)</f>
        <v>H007</v>
      </c>
      <c r="C2708">
        <f>_xlfn.XLOOKUP(B2708,Dim_Hotel!$A$2:$A$11,Dim_Hotel!$F$2:$F$11)</f>
        <v>132</v>
      </c>
      <c r="D2708">
        <f t="shared" si="337"/>
        <v>73</v>
      </c>
      <c r="E2708">
        <f t="shared" si="338"/>
        <v>0.55303030303030298</v>
      </c>
      <c r="F2708">
        <f t="shared" si="339"/>
        <v>165</v>
      </c>
      <c r="G2708">
        <f t="shared" si="340"/>
        <v>91.249999999999986</v>
      </c>
      <c r="H2708" t="str">
        <f>_xlfn.XLOOKUP(A2708,Fact_Events!$D$2:$D$20,Fact_Events!$A$2:$A$20, "")</f>
        <v/>
      </c>
      <c r="I2708">
        <f t="shared" si="341"/>
        <v>0</v>
      </c>
      <c r="J2708" t="str">
        <f>_xlfn.XLOOKUP(H2708, Fact_Events!$A$2:$A$20, Fact_Events!$F$2:$F$20, "")</f>
        <v/>
      </c>
      <c r="K2708" t="str">
        <f t="shared" si="342"/>
        <v>Low</v>
      </c>
      <c r="L2708">
        <f t="shared" si="343"/>
        <v>0.55000000000000004</v>
      </c>
      <c r="M2708">
        <f>_xlfn.XLOOKUP(B2708, Dim_Hotel!$A$2:$A$11, Dim_Hotel!$I$2:$I$11)
 + (IF(J2708="",0,J2708)
    * _xlfn.XLOOKUP(B2708, Dim_Hotel!$A$2:$A$11, Dim_Hotel!$J$2:$J$11))</f>
        <v>165</v>
      </c>
    </row>
    <row r="2709" spans="1:13" x14ac:dyDescent="0.25">
      <c r="A2709" s="1">
        <f t="shared" si="336"/>
        <v>46293</v>
      </c>
      <c r="B2709" t="str" cm="1">
        <f t="array" ref="B2709">INDEX(HotelList,MOD(ROW()-2,10)+1)</f>
        <v>H008</v>
      </c>
      <c r="C2709">
        <f>_xlfn.XLOOKUP(B2709,Dim_Hotel!$A$2:$A$11,Dim_Hotel!$F$2:$F$11)</f>
        <v>103</v>
      </c>
      <c r="D2709">
        <f t="shared" si="337"/>
        <v>57</v>
      </c>
      <c r="E2709">
        <f t="shared" si="338"/>
        <v>0.55339805825242716</v>
      </c>
      <c r="F2709">
        <f t="shared" si="339"/>
        <v>140</v>
      </c>
      <c r="G2709">
        <f t="shared" si="340"/>
        <v>77.475728155339809</v>
      </c>
      <c r="H2709" t="str">
        <f>_xlfn.XLOOKUP(A2709,Fact_Events!$D$2:$D$20,Fact_Events!$A$2:$A$20, "")</f>
        <v/>
      </c>
      <c r="I2709">
        <f t="shared" si="341"/>
        <v>0</v>
      </c>
      <c r="J2709" t="str">
        <f>_xlfn.XLOOKUP(H2709, Fact_Events!$A$2:$A$20, Fact_Events!$F$2:$F$20, "")</f>
        <v/>
      </c>
      <c r="K2709" t="str">
        <f t="shared" si="342"/>
        <v>Low</v>
      </c>
      <c r="L2709">
        <f t="shared" si="343"/>
        <v>0.55000000000000004</v>
      </c>
      <c r="M2709">
        <f>_xlfn.XLOOKUP(B2709, Dim_Hotel!$A$2:$A$11, Dim_Hotel!$I$2:$I$11)
 + (IF(J2709="",0,J2709)
    * _xlfn.XLOOKUP(B2709, Dim_Hotel!$A$2:$A$11, Dim_Hotel!$J$2:$J$11))</f>
        <v>140</v>
      </c>
    </row>
    <row r="2710" spans="1:13" x14ac:dyDescent="0.25">
      <c r="A2710" s="1">
        <f t="shared" si="336"/>
        <v>46293</v>
      </c>
      <c r="B2710" t="str" cm="1">
        <f t="array" ref="B2710">INDEX(HotelList,MOD(ROW()-2,10)+1)</f>
        <v>H009</v>
      </c>
      <c r="C2710">
        <f>_xlfn.XLOOKUP(B2710,Dim_Hotel!$A$2:$A$11,Dim_Hotel!$F$2:$F$11)</f>
        <v>114</v>
      </c>
      <c r="D2710">
        <f t="shared" si="337"/>
        <v>63</v>
      </c>
      <c r="E2710">
        <f t="shared" si="338"/>
        <v>0.55263157894736847</v>
      </c>
      <c r="F2710">
        <f t="shared" si="339"/>
        <v>185</v>
      </c>
      <c r="G2710">
        <f t="shared" si="340"/>
        <v>102.23684210526316</v>
      </c>
      <c r="H2710" t="str">
        <f>_xlfn.XLOOKUP(A2710,Fact_Events!$D$2:$D$20,Fact_Events!$A$2:$A$20, "")</f>
        <v/>
      </c>
      <c r="I2710">
        <f t="shared" si="341"/>
        <v>0</v>
      </c>
      <c r="J2710" t="str">
        <f>_xlfn.XLOOKUP(H2710, Fact_Events!$A$2:$A$20, Fact_Events!$F$2:$F$20, "")</f>
        <v/>
      </c>
      <c r="K2710" t="str">
        <f t="shared" si="342"/>
        <v>Low</v>
      </c>
      <c r="L2710">
        <f t="shared" si="343"/>
        <v>0.55000000000000004</v>
      </c>
      <c r="M2710">
        <f>_xlfn.XLOOKUP(B2710, Dim_Hotel!$A$2:$A$11, Dim_Hotel!$I$2:$I$11)
 + (IF(J2710="",0,J2710)
    * _xlfn.XLOOKUP(B2710, Dim_Hotel!$A$2:$A$11, Dim_Hotel!$J$2:$J$11))</f>
        <v>185</v>
      </c>
    </row>
    <row r="2711" spans="1:13" x14ac:dyDescent="0.25">
      <c r="A2711" s="1">
        <f t="shared" si="336"/>
        <v>46293</v>
      </c>
      <c r="B2711" t="str" cm="1">
        <f t="array" ref="B2711">INDEX(HotelList,MOD(ROW()-2,10)+1)</f>
        <v>H010</v>
      </c>
      <c r="C2711">
        <f>_xlfn.XLOOKUP(B2711,Dim_Hotel!$A$2:$A$11,Dim_Hotel!$F$2:$F$11)</f>
        <v>89</v>
      </c>
      <c r="D2711">
        <f t="shared" si="337"/>
        <v>49</v>
      </c>
      <c r="E2711">
        <f t="shared" si="338"/>
        <v>0.550561797752809</v>
      </c>
      <c r="F2711">
        <f t="shared" si="339"/>
        <v>150</v>
      </c>
      <c r="G2711">
        <f t="shared" si="340"/>
        <v>82.584269662921344</v>
      </c>
      <c r="H2711" t="str">
        <f>_xlfn.XLOOKUP(A2711,Fact_Events!$D$2:$D$20,Fact_Events!$A$2:$A$20, "")</f>
        <v/>
      </c>
      <c r="I2711">
        <f t="shared" si="341"/>
        <v>0</v>
      </c>
      <c r="J2711" t="str">
        <f>_xlfn.XLOOKUP(H2711, Fact_Events!$A$2:$A$20, Fact_Events!$F$2:$F$20, "")</f>
        <v/>
      </c>
      <c r="K2711" t="str">
        <f t="shared" si="342"/>
        <v>Low</v>
      </c>
      <c r="L2711">
        <f t="shared" si="343"/>
        <v>0.55000000000000004</v>
      </c>
      <c r="M2711">
        <f>_xlfn.XLOOKUP(B2711, Dim_Hotel!$A$2:$A$11, Dim_Hotel!$I$2:$I$11)
 + (IF(J2711="",0,J2711)
    * _xlfn.XLOOKUP(B2711, Dim_Hotel!$A$2:$A$11, Dim_Hotel!$J$2:$J$11))</f>
        <v>150</v>
      </c>
    </row>
    <row r="2712" spans="1:13" x14ac:dyDescent="0.25">
      <c r="A2712" s="1">
        <f t="shared" si="336"/>
        <v>46294</v>
      </c>
      <c r="B2712" t="str" cm="1">
        <f t="array" ref="B2712">INDEX(HotelList,MOD(ROW()-2,10)+1)</f>
        <v>H001</v>
      </c>
      <c r="C2712">
        <f>_xlfn.XLOOKUP(B2712,Dim_Hotel!$A$2:$A$11,Dim_Hotel!$F$2:$F$11)</f>
        <v>888</v>
      </c>
      <c r="D2712">
        <f t="shared" si="337"/>
        <v>488</v>
      </c>
      <c r="E2712">
        <f t="shared" si="338"/>
        <v>0.5495495495495496</v>
      </c>
      <c r="F2712">
        <f t="shared" si="339"/>
        <v>260</v>
      </c>
      <c r="G2712">
        <f t="shared" si="340"/>
        <v>142.88288288288288</v>
      </c>
      <c r="H2712" t="str">
        <f>_xlfn.XLOOKUP(A2712,Fact_Events!$D$2:$D$20,Fact_Events!$A$2:$A$20, "")</f>
        <v/>
      </c>
      <c r="I2712">
        <f t="shared" si="341"/>
        <v>0</v>
      </c>
      <c r="J2712" t="str">
        <f>_xlfn.XLOOKUP(H2712, Fact_Events!$A$2:$A$20, Fact_Events!$F$2:$F$20, "")</f>
        <v/>
      </c>
      <c r="K2712" t="str">
        <f t="shared" si="342"/>
        <v>Low</v>
      </c>
      <c r="L2712">
        <f t="shared" si="343"/>
        <v>0.55000000000000004</v>
      </c>
      <c r="M2712">
        <f>_xlfn.XLOOKUP(B2712, Dim_Hotel!$A$2:$A$11, Dim_Hotel!$I$2:$I$11)
 + (IF(J2712="",0,J2712)
    * _xlfn.XLOOKUP(B2712, Dim_Hotel!$A$2:$A$11, Dim_Hotel!$J$2:$J$11))</f>
        <v>260</v>
      </c>
    </row>
    <row r="2713" spans="1:13" x14ac:dyDescent="0.25">
      <c r="A2713" s="1">
        <f t="shared" si="336"/>
        <v>46294</v>
      </c>
      <c r="B2713" t="str" cm="1">
        <f t="array" ref="B2713">INDEX(HotelList,MOD(ROW()-2,10)+1)</f>
        <v>H002</v>
      </c>
      <c r="C2713">
        <f>_xlfn.XLOOKUP(B2713,Dim_Hotel!$A$2:$A$11,Dim_Hotel!$F$2:$F$11)</f>
        <v>147</v>
      </c>
      <c r="D2713">
        <f t="shared" si="337"/>
        <v>81</v>
      </c>
      <c r="E2713">
        <f t="shared" si="338"/>
        <v>0.55102040816326525</v>
      </c>
      <c r="F2713">
        <f t="shared" si="339"/>
        <v>175</v>
      </c>
      <c r="G2713">
        <f t="shared" si="340"/>
        <v>96.428571428571416</v>
      </c>
      <c r="H2713" t="str">
        <f>_xlfn.XLOOKUP(A2713,Fact_Events!$D$2:$D$20,Fact_Events!$A$2:$A$20, "")</f>
        <v/>
      </c>
      <c r="I2713">
        <f t="shared" si="341"/>
        <v>0</v>
      </c>
      <c r="J2713" t="str">
        <f>_xlfn.XLOOKUP(H2713, Fact_Events!$A$2:$A$20, Fact_Events!$F$2:$F$20, "")</f>
        <v/>
      </c>
      <c r="K2713" t="str">
        <f t="shared" si="342"/>
        <v>Low</v>
      </c>
      <c r="L2713">
        <f t="shared" si="343"/>
        <v>0.55000000000000004</v>
      </c>
      <c r="M2713">
        <f>_xlfn.XLOOKUP(B2713, Dim_Hotel!$A$2:$A$11, Dim_Hotel!$I$2:$I$11)
 + (IF(J2713="",0,J2713)
    * _xlfn.XLOOKUP(B2713, Dim_Hotel!$A$2:$A$11, Dim_Hotel!$J$2:$J$11))</f>
        <v>175</v>
      </c>
    </row>
    <row r="2714" spans="1:13" x14ac:dyDescent="0.25">
      <c r="A2714" s="1">
        <f t="shared" si="336"/>
        <v>46294</v>
      </c>
      <c r="B2714" t="str" cm="1">
        <f t="array" ref="B2714">INDEX(HotelList,MOD(ROW()-2,10)+1)</f>
        <v>H003</v>
      </c>
      <c r="C2714">
        <f>_xlfn.XLOOKUP(B2714,Dim_Hotel!$A$2:$A$11,Dim_Hotel!$F$2:$F$11)</f>
        <v>121</v>
      </c>
      <c r="D2714">
        <f t="shared" si="337"/>
        <v>67</v>
      </c>
      <c r="E2714">
        <f t="shared" si="338"/>
        <v>0.55371900826446285</v>
      </c>
      <c r="F2714">
        <f t="shared" si="339"/>
        <v>145</v>
      </c>
      <c r="G2714">
        <f t="shared" si="340"/>
        <v>80.289256198347118</v>
      </c>
      <c r="H2714" t="str">
        <f>_xlfn.XLOOKUP(A2714,Fact_Events!$D$2:$D$20,Fact_Events!$A$2:$A$20, "")</f>
        <v/>
      </c>
      <c r="I2714">
        <f t="shared" si="341"/>
        <v>0</v>
      </c>
      <c r="J2714" t="str">
        <f>_xlfn.XLOOKUP(H2714, Fact_Events!$A$2:$A$20, Fact_Events!$F$2:$F$20, "")</f>
        <v/>
      </c>
      <c r="K2714" t="str">
        <f t="shared" si="342"/>
        <v>Low</v>
      </c>
      <c r="L2714">
        <f t="shared" si="343"/>
        <v>0.55000000000000004</v>
      </c>
      <c r="M2714">
        <f>_xlfn.XLOOKUP(B2714, Dim_Hotel!$A$2:$A$11, Dim_Hotel!$I$2:$I$11)
 + (IF(J2714="",0,J2714)
    * _xlfn.XLOOKUP(B2714, Dim_Hotel!$A$2:$A$11, Dim_Hotel!$J$2:$J$11))</f>
        <v>145</v>
      </c>
    </row>
    <row r="2715" spans="1:13" x14ac:dyDescent="0.25">
      <c r="A2715" s="1">
        <f t="shared" si="336"/>
        <v>46294</v>
      </c>
      <c r="B2715" t="str" cm="1">
        <f t="array" ref="B2715">INDEX(HotelList,MOD(ROW()-2,10)+1)</f>
        <v>H004</v>
      </c>
      <c r="C2715">
        <f>_xlfn.XLOOKUP(B2715,Dim_Hotel!$A$2:$A$11,Dim_Hotel!$F$2:$F$11)</f>
        <v>108</v>
      </c>
      <c r="D2715">
        <f t="shared" si="337"/>
        <v>59</v>
      </c>
      <c r="E2715">
        <f t="shared" si="338"/>
        <v>0.54629629629629628</v>
      </c>
      <c r="F2715">
        <f t="shared" si="339"/>
        <v>135</v>
      </c>
      <c r="G2715">
        <f t="shared" si="340"/>
        <v>73.75</v>
      </c>
      <c r="H2715" t="str">
        <f>_xlfn.XLOOKUP(A2715,Fact_Events!$D$2:$D$20,Fact_Events!$A$2:$A$20, "")</f>
        <v/>
      </c>
      <c r="I2715">
        <f t="shared" si="341"/>
        <v>0</v>
      </c>
      <c r="J2715" t="str">
        <f>_xlfn.XLOOKUP(H2715, Fact_Events!$A$2:$A$20, Fact_Events!$F$2:$F$20, "")</f>
        <v/>
      </c>
      <c r="K2715" t="str">
        <f t="shared" si="342"/>
        <v>Low</v>
      </c>
      <c r="L2715">
        <f t="shared" si="343"/>
        <v>0.55000000000000004</v>
      </c>
      <c r="M2715">
        <f>_xlfn.XLOOKUP(B2715, Dim_Hotel!$A$2:$A$11, Dim_Hotel!$I$2:$I$11)
 + (IF(J2715="",0,J2715)
    * _xlfn.XLOOKUP(B2715, Dim_Hotel!$A$2:$A$11, Dim_Hotel!$J$2:$J$11))</f>
        <v>135</v>
      </c>
    </row>
    <row r="2716" spans="1:13" x14ac:dyDescent="0.25">
      <c r="A2716" s="1">
        <f t="shared" si="336"/>
        <v>46294</v>
      </c>
      <c r="B2716" t="str" cm="1">
        <f t="array" ref="B2716">INDEX(HotelList,MOD(ROW()-2,10)+1)</f>
        <v>H005</v>
      </c>
      <c r="C2716">
        <f>_xlfn.XLOOKUP(B2716,Dim_Hotel!$A$2:$A$11,Dim_Hotel!$F$2:$F$11)</f>
        <v>66</v>
      </c>
      <c r="D2716">
        <f t="shared" si="337"/>
        <v>36</v>
      </c>
      <c r="E2716">
        <f t="shared" si="338"/>
        <v>0.54545454545454541</v>
      </c>
      <c r="F2716">
        <f t="shared" si="339"/>
        <v>82</v>
      </c>
      <c r="G2716">
        <f t="shared" si="340"/>
        <v>44.727272727272727</v>
      </c>
      <c r="H2716" t="str">
        <f>_xlfn.XLOOKUP(A2716,Fact_Events!$D$2:$D$20,Fact_Events!$A$2:$A$20, "")</f>
        <v/>
      </c>
      <c r="I2716">
        <f t="shared" si="341"/>
        <v>0</v>
      </c>
      <c r="J2716" t="str">
        <f>_xlfn.XLOOKUP(H2716, Fact_Events!$A$2:$A$20, Fact_Events!$F$2:$F$20, "")</f>
        <v/>
      </c>
      <c r="K2716" t="str">
        <f t="shared" si="342"/>
        <v>Low</v>
      </c>
      <c r="L2716">
        <f t="shared" si="343"/>
        <v>0.55000000000000004</v>
      </c>
      <c r="M2716">
        <f>_xlfn.XLOOKUP(B2716, Dim_Hotel!$A$2:$A$11, Dim_Hotel!$I$2:$I$11)
 + (IF(J2716="",0,J2716)
    * _xlfn.XLOOKUP(B2716, Dim_Hotel!$A$2:$A$11, Dim_Hotel!$J$2:$J$11))</f>
        <v>82</v>
      </c>
    </row>
    <row r="2717" spans="1:13" x14ac:dyDescent="0.25">
      <c r="A2717" s="1">
        <f t="shared" si="336"/>
        <v>46294</v>
      </c>
      <c r="B2717" t="str" cm="1">
        <f t="array" ref="B2717">INDEX(HotelList,MOD(ROW()-2,10)+1)</f>
        <v>H006</v>
      </c>
      <c r="C2717">
        <f>_xlfn.XLOOKUP(B2717,Dim_Hotel!$A$2:$A$11,Dim_Hotel!$F$2:$F$11)</f>
        <v>311</v>
      </c>
      <c r="D2717">
        <f t="shared" si="337"/>
        <v>171</v>
      </c>
      <c r="E2717">
        <f t="shared" si="338"/>
        <v>0.54983922829581988</v>
      </c>
      <c r="F2717">
        <f t="shared" si="339"/>
        <v>190</v>
      </c>
      <c r="G2717">
        <f t="shared" si="340"/>
        <v>104.46945337620578</v>
      </c>
      <c r="H2717" t="str">
        <f>_xlfn.XLOOKUP(A2717,Fact_Events!$D$2:$D$20,Fact_Events!$A$2:$A$20, "")</f>
        <v/>
      </c>
      <c r="I2717">
        <f t="shared" si="341"/>
        <v>0</v>
      </c>
      <c r="J2717" t="str">
        <f>_xlfn.XLOOKUP(H2717, Fact_Events!$A$2:$A$20, Fact_Events!$F$2:$F$20, "")</f>
        <v/>
      </c>
      <c r="K2717" t="str">
        <f t="shared" si="342"/>
        <v>Low</v>
      </c>
      <c r="L2717">
        <f t="shared" si="343"/>
        <v>0.55000000000000004</v>
      </c>
      <c r="M2717">
        <f>_xlfn.XLOOKUP(B2717, Dim_Hotel!$A$2:$A$11, Dim_Hotel!$I$2:$I$11)
 + (IF(J2717="",0,J2717)
    * _xlfn.XLOOKUP(B2717, Dim_Hotel!$A$2:$A$11, Dim_Hotel!$J$2:$J$11))</f>
        <v>190</v>
      </c>
    </row>
    <row r="2718" spans="1:13" x14ac:dyDescent="0.25">
      <c r="A2718" s="1">
        <f t="shared" si="336"/>
        <v>46294</v>
      </c>
      <c r="B2718" t="str" cm="1">
        <f t="array" ref="B2718">INDEX(HotelList,MOD(ROW()-2,10)+1)</f>
        <v>H007</v>
      </c>
      <c r="C2718">
        <f>_xlfn.XLOOKUP(B2718,Dim_Hotel!$A$2:$A$11,Dim_Hotel!$F$2:$F$11)</f>
        <v>132</v>
      </c>
      <c r="D2718">
        <f t="shared" si="337"/>
        <v>73</v>
      </c>
      <c r="E2718">
        <f t="shared" si="338"/>
        <v>0.55303030303030298</v>
      </c>
      <c r="F2718">
        <f t="shared" si="339"/>
        <v>165</v>
      </c>
      <c r="G2718">
        <f t="shared" si="340"/>
        <v>91.249999999999986</v>
      </c>
      <c r="H2718" t="str">
        <f>_xlfn.XLOOKUP(A2718,Fact_Events!$D$2:$D$20,Fact_Events!$A$2:$A$20, "")</f>
        <v/>
      </c>
      <c r="I2718">
        <f t="shared" si="341"/>
        <v>0</v>
      </c>
      <c r="J2718" t="str">
        <f>_xlfn.XLOOKUP(H2718, Fact_Events!$A$2:$A$20, Fact_Events!$F$2:$F$20, "")</f>
        <v/>
      </c>
      <c r="K2718" t="str">
        <f t="shared" si="342"/>
        <v>Low</v>
      </c>
      <c r="L2718">
        <f t="shared" si="343"/>
        <v>0.55000000000000004</v>
      </c>
      <c r="M2718">
        <f>_xlfn.XLOOKUP(B2718, Dim_Hotel!$A$2:$A$11, Dim_Hotel!$I$2:$I$11)
 + (IF(J2718="",0,J2718)
    * _xlfn.XLOOKUP(B2718, Dim_Hotel!$A$2:$A$11, Dim_Hotel!$J$2:$J$11))</f>
        <v>165</v>
      </c>
    </row>
    <row r="2719" spans="1:13" x14ac:dyDescent="0.25">
      <c r="A2719" s="1">
        <f t="shared" si="336"/>
        <v>46294</v>
      </c>
      <c r="B2719" t="str" cm="1">
        <f t="array" ref="B2719">INDEX(HotelList,MOD(ROW()-2,10)+1)</f>
        <v>H008</v>
      </c>
      <c r="C2719">
        <f>_xlfn.XLOOKUP(B2719,Dim_Hotel!$A$2:$A$11,Dim_Hotel!$F$2:$F$11)</f>
        <v>103</v>
      </c>
      <c r="D2719">
        <f t="shared" si="337"/>
        <v>57</v>
      </c>
      <c r="E2719">
        <f t="shared" si="338"/>
        <v>0.55339805825242716</v>
      </c>
      <c r="F2719">
        <f t="shared" si="339"/>
        <v>140</v>
      </c>
      <c r="G2719">
        <f t="shared" si="340"/>
        <v>77.475728155339809</v>
      </c>
      <c r="H2719" t="str">
        <f>_xlfn.XLOOKUP(A2719,Fact_Events!$D$2:$D$20,Fact_Events!$A$2:$A$20, "")</f>
        <v/>
      </c>
      <c r="I2719">
        <f t="shared" si="341"/>
        <v>0</v>
      </c>
      <c r="J2719" t="str">
        <f>_xlfn.XLOOKUP(H2719, Fact_Events!$A$2:$A$20, Fact_Events!$F$2:$F$20, "")</f>
        <v/>
      </c>
      <c r="K2719" t="str">
        <f t="shared" si="342"/>
        <v>Low</v>
      </c>
      <c r="L2719">
        <f t="shared" si="343"/>
        <v>0.55000000000000004</v>
      </c>
      <c r="M2719">
        <f>_xlfn.XLOOKUP(B2719, Dim_Hotel!$A$2:$A$11, Dim_Hotel!$I$2:$I$11)
 + (IF(J2719="",0,J2719)
    * _xlfn.XLOOKUP(B2719, Dim_Hotel!$A$2:$A$11, Dim_Hotel!$J$2:$J$11))</f>
        <v>140</v>
      </c>
    </row>
    <row r="2720" spans="1:13" x14ac:dyDescent="0.25">
      <c r="A2720" s="1">
        <f t="shared" si="336"/>
        <v>46294</v>
      </c>
      <c r="B2720" t="str" cm="1">
        <f t="array" ref="B2720">INDEX(HotelList,MOD(ROW()-2,10)+1)</f>
        <v>H009</v>
      </c>
      <c r="C2720">
        <f>_xlfn.XLOOKUP(B2720,Dim_Hotel!$A$2:$A$11,Dim_Hotel!$F$2:$F$11)</f>
        <v>114</v>
      </c>
      <c r="D2720">
        <f t="shared" si="337"/>
        <v>63</v>
      </c>
      <c r="E2720">
        <f t="shared" si="338"/>
        <v>0.55263157894736847</v>
      </c>
      <c r="F2720">
        <f t="shared" si="339"/>
        <v>185</v>
      </c>
      <c r="G2720">
        <f t="shared" si="340"/>
        <v>102.23684210526316</v>
      </c>
      <c r="H2720" t="str">
        <f>_xlfn.XLOOKUP(A2720,Fact_Events!$D$2:$D$20,Fact_Events!$A$2:$A$20, "")</f>
        <v/>
      </c>
      <c r="I2720">
        <f t="shared" si="341"/>
        <v>0</v>
      </c>
      <c r="J2720" t="str">
        <f>_xlfn.XLOOKUP(H2720, Fact_Events!$A$2:$A$20, Fact_Events!$F$2:$F$20, "")</f>
        <v/>
      </c>
      <c r="K2720" t="str">
        <f t="shared" si="342"/>
        <v>Low</v>
      </c>
      <c r="L2720">
        <f t="shared" si="343"/>
        <v>0.55000000000000004</v>
      </c>
      <c r="M2720">
        <f>_xlfn.XLOOKUP(B2720, Dim_Hotel!$A$2:$A$11, Dim_Hotel!$I$2:$I$11)
 + (IF(J2720="",0,J2720)
    * _xlfn.XLOOKUP(B2720, Dim_Hotel!$A$2:$A$11, Dim_Hotel!$J$2:$J$11))</f>
        <v>185</v>
      </c>
    </row>
    <row r="2721" spans="1:13" x14ac:dyDescent="0.25">
      <c r="A2721" s="1">
        <f t="shared" si="336"/>
        <v>46294</v>
      </c>
      <c r="B2721" t="str" cm="1">
        <f t="array" ref="B2721">INDEX(HotelList,MOD(ROW()-2,10)+1)</f>
        <v>H010</v>
      </c>
      <c r="C2721">
        <f>_xlfn.XLOOKUP(B2721,Dim_Hotel!$A$2:$A$11,Dim_Hotel!$F$2:$F$11)</f>
        <v>89</v>
      </c>
      <c r="D2721">
        <f t="shared" si="337"/>
        <v>49</v>
      </c>
      <c r="E2721">
        <f t="shared" si="338"/>
        <v>0.550561797752809</v>
      </c>
      <c r="F2721">
        <f t="shared" si="339"/>
        <v>150</v>
      </c>
      <c r="G2721">
        <f t="shared" si="340"/>
        <v>82.584269662921344</v>
      </c>
      <c r="H2721" t="str">
        <f>_xlfn.XLOOKUP(A2721,Fact_Events!$D$2:$D$20,Fact_Events!$A$2:$A$20, "")</f>
        <v/>
      </c>
      <c r="I2721">
        <f t="shared" si="341"/>
        <v>0</v>
      </c>
      <c r="J2721" t="str">
        <f>_xlfn.XLOOKUP(H2721, Fact_Events!$A$2:$A$20, Fact_Events!$F$2:$F$20, "")</f>
        <v/>
      </c>
      <c r="K2721" t="str">
        <f t="shared" si="342"/>
        <v>Low</v>
      </c>
      <c r="L2721">
        <f t="shared" si="343"/>
        <v>0.55000000000000004</v>
      </c>
      <c r="M2721">
        <f>_xlfn.XLOOKUP(B2721, Dim_Hotel!$A$2:$A$11, Dim_Hotel!$I$2:$I$11)
 + (IF(J2721="",0,J2721)
    * _xlfn.XLOOKUP(B2721, Dim_Hotel!$A$2:$A$11, Dim_Hotel!$J$2:$J$11))</f>
        <v>150</v>
      </c>
    </row>
    <row r="2722" spans="1:13" x14ac:dyDescent="0.25">
      <c r="A2722" s="1">
        <f t="shared" si="336"/>
        <v>46295</v>
      </c>
      <c r="B2722" t="str" cm="1">
        <f t="array" ref="B2722">INDEX(HotelList,MOD(ROW()-2,10)+1)</f>
        <v>H001</v>
      </c>
      <c r="C2722">
        <f>_xlfn.XLOOKUP(B2722,Dim_Hotel!$A$2:$A$11,Dim_Hotel!$F$2:$F$11)</f>
        <v>888</v>
      </c>
      <c r="D2722">
        <f t="shared" si="337"/>
        <v>488</v>
      </c>
      <c r="E2722">
        <f t="shared" si="338"/>
        <v>0.5495495495495496</v>
      </c>
      <c r="F2722">
        <f t="shared" si="339"/>
        <v>260</v>
      </c>
      <c r="G2722">
        <f t="shared" si="340"/>
        <v>142.88288288288288</v>
      </c>
      <c r="H2722" t="str">
        <f>_xlfn.XLOOKUP(A2722,Fact_Events!$D$2:$D$20,Fact_Events!$A$2:$A$20, "")</f>
        <v/>
      </c>
      <c r="I2722">
        <f t="shared" si="341"/>
        <v>0</v>
      </c>
      <c r="J2722" t="str">
        <f>_xlfn.XLOOKUP(H2722, Fact_Events!$A$2:$A$20, Fact_Events!$F$2:$F$20, "")</f>
        <v/>
      </c>
      <c r="K2722" t="str">
        <f t="shared" si="342"/>
        <v>Low</v>
      </c>
      <c r="L2722">
        <f t="shared" si="343"/>
        <v>0.55000000000000004</v>
      </c>
      <c r="M2722">
        <f>_xlfn.XLOOKUP(B2722, Dim_Hotel!$A$2:$A$11, Dim_Hotel!$I$2:$I$11)
 + (IF(J2722="",0,J2722)
    * _xlfn.XLOOKUP(B2722, Dim_Hotel!$A$2:$A$11, Dim_Hotel!$J$2:$J$11))</f>
        <v>260</v>
      </c>
    </row>
    <row r="2723" spans="1:13" x14ac:dyDescent="0.25">
      <c r="A2723" s="1">
        <f t="shared" si="336"/>
        <v>46295</v>
      </c>
      <c r="B2723" t="str" cm="1">
        <f t="array" ref="B2723">INDEX(HotelList,MOD(ROW()-2,10)+1)</f>
        <v>H002</v>
      </c>
      <c r="C2723">
        <f>_xlfn.XLOOKUP(B2723,Dim_Hotel!$A$2:$A$11,Dim_Hotel!$F$2:$F$11)</f>
        <v>147</v>
      </c>
      <c r="D2723">
        <f t="shared" si="337"/>
        <v>81</v>
      </c>
      <c r="E2723">
        <f t="shared" si="338"/>
        <v>0.55102040816326525</v>
      </c>
      <c r="F2723">
        <f t="shared" si="339"/>
        <v>175</v>
      </c>
      <c r="G2723">
        <f t="shared" si="340"/>
        <v>96.428571428571416</v>
      </c>
      <c r="H2723" t="str">
        <f>_xlfn.XLOOKUP(A2723,Fact_Events!$D$2:$D$20,Fact_Events!$A$2:$A$20, "")</f>
        <v/>
      </c>
      <c r="I2723">
        <f t="shared" si="341"/>
        <v>0</v>
      </c>
      <c r="J2723" t="str">
        <f>_xlfn.XLOOKUP(H2723, Fact_Events!$A$2:$A$20, Fact_Events!$F$2:$F$20, "")</f>
        <v/>
      </c>
      <c r="K2723" t="str">
        <f t="shared" si="342"/>
        <v>Low</v>
      </c>
      <c r="L2723">
        <f t="shared" si="343"/>
        <v>0.55000000000000004</v>
      </c>
      <c r="M2723">
        <f>_xlfn.XLOOKUP(B2723, Dim_Hotel!$A$2:$A$11, Dim_Hotel!$I$2:$I$11)
 + (IF(J2723="",0,J2723)
    * _xlfn.XLOOKUP(B2723, Dim_Hotel!$A$2:$A$11, Dim_Hotel!$J$2:$J$11))</f>
        <v>175</v>
      </c>
    </row>
    <row r="2724" spans="1:13" x14ac:dyDescent="0.25">
      <c r="A2724" s="1">
        <f t="shared" si="336"/>
        <v>46295</v>
      </c>
      <c r="B2724" t="str" cm="1">
        <f t="array" ref="B2724">INDEX(HotelList,MOD(ROW()-2,10)+1)</f>
        <v>H003</v>
      </c>
      <c r="C2724">
        <f>_xlfn.XLOOKUP(B2724,Dim_Hotel!$A$2:$A$11,Dim_Hotel!$F$2:$F$11)</f>
        <v>121</v>
      </c>
      <c r="D2724">
        <f t="shared" si="337"/>
        <v>67</v>
      </c>
      <c r="E2724">
        <f t="shared" si="338"/>
        <v>0.55371900826446285</v>
      </c>
      <c r="F2724">
        <f t="shared" si="339"/>
        <v>145</v>
      </c>
      <c r="G2724">
        <f t="shared" si="340"/>
        <v>80.289256198347118</v>
      </c>
      <c r="H2724" t="str">
        <f>_xlfn.XLOOKUP(A2724,Fact_Events!$D$2:$D$20,Fact_Events!$A$2:$A$20, "")</f>
        <v/>
      </c>
      <c r="I2724">
        <f t="shared" si="341"/>
        <v>0</v>
      </c>
      <c r="J2724" t="str">
        <f>_xlfn.XLOOKUP(H2724, Fact_Events!$A$2:$A$20, Fact_Events!$F$2:$F$20, "")</f>
        <v/>
      </c>
      <c r="K2724" t="str">
        <f t="shared" si="342"/>
        <v>Low</v>
      </c>
      <c r="L2724">
        <f t="shared" si="343"/>
        <v>0.55000000000000004</v>
      </c>
      <c r="M2724">
        <f>_xlfn.XLOOKUP(B2724, Dim_Hotel!$A$2:$A$11, Dim_Hotel!$I$2:$I$11)
 + (IF(J2724="",0,J2724)
    * _xlfn.XLOOKUP(B2724, Dim_Hotel!$A$2:$A$11, Dim_Hotel!$J$2:$J$11))</f>
        <v>145</v>
      </c>
    </row>
    <row r="2725" spans="1:13" x14ac:dyDescent="0.25">
      <c r="A2725" s="1">
        <f t="shared" si="336"/>
        <v>46295</v>
      </c>
      <c r="B2725" t="str" cm="1">
        <f t="array" ref="B2725">INDEX(HotelList,MOD(ROW()-2,10)+1)</f>
        <v>H004</v>
      </c>
      <c r="C2725">
        <f>_xlfn.XLOOKUP(B2725,Dim_Hotel!$A$2:$A$11,Dim_Hotel!$F$2:$F$11)</f>
        <v>108</v>
      </c>
      <c r="D2725">
        <f t="shared" si="337"/>
        <v>59</v>
      </c>
      <c r="E2725">
        <f t="shared" si="338"/>
        <v>0.54629629629629628</v>
      </c>
      <c r="F2725">
        <f t="shared" si="339"/>
        <v>135</v>
      </c>
      <c r="G2725">
        <f t="shared" si="340"/>
        <v>73.75</v>
      </c>
      <c r="H2725" t="str">
        <f>_xlfn.XLOOKUP(A2725,Fact_Events!$D$2:$D$20,Fact_Events!$A$2:$A$20, "")</f>
        <v/>
      </c>
      <c r="I2725">
        <f t="shared" si="341"/>
        <v>0</v>
      </c>
      <c r="J2725" t="str">
        <f>_xlfn.XLOOKUP(H2725, Fact_Events!$A$2:$A$20, Fact_Events!$F$2:$F$20, "")</f>
        <v/>
      </c>
      <c r="K2725" t="str">
        <f t="shared" si="342"/>
        <v>Low</v>
      </c>
      <c r="L2725">
        <f t="shared" si="343"/>
        <v>0.55000000000000004</v>
      </c>
      <c r="M2725">
        <f>_xlfn.XLOOKUP(B2725, Dim_Hotel!$A$2:$A$11, Dim_Hotel!$I$2:$I$11)
 + (IF(J2725="",0,J2725)
    * _xlfn.XLOOKUP(B2725, Dim_Hotel!$A$2:$A$11, Dim_Hotel!$J$2:$J$11))</f>
        <v>135</v>
      </c>
    </row>
    <row r="2726" spans="1:13" x14ac:dyDescent="0.25">
      <c r="A2726" s="1">
        <f t="shared" si="336"/>
        <v>46295</v>
      </c>
      <c r="B2726" t="str" cm="1">
        <f t="array" ref="B2726">INDEX(HotelList,MOD(ROW()-2,10)+1)</f>
        <v>H005</v>
      </c>
      <c r="C2726">
        <f>_xlfn.XLOOKUP(B2726,Dim_Hotel!$A$2:$A$11,Dim_Hotel!$F$2:$F$11)</f>
        <v>66</v>
      </c>
      <c r="D2726">
        <f t="shared" si="337"/>
        <v>36</v>
      </c>
      <c r="E2726">
        <f t="shared" si="338"/>
        <v>0.54545454545454541</v>
      </c>
      <c r="F2726">
        <f t="shared" si="339"/>
        <v>82</v>
      </c>
      <c r="G2726">
        <f t="shared" si="340"/>
        <v>44.727272727272727</v>
      </c>
      <c r="H2726" t="str">
        <f>_xlfn.XLOOKUP(A2726,Fact_Events!$D$2:$D$20,Fact_Events!$A$2:$A$20, "")</f>
        <v/>
      </c>
      <c r="I2726">
        <f t="shared" si="341"/>
        <v>0</v>
      </c>
      <c r="J2726" t="str">
        <f>_xlfn.XLOOKUP(H2726, Fact_Events!$A$2:$A$20, Fact_Events!$F$2:$F$20, "")</f>
        <v/>
      </c>
      <c r="K2726" t="str">
        <f t="shared" si="342"/>
        <v>Low</v>
      </c>
      <c r="L2726">
        <f t="shared" si="343"/>
        <v>0.55000000000000004</v>
      </c>
      <c r="M2726">
        <f>_xlfn.XLOOKUP(B2726, Dim_Hotel!$A$2:$A$11, Dim_Hotel!$I$2:$I$11)
 + (IF(J2726="",0,J2726)
    * _xlfn.XLOOKUP(B2726, Dim_Hotel!$A$2:$A$11, Dim_Hotel!$J$2:$J$11))</f>
        <v>82</v>
      </c>
    </row>
    <row r="2727" spans="1:13" x14ac:dyDescent="0.25">
      <c r="A2727" s="1">
        <f t="shared" si="336"/>
        <v>46295</v>
      </c>
      <c r="B2727" t="str" cm="1">
        <f t="array" ref="B2727">INDEX(HotelList,MOD(ROW()-2,10)+1)</f>
        <v>H006</v>
      </c>
      <c r="C2727">
        <f>_xlfn.XLOOKUP(B2727,Dim_Hotel!$A$2:$A$11,Dim_Hotel!$F$2:$F$11)</f>
        <v>311</v>
      </c>
      <c r="D2727">
        <f t="shared" si="337"/>
        <v>171</v>
      </c>
      <c r="E2727">
        <f t="shared" si="338"/>
        <v>0.54983922829581988</v>
      </c>
      <c r="F2727">
        <f t="shared" si="339"/>
        <v>190</v>
      </c>
      <c r="G2727">
        <f t="shared" si="340"/>
        <v>104.46945337620578</v>
      </c>
      <c r="H2727" t="str">
        <f>_xlfn.XLOOKUP(A2727,Fact_Events!$D$2:$D$20,Fact_Events!$A$2:$A$20, "")</f>
        <v/>
      </c>
      <c r="I2727">
        <f t="shared" si="341"/>
        <v>0</v>
      </c>
      <c r="J2727" t="str">
        <f>_xlfn.XLOOKUP(H2727, Fact_Events!$A$2:$A$20, Fact_Events!$F$2:$F$20, "")</f>
        <v/>
      </c>
      <c r="K2727" t="str">
        <f t="shared" si="342"/>
        <v>Low</v>
      </c>
      <c r="L2727">
        <f t="shared" si="343"/>
        <v>0.55000000000000004</v>
      </c>
      <c r="M2727">
        <f>_xlfn.XLOOKUP(B2727, Dim_Hotel!$A$2:$A$11, Dim_Hotel!$I$2:$I$11)
 + (IF(J2727="",0,J2727)
    * _xlfn.XLOOKUP(B2727, Dim_Hotel!$A$2:$A$11, Dim_Hotel!$J$2:$J$11))</f>
        <v>190</v>
      </c>
    </row>
    <row r="2728" spans="1:13" x14ac:dyDescent="0.25">
      <c r="A2728" s="1">
        <f t="shared" si="336"/>
        <v>46295</v>
      </c>
      <c r="B2728" t="str" cm="1">
        <f t="array" ref="B2728">INDEX(HotelList,MOD(ROW()-2,10)+1)</f>
        <v>H007</v>
      </c>
      <c r="C2728">
        <f>_xlfn.XLOOKUP(B2728,Dim_Hotel!$A$2:$A$11,Dim_Hotel!$F$2:$F$11)</f>
        <v>132</v>
      </c>
      <c r="D2728">
        <f t="shared" si="337"/>
        <v>73</v>
      </c>
      <c r="E2728">
        <f t="shared" si="338"/>
        <v>0.55303030303030298</v>
      </c>
      <c r="F2728">
        <f t="shared" si="339"/>
        <v>165</v>
      </c>
      <c r="G2728">
        <f t="shared" si="340"/>
        <v>91.249999999999986</v>
      </c>
      <c r="H2728" t="str">
        <f>_xlfn.XLOOKUP(A2728,Fact_Events!$D$2:$D$20,Fact_Events!$A$2:$A$20, "")</f>
        <v/>
      </c>
      <c r="I2728">
        <f t="shared" si="341"/>
        <v>0</v>
      </c>
      <c r="J2728" t="str">
        <f>_xlfn.XLOOKUP(H2728, Fact_Events!$A$2:$A$20, Fact_Events!$F$2:$F$20, "")</f>
        <v/>
      </c>
      <c r="K2728" t="str">
        <f t="shared" si="342"/>
        <v>Low</v>
      </c>
      <c r="L2728">
        <f t="shared" si="343"/>
        <v>0.55000000000000004</v>
      </c>
      <c r="M2728">
        <f>_xlfn.XLOOKUP(B2728, Dim_Hotel!$A$2:$A$11, Dim_Hotel!$I$2:$I$11)
 + (IF(J2728="",0,J2728)
    * _xlfn.XLOOKUP(B2728, Dim_Hotel!$A$2:$A$11, Dim_Hotel!$J$2:$J$11))</f>
        <v>165</v>
      </c>
    </row>
    <row r="2729" spans="1:13" x14ac:dyDescent="0.25">
      <c r="A2729" s="1">
        <f t="shared" si="336"/>
        <v>46295</v>
      </c>
      <c r="B2729" t="str" cm="1">
        <f t="array" ref="B2729">INDEX(HotelList,MOD(ROW()-2,10)+1)</f>
        <v>H008</v>
      </c>
      <c r="C2729">
        <f>_xlfn.XLOOKUP(B2729,Dim_Hotel!$A$2:$A$11,Dim_Hotel!$F$2:$F$11)</f>
        <v>103</v>
      </c>
      <c r="D2729">
        <f t="shared" si="337"/>
        <v>57</v>
      </c>
      <c r="E2729">
        <f t="shared" si="338"/>
        <v>0.55339805825242716</v>
      </c>
      <c r="F2729">
        <f t="shared" si="339"/>
        <v>140</v>
      </c>
      <c r="G2729">
        <f t="shared" si="340"/>
        <v>77.475728155339809</v>
      </c>
      <c r="H2729" t="str">
        <f>_xlfn.XLOOKUP(A2729,Fact_Events!$D$2:$D$20,Fact_Events!$A$2:$A$20, "")</f>
        <v/>
      </c>
      <c r="I2729">
        <f t="shared" si="341"/>
        <v>0</v>
      </c>
      <c r="J2729" t="str">
        <f>_xlfn.XLOOKUP(H2729, Fact_Events!$A$2:$A$20, Fact_Events!$F$2:$F$20, "")</f>
        <v/>
      </c>
      <c r="K2729" t="str">
        <f t="shared" si="342"/>
        <v>Low</v>
      </c>
      <c r="L2729">
        <f t="shared" si="343"/>
        <v>0.55000000000000004</v>
      </c>
      <c r="M2729">
        <f>_xlfn.XLOOKUP(B2729, Dim_Hotel!$A$2:$A$11, Dim_Hotel!$I$2:$I$11)
 + (IF(J2729="",0,J2729)
    * _xlfn.XLOOKUP(B2729, Dim_Hotel!$A$2:$A$11, Dim_Hotel!$J$2:$J$11))</f>
        <v>140</v>
      </c>
    </row>
    <row r="2730" spans="1:13" x14ac:dyDescent="0.25">
      <c r="A2730" s="1">
        <f t="shared" si="336"/>
        <v>46295</v>
      </c>
      <c r="B2730" t="str" cm="1">
        <f t="array" ref="B2730">INDEX(HotelList,MOD(ROW()-2,10)+1)</f>
        <v>H009</v>
      </c>
      <c r="C2730">
        <f>_xlfn.XLOOKUP(B2730,Dim_Hotel!$A$2:$A$11,Dim_Hotel!$F$2:$F$11)</f>
        <v>114</v>
      </c>
      <c r="D2730">
        <f t="shared" si="337"/>
        <v>63</v>
      </c>
      <c r="E2730">
        <f t="shared" si="338"/>
        <v>0.55263157894736847</v>
      </c>
      <c r="F2730">
        <f t="shared" si="339"/>
        <v>185</v>
      </c>
      <c r="G2730">
        <f t="shared" si="340"/>
        <v>102.23684210526316</v>
      </c>
      <c r="H2730" t="str">
        <f>_xlfn.XLOOKUP(A2730,Fact_Events!$D$2:$D$20,Fact_Events!$A$2:$A$20, "")</f>
        <v/>
      </c>
      <c r="I2730">
        <f t="shared" si="341"/>
        <v>0</v>
      </c>
      <c r="J2730" t="str">
        <f>_xlfn.XLOOKUP(H2730, Fact_Events!$A$2:$A$20, Fact_Events!$F$2:$F$20, "")</f>
        <v/>
      </c>
      <c r="K2730" t="str">
        <f t="shared" si="342"/>
        <v>Low</v>
      </c>
      <c r="L2730">
        <f t="shared" si="343"/>
        <v>0.55000000000000004</v>
      </c>
      <c r="M2730">
        <f>_xlfn.XLOOKUP(B2730, Dim_Hotel!$A$2:$A$11, Dim_Hotel!$I$2:$I$11)
 + (IF(J2730="",0,J2730)
    * _xlfn.XLOOKUP(B2730, Dim_Hotel!$A$2:$A$11, Dim_Hotel!$J$2:$J$11))</f>
        <v>185</v>
      </c>
    </row>
    <row r="2731" spans="1:13" x14ac:dyDescent="0.25">
      <c r="A2731" s="1">
        <f t="shared" si="336"/>
        <v>46295</v>
      </c>
      <c r="B2731" t="str" cm="1">
        <f t="array" ref="B2731">INDEX(HotelList,MOD(ROW()-2,10)+1)</f>
        <v>H010</v>
      </c>
      <c r="C2731">
        <f>_xlfn.XLOOKUP(B2731,Dim_Hotel!$A$2:$A$11,Dim_Hotel!$F$2:$F$11)</f>
        <v>89</v>
      </c>
      <c r="D2731">
        <f t="shared" si="337"/>
        <v>49</v>
      </c>
      <c r="E2731">
        <f t="shared" si="338"/>
        <v>0.550561797752809</v>
      </c>
      <c r="F2731">
        <f t="shared" si="339"/>
        <v>150</v>
      </c>
      <c r="G2731">
        <f t="shared" si="340"/>
        <v>82.584269662921344</v>
      </c>
      <c r="H2731" t="str">
        <f>_xlfn.XLOOKUP(A2731,Fact_Events!$D$2:$D$20,Fact_Events!$A$2:$A$20, "")</f>
        <v/>
      </c>
      <c r="I2731">
        <f t="shared" si="341"/>
        <v>0</v>
      </c>
      <c r="J2731" t="str">
        <f>_xlfn.XLOOKUP(H2731, Fact_Events!$A$2:$A$20, Fact_Events!$F$2:$F$20, "")</f>
        <v/>
      </c>
      <c r="K2731" t="str">
        <f t="shared" si="342"/>
        <v>Low</v>
      </c>
      <c r="L2731">
        <f t="shared" si="343"/>
        <v>0.55000000000000004</v>
      </c>
      <c r="M2731">
        <f>_xlfn.XLOOKUP(B2731, Dim_Hotel!$A$2:$A$11, Dim_Hotel!$I$2:$I$11)
 + (IF(J2731="",0,J2731)
    * _xlfn.XLOOKUP(B2731, Dim_Hotel!$A$2:$A$11, Dim_Hotel!$J$2:$J$11))</f>
        <v>150</v>
      </c>
    </row>
    <row r="2732" spans="1:13" x14ac:dyDescent="0.25">
      <c r="A2732" s="1">
        <f t="shared" si="336"/>
        <v>46296</v>
      </c>
      <c r="B2732" t="str" cm="1">
        <f t="array" ref="B2732">INDEX(HotelList,MOD(ROW()-2,10)+1)</f>
        <v>H001</v>
      </c>
      <c r="C2732">
        <f>_xlfn.XLOOKUP(B2732,Dim_Hotel!$A$2:$A$11,Dim_Hotel!$F$2:$F$11)</f>
        <v>888</v>
      </c>
      <c r="D2732">
        <f t="shared" si="337"/>
        <v>488</v>
      </c>
      <c r="E2732">
        <f t="shared" si="338"/>
        <v>0.5495495495495496</v>
      </c>
      <c r="F2732">
        <f t="shared" si="339"/>
        <v>260</v>
      </c>
      <c r="G2732">
        <f t="shared" si="340"/>
        <v>142.88288288288288</v>
      </c>
      <c r="H2732" t="str">
        <f>_xlfn.XLOOKUP(A2732,Fact_Events!$D$2:$D$20,Fact_Events!$A$2:$A$20, "")</f>
        <v/>
      </c>
      <c r="I2732">
        <f t="shared" si="341"/>
        <v>0</v>
      </c>
      <c r="J2732" t="str">
        <f>_xlfn.XLOOKUP(H2732, Fact_Events!$A$2:$A$20, Fact_Events!$F$2:$F$20, "")</f>
        <v/>
      </c>
      <c r="K2732" t="str">
        <f t="shared" si="342"/>
        <v>Low</v>
      </c>
      <c r="L2732">
        <f t="shared" si="343"/>
        <v>0.55000000000000004</v>
      </c>
      <c r="M2732">
        <f>_xlfn.XLOOKUP(B2732, Dim_Hotel!$A$2:$A$11, Dim_Hotel!$I$2:$I$11)
 + (IF(J2732="",0,J2732)
    * _xlfn.XLOOKUP(B2732, Dim_Hotel!$A$2:$A$11, Dim_Hotel!$J$2:$J$11))</f>
        <v>260</v>
      </c>
    </row>
    <row r="2733" spans="1:13" x14ac:dyDescent="0.25">
      <c r="A2733" s="1">
        <f t="shared" si="336"/>
        <v>46296</v>
      </c>
      <c r="B2733" t="str" cm="1">
        <f t="array" ref="B2733">INDEX(HotelList,MOD(ROW()-2,10)+1)</f>
        <v>H002</v>
      </c>
      <c r="C2733">
        <f>_xlfn.XLOOKUP(B2733,Dim_Hotel!$A$2:$A$11,Dim_Hotel!$F$2:$F$11)</f>
        <v>147</v>
      </c>
      <c r="D2733">
        <f t="shared" si="337"/>
        <v>81</v>
      </c>
      <c r="E2733">
        <f t="shared" si="338"/>
        <v>0.55102040816326525</v>
      </c>
      <c r="F2733">
        <f t="shared" si="339"/>
        <v>175</v>
      </c>
      <c r="G2733">
        <f t="shared" si="340"/>
        <v>96.428571428571416</v>
      </c>
      <c r="H2733" t="str">
        <f>_xlfn.XLOOKUP(A2733,Fact_Events!$D$2:$D$20,Fact_Events!$A$2:$A$20, "")</f>
        <v/>
      </c>
      <c r="I2733">
        <f t="shared" si="341"/>
        <v>0</v>
      </c>
      <c r="J2733" t="str">
        <f>_xlfn.XLOOKUP(H2733, Fact_Events!$A$2:$A$20, Fact_Events!$F$2:$F$20, "")</f>
        <v/>
      </c>
      <c r="K2733" t="str">
        <f t="shared" si="342"/>
        <v>Low</v>
      </c>
      <c r="L2733">
        <f t="shared" si="343"/>
        <v>0.55000000000000004</v>
      </c>
      <c r="M2733">
        <f>_xlfn.XLOOKUP(B2733, Dim_Hotel!$A$2:$A$11, Dim_Hotel!$I$2:$I$11)
 + (IF(J2733="",0,J2733)
    * _xlfn.XLOOKUP(B2733, Dim_Hotel!$A$2:$A$11, Dim_Hotel!$J$2:$J$11))</f>
        <v>175</v>
      </c>
    </row>
    <row r="2734" spans="1:13" x14ac:dyDescent="0.25">
      <c r="A2734" s="1">
        <f t="shared" si="336"/>
        <v>46296</v>
      </c>
      <c r="B2734" t="str" cm="1">
        <f t="array" ref="B2734">INDEX(HotelList,MOD(ROW()-2,10)+1)</f>
        <v>H003</v>
      </c>
      <c r="C2734">
        <f>_xlfn.XLOOKUP(B2734,Dim_Hotel!$A$2:$A$11,Dim_Hotel!$F$2:$F$11)</f>
        <v>121</v>
      </c>
      <c r="D2734">
        <f t="shared" si="337"/>
        <v>67</v>
      </c>
      <c r="E2734">
        <f t="shared" si="338"/>
        <v>0.55371900826446285</v>
      </c>
      <c r="F2734">
        <f t="shared" si="339"/>
        <v>145</v>
      </c>
      <c r="G2734">
        <f t="shared" si="340"/>
        <v>80.289256198347118</v>
      </c>
      <c r="H2734" t="str">
        <f>_xlfn.XLOOKUP(A2734,Fact_Events!$D$2:$D$20,Fact_Events!$A$2:$A$20, "")</f>
        <v/>
      </c>
      <c r="I2734">
        <f t="shared" si="341"/>
        <v>0</v>
      </c>
      <c r="J2734" t="str">
        <f>_xlfn.XLOOKUP(H2734, Fact_Events!$A$2:$A$20, Fact_Events!$F$2:$F$20, "")</f>
        <v/>
      </c>
      <c r="K2734" t="str">
        <f t="shared" si="342"/>
        <v>Low</v>
      </c>
      <c r="L2734">
        <f t="shared" si="343"/>
        <v>0.55000000000000004</v>
      </c>
      <c r="M2734">
        <f>_xlfn.XLOOKUP(B2734, Dim_Hotel!$A$2:$A$11, Dim_Hotel!$I$2:$I$11)
 + (IF(J2734="",0,J2734)
    * _xlfn.XLOOKUP(B2734, Dim_Hotel!$A$2:$A$11, Dim_Hotel!$J$2:$J$11))</f>
        <v>145</v>
      </c>
    </row>
    <row r="2735" spans="1:13" x14ac:dyDescent="0.25">
      <c r="A2735" s="1">
        <f t="shared" si="336"/>
        <v>46296</v>
      </c>
      <c r="B2735" t="str" cm="1">
        <f t="array" ref="B2735">INDEX(HotelList,MOD(ROW()-2,10)+1)</f>
        <v>H004</v>
      </c>
      <c r="C2735">
        <f>_xlfn.XLOOKUP(B2735,Dim_Hotel!$A$2:$A$11,Dim_Hotel!$F$2:$F$11)</f>
        <v>108</v>
      </c>
      <c r="D2735">
        <f t="shared" si="337"/>
        <v>59</v>
      </c>
      <c r="E2735">
        <f t="shared" si="338"/>
        <v>0.54629629629629628</v>
      </c>
      <c r="F2735">
        <f t="shared" si="339"/>
        <v>135</v>
      </c>
      <c r="G2735">
        <f t="shared" si="340"/>
        <v>73.75</v>
      </c>
      <c r="H2735" t="str">
        <f>_xlfn.XLOOKUP(A2735,Fact_Events!$D$2:$D$20,Fact_Events!$A$2:$A$20, "")</f>
        <v/>
      </c>
      <c r="I2735">
        <f t="shared" si="341"/>
        <v>0</v>
      </c>
      <c r="J2735" t="str">
        <f>_xlfn.XLOOKUP(H2735, Fact_Events!$A$2:$A$20, Fact_Events!$F$2:$F$20, "")</f>
        <v/>
      </c>
      <c r="K2735" t="str">
        <f t="shared" si="342"/>
        <v>Low</v>
      </c>
      <c r="L2735">
        <f t="shared" si="343"/>
        <v>0.55000000000000004</v>
      </c>
      <c r="M2735">
        <f>_xlfn.XLOOKUP(B2735, Dim_Hotel!$A$2:$A$11, Dim_Hotel!$I$2:$I$11)
 + (IF(J2735="",0,J2735)
    * _xlfn.XLOOKUP(B2735, Dim_Hotel!$A$2:$A$11, Dim_Hotel!$J$2:$J$11))</f>
        <v>135</v>
      </c>
    </row>
    <row r="2736" spans="1:13" x14ac:dyDescent="0.25">
      <c r="A2736" s="1">
        <f t="shared" si="336"/>
        <v>46296</v>
      </c>
      <c r="B2736" t="str" cm="1">
        <f t="array" ref="B2736">INDEX(HotelList,MOD(ROW()-2,10)+1)</f>
        <v>H005</v>
      </c>
      <c r="C2736">
        <f>_xlfn.XLOOKUP(B2736,Dim_Hotel!$A$2:$A$11,Dim_Hotel!$F$2:$F$11)</f>
        <v>66</v>
      </c>
      <c r="D2736">
        <f t="shared" si="337"/>
        <v>36</v>
      </c>
      <c r="E2736">
        <f t="shared" si="338"/>
        <v>0.54545454545454541</v>
      </c>
      <c r="F2736">
        <f t="shared" si="339"/>
        <v>82</v>
      </c>
      <c r="G2736">
        <f t="shared" si="340"/>
        <v>44.727272727272727</v>
      </c>
      <c r="H2736" t="str">
        <f>_xlfn.XLOOKUP(A2736,Fact_Events!$D$2:$D$20,Fact_Events!$A$2:$A$20, "")</f>
        <v/>
      </c>
      <c r="I2736">
        <f t="shared" si="341"/>
        <v>0</v>
      </c>
      <c r="J2736" t="str">
        <f>_xlfn.XLOOKUP(H2736, Fact_Events!$A$2:$A$20, Fact_Events!$F$2:$F$20, "")</f>
        <v/>
      </c>
      <c r="K2736" t="str">
        <f t="shared" si="342"/>
        <v>Low</v>
      </c>
      <c r="L2736">
        <f t="shared" si="343"/>
        <v>0.55000000000000004</v>
      </c>
      <c r="M2736">
        <f>_xlfn.XLOOKUP(B2736, Dim_Hotel!$A$2:$A$11, Dim_Hotel!$I$2:$I$11)
 + (IF(J2736="",0,J2736)
    * _xlfn.XLOOKUP(B2736, Dim_Hotel!$A$2:$A$11, Dim_Hotel!$J$2:$J$11))</f>
        <v>82</v>
      </c>
    </row>
    <row r="2737" spans="1:13" x14ac:dyDescent="0.25">
      <c r="A2737" s="1">
        <f t="shared" si="336"/>
        <v>46296</v>
      </c>
      <c r="B2737" t="str" cm="1">
        <f t="array" ref="B2737">INDEX(HotelList,MOD(ROW()-2,10)+1)</f>
        <v>H006</v>
      </c>
      <c r="C2737">
        <f>_xlfn.XLOOKUP(B2737,Dim_Hotel!$A$2:$A$11,Dim_Hotel!$F$2:$F$11)</f>
        <v>311</v>
      </c>
      <c r="D2737">
        <f t="shared" si="337"/>
        <v>171</v>
      </c>
      <c r="E2737">
        <f t="shared" si="338"/>
        <v>0.54983922829581988</v>
      </c>
      <c r="F2737">
        <f t="shared" si="339"/>
        <v>190</v>
      </c>
      <c r="G2737">
        <f t="shared" si="340"/>
        <v>104.46945337620578</v>
      </c>
      <c r="H2737" t="str">
        <f>_xlfn.XLOOKUP(A2737,Fact_Events!$D$2:$D$20,Fact_Events!$A$2:$A$20, "")</f>
        <v/>
      </c>
      <c r="I2737">
        <f t="shared" si="341"/>
        <v>0</v>
      </c>
      <c r="J2737" t="str">
        <f>_xlfn.XLOOKUP(H2737, Fact_Events!$A$2:$A$20, Fact_Events!$F$2:$F$20, "")</f>
        <v/>
      </c>
      <c r="K2737" t="str">
        <f t="shared" si="342"/>
        <v>Low</v>
      </c>
      <c r="L2737">
        <f t="shared" si="343"/>
        <v>0.55000000000000004</v>
      </c>
      <c r="M2737">
        <f>_xlfn.XLOOKUP(B2737, Dim_Hotel!$A$2:$A$11, Dim_Hotel!$I$2:$I$11)
 + (IF(J2737="",0,J2737)
    * _xlfn.XLOOKUP(B2737, Dim_Hotel!$A$2:$A$11, Dim_Hotel!$J$2:$J$11))</f>
        <v>190</v>
      </c>
    </row>
    <row r="2738" spans="1:13" x14ac:dyDescent="0.25">
      <c r="A2738" s="1">
        <f t="shared" si="336"/>
        <v>46296</v>
      </c>
      <c r="B2738" t="str" cm="1">
        <f t="array" ref="B2738">INDEX(HotelList,MOD(ROW()-2,10)+1)</f>
        <v>H007</v>
      </c>
      <c r="C2738">
        <f>_xlfn.XLOOKUP(B2738,Dim_Hotel!$A$2:$A$11,Dim_Hotel!$F$2:$F$11)</f>
        <v>132</v>
      </c>
      <c r="D2738">
        <f t="shared" si="337"/>
        <v>73</v>
      </c>
      <c r="E2738">
        <f t="shared" si="338"/>
        <v>0.55303030303030298</v>
      </c>
      <c r="F2738">
        <f t="shared" si="339"/>
        <v>165</v>
      </c>
      <c r="G2738">
        <f t="shared" si="340"/>
        <v>91.249999999999986</v>
      </c>
      <c r="H2738" t="str">
        <f>_xlfn.XLOOKUP(A2738,Fact_Events!$D$2:$D$20,Fact_Events!$A$2:$A$20, "")</f>
        <v/>
      </c>
      <c r="I2738">
        <f t="shared" si="341"/>
        <v>0</v>
      </c>
      <c r="J2738" t="str">
        <f>_xlfn.XLOOKUP(H2738, Fact_Events!$A$2:$A$20, Fact_Events!$F$2:$F$20, "")</f>
        <v/>
      </c>
      <c r="K2738" t="str">
        <f t="shared" si="342"/>
        <v>Low</v>
      </c>
      <c r="L2738">
        <f t="shared" si="343"/>
        <v>0.55000000000000004</v>
      </c>
      <c r="M2738">
        <f>_xlfn.XLOOKUP(B2738, Dim_Hotel!$A$2:$A$11, Dim_Hotel!$I$2:$I$11)
 + (IF(J2738="",0,J2738)
    * _xlfn.XLOOKUP(B2738, Dim_Hotel!$A$2:$A$11, Dim_Hotel!$J$2:$J$11))</f>
        <v>165</v>
      </c>
    </row>
    <row r="2739" spans="1:13" x14ac:dyDescent="0.25">
      <c r="A2739" s="1">
        <f t="shared" si="336"/>
        <v>46296</v>
      </c>
      <c r="B2739" t="str" cm="1">
        <f t="array" ref="B2739">INDEX(HotelList,MOD(ROW()-2,10)+1)</f>
        <v>H008</v>
      </c>
      <c r="C2739">
        <f>_xlfn.XLOOKUP(B2739,Dim_Hotel!$A$2:$A$11,Dim_Hotel!$F$2:$F$11)</f>
        <v>103</v>
      </c>
      <c r="D2739">
        <f t="shared" si="337"/>
        <v>57</v>
      </c>
      <c r="E2739">
        <f t="shared" si="338"/>
        <v>0.55339805825242716</v>
      </c>
      <c r="F2739">
        <f t="shared" si="339"/>
        <v>140</v>
      </c>
      <c r="G2739">
        <f t="shared" si="340"/>
        <v>77.475728155339809</v>
      </c>
      <c r="H2739" t="str">
        <f>_xlfn.XLOOKUP(A2739,Fact_Events!$D$2:$D$20,Fact_Events!$A$2:$A$20, "")</f>
        <v/>
      </c>
      <c r="I2739">
        <f t="shared" si="341"/>
        <v>0</v>
      </c>
      <c r="J2739" t="str">
        <f>_xlfn.XLOOKUP(H2739, Fact_Events!$A$2:$A$20, Fact_Events!$F$2:$F$20, "")</f>
        <v/>
      </c>
      <c r="K2739" t="str">
        <f t="shared" si="342"/>
        <v>Low</v>
      </c>
      <c r="L2739">
        <f t="shared" si="343"/>
        <v>0.55000000000000004</v>
      </c>
      <c r="M2739">
        <f>_xlfn.XLOOKUP(B2739, Dim_Hotel!$A$2:$A$11, Dim_Hotel!$I$2:$I$11)
 + (IF(J2739="",0,J2739)
    * _xlfn.XLOOKUP(B2739, Dim_Hotel!$A$2:$A$11, Dim_Hotel!$J$2:$J$11))</f>
        <v>140</v>
      </c>
    </row>
    <row r="2740" spans="1:13" x14ac:dyDescent="0.25">
      <c r="A2740" s="1">
        <f t="shared" si="336"/>
        <v>46296</v>
      </c>
      <c r="B2740" t="str" cm="1">
        <f t="array" ref="B2740">INDEX(HotelList,MOD(ROW()-2,10)+1)</f>
        <v>H009</v>
      </c>
      <c r="C2740">
        <f>_xlfn.XLOOKUP(B2740,Dim_Hotel!$A$2:$A$11,Dim_Hotel!$F$2:$F$11)</f>
        <v>114</v>
      </c>
      <c r="D2740">
        <f t="shared" si="337"/>
        <v>63</v>
      </c>
      <c r="E2740">
        <f t="shared" si="338"/>
        <v>0.55263157894736847</v>
      </c>
      <c r="F2740">
        <f t="shared" si="339"/>
        <v>185</v>
      </c>
      <c r="G2740">
        <f t="shared" si="340"/>
        <v>102.23684210526316</v>
      </c>
      <c r="H2740" t="str">
        <f>_xlfn.XLOOKUP(A2740,Fact_Events!$D$2:$D$20,Fact_Events!$A$2:$A$20, "")</f>
        <v/>
      </c>
      <c r="I2740">
        <f t="shared" si="341"/>
        <v>0</v>
      </c>
      <c r="J2740" t="str">
        <f>_xlfn.XLOOKUP(H2740, Fact_Events!$A$2:$A$20, Fact_Events!$F$2:$F$20, "")</f>
        <v/>
      </c>
      <c r="K2740" t="str">
        <f t="shared" si="342"/>
        <v>Low</v>
      </c>
      <c r="L2740">
        <f t="shared" si="343"/>
        <v>0.55000000000000004</v>
      </c>
      <c r="M2740">
        <f>_xlfn.XLOOKUP(B2740, Dim_Hotel!$A$2:$A$11, Dim_Hotel!$I$2:$I$11)
 + (IF(J2740="",0,J2740)
    * _xlfn.XLOOKUP(B2740, Dim_Hotel!$A$2:$A$11, Dim_Hotel!$J$2:$J$11))</f>
        <v>185</v>
      </c>
    </row>
    <row r="2741" spans="1:13" x14ac:dyDescent="0.25">
      <c r="A2741" s="1">
        <f t="shared" si="336"/>
        <v>46296</v>
      </c>
      <c r="B2741" t="str" cm="1">
        <f t="array" ref="B2741">INDEX(HotelList,MOD(ROW()-2,10)+1)</f>
        <v>H010</v>
      </c>
      <c r="C2741">
        <f>_xlfn.XLOOKUP(B2741,Dim_Hotel!$A$2:$A$11,Dim_Hotel!$F$2:$F$11)</f>
        <v>89</v>
      </c>
      <c r="D2741">
        <f t="shared" si="337"/>
        <v>49</v>
      </c>
      <c r="E2741">
        <f t="shared" si="338"/>
        <v>0.550561797752809</v>
      </c>
      <c r="F2741">
        <f t="shared" si="339"/>
        <v>150</v>
      </c>
      <c r="G2741">
        <f t="shared" si="340"/>
        <v>82.584269662921344</v>
      </c>
      <c r="H2741" t="str">
        <f>_xlfn.XLOOKUP(A2741,Fact_Events!$D$2:$D$20,Fact_Events!$A$2:$A$20, "")</f>
        <v/>
      </c>
      <c r="I2741">
        <f t="shared" si="341"/>
        <v>0</v>
      </c>
      <c r="J2741" t="str">
        <f>_xlfn.XLOOKUP(H2741, Fact_Events!$A$2:$A$20, Fact_Events!$F$2:$F$20, "")</f>
        <v/>
      </c>
      <c r="K2741" t="str">
        <f t="shared" si="342"/>
        <v>Low</v>
      </c>
      <c r="L2741">
        <f t="shared" si="343"/>
        <v>0.55000000000000004</v>
      </c>
      <c r="M2741">
        <f>_xlfn.XLOOKUP(B2741, Dim_Hotel!$A$2:$A$11, Dim_Hotel!$I$2:$I$11)
 + (IF(J2741="",0,J2741)
    * _xlfn.XLOOKUP(B2741, Dim_Hotel!$A$2:$A$11, Dim_Hotel!$J$2:$J$11))</f>
        <v>150</v>
      </c>
    </row>
    <row r="2742" spans="1:13" x14ac:dyDescent="0.25">
      <c r="A2742" s="1">
        <f t="shared" si="336"/>
        <v>46297</v>
      </c>
      <c r="B2742" t="str" cm="1">
        <f t="array" ref="B2742">INDEX(HotelList,MOD(ROW()-2,10)+1)</f>
        <v>H001</v>
      </c>
      <c r="C2742">
        <f>_xlfn.XLOOKUP(B2742,Dim_Hotel!$A$2:$A$11,Dim_Hotel!$F$2:$F$11)</f>
        <v>888</v>
      </c>
      <c r="D2742">
        <f t="shared" si="337"/>
        <v>488</v>
      </c>
      <c r="E2742">
        <f t="shared" si="338"/>
        <v>0.5495495495495496</v>
      </c>
      <c r="F2742">
        <f t="shared" si="339"/>
        <v>260</v>
      </c>
      <c r="G2742">
        <f t="shared" si="340"/>
        <v>142.88288288288288</v>
      </c>
      <c r="H2742" t="str">
        <f>_xlfn.XLOOKUP(A2742,Fact_Events!$D$2:$D$20,Fact_Events!$A$2:$A$20, "")</f>
        <v/>
      </c>
      <c r="I2742">
        <f t="shared" si="341"/>
        <v>0</v>
      </c>
      <c r="J2742" t="str">
        <f>_xlfn.XLOOKUP(H2742, Fact_Events!$A$2:$A$20, Fact_Events!$F$2:$F$20, "")</f>
        <v/>
      </c>
      <c r="K2742" t="str">
        <f t="shared" si="342"/>
        <v>Low</v>
      </c>
      <c r="L2742">
        <f t="shared" si="343"/>
        <v>0.55000000000000004</v>
      </c>
      <c r="M2742">
        <f>_xlfn.XLOOKUP(B2742, Dim_Hotel!$A$2:$A$11, Dim_Hotel!$I$2:$I$11)
 + (IF(J2742="",0,J2742)
    * _xlfn.XLOOKUP(B2742, Dim_Hotel!$A$2:$A$11, Dim_Hotel!$J$2:$J$11))</f>
        <v>260</v>
      </c>
    </row>
    <row r="2743" spans="1:13" x14ac:dyDescent="0.25">
      <c r="A2743" s="1">
        <f t="shared" si="336"/>
        <v>46297</v>
      </c>
      <c r="B2743" t="str" cm="1">
        <f t="array" ref="B2743">INDEX(HotelList,MOD(ROW()-2,10)+1)</f>
        <v>H002</v>
      </c>
      <c r="C2743">
        <f>_xlfn.XLOOKUP(B2743,Dim_Hotel!$A$2:$A$11,Dim_Hotel!$F$2:$F$11)</f>
        <v>147</v>
      </c>
      <c r="D2743">
        <f t="shared" si="337"/>
        <v>81</v>
      </c>
      <c r="E2743">
        <f t="shared" si="338"/>
        <v>0.55102040816326525</v>
      </c>
      <c r="F2743">
        <f t="shared" si="339"/>
        <v>175</v>
      </c>
      <c r="G2743">
        <f t="shared" si="340"/>
        <v>96.428571428571416</v>
      </c>
      <c r="H2743" t="str">
        <f>_xlfn.XLOOKUP(A2743,Fact_Events!$D$2:$D$20,Fact_Events!$A$2:$A$20, "")</f>
        <v/>
      </c>
      <c r="I2743">
        <f t="shared" si="341"/>
        <v>0</v>
      </c>
      <c r="J2743" t="str">
        <f>_xlfn.XLOOKUP(H2743, Fact_Events!$A$2:$A$20, Fact_Events!$F$2:$F$20, "")</f>
        <v/>
      </c>
      <c r="K2743" t="str">
        <f t="shared" si="342"/>
        <v>Low</v>
      </c>
      <c r="L2743">
        <f t="shared" si="343"/>
        <v>0.55000000000000004</v>
      </c>
      <c r="M2743">
        <f>_xlfn.XLOOKUP(B2743, Dim_Hotel!$A$2:$A$11, Dim_Hotel!$I$2:$I$11)
 + (IF(J2743="",0,J2743)
    * _xlfn.XLOOKUP(B2743, Dim_Hotel!$A$2:$A$11, Dim_Hotel!$J$2:$J$11))</f>
        <v>175</v>
      </c>
    </row>
    <row r="2744" spans="1:13" x14ac:dyDescent="0.25">
      <c r="A2744" s="1">
        <f t="shared" si="336"/>
        <v>46297</v>
      </c>
      <c r="B2744" t="str" cm="1">
        <f t="array" ref="B2744">INDEX(HotelList,MOD(ROW()-2,10)+1)</f>
        <v>H003</v>
      </c>
      <c r="C2744">
        <f>_xlfn.XLOOKUP(B2744,Dim_Hotel!$A$2:$A$11,Dim_Hotel!$F$2:$F$11)</f>
        <v>121</v>
      </c>
      <c r="D2744">
        <f t="shared" si="337"/>
        <v>67</v>
      </c>
      <c r="E2744">
        <f t="shared" si="338"/>
        <v>0.55371900826446285</v>
      </c>
      <c r="F2744">
        <f t="shared" si="339"/>
        <v>145</v>
      </c>
      <c r="G2744">
        <f t="shared" si="340"/>
        <v>80.289256198347118</v>
      </c>
      <c r="H2744" t="str">
        <f>_xlfn.XLOOKUP(A2744,Fact_Events!$D$2:$D$20,Fact_Events!$A$2:$A$20, "")</f>
        <v/>
      </c>
      <c r="I2744">
        <f t="shared" si="341"/>
        <v>0</v>
      </c>
      <c r="J2744" t="str">
        <f>_xlfn.XLOOKUP(H2744, Fact_Events!$A$2:$A$20, Fact_Events!$F$2:$F$20, "")</f>
        <v/>
      </c>
      <c r="K2744" t="str">
        <f t="shared" si="342"/>
        <v>Low</v>
      </c>
      <c r="L2744">
        <f t="shared" si="343"/>
        <v>0.55000000000000004</v>
      </c>
      <c r="M2744">
        <f>_xlfn.XLOOKUP(B2744, Dim_Hotel!$A$2:$A$11, Dim_Hotel!$I$2:$I$11)
 + (IF(J2744="",0,J2744)
    * _xlfn.XLOOKUP(B2744, Dim_Hotel!$A$2:$A$11, Dim_Hotel!$J$2:$J$11))</f>
        <v>145</v>
      </c>
    </row>
    <row r="2745" spans="1:13" x14ac:dyDescent="0.25">
      <c r="A2745" s="1">
        <f t="shared" si="336"/>
        <v>46297</v>
      </c>
      <c r="B2745" t="str" cm="1">
        <f t="array" ref="B2745">INDEX(HotelList,MOD(ROW()-2,10)+1)</f>
        <v>H004</v>
      </c>
      <c r="C2745">
        <f>_xlfn.XLOOKUP(B2745,Dim_Hotel!$A$2:$A$11,Dim_Hotel!$F$2:$F$11)</f>
        <v>108</v>
      </c>
      <c r="D2745">
        <f t="shared" si="337"/>
        <v>59</v>
      </c>
      <c r="E2745">
        <f t="shared" si="338"/>
        <v>0.54629629629629628</v>
      </c>
      <c r="F2745">
        <f t="shared" si="339"/>
        <v>135</v>
      </c>
      <c r="G2745">
        <f t="shared" si="340"/>
        <v>73.75</v>
      </c>
      <c r="H2745" t="str">
        <f>_xlfn.XLOOKUP(A2745,Fact_Events!$D$2:$D$20,Fact_Events!$A$2:$A$20, "")</f>
        <v/>
      </c>
      <c r="I2745">
        <f t="shared" si="341"/>
        <v>0</v>
      </c>
      <c r="J2745" t="str">
        <f>_xlfn.XLOOKUP(H2745, Fact_Events!$A$2:$A$20, Fact_Events!$F$2:$F$20, "")</f>
        <v/>
      </c>
      <c r="K2745" t="str">
        <f t="shared" si="342"/>
        <v>Low</v>
      </c>
      <c r="L2745">
        <f t="shared" si="343"/>
        <v>0.55000000000000004</v>
      </c>
      <c r="M2745">
        <f>_xlfn.XLOOKUP(B2745, Dim_Hotel!$A$2:$A$11, Dim_Hotel!$I$2:$I$11)
 + (IF(J2745="",0,J2745)
    * _xlfn.XLOOKUP(B2745, Dim_Hotel!$A$2:$A$11, Dim_Hotel!$J$2:$J$11))</f>
        <v>135</v>
      </c>
    </row>
    <row r="2746" spans="1:13" x14ac:dyDescent="0.25">
      <c r="A2746" s="1">
        <f t="shared" si="336"/>
        <v>46297</v>
      </c>
      <c r="B2746" t="str" cm="1">
        <f t="array" ref="B2746">INDEX(HotelList,MOD(ROW()-2,10)+1)</f>
        <v>H005</v>
      </c>
      <c r="C2746">
        <f>_xlfn.XLOOKUP(B2746,Dim_Hotel!$A$2:$A$11,Dim_Hotel!$F$2:$F$11)</f>
        <v>66</v>
      </c>
      <c r="D2746">
        <f t="shared" si="337"/>
        <v>36</v>
      </c>
      <c r="E2746">
        <f t="shared" si="338"/>
        <v>0.54545454545454541</v>
      </c>
      <c r="F2746">
        <f t="shared" si="339"/>
        <v>82</v>
      </c>
      <c r="G2746">
        <f t="shared" si="340"/>
        <v>44.727272727272727</v>
      </c>
      <c r="H2746" t="str">
        <f>_xlfn.XLOOKUP(A2746,Fact_Events!$D$2:$D$20,Fact_Events!$A$2:$A$20, "")</f>
        <v/>
      </c>
      <c r="I2746">
        <f t="shared" si="341"/>
        <v>0</v>
      </c>
      <c r="J2746" t="str">
        <f>_xlfn.XLOOKUP(H2746, Fact_Events!$A$2:$A$20, Fact_Events!$F$2:$F$20, "")</f>
        <v/>
      </c>
      <c r="K2746" t="str">
        <f t="shared" si="342"/>
        <v>Low</v>
      </c>
      <c r="L2746">
        <f t="shared" si="343"/>
        <v>0.55000000000000004</v>
      </c>
      <c r="M2746">
        <f>_xlfn.XLOOKUP(B2746, Dim_Hotel!$A$2:$A$11, Dim_Hotel!$I$2:$I$11)
 + (IF(J2746="",0,J2746)
    * _xlfn.XLOOKUP(B2746, Dim_Hotel!$A$2:$A$11, Dim_Hotel!$J$2:$J$11))</f>
        <v>82</v>
      </c>
    </row>
    <row r="2747" spans="1:13" x14ac:dyDescent="0.25">
      <c r="A2747" s="1">
        <f t="shared" si="336"/>
        <v>46297</v>
      </c>
      <c r="B2747" t="str" cm="1">
        <f t="array" ref="B2747">INDEX(HotelList,MOD(ROW()-2,10)+1)</f>
        <v>H006</v>
      </c>
      <c r="C2747">
        <f>_xlfn.XLOOKUP(B2747,Dim_Hotel!$A$2:$A$11,Dim_Hotel!$F$2:$F$11)</f>
        <v>311</v>
      </c>
      <c r="D2747">
        <f t="shared" si="337"/>
        <v>171</v>
      </c>
      <c r="E2747">
        <f t="shared" si="338"/>
        <v>0.54983922829581988</v>
      </c>
      <c r="F2747">
        <f t="shared" si="339"/>
        <v>190</v>
      </c>
      <c r="G2747">
        <f t="shared" si="340"/>
        <v>104.46945337620578</v>
      </c>
      <c r="H2747" t="str">
        <f>_xlfn.XLOOKUP(A2747,Fact_Events!$D$2:$D$20,Fact_Events!$A$2:$A$20, "")</f>
        <v/>
      </c>
      <c r="I2747">
        <f t="shared" si="341"/>
        <v>0</v>
      </c>
      <c r="J2747" t="str">
        <f>_xlfn.XLOOKUP(H2747, Fact_Events!$A$2:$A$20, Fact_Events!$F$2:$F$20, "")</f>
        <v/>
      </c>
      <c r="K2747" t="str">
        <f t="shared" si="342"/>
        <v>Low</v>
      </c>
      <c r="L2747">
        <f t="shared" si="343"/>
        <v>0.55000000000000004</v>
      </c>
      <c r="M2747">
        <f>_xlfn.XLOOKUP(B2747, Dim_Hotel!$A$2:$A$11, Dim_Hotel!$I$2:$I$11)
 + (IF(J2747="",0,J2747)
    * _xlfn.XLOOKUP(B2747, Dim_Hotel!$A$2:$A$11, Dim_Hotel!$J$2:$J$11))</f>
        <v>190</v>
      </c>
    </row>
    <row r="2748" spans="1:13" x14ac:dyDescent="0.25">
      <c r="A2748" s="1">
        <f t="shared" si="336"/>
        <v>46297</v>
      </c>
      <c r="B2748" t="str" cm="1">
        <f t="array" ref="B2748">INDEX(HotelList,MOD(ROW()-2,10)+1)</f>
        <v>H007</v>
      </c>
      <c r="C2748">
        <f>_xlfn.XLOOKUP(B2748,Dim_Hotel!$A$2:$A$11,Dim_Hotel!$F$2:$F$11)</f>
        <v>132</v>
      </c>
      <c r="D2748">
        <f t="shared" si="337"/>
        <v>73</v>
      </c>
      <c r="E2748">
        <f t="shared" si="338"/>
        <v>0.55303030303030298</v>
      </c>
      <c r="F2748">
        <f t="shared" si="339"/>
        <v>165</v>
      </c>
      <c r="G2748">
        <f t="shared" si="340"/>
        <v>91.249999999999986</v>
      </c>
      <c r="H2748" t="str">
        <f>_xlfn.XLOOKUP(A2748,Fact_Events!$D$2:$D$20,Fact_Events!$A$2:$A$20, "")</f>
        <v/>
      </c>
      <c r="I2748">
        <f t="shared" si="341"/>
        <v>0</v>
      </c>
      <c r="J2748" t="str">
        <f>_xlfn.XLOOKUP(H2748, Fact_Events!$A$2:$A$20, Fact_Events!$F$2:$F$20, "")</f>
        <v/>
      </c>
      <c r="K2748" t="str">
        <f t="shared" si="342"/>
        <v>Low</v>
      </c>
      <c r="L2748">
        <f t="shared" si="343"/>
        <v>0.55000000000000004</v>
      </c>
      <c r="M2748">
        <f>_xlfn.XLOOKUP(B2748, Dim_Hotel!$A$2:$A$11, Dim_Hotel!$I$2:$I$11)
 + (IF(J2748="",0,J2748)
    * _xlfn.XLOOKUP(B2748, Dim_Hotel!$A$2:$A$11, Dim_Hotel!$J$2:$J$11))</f>
        <v>165</v>
      </c>
    </row>
    <row r="2749" spans="1:13" x14ac:dyDescent="0.25">
      <c r="A2749" s="1">
        <f t="shared" si="336"/>
        <v>46297</v>
      </c>
      <c r="B2749" t="str" cm="1">
        <f t="array" ref="B2749">INDEX(HotelList,MOD(ROW()-2,10)+1)</f>
        <v>H008</v>
      </c>
      <c r="C2749">
        <f>_xlfn.XLOOKUP(B2749,Dim_Hotel!$A$2:$A$11,Dim_Hotel!$F$2:$F$11)</f>
        <v>103</v>
      </c>
      <c r="D2749">
        <f t="shared" si="337"/>
        <v>57</v>
      </c>
      <c r="E2749">
        <f t="shared" si="338"/>
        <v>0.55339805825242716</v>
      </c>
      <c r="F2749">
        <f t="shared" si="339"/>
        <v>140</v>
      </c>
      <c r="G2749">
        <f t="shared" si="340"/>
        <v>77.475728155339809</v>
      </c>
      <c r="H2749" t="str">
        <f>_xlfn.XLOOKUP(A2749,Fact_Events!$D$2:$D$20,Fact_Events!$A$2:$A$20, "")</f>
        <v/>
      </c>
      <c r="I2749">
        <f t="shared" si="341"/>
        <v>0</v>
      </c>
      <c r="J2749" t="str">
        <f>_xlfn.XLOOKUP(H2749, Fact_Events!$A$2:$A$20, Fact_Events!$F$2:$F$20, "")</f>
        <v/>
      </c>
      <c r="K2749" t="str">
        <f t="shared" si="342"/>
        <v>Low</v>
      </c>
      <c r="L2749">
        <f t="shared" si="343"/>
        <v>0.55000000000000004</v>
      </c>
      <c r="M2749">
        <f>_xlfn.XLOOKUP(B2749, Dim_Hotel!$A$2:$A$11, Dim_Hotel!$I$2:$I$11)
 + (IF(J2749="",0,J2749)
    * _xlfn.XLOOKUP(B2749, Dim_Hotel!$A$2:$A$11, Dim_Hotel!$J$2:$J$11))</f>
        <v>140</v>
      </c>
    </row>
    <row r="2750" spans="1:13" x14ac:dyDescent="0.25">
      <c r="A2750" s="1">
        <f t="shared" si="336"/>
        <v>46297</v>
      </c>
      <c r="B2750" t="str" cm="1">
        <f t="array" ref="B2750">INDEX(HotelList,MOD(ROW()-2,10)+1)</f>
        <v>H009</v>
      </c>
      <c r="C2750">
        <f>_xlfn.XLOOKUP(B2750,Dim_Hotel!$A$2:$A$11,Dim_Hotel!$F$2:$F$11)</f>
        <v>114</v>
      </c>
      <c r="D2750">
        <f t="shared" si="337"/>
        <v>63</v>
      </c>
      <c r="E2750">
        <f t="shared" si="338"/>
        <v>0.55263157894736847</v>
      </c>
      <c r="F2750">
        <f t="shared" si="339"/>
        <v>185</v>
      </c>
      <c r="G2750">
        <f t="shared" si="340"/>
        <v>102.23684210526316</v>
      </c>
      <c r="H2750" t="str">
        <f>_xlfn.XLOOKUP(A2750,Fact_Events!$D$2:$D$20,Fact_Events!$A$2:$A$20, "")</f>
        <v/>
      </c>
      <c r="I2750">
        <f t="shared" si="341"/>
        <v>0</v>
      </c>
      <c r="J2750" t="str">
        <f>_xlfn.XLOOKUP(H2750, Fact_Events!$A$2:$A$20, Fact_Events!$F$2:$F$20, "")</f>
        <v/>
      </c>
      <c r="K2750" t="str">
        <f t="shared" si="342"/>
        <v>Low</v>
      </c>
      <c r="L2750">
        <f t="shared" si="343"/>
        <v>0.55000000000000004</v>
      </c>
      <c r="M2750">
        <f>_xlfn.XLOOKUP(B2750, Dim_Hotel!$A$2:$A$11, Dim_Hotel!$I$2:$I$11)
 + (IF(J2750="",0,J2750)
    * _xlfn.XLOOKUP(B2750, Dim_Hotel!$A$2:$A$11, Dim_Hotel!$J$2:$J$11))</f>
        <v>185</v>
      </c>
    </row>
    <row r="2751" spans="1:13" x14ac:dyDescent="0.25">
      <c r="A2751" s="1">
        <f t="shared" si="336"/>
        <v>46297</v>
      </c>
      <c r="B2751" t="str" cm="1">
        <f t="array" ref="B2751">INDEX(HotelList,MOD(ROW()-2,10)+1)</f>
        <v>H010</v>
      </c>
      <c r="C2751">
        <f>_xlfn.XLOOKUP(B2751,Dim_Hotel!$A$2:$A$11,Dim_Hotel!$F$2:$F$11)</f>
        <v>89</v>
      </c>
      <c r="D2751">
        <f t="shared" si="337"/>
        <v>49</v>
      </c>
      <c r="E2751">
        <f t="shared" si="338"/>
        <v>0.550561797752809</v>
      </c>
      <c r="F2751">
        <f t="shared" si="339"/>
        <v>150</v>
      </c>
      <c r="G2751">
        <f t="shared" si="340"/>
        <v>82.584269662921344</v>
      </c>
      <c r="H2751" t="str">
        <f>_xlfn.XLOOKUP(A2751,Fact_Events!$D$2:$D$20,Fact_Events!$A$2:$A$20, "")</f>
        <v/>
      </c>
      <c r="I2751">
        <f t="shared" si="341"/>
        <v>0</v>
      </c>
      <c r="J2751" t="str">
        <f>_xlfn.XLOOKUP(H2751, Fact_Events!$A$2:$A$20, Fact_Events!$F$2:$F$20, "")</f>
        <v/>
      </c>
      <c r="K2751" t="str">
        <f t="shared" si="342"/>
        <v>Low</v>
      </c>
      <c r="L2751">
        <f t="shared" si="343"/>
        <v>0.55000000000000004</v>
      </c>
      <c r="M2751">
        <f>_xlfn.XLOOKUP(B2751, Dim_Hotel!$A$2:$A$11, Dim_Hotel!$I$2:$I$11)
 + (IF(J2751="",0,J2751)
    * _xlfn.XLOOKUP(B2751, Dim_Hotel!$A$2:$A$11, Dim_Hotel!$J$2:$J$11))</f>
        <v>150</v>
      </c>
    </row>
    <row r="2752" spans="1:13" x14ac:dyDescent="0.25">
      <c r="A2752" s="1">
        <f t="shared" si="336"/>
        <v>46298</v>
      </c>
      <c r="B2752" t="str" cm="1">
        <f t="array" ref="B2752">INDEX(HotelList,MOD(ROW()-2,10)+1)</f>
        <v>H001</v>
      </c>
      <c r="C2752">
        <f>_xlfn.XLOOKUP(B2752,Dim_Hotel!$A$2:$A$11,Dim_Hotel!$F$2:$F$11)</f>
        <v>888</v>
      </c>
      <c r="D2752">
        <f t="shared" si="337"/>
        <v>488</v>
      </c>
      <c r="E2752">
        <f t="shared" si="338"/>
        <v>0.5495495495495496</v>
      </c>
      <c r="F2752">
        <f t="shared" si="339"/>
        <v>260</v>
      </c>
      <c r="G2752">
        <f t="shared" si="340"/>
        <v>142.88288288288288</v>
      </c>
      <c r="H2752" t="str">
        <f>_xlfn.XLOOKUP(A2752,Fact_Events!$D$2:$D$20,Fact_Events!$A$2:$A$20, "")</f>
        <v/>
      </c>
      <c r="I2752">
        <f t="shared" si="341"/>
        <v>0</v>
      </c>
      <c r="J2752" t="str">
        <f>_xlfn.XLOOKUP(H2752, Fact_Events!$A$2:$A$20, Fact_Events!$F$2:$F$20, "")</f>
        <v/>
      </c>
      <c r="K2752" t="str">
        <f t="shared" si="342"/>
        <v>Low</v>
      </c>
      <c r="L2752">
        <f t="shared" si="343"/>
        <v>0.55000000000000004</v>
      </c>
      <c r="M2752">
        <f>_xlfn.XLOOKUP(B2752, Dim_Hotel!$A$2:$A$11, Dim_Hotel!$I$2:$I$11)
 + (IF(J2752="",0,J2752)
    * _xlfn.XLOOKUP(B2752, Dim_Hotel!$A$2:$A$11, Dim_Hotel!$J$2:$J$11))</f>
        <v>260</v>
      </c>
    </row>
    <row r="2753" spans="1:13" x14ac:dyDescent="0.25">
      <c r="A2753" s="1">
        <f t="shared" si="336"/>
        <v>46298</v>
      </c>
      <c r="B2753" t="str" cm="1">
        <f t="array" ref="B2753">INDEX(HotelList,MOD(ROW()-2,10)+1)</f>
        <v>H002</v>
      </c>
      <c r="C2753">
        <f>_xlfn.XLOOKUP(B2753,Dim_Hotel!$A$2:$A$11,Dim_Hotel!$F$2:$F$11)</f>
        <v>147</v>
      </c>
      <c r="D2753">
        <f t="shared" si="337"/>
        <v>81</v>
      </c>
      <c r="E2753">
        <f t="shared" si="338"/>
        <v>0.55102040816326525</v>
      </c>
      <c r="F2753">
        <f t="shared" si="339"/>
        <v>175</v>
      </c>
      <c r="G2753">
        <f t="shared" si="340"/>
        <v>96.428571428571416</v>
      </c>
      <c r="H2753" t="str">
        <f>_xlfn.XLOOKUP(A2753,Fact_Events!$D$2:$D$20,Fact_Events!$A$2:$A$20, "")</f>
        <v/>
      </c>
      <c r="I2753">
        <f t="shared" si="341"/>
        <v>0</v>
      </c>
      <c r="J2753" t="str">
        <f>_xlfn.XLOOKUP(H2753, Fact_Events!$A$2:$A$20, Fact_Events!$F$2:$F$20, "")</f>
        <v/>
      </c>
      <c r="K2753" t="str">
        <f t="shared" si="342"/>
        <v>Low</v>
      </c>
      <c r="L2753">
        <f t="shared" si="343"/>
        <v>0.55000000000000004</v>
      </c>
      <c r="M2753">
        <f>_xlfn.XLOOKUP(B2753, Dim_Hotel!$A$2:$A$11, Dim_Hotel!$I$2:$I$11)
 + (IF(J2753="",0,J2753)
    * _xlfn.XLOOKUP(B2753, Dim_Hotel!$A$2:$A$11, Dim_Hotel!$J$2:$J$11))</f>
        <v>175</v>
      </c>
    </row>
    <row r="2754" spans="1:13" x14ac:dyDescent="0.25">
      <c r="A2754" s="1">
        <f t="shared" si="336"/>
        <v>46298</v>
      </c>
      <c r="B2754" t="str" cm="1">
        <f t="array" ref="B2754">INDEX(HotelList,MOD(ROW()-2,10)+1)</f>
        <v>H003</v>
      </c>
      <c r="C2754">
        <f>_xlfn.XLOOKUP(B2754,Dim_Hotel!$A$2:$A$11,Dim_Hotel!$F$2:$F$11)</f>
        <v>121</v>
      </c>
      <c r="D2754">
        <f t="shared" si="337"/>
        <v>67</v>
      </c>
      <c r="E2754">
        <f t="shared" si="338"/>
        <v>0.55371900826446285</v>
      </c>
      <c r="F2754">
        <f t="shared" si="339"/>
        <v>145</v>
      </c>
      <c r="G2754">
        <f t="shared" si="340"/>
        <v>80.289256198347118</v>
      </c>
      <c r="H2754" t="str">
        <f>_xlfn.XLOOKUP(A2754,Fact_Events!$D$2:$D$20,Fact_Events!$A$2:$A$20, "")</f>
        <v/>
      </c>
      <c r="I2754">
        <f t="shared" si="341"/>
        <v>0</v>
      </c>
      <c r="J2754" t="str">
        <f>_xlfn.XLOOKUP(H2754, Fact_Events!$A$2:$A$20, Fact_Events!$F$2:$F$20, "")</f>
        <v/>
      </c>
      <c r="K2754" t="str">
        <f t="shared" si="342"/>
        <v>Low</v>
      </c>
      <c r="L2754">
        <f t="shared" si="343"/>
        <v>0.55000000000000004</v>
      </c>
      <c r="M2754">
        <f>_xlfn.XLOOKUP(B2754, Dim_Hotel!$A$2:$A$11, Dim_Hotel!$I$2:$I$11)
 + (IF(J2754="",0,J2754)
    * _xlfn.XLOOKUP(B2754, Dim_Hotel!$A$2:$A$11, Dim_Hotel!$J$2:$J$11))</f>
        <v>145</v>
      </c>
    </row>
    <row r="2755" spans="1:13" x14ac:dyDescent="0.25">
      <c r="A2755" s="1">
        <f t="shared" ref="A2755:A2818" si="344">DATE(2026,1,1) + INT((ROW()-2)/10)</f>
        <v>46298</v>
      </c>
      <c r="B2755" t="str" cm="1">
        <f t="array" ref="B2755">INDEX(HotelList,MOD(ROW()-2,10)+1)</f>
        <v>H004</v>
      </c>
      <c r="C2755">
        <f>_xlfn.XLOOKUP(B2755,Dim_Hotel!$A$2:$A$11,Dim_Hotel!$F$2:$F$11)</f>
        <v>108</v>
      </c>
      <c r="D2755">
        <f t="shared" ref="D2755:D2818" si="345">ROUND(L2755 * C2755, 0)</f>
        <v>59</v>
      </c>
      <c r="E2755">
        <f t="shared" ref="E2755:E2818" si="346">D2755/C2755</f>
        <v>0.54629629629629628</v>
      </c>
      <c r="F2755">
        <f t="shared" ref="F2755:F2818" si="347">M2755</f>
        <v>135</v>
      </c>
      <c r="G2755">
        <f t="shared" ref="G2755:G2818" si="348">E2755*F2755</f>
        <v>73.75</v>
      </c>
      <c r="H2755" t="str">
        <f>_xlfn.XLOOKUP(A2755,Fact_Events!$D$2:$D$20,Fact_Events!$A$2:$A$20, "")</f>
        <v/>
      </c>
      <c r="I2755">
        <f t="shared" ref="I2755:I2818" si="349">IF(H2755="",0,1)</f>
        <v>0</v>
      </c>
      <c r="J2755" t="str">
        <f>_xlfn.XLOOKUP(H2755, Fact_Events!$A$2:$A$20, Fact_Events!$F$2:$F$20, "")</f>
        <v/>
      </c>
      <c r="K2755" t="str">
        <f t="shared" ref="K2755:K2818" si="350">IF(I2755=0,"Low",
   IF(J2755&gt;=9,"High","Medium"))</f>
        <v>Low</v>
      </c>
      <c r="L2755">
        <f t="shared" ref="L2755:L2818" si="351">MIN(1,
  0.55
  + (I2755 * 0.25)
  + (IF(J2755="",0,J2755) / 100)
)</f>
        <v>0.55000000000000004</v>
      </c>
      <c r="M2755">
        <f>_xlfn.XLOOKUP(B2755, Dim_Hotel!$A$2:$A$11, Dim_Hotel!$I$2:$I$11)
 + (IF(J2755="",0,J2755)
    * _xlfn.XLOOKUP(B2755, Dim_Hotel!$A$2:$A$11, Dim_Hotel!$J$2:$J$11))</f>
        <v>135</v>
      </c>
    </row>
    <row r="2756" spans="1:13" x14ac:dyDescent="0.25">
      <c r="A2756" s="1">
        <f t="shared" si="344"/>
        <v>46298</v>
      </c>
      <c r="B2756" t="str" cm="1">
        <f t="array" ref="B2756">INDEX(HotelList,MOD(ROW()-2,10)+1)</f>
        <v>H005</v>
      </c>
      <c r="C2756">
        <f>_xlfn.XLOOKUP(B2756,Dim_Hotel!$A$2:$A$11,Dim_Hotel!$F$2:$F$11)</f>
        <v>66</v>
      </c>
      <c r="D2756">
        <f t="shared" si="345"/>
        <v>36</v>
      </c>
      <c r="E2756">
        <f t="shared" si="346"/>
        <v>0.54545454545454541</v>
      </c>
      <c r="F2756">
        <f t="shared" si="347"/>
        <v>82</v>
      </c>
      <c r="G2756">
        <f t="shared" si="348"/>
        <v>44.727272727272727</v>
      </c>
      <c r="H2756" t="str">
        <f>_xlfn.XLOOKUP(A2756,Fact_Events!$D$2:$D$20,Fact_Events!$A$2:$A$20, "")</f>
        <v/>
      </c>
      <c r="I2756">
        <f t="shared" si="349"/>
        <v>0</v>
      </c>
      <c r="J2756" t="str">
        <f>_xlfn.XLOOKUP(H2756, Fact_Events!$A$2:$A$20, Fact_Events!$F$2:$F$20, "")</f>
        <v/>
      </c>
      <c r="K2756" t="str">
        <f t="shared" si="350"/>
        <v>Low</v>
      </c>
      <c r="L2756">
        <f t="shared" si="351"/>
        <v>0.55000000000000004</v>
      </c>
      <c r="M2756">
        <f>_xlfn.XLOOKUP(B2756, Dim_Hotel!$A$2:$A$11, Dim_Hotel!$I$2:$I$11)
 + (IF(J2756="",0,J2756)
    * _xlfn.XLOOKUP(B2756, Dim_Hotel!$A$2:$A$11, Dim_Hotel!$J$2:$J$11))</f>
        <v>82</v>
      </c>
    </row>
    <row r="2757" spans="1:13" x14ac:dyDescent="0.25">
      <c r="A2757" s="1">
        <f t="shared" si="344"/>
        <v>46298</v>
      </c>
      <c r="B2757" t="str" cm="1">
        <f t="array" ref="B2757">INDEX(HotelList,MOD(ROW()-2,10)+1)</f>
        <v>H006</v>
      </c>
      <c r="C2757">
        <f>_xlfn.XLOOKUP(B2757,Dim_Hotel!$A$2:$A$11,Dim_Hotel!$F$2:$F$11)</f>
        <v>311</v>
      </c>
      <c r="D2757">
        <f t="shared" si="345"/>
        <v>171</v>
      </c>
      <c r="E2757">
        <f t="shared" si="346"/>
        <v>0.54983922829581988</v>
      </c>
      <c r="F2757">
        <f t="shared" si="347"/>
        <v>190</v>
      </c>
      <c r="G2757">
        <f t="shared" si="348"/>
        <v>104.46945337620578</v>
      </c>
      <c r="H2757" t="str">
        <f>_xlfn.XLOOKUP(A2757,Fact_Events!$D$2:$D$20,Fact_Events!$A$2:$A$20, "")</f>
        <v/>
      </c>
      <c r="I2757">
        <f t="shared" si="349"/>
        <v>0</v>
      </c>
      <c r="J2757" t="str">
        <f>_xlfn.XLOOKUP(H2757, Fact_Events!$A$2:$A$20, Fact_Events!$F$2:$F$20, "")</f>
        <v/>
      </c>
      <c r="K2757" t="str">
        <f t="shared" si="350"/>
        <v>Low</v>
      </c>
      <c r="L2757">
        <f t="shared" si="351"/>
        <v>0.55000000000000004</v>
      </c>
      <c r="M2757">
        <f>_xlfn.XLOOKUP(B2757, Dim_Hotel!$A$2:$A$11, Dim_Hotel!$I$2:$I$11)
 + (IF(J2757="",0,J2757)
    * _xlfn.XLOOKUP(B2757, Dim_Hotel!$A$2:$A$11, Dim_Hotel!$J$2:$J$11))</f>
        <v>190</v>
      </c>
    </row>
    <row r="2758" spans="1:13" x14ac:dyDescent="0.25">
      <c r="A2758" s="1">
        <f t="shared" si="344"/>
        <v>46298</v>
      </c>
      <c r="B2758" t="str" cm="1">
        <f t="array" ref="B2758">INDEX(HotelList,MOD(ROW()-2,10)+1)</f>
        <v>H007</v>
      </c>
      <c r="C2758">
        <f>_xlfn.XLOOKUP(B2758,Dim_Hotel!$A$2:$A$11,Dim_Hotel!$F$2:$F$11)</f>
        <v>132</v>
      </c>
      <c r="D2758">
        <f t="shared" si="345"/>
        <v>73</v>
      </c>
      <c r="E2758">
        <f t="shared" si="346"/>
        <v>0.55303030303030298</v>
      </c>
      <c r="F2758">
        <f t="shared" si="347"/>
        <v>165</v>
      </c>
      <c r="G2758">
        <f t="shared" si="348"/>
        <v>91.249999999999986</v>
      </c>
      <c r="H2758" t="str">
        <f>_xlfn.XLOOKUP(A2758,Fact_Events!$D$2:$D$20,Fact_Events!$A$2:$A$20, "")</f>
        <v/>
      </c>
      <c r="I2758">
        <f t="shared" si="349"/>
        <v>0</v>
      </c>
      <c r="J2758" t="str">
        <f>_xlfn.XLOOKUP(H2758, Fact_Events!$A$2:$A$20, Fact_Events!$F$2:$F$20, "")</f>
        <v/>
      </c>
      <c r="K2758" t="str">
        <f t="shared" si="350"/>
        <v>Low</v>
      </c>
      <c r="L2758">
        <f t="shared" si="351"/>
        <v>0.55000000000000004</v>
      </c>
      <c r="M2758">
        <f>_xlfn.XLOOKUP(B2758, Dim_Hotel!$A$2:$A$11, Dim_Hotel!$I$2:$I$11)
 + (IF(J2758="",0,J2758)
    * _xlfn.XLOOKUP(B2758, Dim_Hotel!$A$2:$A$11, Dim_Hotel!$J$2:$J$11))</f>
        <v>165</v>
      </c>
    </row>
    <row r="2759" spans="1:13" x14ac:dyDescent="0.25">
      <c r="A2759" s="1">
        <f t="shared" si="344"/>
        <v>46298</v>
      </c>
      <c r="B2759" t="str" cm="1">
        <f t="array" ref="B2759">INDEX(HotelList,MOD(ROW()-2,10)+1)</f>
        <v>H008</v>
      </c>
      <c r="C2759">
        <f>_xlfn.XLOOKUP(B2759,Dim_Hotel!$A$2:$A$11,Dim_Hotel!$F$2:$F$11)</f>
        <v>103</v>
      </c>
      <c r="D2759">
        <f t="shared" si="345"/>
        <v>57</v>
      </c>
      <c r="E2759">
        <f t="shared" si="346"/>
        <v>0.55339805825242716</v>
      </c>
      <c r="F2759">
        <f t="shared" si="347"/>
        <v>140</v>
      </c>
      <c r="G2759">
        <f t="shared" si="348"/>
        <v>77.475728155339809</v>
      </c>
      <c r="H2759" t="str">
        <f>_xlfn.XLOOKUP(A2759,Fact_Events!$D$2:$D$20,Fact_Events!$A$2:$A$20, "")</f>
        <v/>
      </c>
      <c r="I2759">
        <f t="shared" si="349"/>
        <v>0</v>
      </c>
      <c r="J2759" t="str">
        <f>_xlfn.XLOOKUP(H2759, Fact_Events!$A$2:$A$20, Fact_Events!$F$2:$F$20, "")</f>
        <v/>
      </c>
      <c r="K2759" t="str">
        <f t="shared" si="350"/>
        <v>Low</v>
      </c>
      <c r="L2759">
        <f t="shared" si="351"/>
        <v>0.55000000000000004</v>
      </c>
      <c r="M2759">
        <f>_xlfn.XLOOKUP(B2759, Dim_Hotel!$A$2:$A$11, Dim_Hotel!$I$2:$I$11)
 + (IF(J2759="",0,J2759)
    * _xlfn.XLOOKUP(B2759, Dim_Hotel!$A$2:$A$11, Dim_Hotel!$J$2:$J$11))</f>
        <v>140</v>
      </c>
    </row>
    <row r="2760" spans="1:13" x14ac:dyDescent="0.25">
      <c r="A2760" s="1">
        <f t="shared" si="344"/>
        <v>46298</v>
      </c>
      <c r="B2760" t="str" cm="1">
        <f t="array" ref="B2760">INDEX(HotelList,MOD(ROW()-2,10)+1)</f>
        <v>H009</v>
      </c>
      <c r="C2760">
        <f>_xlfn.XLOOKUP(B2760,Dim_Hotel!$A$2:$A$11,Dim_Hotel!$F$2:$F$11)</f>
        <v>114</v>
      </c>
      <c r="D2760">
        <f t="shared" si="345"/>
        <v>63</v>
      </c>
      <c r="E2760">
        <f t="shared" si="346"/>
        <v>0.55263157894736847</v>
      </c>
      <c r="F2760">
        <f t="shared" si="347"/>
        <v>185</v>
      </c>
      <c r="G2760">
        <f t="shared" si="348"/>
        <v>102.23684210526316</v>
      </c>
      <c r="H2760" t="str">
        <f>_xlfn.XLOOKUP(A2760,Fact_Events!$D$2:$D$20,Fact_Events!$A$2:$A$20, "")</f>
        <v/>
      </c>
      <c r="I2760">
        <f t="shared" si="349"/>
        <v>0</v>
      </c>
      <c r="J2760" t="str">
        <f>_xlfn.XLOOKUP(H2760, Fact_Events!$A$2:$A$20, Fact_Events!$F$2:$F$20, "")</f>
        <v/>
      </c>
      <c r="K2760" t="str">
        <f t="shared" si="350"/>
        <v>Low</v>
      </c>
      <c r="L2760">
        <f t="shared" si="351"/>
        <v>0.55000000000000004</v>
      </c>
      <c r="M2760">
        <f>_xlfn.XLOOKUP(B2760, Dim_Hotel!$A$2:$A$11, Dim_Hotel!$I$2:$I$11)
 + (IF(J2760="",0,J2760)
    * _xlfn.XLOOKUP(B2760, Dim_Hotel!$A$2:$A$11, Dim_Hotel!$J$2:$J$11))</f>
        <v>185</v>
      </c>
    </row>
    <row r="2761" spans="1:13" x14ac:dyDescent="0.25">
      <c r="A2761" s="1">
        <f t="shared" si="344"/>
        <v>46298</v>
      </c>
      <c r="B2761" t="str" cm="1">
        <f t="array" ref="B2761">INDEX(HotelList,MOD(ROW()-2,10)+1)</f>
        <v>H010</v>
      </c>
      <c r="C2761">
        <f>_xlfn.XLOOKUP(B2761,Dim_Hotel!$A$2:$A$11,Dim_Hotel!$F$2:$F$11)</f>
        <v>89</v>
      </c>
      <c r="D2761">
        <f t="shared" si="345"/>
        <v>49</v>
      </c>
      <c r="E2761">
        <f t="shared" si="346"/>
        <v>0.550561797752809</v>
      </c>
      <c r="F2761">
        <f t="shared" si="347"/>
        <v>150</v>
      </c>
      <c r="G2761">
        <f t="shared" si="348"/>
        <v>82.584269662921344</v>
      </c>
      <c r="H2761" t="str">
        <f>_xlfn.XLOOKUP(A2761,Fact_Events!$D$2:$D$20,Fact_Events!$A$2:$A$20, "")</f>
        <v/>
      </c>
      <c r="I2761">
        <f t="shared" si="349"/>
        <v>0</v>
      </c>
      <c r="J2761" t="str">
        <f>_xlfn.XLOOKUP(H2761, Fact_Events!$A$2:$A$20, Fact_Events!$F$2:$F$20, "")</f>
        <v/>
      </c>
      <c r="K2761" t="str">
        <f t="shared" si="350"/>
        <v>Low</v>
      </c>
      <c r="L2761">
        <f t="shared" si="351"/>
        <v>0.55000000000000004</v>
      </c>
      <c r="M2761">
        <f>_xlfn.XLOOKUP(B2761, Dim_Hotel!$A$2:$A$11, Dim_Hotel!$I$2:$I$11)
 + (IF(J2761="",0,J2761)
    * _xlfn.XLOOKUP(B2761, Dim_Hotel!$A$2:$A$11, Dim_Hotel!$J$2:$J$11))</f>
        <v>150</v>
      </c>
    </row>
    <row r="2762" spans="1:13" x14ac:dyDescent="0.25">
      <c r="A2762" s="1">
        <f t="shared" si="344"/>
        <v>46299</v>
      </c>
      <c r="B2762" t="str" cm="1">
        <f t="array" ref="B2762">INDEX(HotelList,MOD(ROW()-2,10)+1)</f>
        <v>H001</v>
      </c>
      <c r="C2762">
        <f>_xlfn.XLOOKUP(B2762,Dim_Hotel!$A$2:$A$11,Dim_Hotel!$F$2:$F$11)</f>
        <v>888</v>
      </c>
      <c r="D2762">
        <f t="shared" si="345"/>
        <v>488</v>
      </c>
      <c r="E2762">
        <f t="shared" si="346"/>
        <v>0.5495495495495496</v>
      </c>
      <c r="F2762">
        <f t="shared" si="347"/>
        <v>260</v>
      </c>
      <c r="G2762">
        <f t="shared" si="348"/>
        <v>142.88288288288288</v>
      </c>
      <c r="H2762" t="str">
        <f>_xlfn.XLOOKUP(A2762,Fact_Events!$D$2:$D$20,Fact_Events!$A$2:$A$20, "")</f>
        <v/>
      </c>
      <c r="I2762">
        <f t="shared" si="349"/>
        <v>0</v>
      </c>
      <c r="J2762" t="str">
        <f>_xlfn.XLOOKUP(H2762, Fact_Events!$A$2:$A$20, Fact_Events!$F$2:$F$20, "")</f>
        <v/>
      </c>
      <c r="K2762" t="str">
        <f t="shared" si="350"/>
        <v>Low</v>
      </c>
      <c r="L2762">
        <f t="shared" si="351"/>
        <v>0.55000000000000004</v>
      </c>
      <c r="M2762">
        <f>_xlfn.XLOOKUP(B2762, Dim_Hotel!$A$2:$A$11, Dim_Hotel!$I$2:$I$11)
 + (IF(J2762="",0,J2762)
    * _xlfn.XLOOKUP(B2762, Dim_Hotel!$A$2:$A$11, Dim_Hotel!$J$2:$J$11))</f>
        <v>260</v>
      </c>
    </row>
    <row r="2763" spans="1:13" x14ac:dyDescent="0.25">
      <c r="A2763" s="1">
        <f t="shared" si="344"/>
        <v>46299</v>
      </c>
      <c r="B2763" t="str" cm="1">
        <f t="array" ref="B2763">INDEX(HotelList,MOD(ROW()-2,10)+1)</f>
        <v>H002</v>
      </c>
      <c r="C2763">
        <f>_xlfn.XLOOKUP(B2763,Dim_Hotel!$A$2:$A$11,Dim_Hotel!$F$2:$F$11)</f>
        <v>147</v>
      </c>
      <c r="D2763">
        <f t="shared" si="345"/>
        <v>81</v>
      </c>
      <c r="E2763">
        <f t="shared" si="346"/>
        <v>0.55102040816326525</v>
      </c>
      <c r="F2763">
        <f t="shared" si="347"/>
        <v>175</v>
      </c>
      <c r="G2763">
        <f t="shared" si="348"/>
        <v>96.428571428571416</v>
      </c>
      <c r="H2763" t="str">
        <f>_xlfn.XLOOKUP(A2763,Fact_Events!$D$2:$D$20,Fact_Events!$A$2:$A$20, "")</f>
        <v/>
      </c>
      <c r="I2763">
        <f t="shared" si="349"/>
        <v>0</v>
      </c>
      <c r="J2763" t="str">
        <f>_xlfn.XLOOKUP(H2763, Fact_Events!$A$2:$A$20, Fact_Events!$F$2:$F$20, "")</f>
        <v/>
      </c>
      <c r="K2763" t="str">
        <f t="shared" si="350"/>
        <v>Low</v>
      </c>
      <c r="L2763">
        <f t="shared" si="351"/>
        <v>0.55000000000000004</v>
      </c>
      <c r="M2763">
        <f>_xlfn.XLOOKUP(B2763, Dim_Hotel!$A$2:$A$11, Dim_Hotel!$I$2:$I$11)
 + (IF(J2763="",0,J2763)
    * _xlfn.XLOOKUP(B2763, Dim_Hotel!$A$2:$A$11, Dim_Hotel!$J$2:$J$11))</f>
        <v>175</v>
      </c>
    </row>
    <row r="2764" spans="1:13" x14ac:dyDescent="0.25">
      <c r="A2764" s="1">
        <f t="shared" si="344"/>
        <v>46299</v>
      </c>
      <c r="B2764" t="str" cm="1">
        <f t="array" ref="B2764">INDEX(HotelList,MOD(ROW()-2,10)+1)</f>
        <v>H003</v>
      </c>
      <c r="C2764">
        <f>_xlfn.XLOOKUP(B2764,Dim_Hotel!$A$2:$A$11,Dim_Hotel!$F$2:$F$11)</f>
        <v>121</v>
      </c>
      <c r="D2764">
        <f t="shared" si="345"/>
        <v>67</v>
      </c>
      <c r="E2764">
        <f t="shared" si="346"/>
        <v>0.55371900826446285</v>
      </c>
      <c r="F2764">
        <f t="shared" si="347"/>
        <v>145</v>
      </c>
      <c r="G2764">
        <f t="shared" si="348"/>
        <v>80.289256198347118</v>
      </c>
      <c r="H2764" t="str">
        <f>_xlfn.XLOOKUP(A2764,Fact_Events!$D$2:$D$20,Fact_Events!$A$2:$A$20, "")</f>
        <v/>
      </c>
      <c r="I2764">
        <f t="shared" si="349"/>
        <v>0</v>
      </c>
      <c r="J2764" t="str">
        <f>_xlfn.XLOOKUP(H2764, Fact_Events!$A$2:$A$20, Fact_Events!$F$2:$F$20, "")</f>
        <v/>
      </c>
      <c r="K2764" t="str">
        <f t="shared" si="350"/>
        <v>Low</v>
      </c>
      <c r="L2764">
        <f t="shared" si="351"/>
        <v>0.55000000000000004</v>
      </c>
      <c r="M2764">
        <f>_xlfn.XLOOKUP(B2764, Dim_Hotel!$A$2:$A$11, Dim_Hotel!$I$2:$I$11)
 + (IF(J2764="",0,J2764)
    * _xlfn.XLOOKUP(B2764, Dim_Hotel!$A$2:$A$11, Dim_Hotel!$J$2:$J$11))</f>
        <v>145</v>
      </c>
    </row>
    <row r="2765" spans="1:13" x14ac:dyDescent="0.25">
      <c r="A2765" s="1">
        <f t="shared" si="344"/>
        <v>46299</v>
      </c>
      <c r="B2765" t="str" cm="1">
        <f t="array" ref="B2765">INDEX(HotelList,MOD(ROW()-2,10)+1)</f>
        <v>H004</v>
      </c>
      <c r="C2765">
        <f>_xlfn.XLOOKUP(B2765,Dim_Hotel!$A$2:$A$11,Dim_Hotel!$F$2:$F$11)</f>
        <v>108</v>
      </c>
      <c r="D2765">
        <f t="shared" si="345"/>
        <v>59</v>
      </c>
      <c r="E2765">
        <f t="shared" si="346"/>
        <v>0.54629629629629628</v>
      </c>
      <c r="F2765">
        <f t="shared" si="347"/>
        <v>135</v>
      </c>
      <c r="G2765">
        <f t="shared" si="348"/>
        <v>73.75</v>
      </c>
      <c r="H2765" t="str">
        <f>_xlfn.XLOOKUP(A2765,Fact_Events!$D$2:$D$20,Fact_Events!$A$2:$A$20, "")</f>
        <v/>
      </c>
      <c r="I2765">
        <f t="shared" si="349"/>
        <v>0</v>
      </c>
      <c r="J2765" t="str">
        <f>_xlfn.XLOOKUP(H2765, Fact_Events!$A$2:$A$20, Fact_Events!$F$2:$F$20, "")</f>
        <v/>
      </c>
      <c r="K2765" t="str">
        <f t="shared" si="350"/>
        <v>Low</v>
      </c>
      <c r="L2765">
        <f t="shared" si="351"/>
        <v>0.55000000000000004</v>
      </c>
      <c r="M2765">
        <f>_xlfn.XLOOKUP(B2765, Dim_Hotel!$A$2:$A$11, Dim_Hotel!$I$2:$I$11)
 + (IF(J2765="",0,J2765)
    * _xlfn.XLOOKUP(B2765, Dim_Hotel!$A$2:$A$11, Dim_Hotel!$J$2:$J$11))</f>
        <v>135</v>
      </c>
    </row>
    <row r="2766" spans="1:13" x14ac:dyDescent="0.25">
      <c r="A2766" s="1">
        <f t="shared" si="344"/>
        <v>46299</v>
      </c>
      <c r="B2766" t="str" cm="1">
        <f t="array" ref="B2766">INDEX(HotelList,MOD(ROW()-2,10)+1)</f>
        <v>H005</v>
      </c>
      <c r="C2766">
        <f>_xlfn.XLOOKUP(B2766,Dim_Hotel!$A$2:$A$11,Dim_Hotel!$F$2:$F$11)</f>
        <v>66</v>
      </c>
      <c r="D2766">
        <f t="shared" si="345"/>
        <v>36</v>
      </c>
      <c r="E2766">
        <f t="shared" si="346"/>
        <v>0.54545454545454541</v>
      </c>
      <c r="F2766">
        <f t="shared" si="347"/>
        <v>82</v>
      </c>
      <c r="G2766">
        <f t="shared" si="348"/>
        <v>44.727272727272727</v>
      </c>
      <c r="H2766" t="str">
        <f>_xlfn.XLOOKUP(A2766,Fact_Events!$D$2:$D$20,Fact_Events!$A$2:$A$20, "")</f>
        <v/>
      </c>
      <c r="I2766">
        <f t="shared" si="349"/>
        <v>0</v>
      </c>
      <c r="J2766" t="str">
        <f>_xlfn.XLOOKUP(H2766, Fact_Events!$A$2:$A$20, Fact_Events!$F$2:$F$20, "")</f>
        <v/>
      </c>
      <c r="K2766" t="str">
        <f t="shared" si="350"/>
        <v>Low</v>
      </c>
      <c r="L2766">
        <f t="shared" si="351"/>
        <v>0.55000000000000004</v>
      </c>
      <c r="M2766">
        <f>_xlfn.XLOOKUP(B2766, Dim_Hotel!$A$2:$A$11, Dim_Hotel!$I$2:$I$11)
 + (IF(J2766="",0,J2766)
    * _xlfn.XLOOKUP(B2766, Dim_Hotel!$A$2:$A$11, Dim_Hotel!$J$2:$J$11))</f>
        <v>82</v>
      </c>
    </row>
    <row r="2767" spans="1:13" x14ac:dyDescent="0.25">
      <c r="A2767" s="1">
        <f t="shared" si="344"/>
        <v>46299</v>
      </c>
      <c r="B2767" t="str" cm="1">
        <f t="array" ref="B2767">INDEX(HotelList,MOD(ROW()-2,10)+1)</f>
        <v>H006</v>
      </c>
      <c r="C2767">
        <f>_xlfn.XLOOKUP(B2767,Dim_Hotel!$A$2:$A$11,Dim_Hotel!$F$2:$F$11)</f>
        <v>311</v>
      </c>
      <c r="D2767">
        <f t="shared" si="345"/>
        <v>171</v>
      </c>
      <c r="E2767">
        <f t="shared" si="346"/>
        <v>0.54983922829581988</v>
      </c>
      <c r="F2767">
        <f t="shared" si="347"/>
        <v>190</v>
      </c>
      <c r="G2767">
        <f t="shared" si="348"/>
        <v>104.46945337620578</v>
      </c>
      <c r="H2767" t="str">
        <f>_xlfn.XLOOKUP(A2767,Fact_Events!$D$2:$D$20,Fact_Events!$A$2:$A$20, "")</f>
        <v/>
      </c>
      <c r="I2767">
        <f t="shared" si="349"/>
        <v>0</v>
      </c>
      <c r="J2767" t="str">
        <f>_xlfn.XLOOKUP(H2767, Fact_Events!$A$2:$A$20, Fact_Events!$F$2:$F$20, "")</f>
        <v/>
      </c>
      <c r="K2767" t="str">
        <f t="shared" si="350"/>
        <v>Low</v>
      </c>
      <c r="L2767">
        <f t="shared" si="351"/>
        <v>0.55000000000000004</v>
      </c>
      <c r="M2767">
        <f>_xlfn.XLOOKUP(B2767, Dim_Hotel!$A$2:$A$11, Dim_Hotel!$I$2:$I$11)
 + (IF(J2767="",0,J2767)
    * _xlfn.XLOOKUP(B2767, Dim_Hotel!$A$2:$A$11, Dim_Hotel!$J$2:$J$11))</f>
        <v>190</v>
      </c>
    </row>
    <row r="2768" spans="1:13" x14ac:dyDescent="0.25">
      <c r="A2768" s="1">
        <f t="shared" si="344"/>
        <v>46299</v>
      </c>
      <c r="B2768" t="str" cm="1">
        <f t="array" ref="B2768">INDEX(HotelList,MOD(ROW()-2,10)+1)</f>
        <v>H007</v>
      </c>
      <c r="C2768">
        <f>_xlfn.XLOOKUP(B2768,Dim_Hotel!$A$2:$A$11,Dim_Hotel!$F$2:$F$11)</f>
        <v>132</v>
      </c>
      <c r="D2768">
        <f t="shared" si="345"/>
        <v>73</v>
      </c>
      <c r="E2768">
        <f t="shared" si="346"/>
        <v>0.55303030303030298</v>
      </c>
      <c r="F2768">
        <f t="shared" si="347"/>
        <v>165</v>
      </c>
      <c r="G2768">
        <f t="shared" si="348"/>
        <v>91.249999999999986</v>
      </c>
      <c r="H2768" t="str">
        <f>_xlfn.XLOOKUP(A2768,Fact_Events!$D$2:$D$20,Fact_Events!$A$2:$A$20, "")</f>
        <v/>
      </c>
      <c r="I2768">
        <f t="shared" si="349"/>
        <v>0</v>
      </c>
      <c r="J2768" t="str">
        <f>_xlfn.XLOOKUP(H2768, Fact_Events!$A$2:$A$20, Fact_Events!$F$2:$F$20, "")</f>
        <v/>
      </c>
      <c r="K2768" t="str">
        <f t="shared" si="350"/>
        <v>Low</v>
      </c>
      <c r="L2768">
        <f t="shared" si="351"/>
        <v>0.55000000000000004</v>
      </c>
      <c r="M2768">
        <f>_xlfn.XLOOKUP(B2768, Dim_Hotel!$A$2:$A$11, Dim_Hotel!$I$2:$I$11)
 + (IF(J2768="",0,J2768)
    * _xlfn.XLOOKUP(B2768, Dim_Hotel!$A$2:$A$11, Dim_Hotel!$J$2:$J$11))</f>
        <v>165</v>
      </c>
    </row>
    <row r="2769" spans="1:13" x14ac:dyDescent="0.25">
      <c r="A2769" s="1">
        <f t="shared" si="344"/>
        <v>46299</v>
      </c>
      <c r="B2769" t="str" cm="1">
        <f t="array" ref="B2769">INDEX(HotelList,MOD(ROW()-2,10)+1)</f>
        <v>H008</v>
      </c>
      <c r="C2769">
        <f>_xlfn.XLOOKUP(B2769,Dim_Hotel!$A$2:$A$11,Dim_Hotel!$F$2:$F$11)</f>
        <v>103</v>
      </c>
      <c r="D2769">
        <f t="shared" si="345"/>
        <v>57</v>
      </c>
      <c r="E2769">
        <f t="shared" si="346"/>
        <v>0.55339805825242716</v>
      </c>
      <c r="F2769">
        <f t="shared" si="347"/>
        <v>140</v>
      </c>
      <c r="G2769">
        <f t="shared" si="348"/>
        <v>77.475728155339809</v>
      </c>
      <c r="H2769" t="str">
        <f>_xlfn.XLOOKUP(A2769,Fact_Events!$D$2:$D$20,Fact_Events!$A$2:$A$20, "")</f>
        <v/>
      </c>
      <c r="I2769">
        <f t="shared" si="349"/>
        <v>0</v>
      </c>
      <c r="J2769" t="str">
        <f>_xlfn.XLOOKUP(H2769, Fact_Events!$A$2:$A$20, Fact_Events!$F$2:$F$20, "")</f>
        <v/>
      </c>
      <c r="K2769" t="str">
        <f t="shared" si="350"/>
        <v>Low</v>
      </c>
      <c r="L2769">
        <f t="shared" si="351"/>
        <v>0.55000000000000004</v>
      </c>
      <c r="M2769">
        <f>_xlfn.XLOOKUP(B2769, Dim_Hotel!$A$2:$A$11, Dim_Hotel!$I$2:$I$11)
 + (IF(J2769="",0,J2769)
    * _xlfn.XLOOKUP(B2769, Dim_Hotel!$A$2:$A$11, Dim_Hotel!$J$2:$J$11))</f>
        <v>140</v>
      </c>
    </row>
    <row r="2770" spans="1:13" x14ac:dyDescent="0.25">
      <c r="A2770" s="1">
        <f t="shared" si="344"/>
        <v>46299</v>
      </c>
      <c r="B2770" t="str" cm="1">
        <f t="array" ref="B2770">INDEX(HotelList,MOD(ROW()-2,10)+1)</f>
        <v>H009</v>
      </c>
      <c r="C2770">
        <f>_xlfn.XLOOKUP(B2770,Dim_Hotel!$A$2:$A$11,Dim_Hotel!$F$2:$F$11)</f>
        <v>114</v>
      </c>
      <c r="D2770">
        <f t="shared" si="345"/>
        <v>63</v>
      </c>
      <c r="E2770">
        <f t="shared" si="346"/>
        <v>0.55263157894736847</v>
      </c>
      <c r="F2770">
        <f t="shared" si="347"/>
        <v>185</v>
      </c>
      <c r="G2770">
        <f t="shared" si="348"/>
        <v>102.23684210526316</v>
      </c>
      <c r="H2770" t="str">
        <f>_xlfn.XLOOKUP(A2770,Fact_Events!$D$2:$D$20,Fact_Events!$A$2:$A$20, "")</f>
        <v/>
      </c>
      <c r="I2770">
        <f t="shared" si="349"/>
        <v>0</v>
      </c>
      <c r="J2770" t="str">
        <f>_xlfn.XLOOKUP(H2770, Fact_Events!$A$2:$A$20, Fact_Events!$F$2:$F$20, "")</f>
        <v/>
      </c>
      <c r="K2770" t="str">
        <f t="shared" si="350"/>
        <v>Low</v>
      </c>
      <c r="L2770">
        <f t="shared" si="351"/>
        <v>0.55000000000000004</v>
      </c>
      <c r="M2770">
        <f>_xlfn.XLOOKUP(B2770, Dim_Hotel!$A$2:$A$11, Dim_Hotel!$I$2:$I$11)
 + (IF(J2770="",0,J2770)
    * _xlfn.XLOOKUP(B2770, Dim_Hotel!$A$2:$A$11, Dim_Hotel!$J$2:$J$11))</f>
        <v>185</v>
      </c>
    </row>
    <row r="2771" spans="1:13" x14ac:dyDescent="0.25">
      <c r="A2771" s="1">
        <f t="shared" si="344"/>
        <v>46299</v>
      </c>
      <c r="B2771" t="str" cm="1">
        <f t="array" ref="B2771">INDEX(HotelList,MOD(ROW()-2,10)+1)</f>
        <v>H010</v>
      </c>
      <c r="C2771">
        <f>_xlfn.XLOOKUP(B2771,Dim_Hotel!$A$2:$A$11,Dim_Hotel!$F$2:$F$11)</f>
        <v>89</v>
      </c>
      <c r="D2771">
        <f t="shared" si="345"/>
        <v>49</v>
      </c>
      <c r="E2771">
        <f t="shared" si="346"/>
        <v>0.550561797752809</v>
      </c>
      <c r="F2771">
        <f t="shared" si="347"/>
        <v>150</v>
      </c>
      <c r="G2771">
        <f t="shared" si="348"/>
        <v>82.584269662921344</v>
      </c>
      <c r="H2771" t="str">
        <f>_xlfn.XLOOKUP(A2771,Fact_Events!$D$2:$D$20,Fact_Events!$A$2:$A$20, "")</f>
        <v/>
      </c>
      <c r="I2771">
        <f t="shared" si="349"/>
        <v>0</v>
      </c>
      <c r="J2771" t="str">
        <f>_xlfn.XLOOKUP(H2771, Fact_Events!$A$2:$A$20, Fact_Events!$F$2:$F$20, "")</f>
        <v/>
      </c>
      <c r="K2771" t="str">
        <f t="shared" si="350"/>
        <v>Low</v>
      </c>
      <c r="L2771">
        <f t="shared" si="351"/>
        <v>0.55000000000000004</v>
      </c>
      <c r="M2771">
        <f>_xlfn.XLOOKUP(B2771, Dim_Hotel!$A$2:$A$11, Dim_Hotel!$I$2:$I$11)
 + (IF(J2771="",0,J2771)
    * _xlfn.XLOOKUP(B2771, Dim_Hotel!$A$2:$A$11, Dim_Hotel!$J$2:$J$11))</f>
        <v>150</v>
      </c>
    </row>
    <row r="2772" spans="1:13" x14ac:dyDescent="0.25">
      <c r="A2772" s="1">
        <f t="shared" si="344"/>
        <v>46300</v>
      </c>
      <c r="B2772" t="str" cm="1">
        <f t="array" ref="B2772">INDEX(HotelList,MOD(ROW()-2,10)+1)</f>
        <v>H001</v>
      </c>
      <c r="C2772">
        <f>_xlfn.XLOOKUP(B2772,Dim_Hotel!$A$2:$A$11,Dim_Hotel!$F$2:$F$11)</f>
        <v>888</v>
      </c>
      <c r="D2772">
        <f t="shared" si="345"/>
        <v>488</v>
      </c>
      <c r="E2772">
        <f t="shared" si="346"/>
        <v>0.5495495495495496</v>
      </c>
      <c r="F2772">
        <f t="shared" si="347"/>
        <v>260</v>
      </c>
      <c r="G2772">
        <f t="shared" si="348"/>
        <v>142.88288288288288</v>
      </c>
      <c r="H2772" t="str">
        <f>_xlfn.XLOOKUP(A2772,Fact_Events!$D$2:$D$20,Fact_Events!$A$2:$A$20, "")</f>
        <v/>
      </c>
      <c r="I2772">
        <f t="shared" si="349"/>
        <v>0</v>
      </c>
      <c r="J2772" t="str">
        <f>_xlfn.XLOOKUP(H2772, Fact_Events!$A$2:$A$20, Fact_Events!$F$2:$F$20, "")</f>
        <v/>
      </c>
      <c r="K2772" t="str">
        <f t="shared" si="350"/>
        <v>Low</v>
      </c>
      <c r="L2772">
        <f t="shared" si="351"/>
        <v>0.55000000000000004</v>
      </c>
      <c r="M2772">
        <f>_xlfn.XLOOKUP(B2772, Dim_Hotel!$A$2:$A$11, Dim_Hotel!$I$2:$I$11)
 + (IF(J2772="",0,J2772)
    * _xlfn.XLOOKUP(B2772, Dim_Hotel!$A$2:$A$11, Dim_Hotel!$J$2:$J$11))</f>
        <v>260</v>
      </c>
    </row>
    <row r="2773" spans="1:13" x14ac:dyDescent="0.25">
      <c r="A2773" s="1">
        <f t="shared" si="344"/>
        <v>46300</v>
      </c>
      <c r="B2773" t="str" cm="1">
        <f t="array" ref="B2773">INDEX(HotelList,MOD(ROW()-2,10)+1)</f>
        <v>H002</v>
      </c>
      <c r="C2773">
        <f>_xlfn.XLOOKUP(B2773,Dim_Hotel!$A$2:$A$11,Dim_Hotel!$F$2:$F$11)</f>
        <v>147</v>
      </c>
      <c r="D2773">
        <f t="shared" si="345"/>
        <v>81</v>
      </c>
      <c r="E2773">
        <f t="shared" si="346"/>
        <v>0.55102040816326525</v>
      </c>
      <c r="F2773">
        <f t="shared" si="347"/>
        <v>175</v>
      </c>
      <c r="G2773">
        <f t="shared" si="348"/>
        <v>96.428571428571416</v>
      </c>
      <c r="H2773" t="str">
        <f>_xlfn.XLOOKUP(A2773,Fact_Events!$D$2:$D$20,Fact_Events!$A$2:$A$20, "")</f>
        <v/>
      </c>
      <c r="I2773">
        <f t="shared" si="349"/>
        <v>0</v>
      </c>
      <c r="J2773" t="str">
        <f>_xlfn.XLOOKUP(H2773, Fact_Events!$A$2:$A$20, Fact_Events!$F$2:$F$20, "")</f>
        <v/>
      </c>
      <c r="K2773" t="str">
        <f t="shared" si="350"/>
        <v>Low</v>
      </c>
      <c r="L2773">
        <f t="shared" si="351"/>
        <v>0.55000000000000004</v>
      </c>
      <c r="M2773">
        <f>_xlfn.XLOOKUP(B2773, Dim_Hotel!$A$2:$A$11, Dim_Hotel!$I$2:$I$11)
 + (IF(J2773="",0,J2773)
    * _xlfn.XLOOKUP(B2773, Dim_Hotel!$A$2:$A$11, Dim_Hotel!$J$2:$J$11))</f>
        <v>175</v>
      </c>
    </row>
    <row r="2774" spans="1:13" x14ac:dyDescent="0.25">
      <c r="A2774" s="1">
        <f t="shared" si="344"/>
        <v>46300</v>
      </c>
      <c r="B2774" t="str" cm="1">
        <f t="array" ref="B2774">INDEX(HotelList,MOD(ROW()-2,10)+1)</f>
        <v>H003</v>
      </c>
      <c r="C2774">
        <f>_xlfn.XLOOKUP(B2774,Dim_Hotel!$A$2:$A$11,Dim_Hotel!$F$2:$F$11)</f>
        <v>121</v>
      </c>
      <c r="D2774">
        <f t="shared" si="345"/>
        <v>67</v>
      </c>
      <c r="E2774">
        <f t="shared" si="346"/>
        <v>0.55371900826446285</v>
      </c>
      <c r="F2774">
        <f t="shared" si="347"/>
        <v>145</v>
      </c>
      <c r="G2774">
        <f t="shared" si="348"/>
        <v>80.289256198347118</v>
      </c>
      <c r="H2774" t="str">
        <f>_xlfn.XLOOKUP(A2774,Fact_Events!$D$2:$D$20,Fact_Events!$A$2:$A$20, "")</f>
        <v/>
      </c>
      <c r="I2774">
        <f t="shared" si="349"/>
        <v>0</v>
      </c>
      <c r="J2774" t="str">
        <f>_xlfn.XLOOKUP(H2774, Fact_Events!$A$2:$A$20, Fact_Events!$F$2:$F$20, "")</f>
        <v/>
      </c>
      <c r="K2774" t="str">
        <f t="shared" si="350"/>
        <v>Low</v>
      </c>
      <c r="L2774">
        <f t="shared" si="351"/>
        <v>0.55000000000000004</v>
      </c>
      <c r="M2774">
        <f>_xlfn.XLOOKUP(B2774, Dim_Hotel!$A$2:$A$11, Dim_Hotel!$I$2:$I$11)
 + (IF(J2774="",0,J2774)
    * _xlfn.XLOOKUP(B2774, Dim_Hotel!$A$2:$A$11, Dim_Hotel!$J$2:$J$11))</f>
        <v>145</v>
      </c>
    </row>
    <row r="2775" spans="1:13" x14ac:dyDescent="0.25">
      <c r="A2775" s="1">
        <f t="shared" si="344"/>
        <v>46300</v>
      </c>
      <c r="B2775" t="str" cm="1">
        <f t="array" ref="B2775">INDEX(HotelList,MOD(ROW()-2,10)+1)</f>
        <v>H004</v>
      </c>
      <c r="C2775">
        <f>_xlfn.XLOOKUP(B2775,Dim_Hotel!$A$2:$A$11,Dim_Hotel!$F$2:$F$11)</f>
        <v>108</v>
      </c>
      <c r="D2775">
        <f t="shared" si="345"/>
        <v>59</v>
      </c>
      <c r="E2775">
        <f t="shared" si="346"/>
        <v>0.54629629629629628</v>
      </c>
      <c r="F2775">
        <f t="shared" si="347"/>
        <v>135</v>
      </c>
      <c r="G2775">
        <f t="shared" si="348"/>
        <v>73.75</v>
      </c>
      <c r="H2775" t="str">
        <f>_xlfn.XLOOKUP(A2775,Fact_Events!$D$2:$D$20,Fact_Events!$A$2:$A$20, "")</f>
        <v/>
      </c>
      <c r="I2775">
        <f t="shared" si="349"/>
        <v>0</v>
      </c>
      <c r="J2775" t="str">
        <f>_xlfn.XLOOKUP(H2775, Fact_Events!$A$2:$A$20, Fact_Events!$F$2:$F$20, "")</f>
        <v/>
      </c>
      <c r="K2775" t="str">
        <f t="shared" si="350"/>
        <v>Low</v>
      </c>
      <c r="L2775">
        <f t="shared" si="351"/>
        <v>0.55000000000000004</v>
      </c>
      <c r="M2775">
        <f>_xlfn.XLOOKUP(B2775, Dim_Hotel!$A$2:$A$11, Dim_Hotel!$I$2:$I$11)
 + (IF(J2775="",0,J2775)
    * _xlfn.XLOOKUP(B2775, Dim_Hotel!$A$2:$A$11, Dim_Hotel!$J$2:$J$11))</f>
        <v>135</v>
      </c>
    </row>
    <row r="2776" spans="1:13" x14ac:dyDescent="0.25">
      <c r="A2776" s="1">
        <f t="shared" si="344"/>
        <v>46300</v>
      </c>
      <c r="B2776" t="str" cm="1">
        <f t="array" ref="B2776">INDEX(HotelList,MOD(ROW()-2,10)+1)</f>
        <v>H005</v>
      </c>
      <c r="C2776">
        <f>_xlfn.XLOOKUP(B2776,Dim_Hotel!$A$2:$A$11,Dim_Hotel!$F$2:$F$11)</f>
        <v>66</v>
      </c>
      <c r="D2776">
        <f t="shared" si="345"/>
        <v>36</v>
      </c>
      <c r="E2776">
        <f t="shared" si="346"/>
        <v>0.54545454545454541</v>
      </c>
      <c r="F2776">
        <f t="shared" si="347"/>
        <v>82</v>
      </c>
      <c r="G2776">
        <f t="shared" si="348"/>
        <v>44.727272727272727</v>
      </c>
      <c r="H2776" t="str">
        <f>_xlfn.XLOOKUP(A2776,Fact_Events!$D$2:$D$20,Fact_Events!$A$2:$A$20, "")</f>
        <v/>
      </c>
      <c r="I2776">
        <f t="shared" si="349"/>
        <v>0</v>
      </c>
      <c r="J2776" t="str">
        <f>_xlfn.XLOOKUP(H2776, Fact_Events!$A$2:$A$20, Fact_Events!$F$2:$F$20, "")</f>
        <v/>
      </c>
      <c r="K2776" t="str">
        <f t="shared" si="350"/>
        <v>Low</v>
      </c>
      <c r="L2776">
        <f t="shared" si="351"/>
        <v>0.55000000000000004</v>
      </c>
      <c r="M2776">
        <f>_xlfn.XLOOKUP(B2776, Dim_Hotel!$A$2:$A$11, Dim_Hotel!$I$2:$I$11)
 + (IF(J2776="",0,J2776)
    * _xlfn.XLOOKUP(B2776, Dim_Hotel!$A$2:$A$11, Dim_Hotel!$J$2:$J$11))</f>
        <v>82</v>
      </c>
    </row>
    <row r="2777" spans="1:13" x14ac:dyDescent="0.25">
      <c r="A2777" s="1">
        <f t="shared" si="344"/>
        <v>46300</v>
      </c>
      <c r="B2777" t="str" cm="1">
        <f t="array" ref="B2777">INDEX(HotelList,MOD(ROW()-2,10)+1)</f>
        <v>H006</v>
      </c>
      <c r="C2777">
        <f>_xlfn.XLOOKUP(B2777,Dim_Hotel!$A$2:$A$11,Dim_Hotel!$F$2:$F$11)</f>
        <v>311</v>
      </c>
      <c r="D2777">
        <f t="shared" si="345"/>
        <v>171</v>
      </c>
      <c r="E2777">
        <f t="shared" si="346"/>
        <v>0.54983922829581988</v>
      </c>
      <c r="F2777">
        <f t="shared" si="347"/>
        <v>190</v>
      </c>
      <c r="G2777">
        <f t="shared" si="348"/>
        <v>104.46945337620578</v>
      </c>
      <c r="H2777" t="str">
        <f>_xlfn.XLOOKUP(A2777,Fact_Events!$D$2:$D$20,Fact_Events!$A$2:$A$20, "")</f>
        <v/>
      </c>
      <c r="I2777">
        <f t="shared" si="349"/>
        <v>0</v>
      </c>
      <c r="J2777" t="str">
        <f>_xlfn.XLOOKUP(H2777, Fact_Events!$A$2:$A$20, Fact_Events!$F$2:$F$20, "")</f>
        <v/>
      </c>
      <c r="K2777" t="str">
        <f t="shared" si="350"/>
        <v>Low</v>
      </c>
      <c r="L2777">
        <f t="shared" si="351"/>
        <v>0.55000000000000004</v>
      </c>
      <c r="M2777">
        <f>_xlfn.XLOOKUP(B2777, Dim_Hotel!$A$2:$A$11, Dim_Hotel!$I$2:$I$11)
 + (IF(J2777="",0,J2777)
    * _xlfn.XLOOKUP(B2777, Dim_Hotel!$A$2:$A$11, Dim_Hotel!$J$2:$J$11))</f>
        <v>190</v>
      </c>
    </row>
    <row r="2778" spans="1:13" x14ac:dyDescent="0.25">
      <c r="A2778" s="1">
        <f t="shared" si="344"/>
        <v>46300</v>
      </c>
      <c r="B2778" t="str" cm="1">
        <f t="array" ref="B2778">INDEX(HotelList,MOD(ROW()-2,10)+1)</f>
        <v>H007</v>
      </c>
      <c r="C2778">
        <f>_xlfn.XLOOKUP(B2778,Dim_Hotel!$A$2:$A$11,Dim_Hotel!$F$2:$F$11)</f>
        <v>132</v>
      </c>
      <c r="D2778">
        <f t="shared" si="345"/>
        <v>73</v>
      </c>
      <c r="E2778">
        <f t="shared" si="346"/>
        <v>0.55303030303030298</v>
      </c>
      <c r="F2778">
        <f t="shared" si="347"/>
        <v>165</v>
      </c>
      <c r="G2778">
        <f t="shared" si="348"/>
        <v>91.249999999999986</v>
      </c>
      <c r="H2778" t="str">
        <f>_xlfn.XLOOKUP(A2778,Fact_Events!$D$2:$D$20,Fact_Events!$A$2:$A$20, "")</f>
        <v/>
      </c>
      <c r="I2778">
        <f t="shared" si="349"/>
        <v>0</v>
      </c>
      <c r="J2778" t="str">
        <f>_xlfn.XLOOKUP(H2778, Fact_Events!$A$2:$A$20, Fact_Events!$F$2:$F$20, "")</f>
        <v/>
      </c>
      <c r="K2778" t="str">
        <f t="shared" si="350"/>
        <v>Low</v>
      </c>
      <c r="L2778">
        <f t="shared" si="351"/>
        <v>0.55000000000000004</v>
      </c>
      <c r="M2778">
        <f>_xlfn.XLOOKUP(B2778, Dim_Hotel!$A$2:$A$11, Dim_Hotel!$I$2:$I$11)
 + (IF(J2778="",0,J2778)
    * _xlfn.XLOOKUP(B2778, Dim_Hotel!$A$2:$A$11, Dim_Hotel!$J$2:$J$11))</f>
        <v>165</v>
      </c>
    </row>
    <row r="2779" spans="1:13" x14ac:dyDescent="0.25">
      <c r="A2779" s="1">
        <f t="shared" si="344"/>
        <v>46300</v>
      </c>
      <c r="B2779" t="str" cm="1">
        <f t="array" ref="B2779">INDEX(HotelList,MOD(ROW()-2,10)+1)</f>
        <v>H008</v>
      </c>
      <c r="C2779">
        <f>_xlfn.XLOOKUP(B2779,Dim_Hotel!$A$2:$A$11,Dim_Hotel!$F$2:$F$11)</f>
        <v>103</v>
      </c>
      <c r="D2779">
        <f t="shared" si="345"/>
        <v>57</v>
      </c>
      <c r="E2779">
        <f t="shared" si="346"/>
        <v>0.55339805825242716</v>
      </c>
      <c r="F2779">
        <f t="shared" si="347"/>
        <v>140</v>
      </c>
      <c r="G2779">
        <f t="shared" si="348"/>
        <v>77.475728155339809</v>
      </c>
      <c r="H2779" t="str">
        <f>_xlfn.XLOOKUP(A2779,Fact_Events!$D$2:$D$20,Fact_Events!$A$2:$A$20, "")</f>
        <v/>
      </c>
      <c r="I2779">
        <f t="shared" si="349"/>
        <v>0</v>
      </c>
      <c r="J2779" t="str">
        <f>_xlfn.XLOOKUP(H2779, Fact_Events!$A$2:$A$20, Fact_Events!$F$2:$F$20, "")</f>
        <v/>
      </c>
      <c r="K2779" t="str">
        <f t="shared" si="350"/>
        <v>Low</v>
      </c>
      <c r="L2779">
        <f t="shared" si="351"/>
        <v>0.55000000000000004</v>
      </c>
      <c r="M2779">
        <f>_xlfn.XLOOKUP(B2779, Dim_Hotel!$A$2:$A$11, Dim_Hotel!$I$2:$I$11)
 + (IF(J2779="",0,J2779)
    * _xlfn.XLOOKUP(B2779, Dim_Hotel!$A$2:$A$11, Dim_Hotel!$J$2:$J$11))</f>
        <v>140</v>
      </c>
    </row>
    <row r="2780" spans="1:13" x14ac:dyDescent="0.25">
      <c r="A2780" s="1">
        <f t="shared" si="344"/>
        <v>46300</v>
      </c>
      <c r="B2780" t="str" cm="1">
        <f t="array" ref="B2780">INDEX(HotelList,MOD(ROW()-2,10)+1)</f>
        <v>H009</v>
      </c>
      <c r="C2780">
        <f>_xlfn.XLOOKUP(B2780,Dim_Hotel!$A$2:$A$11,Dim_Hotel!$F$2:$F$11)</f>
        <v>114</v>
      </c>
      <c r="D2780">
        <f t="shared" si="345"/>
        <v>63</v>
      </c>
      <c r="E2780">
        <f t="shared" si="346"/>
        <v>0.55263157894736847</v>
      </c>
      <c r="F2780">
        <f t="shared" si="347"/>
        <v>185</v>
      </c>
      <c r="G2780">
        <f t="shared" si="348"/>
        <v>102.23684210526316</v>
      </c>
      <c r="H2780" t="str">
        <f>_xlfn.XLOOKUP(A2780,Fact_Events!$D$2:$D$20,Fact_Events!$A$2:$A$20, "")</f>
        <v/>
      </c>
      <c r="I2780">
        <f t="shared" si="349"/>
        <v>0</v>
      </c>
      <c r="J2780" t="str">
        <f>_xlfn.XLOOKUP(H2780, Fact_Events!$A$2:$A$20, Fact_Events!$F$2:$F$20, "")</f>
        <v/>
      </c>
      <c r="K2780" t="str">
        <f t="shared" si="350"/>
        <v>Low</v>
      </c>
      <c r="L2780">
        <f t="shared" si="351"/>
        <v>0.55000000000000004</v>
      </c>
      <c r="M2780">
        <f>_xlfn.XLOOKUP(B2780, Dim_Hotel!$A$2:$A$11, Dim_Hotel!$I$2:$I$11)
 + (IF(J2780="",0,J2780)
    * _xlfn.XLOOKUP(B2780, Dim_Hotel!$A$2:$A$11, Dim_Hotel!$J$2:$J$11))</f>
        <v>185</v>
      </c>
    </row>
    <row r="2781" spans="1:13" x14ac:dyDescent="0.25">
      <c r="A2781" s="1">
        <f t="shared" si="344"/>
        <v>46300</v>
      </c>
      <c r="B2781" t="str" cm="1">
        <f t="array" ref="B2781">INDEX(HotelList,MOD(ROW()-2,10)+1)</f>
        <v>H010</v>
      </c>
      <c r="C2781">
        <f>_xlfn.XLOOKUP(B2781,Dim_Hotel!$A$2:$A$11,Dim_Hotel!$F$2:$F$11)</f>
        <v>89</v>
      </c>
      <c r="D2781">
        <f t="shared" si="345"/>
        <v>49</v>
      </c>
      <c r="E2781">
        <f t="shared" si="346"/>
        <v>0.550561797752809</v>
      </c>
      <c r="F2781">
        <f t="shared" si="347"/>
        <v>150</v>
      </c>
      <c r="G2781">
        <f t="shared" si="348"/>
        <v>82.584269662921344</v>
      </c>
      <c r="H2781" t="str">
        <f>_xlfn.XLOOKUP(A2781,Fact_Events!$D$2:$D$20,Fact_Events!$A$2:$A$20, "")</f>
        <v/>
      </c>
      <c r="I2781">
        <f t="shared" si="349"/>
        <v>0</v>
      </c>
      <c r="J2781" t="str">
        <f>_xlfn.XLOOKUP(H2781, Fact_Events!$A$2:$A$20, Fact_Events!$F$2:$F$20, "")</f>
        <v/>
      </c>
      <c r="K2781" t="str">
        <f t="shared" si="350"/>
        <v>Low</v>
      </c>
      <c r="L2781">
        <f t="shared" si="351"/>
        <v>0.55000000000000004</v>
      </c>
      <c r="M2781">
        <f>_xlfn.XLOOKUP(B2781, Dim_Hotel!$A$2:$A$11, Dim_Hotel!$I$2:$I$11)
 + (IF(J2781="",0,J2781)
    * _xlfn.XLOOKUP(B2781, Dim_Hotel!$A$2:$A$11, Dim_Hotel!$J$2:$J$11))</f>
        <v>150</v>
      </c>
    </row>
    <row r="2782" spans="1:13" x14ac:dyDescent="0.25">
      <c r="A2782" s="1">
        <f t="shared" si="344"/>
        <v>46301</v>
      </c>
      <c r="B2782" t="str" cm="1">
        <f t="array" ref="B2782">INDEX(HotelList,MOD(ROW()-2,10)+1)</f>
        <v>H001</v>
      </c>
      <c r="C2782">
        <f>_xlfn.XLOOKUP(B2782,Dim_Hotel!$A$2:$A$11,Dim_Hotel!$F$2:$F$11)</f>
        <v>888</v>
      </c>
      <c r="D2782">
        <f t="shared" si="345"/>
        <v>488</v>
      </c>
      <c r="E2782">
        <f t="shared" si="346"/>
        <v>0.5495495495495496</v>
      </c>
      <c r="F2782">
        <f t="shared" si="347"/>
        <v>260</v>
      </c>
      <c r="G2782">
        <f t="shared" si="348"/>
        <v>142.88288288288288</v>
      </c>
      <c r="H2782" t="str">
        <f>_xlfn.XLOOKUP(A2782,Fact_Events!$D$2:$D$20,Fact_Events!$A$2:$A$20, "")</f>
        <v/>
      </c>
      <c r="I2782">
        <f t="shared" si="349"/>
        <v>0</v>
      </c>
      <c r="J2782" t="str">
        <f>_xlfn.XLOOKUP(H2782, Fact_Events!$A$2:$A$20, Fact_Events!$F$2:$F$20, "")</f>
        <v/>
      </c>
      <c r="K2782" t="str">
        <f t="shared" si="350"/>
        <v>Low</v>
      </c>
      <c r="L2782">
        <f t="shared" si="351"/>
        <v>0.55000000000000004</v>
      </c>
      <c r="M2782">
        <f>_xlfn.XLOOKUP(B2782, Dim_Hotel!$A$2:$A$11, Dim_Hotel!$I$2:$I$11)
 + (IF(J2782="",0,J2782)
    * _xlfn.XLOOKUP(B2782, Dim_Hotel!$A$2:$A$11, Dim_Hotel!$J$2:$J$11))</f>
        <v>260</v>
      </c>
    </row>
    <row r="2783" spans="1:13" x14ac:dyDescent="0.25">
      <c r="A2783" s="1">
        <f t="shared" si="344"/>
        <v>46301</v>
      </c>
      <c r="B2783" t="str" cm="1">
        <f t="array" ref="B2783">INDEX(HotelList,MOD(ROW()-2,10)+1)</f>
        <v>H002</v>
      </c>
      <c r="C2783">
        <f>_xlfn.XLOOKUP(B2783,Dim_Hotel!$A$2:$A$11,Dim_Hotel!$F$2:$F$11)</f>
        <v>147</v>
      </c>
      <c r="D2783">
        <f t="shared" si="345"/>
        <v>81</v>
      </c>
      <c r="E2783">
        <f t="shared" si="346"/>
        <v>0.55102040816326525</v>
      </c>
      <c r="F2783">
        <f t="shared" si="347"/>
        <v>175</v>
      </c>
      <c r="G2783">
        <f t="shared" si="348"/>
        <v>96.428571428571416</v>
      </c>
      <c r="H2783" t="str">
        <f>_xlfn.XLOOKUP(A2783,Fact_Events!$D$2:$D$20,Fact_Events!$A$2:$A$20, "")</f>
        <v/>
      </c>
      <c r="I2783">
        <f t="shared" si="349"/>
        <v>0</v>
      </c>
      <c r="J2783" t="str">
        <f>_xlfn.XLOOKUP(H2783, Fact_Events!$A$2:$A$20, Fact_Events!$F$2:$F$20, "")</f>
        <v/>
      </c>
      <c r="K2783" t="str">
        <f t="shared" si="350"/>
        <v>Low</v>
      </c>
      <c r="L2783">
        <f t="shared" si="351"/>
        <v>0.55000000000000004</v>
      </c>
      <c r="M2783">
        <f>_xlfn.XLOOKUP(B2783, Dim_Hotel!$A$2:$A$11, Dim_Hotel!$I$2:$I$11)
 + (IF(J2783="",0,J2783)
    * _xlfn.XLOOKUP(B2783, Dim_Hotel!$A$2:$A$11, Dim_Hotel!$J$2:$J$11))</f>
        <v>175</v>
      </c>
    </row>
    <row r="2784" spans="1:13" x14ac:dyDescent="0.25">
      <c r="A2784" s="1">
        <f t="shared" si="344"/>
        <v>46301</v>
      </c>
      <c r="B2784" t="str" cm="1">
        <f t="array" ref="B2784">INDEX(HotelList,MOD(ROW()-2,10)+1)</f>
        <v>H003</v>
      </c>
      <c r="C2784">
        <f>_xlfn.XLOOKUP(B2784,Dim_Hotel!$A$2:$A$11,Dim_Hotel!$F$2:$F$11)</f>
        <v>121</v>
      </c>
      <c r="D2784">
        <f t="shared" si="345"/>
        <v>67</v>
      </c>
      <c r="E2784">
        <f t="shared" si="346"/>
        <v>0.55371900826446285</v>
      </c>
      <c r="F2784">
        <f t="shared" si="347"/>
        <v>145</v>
      </c>
      <c r="G2784">
        <f t="shared" si="348"/>
        <v>80.289256198347118</v>
      </c>
      <c r="H2784" t="str">
        <f>_xlfn.XLOOKUP(A2784,Fact_Events!$D$2:$D$20,Fact_Events!$A$2:$A$20, "")</f>
        <v/>
      </c>
      <c r="I2784">
        <f t="shared" si="349"/>
        <v>0</v>
      </c>
      <c r="J2784" t="str">
        <f>_xlfn.XLOOKUP(H2784, Fact_Events!$A$2:$A$20, Fact_Events!$F$2:$F$20, "")</f>
        <v/>
      </c>
      <c r="K2784" t="str">
        <f t="shared" si="350"/>
        <v>Low</v>
      </c>
      <c r="L2784">
        <f t="shared" si="351"/>
        <v>0.55000000000000004</v>
      </c>
      <c r="M2784">
        <f>_xlfn.XLOOKUP(B2784, Dim_Hotel!$A$2:$A$11, Dim_Hotel!$I$2:$I$11)
 + (IF(J2784="",0,J2784)
    * _xlfn.XLOOKUP(B2784, Dim_Hotel!$A$2:$A$11, Dim_Hotel!$J$2:$J$11))</f>
        <v>145</v>
      </c>
    </row>
    <row r="2785" spans="1:13" x14ac:dyDescent="0.25">
      <c r="A2785" s="1">
        <f t="shared" si="344"/>
        <v>46301</v>
      </c>
      <c r="B2785" t="str" cm="1">
        <f t="array" ref="B2785">INDEX(HotelList,MOD(ROW()-2,10)+1)</f>
        <v>H004</v>
      </c>
      <c r="C2785">
        <f>_xlfn.XLOOKUP(B2785,Dim_Hotel!$A$2:$A$11,Dim_Hotel!$F$2:$F$11)</f>
        <v>108</v>
      </c>
      <c r="D2785">
        <f t="shared" si="345"/>
        <v>59</v>
      </c>
      <c r="E2785">
        <f t="shared" si="346"/>
        <v>0.54629629629629628</v>
      </c>
      <c r="F2785">
        <f t="shared" si="347"/>
        <v>135</v>
      </c>
      <c r="G2785">
        <f t="shared" si="348"/>
        <v>73.75</v>
      </c>
      <c r="H2785" t="str">
        <f>_xlfn.XLOOKUP(A2785,Fact_Events!$D$2:$D$20,Fact_Events!$A$2:$A$20, "")</f>
        <v/>
      </c>
      <c r="I2785">
        <f t="shared" si="349"/>
        <v>0</v>
      </c>
      <c r="J2785" t="str">
        <f>_xlfn.XLOOKUP(H2785, Fact_Events!$A$2:$A$20, Fact_Events!$F$2:$F$20, "")</f>
        <v/>
      </c>
      <c r="K2785" t="str">
        <f t="shared" si="350"/>
        <v>Low</v>
      </c>
      <c r="L2785">
        <f t="shared" si="351"/>
        <v>0.55000000000000004</v>
      </c>
      <c r="M2785">
        <f>_xlfn.XLOOKUP(B2785, Dim_Hotel!$A$2:$A$11, Dim_Hotel!$I$2:$I$11)
 + (IF(J2785="",0,J2785)
    * _xlfn.XLOOKUP(B2785, Dim_Hotel!$A$2:$A$11, Dim_Hotel!$J$2:$J$11))</f>
        <v>135</v>
      </c>
    </row>
    <row r="2786" spans="1:13" x14ac:dyDescent="0.25">
      <c r="A2786" s="1">
        <f t="shared" si="344"/>
        <v>46301</v>
      </c>
      <c r="B2786" t="str" cm="1">
        <f t="array" ref="B2786">INDEX(HotelList,MOD(ROW()-2,10)+1)</f>
        <v>H005</v>
      </c>
      <c r="C2786">
        <f>_xlfn.XLOOKUP(B2786,Dim_Hotel!$A$2:$A$11,Dim_Hotel!$F$2:$F$11)</f>
        <v>66</v>
      </c>
      <c r="D2786">
        <f t="shared" si="345"/>
        <v>36</v>
      </c>
      <c r="E2786">
        <f t="shared" si="346"/>
        <v>0.54545454545454541</v>
      </c>
      <c r="F2786">
        <f t="shared" si="347"/>
        <v>82</v>
      </c>
      <c r="G2786">
        <f t="shared" si="348"/>
        <v>44.727272727272727</v>
      </c>
      <c r="H2786" t="str">
        <f>_xlfn.XLOOKUP(A2786,Fact_Events!$D$2:$D$20,Fact_Events!$A$2:$A$20, "")</f>
        <v/>
      </c>
      <c r="I2786">
        <f t="shared" si="349"/>
        <v>0</v>
      </c>
      <c r="J2786" t="str">
        <f>_xlfn.XLOOKUP(H2786, Fact_Events!$A$2:$A$20, Fact_Events!$F$2:$F$20, "")</f>
        <v/>
      </c>
      <c r="K2786" t="str">
        <f t="shared" si="350"/>
        <v>Low</v>
      </c>
      <c r="L2786">
        <f t="shared" si="351"/>
        <v>0.55000000000000004</v>
      </c>
      <c r="M2786">
        <f>_xlfn.XLOOKUP(B2786, Dim_Hotel!$A$2:$A$11, Dim_Hotel!$I$2:$I$11)
 + (IF(J2786="",0,J2786)
    * _xlfn.XLOOKUP(B2786, Dim_Hotel!$A$2:$A$11, Dim_Hotel!$J$2:$J$11))</f>
        <v>82</v>
      </c>
    </row>
    <row r="2787" spans="1:13" x14ac:dyDescent="0.25">
      <c r="A2787" s="1">
        <f t="shared" si="344"/>
        <v>46301</v>
      </c>
      <c r="B2787" t="str" cm="1">
        <f t="array" ref="B2787">INDEX(HotelList,MOD(ROW()-2,10)+1)</f>
        <v>H006</v>
      </c>
      <c r="C2787">
        <f>_xlfn.XLOOKUP(B2787,Dim_Hotel!$A$2:$A$11,Dim_Hotel!$F$2:$F$11)</f>
        <v>311</v>
      </c>
      <c r="D2787">
        <f t="shared" si="345"/>
        <v>171</v>
      </c>
      <c r="E2787">
        <f t="shared" si="346"/>
        <v>0.54983922829581988</v>
      </c>
      <c r="F2787">
        <f t="shared" si="347"/>
        <v>190</v>
      </c>
      <c r="G2787">
        <f t="shared" si="348"/>
        <v>104.46945337620578</v>
      </c>
      <c r="H2787" t="str">
        <f>_xlfn.XLOOKUP(A2787,Fact_Events!$D$2:$D$20,Fact_Events!$A$2:$A$20, "")</f>
        <v/>
      </c>
      <c r="I2787">
        <f t="shared" si="349"/>
        <v>0</v>
      </c>
      <c r="J2787" t="str">
        <f>_xlfn.XLOOKUP(H2787, Fact_Events!$A$2:$A$20, Fact_Events!$F$2:$F$20, "")</f>
        <v/>
      </c>
      <c r="K2787" t="str">
        <f t="shared" si="350"/>
        <v>Low</v>
      </c>
      <c r="L2787">
        <f t="shared" si="351"/>
        <v>0.55000000000000004</v>
      </c>
      <c r="M2787">
        <f>_xlfn.XLOOKUP(B2787, Dim_Hotel!$A$2:$A$11, Dim_Hotel!$I$2:$I$11)
 + (IF(J2787="",0,J2787)
    * _xlfn.XLOOKUP(B2787, Dim_Hotel!$A$2:$A$11, Dim_Hotel!$J$2:$J$11))</f>
        <v>190</v>
      </c>
    </row>
    <row r="2788" spans="1:13" x14ac:dyDescent="0.25">
      <c r="A2788" s="1">
        <f t="shared" si="344"/>
        <v>46301</v>
      </c>
      <c r="B2788" t="str" cm="1">
        <f t="array" ref="B2788">INDEX(HotelList,MOD(ROW()-2,10)+1)</f>
        <v>H007</v>
      </c>
      <c r="C2788">
        <f>_xlfn.XLOOKUP(B2788,Dim_Hotel!$A$2:$A$11,Dim_Hotel!$F$2:$F$11)</f>
        <v>132</v>
      </c>
      <c r="D2788">
        <f t="shared" si="345"/>
        <v>73</v>
      </c>
      <c r="E2788">
        <f t="shared" si="346"/>
        <v>0.55303030303030298</v>
      </c>
      <c r="F2788">
        <f t="shared" si="347"/>
        <v>165</v>
      </c>
      <c r="G2788">
        <f t="shared" si="348"/>
        <v>91.249999999999986</v>
      </c>
      <c r="H2788" t="str">
        <f>_xlfn.XLOOKUP(A2788,Fact_Events!$D$2:$D$20,Fact_Events!$A$2:$A$20, "")</f>
        <v/>
      </c>
      <c r="I2788">
        <f t="shared" si="349"/>
        <v>0</v>
      </c>
      <c r="J2788" t="str">
        <f>_xlfn.XLOOKUP(H2788, Fact_Events!$A$2:$A$20, Fact_Events!$F$2:$F$20, "")</f>
        <v/>
      </c>
      <c r="K2788" t="str">
        <f t="shared" si="350"/>
        <v>Low</v>
      </c>
      <c r="L2788">
        <f t="shared" si="351"/>
        <v>0.55000000000000004</v>
      </c>
      <c r="M2788">
        <f>_xlfn.XLOOKUP(B2788, Dim_Hotel!$A$2:$A$11, Dim_Hotel!$I$2:$I$11)
 + (IF(J2788="",0,J2788)
    * _xlfn.XLOOKUP(B2788, Dim_Hotel!$A$2:$A$11, Dim_Hotel!$J$2:$J$11))</f>
        <v>165</v>
      </c>
    </row>
    <row r="2789" spans="1:13" x14ac:dyDescent="0.25">
      <c r="A2789" s="1">
        <f t="shared" si="344"/>
        <v>46301</v>
      </c>
      <c r="B2789" t="str" cm="1">
        <f t="array" ref="B2789">INDEX(HotelList,MOD(ROW()-2,10)+1)</f>
        <v>H008</v>
      </c>
      <c r="C2789">
        <f>_xlfn.XLOOKUP(B2789,Dim_Hotel!$A$2:$A$11,Dim_Hotel!$F$2:$F$11)</f>
        <v>103</v>
      </c>
      <c r="D2789">
        <f t="shared" si="345"/>
        <v>57</v>
      </c>
      <c r="E2789">
        <f t="shared" si="346"/>
        <v>0.55339805825242716</v>
      </c>
      <c r="F2789">
        <f t="shared" si="347"/>
        <v>140</v>
      </c>
      <c r="G2789">
        <f t="shared" si="348"/>
        <v>77.475728155339809</v>
      </c>
      <c r="H2789" t="str">
        <f>_xlfn.XLOOKUP(A2789,Fact_Events!$D$2:$D$20,Fact_Events!$A$2:$A$20, "")</f>
        <v/>
      </c>
      <c r="I2789">
        <f t="shared" si="349"/>
        <v>0</v>
      </c>
      <c r="J2789" t="str">
        <f>_xlfn.XLOOKUP(H2789, Fact_Events!$A$2:$A$20, Fact_Events!$F$2:$F$20, "")</f>
        <v/>
      </c>
      <c r="K2789" t="str">
        <f t="shared" si="350"/>
        <v>Low</v>
      </c>
      <c r="L2789">
        <f t="shared" si="351"/>
        <v>0.55000000000000004</v>
      </c>
      <c r="M2789">
        <f>_xlfn.XLOOKUP(B2789, Dim_Hotel!$A$2:$A$11, Dim_Hotel!$I$2:$I$11)
 + (IF(J2789="",0,J2789)
    * _xlfn.XLOOKUP(B2789, Dim_Hotel!$A$2:$A$11, Dim_Hotel!$J$2:$J$11))</f>
        <v>140</v>
      </c>
    </row>
    <row r="2790" spans="1:13" x14ac:dyDescent="0.25">
      <c r="A2790" s="1">
        <f t="shared" si="344"/>
        <v>46301</v>
      </c>
      <c r="B2790" t="str" cm="1">
        <f t="array" ref="B2790">INDEX(HotelList,MOD(ROW()-2,10)+1)</f>
        <v>H009</v>
      </c>
      <c r="C2790">
        <f>_xlfn.XLOOKUP(B2790,Dim_Hotel!$A$2:$A$11,Dim_Hotel!$F$2:$F$11)</f>
        <v>114</v>
      </c>
      <c r="D2790">
        <f t="shared" si="345"/>
        <v>63</v>
      </c>
      <c r="E2790">
        <f t="shared" si="346"/>
        <v>0.55263157894736847</v>
      </c>
      <c r="F2790">
        <f t="shared" si="347"/>
        <v>185</v>
      </c>
      <c r="G2790">
        <f t="shared" si="348"/>
        <v>102.23684210526316</v>
      </c>
      <c r="H2790" t="str">
        <f>_xlfn.XLOOKUP(A2790,Fact_Events!$D$2:$D$20,Fact_Events!$A$2:$A$20, "")</f>
        <v/>
      </c>
      <c r="I2790">
        <f t="shared" si="349"/>
        <v>0</v>
      </c>
      <c r="J2790" t="str">
        <f>_xlfn.XLOOKUP(H2790, Fact_Events!$A$2:$A$20, Fact_Events!$F$2:$F$20, "")</f>
        <v/>
      </c>
      <c r="K2790" t="str">
        <f t="shared" si="350"/>
        <v>Low</v>
      </c>
      <c r="L2790">
        <f t="shared" si="351"/>
        <v>0.55000000000000004</v>
      </c>
      <c r="M2790">
        <f>_xlfn.XLOOKUP(B2790, Dim_Hotel!$A$2:$A$11, Dim_Hotel!$I$2:$I$11)
 + (IF(J2790="",0,J2790)
    * _xlfn.XLOOKUP(B2790, Dim_Hotel!$A$2:$A$11, Dim_Hotel!$J$2:$J$11))</f>
        <v>185</v>
      </c>
    </row>
    <row r="2791" spans="1:13" x14ac:dyDescent="0.25">
      <c r="A2791" s="1">
        <f t="shared" si="344"/>
        <v>46301</v>
      </c>
      <c r="B2791" t="str" cm="1">
        <f t="array" ref="B2791">INDEX(HotelList,MOD(ROW()-2,10)+1)</f>
        <v>H010</v>
      </c>
      <c r="C2791">
        <f>_xlfn.XLOOKUP(B2791,Dim_Hotel!$A$2:$A$11,Dim_Hotel!$F$2:$F$11)</f>
        <v>89</v>
      </c>
      <c r="D2791">
        <f t="shared" si="345"/>
        <v>49</v>
      </c>
      <c r="E2791">
        <f t="shared" si="346"/>
        <v>0.550561797752809</v>
      </c>
      <c r="F2791">
        <f t="shared" si="347"/>
        <v>150</v>
      </c>
      <c r="G2791">
        <f t="shared" si="348"/>
        <v>82.584269662921344</v>
      </c>
      <c r="H2791" t="str">
        <f>_xlfn.XLOOKUP(A2791,Fact_Events!$D$2:$D$20,Fact_Events!$A$2:$A$20, "")</f>
        <v/>
      </c>
      <c r="I2791">
        <f t="shared" si="349"/>
        <v>0</v>
      </c>
      <c r="J2791" t="str">
        <f>_xlfn.XLOOKUP(H2791, Fact_Events!$A$2:$A$20, Fact_Events!$F$2:$F$20, "")</f>
        <v/>
      </c>
      <c r="K2791" t="str">
        <f t="shared" si="350"/>
        <v>Low</v>
      </c>
      <c r="L2791">
        <f t="shared" si="351"/>
        <v>0.55000000000000004</v>
      </c>
      <c r="M2791">
        <f>_xlfn.XLOOKUP(B2791, Dim_Hotel!$A$2:$A$11, Dim_Hotel!$I$2:$I$11)
 + (IF(J2791="",0,J2791)
    * _xlfn.XLOOKUP(B2791, Dim_Hotel!$A$2:$A$11, Dim_Hotel!$J$2:$J$11))</f>
        <v>150</v>
      </c>
    </row>
    <row r="2792" spans="1:13" x14ac:dyDescent="0.25">
      <c r="A2792" s="1">
        <f t="shared" si="344"/>
        <v>46302</v>
      </c>
      <c r="B2792" t="str" cm="1">
        <f t="array" ref="B2792">INDEX(HotelList,MOD(ROW()-2,10)+1)</f>
        <v>H001</v>
      </c>
      <c r="C2792">
        <f>_xlfn.XLOOKUP(B2792,Dim_Hotel!$A$2:$A$11,Dim_Hotel!$F$2:$F$11)</f>
        <v>888</v>
      </c>
      <c r="D2792">
        <f t="shared" si="345"/>
        <v>488</v>
      </c>
      <c r="E2792">
        <f t="shared" si="346"/>
        <v>0.5495495495495496</v>
      </c>
      <c r="F2792">
        <f t="shared" si="347"/>
        <v>260</v>
      </c>
      <c r="G2792">
        <f t="shared" si="348"/>
        <v>142.88288288288288</v>
      </c>
      <c r="H2792" t="str">
        <f>_xlfn.XLOOKUP(A2792,Fact_Events!$D$2:$D$20,Fact_Events!$A$2:$A$20, "")</f>
        <v/>
      </c>
      <c r="I2792">
        <f t="shared" si="349"/>
        <v>0</v>
      </c>
      <c r="J2792" t="str">
        <f>_xlfn.XLOOKUP(H2792, Fact_Events!$A$2:$A$20, Fact_Events!$F$2:$F$20, "")</f>
        <v/>
      </c>
      <c r="K2792" t="str">
        <f t="shared" si="350"/>
        <v>Low</v>
      </c>
      <c r="L2792">
        <f t="shared" si="351"/>
        <v>0.55000000000000004</v>
      </c>
      <c r="M2792">
        <f>_xlfn.XLOOKUP(B2792, Dim_Hotel!$A$2:$A$11, Dim_Hotel!$I$2:$I$11)
 + (IF(J2792="",0,J2792)
    * _xlfn.XLOOKUP(B2792, Dim_Hotel!$A$2:$A$11, Dim_Hotel!$J$2:$J$11))</f>
        <v>260</v>
      </c>
    </row>
    <row r="2793" spans="1:13" x14ac:dyDescent="0.25">
      <c r="A2793" s="1">
        <f t="shared" si="344"/>
        <v>46302</v>
      </c>
      <c r="B2793" t="str" cm="1">
        <f t="array" ref="B2793">INDEX(HotelList,MOD(ROW()-2,10)+1)</f>
        <v>H002</v>
      </c>
      <c r="C2793">
        <f>_xlfn.XLOOKUP(B2793,Dim_Hotel!$A$2:$A$11,Dim_Hotel!$F$2:$F$11)</f>
        <v>147</v>
      </c>
      <c r="D2793">
        <f t="shared" si="345"/>
        <v>81</v>
      </c>
      <c r="E2793">
        <f t="shared" si="346"/>
        <v>0.55102040816326525</v>
      </c>
      <c r="F2793">
        <f t="shared" si="347"/>
        <v>175</v>
      </c>
      <c r="G2793">
        <f t="shared" si="348"/>
        <v>96.428571428571416</v>
      </c>
      <c r="H2793" t="str">
        <f>_xlfn.XLOOKUP(A2793,Fact_Events!$D$2:$D$20,Fact_Events!$A$2:$A$20, "")</f>
        <v/>
      </c>
      <c r="I2793">
        <f t="shared" si="349"/>
        <v>0</v>
      </c>
      <c r="J2793" t="str">
        <f>_xlfn.XLOOKUP(H2793, Fact_Events!$A$2:$A$20, Fact_Events!$F$2:$F$20, "")</f>
        <v/>
      </c>
      <c r="K2793" t="str">
        <f t="shared" si="350"/>
        <v>Low</v>
      </c>
      <c r="L2793">
        <f t="shared" si="351"/>
        <v>0.55000000000000004</v>
      </c>
      <c r="M2793">
        <f>_xlfn.XLOOKUP(B2793, Dim_Hotel!$A$2:$A$11, Dim_Hotel!$I$2:$I$11)
 + (IF(J2793="",0,J2793)
    * _xlfn.XLOOKUP(B2793, Dim_Hotel!$A$2:$A$11, Dim_Hotel!$J$2:$J$11))</f>
        <v>175</v>
      </c>
    </row>
    <row r="2794" spans="1:13" x14ac:dyDescent="0.25">
      <c r="A2794" s="1">
        <f t="shared" si="344"/>
        <v>46302</v>
      </c>
      <c r="B2794" t="str" cm="1">
        <f t="array" ref="B2794">INDEX(HotelList,MOD(ROW()-2,10)+1)</f>
        <v>H003</v>
      </c>
      <c r="C2794">
        <f>_xlfn.XLOOKUP(B2794,Dim_Hotel!$A$2:$A$11,Dim_Hotel!$F$2:$F$11)</f>
        <v>121</v>
      </c>
      <c r="D2794">
        <f t="shared" si="345"/>
        <v>67</v>
      </c>
      <c r="E2794">
        <f t="shared" si="346"/>
        <v>0.55371900826446285</v>
      </c>
      <c r="F2794">
        <f t="shared" si="347"/>
        <v>145</v>
      </c>
      <c r="G2794">
        <f t="shared" si="348"/>
        <v>80.289256198347118</v>
      </c>
      <c r="H2794" t="str">
        <f>_xlfn.XLOOKUP(A2794,Fact_Events!$D$2:$D$20,Fact_Events!$A$2:$A$20, "")</f>
        <v/>
      </c>
      <c r="I2794">
        <f t="shared" si="349"/>
        <v>0</v>
      </c>
      <c r="J2794" t="str">
        <f>_xlfn.XLOOKUP(H2794, Fact_Events!$A$2:$A$20, Fact_Events!$F$2:$F$20, "")</f>
        <v/>
      </c>
      <c r="K2794" t="str">
        <f t="shared" si="350"/>
        <v>Low</v>
      </c>
      <c r="L2794">
        <f t="shared" si="351"/>
        <v>0.55000000000000004</v>
      </c>
      <c r="M2794">
        <f>_xlfn.XLOOKUP(B2794, Dim_Hotel!$A$2:$A$11, Dim_Hotel!$I$2:$I$11)
 + (IF(J2794="",0,J2794)
    * _xlfn.XLOOKUP(B2794, Dim_Hotel!$A$2:$A$11, Dim_Hotel!$J$2:$J$11))</f>
        <v>145</v>
      </c>
    </row>
    <row r="2795" spans="1:13" x14ac:dyDescent="0.25">
      <c r="A2795" s="1">
        <f t="shared" si="344"/>
        <v>46302</v>
      </c>
      <c r="B2795" t="str" cm="1">
        <f t="array" ref="B2795">INDEX(HotelList,MOD(ROW()-2,10)+1)</f>
        <v>H004</v>
      </c>
      <c r="C2795">
        <f>_xlfn.XLOOKUP(B2795,Dim_Hotel!$A$2:$A$11,Dim_Hotel!$F$2:$F$11)</f>
        <v>108</v>
      </c>
      <c r="D2795">
        <f t="shared" si="345"/>
        <v>59</v>
      </c>
      <c r="E2795">
        <f t="shared" si="346"/>
        <v>0.54629629629629628</v>
      </c>
      <c r="F2795">
        <f t="shared" si="347"/>
        <v>135</v>
      </c>
      <c r="G2795">
        <f t="shared" si="348"/>
        <v>73.75</v>
      </c>
      <c r="H2795" t="str">
        <f>_xlfn.XLOOKUP(A2795,Fact_Events!$D$2:$D$20,Fact_Events!$A$2:$A$20, "")</f>
        <v/>
      </c>
      <c r="I2795">
        <f t="shared" si="349"/>
        <v>0</v>
      </c>
      <c r="J2795" t="str">
        <f>_xlfn.XLOOKUP(H2795, Fact_Events!$A$2:$A$20, Fact_Events!$F$2:$F$20, "")</f>
        <v/>
      </c>
      <c r="K2795" t="str">
        <f t="shared" si="350"/>
        <v>Low</v>
      </c>
      <c r="L2795">
        <f t="shared" si="351"/>
        <v>0.55000000000000004</v>
      </c>
      <c r="M2795">
        <f>_xlfn.XLOOKUP(B2795, Dim_Hotel!$A$2:$A$11, Dim_Hotel!$I$2:$I$11)
 + (IF(J2795="",0,J2795)
    * _xlfn.XLOOKUP(B2795, Dim_Hotel!$A$2:$A$11, Dim_Hotel!$J$2:$J$11))</f>
        <v>135</v>
      </c>
    </row>
    <row r="2796" spans="1:13" x14ac:dyDescent="0.25">
      <c r="A2796" s="1">
        <f t="shared" si="344"/>
        <v>46302</v>
      </c>
      <c r="B2796" t="str" cm="1">
        <f t="array" ref="B2796">INDEX(HotelList,MOD(ROW()-2,10)+1)</f>
        <v>H005</v>
      </c>
      <c r="C2796">
        <f>_xlfn.XLOOKUP(B2796,Dim_Hotel!$A$2:$A$11,Dim_Hotel!$F$2:$F$11)</f>
        <v>66</v>
      </c>
      <c r="D2796">
        <f t="shared" si="345"/>
        <v>36</v>
      </c>
      <c r="E2796">
        <f t="shared" si="346"/>
        <v>0.54545454545454541</v>
      </c>
      <c r="F2796">
        <f t="shared" si="347"/>
        <v>82</v>
      </c>
      <c r="G2796">
        <f t="shared" si="348"/>
        <v>44.727272727272727</v>
      </c>
      <c r="H2796" t="str">
        <f>_xlfn.XLOOKUP(A2796,Fact_Events!$D$2:$D$20,Fact_Events!$A$2:$A$20, "")</f>
        <v/>
      </c>
      <c r="I2796">
        <f t="shared" si="349"/>
        <v>0</v>
      </c>
      <c r="J2796" t="str">
        <f>_xlfn.XLOOKUP(H2796, Fact_Events!$A$2:$A$20, Fact_Events!$F$2:$F$20, "")</f>
        <v/>
      </c>
      <c r="K2796" t="str">
        <f t="shared" si="350"/>
        <v>Low</v>
      </c>
      <c r="L2796">
        <f t="shared" si="351"/>
        <v>0.55000000000000004</v>
      </c>
      <c r="M2796">
        <f>_xlfn.XLOOKUP(B2796, Dim_Hotel!$A$2:$A$11, Dim_Hotel!$I$2:$I$11)
 + (IF(J2796="",0,J2796)
    * _xlfn.XLOOKUP(B2796, Dim_Hotel!$A$2:$A$11, Dim_Hotel!$J$2:$J$11))</f>
        <v>82</v>
      </c>
    </row>
    <row r="2797" spans="1:13" x14ac:dyDescent="0.25">
      <c r="A2797" s="1">
        <f t="shared" si="344"/>
        <v>46302</v>
      </c>
      <c r="B2797" t="str" cm="1">
        <f t="array" ref="B2797">INDEX(HotelList,MOD(ROW()-2,10)+1)</f>
        <v>H006</v>
      </c>
      <c r="C2797">
        <f>_xlfn.XLOOKUP(B2797,Dim_Hotel!$A$2:$A$11,Dim_Hotel!$F$2:$F$11)</f>
        <v>311</v>
      </c>
      <c r="D2797">
        <f t="shared" si="345"/>
        <v>171</v>
      </c>
      <c r="E2797">
        <f t="shared" si="346"/>
        <v>0.54983922829581988</v>
      </c>
      <c r="F2797">
        <f t="shared" si="347"/>
        <v>190</v>
      </c>
      <c r="G2797">
        <f t="shared" si="348"/>
        <v>104.46945337620578</v>
      </c>
      <c r="H2797" t="str">
        <f>_xlfn.XLOOKUP(A2797,Fact_Events!$D$2:$D$20,Fact_Events!$A$2:$A$20, "")</f>
        <v/>
      </c>
      <c r="I2797">
        <f t="shared" si="349"/>
        <v>0</v>
      </c>
      <c r="J2797" t="str">
        <f>_xlfn.XLOOKUP(H2797, Fact_Events!$A$2:$A$20, Fact_Events!$F$2:$F$20, "")</f>
        <v/>
      </c>
      <c r="K2797" t="str">
        <f t="shared" si="350"/>
        <v>Low</v>
      </c>
      <c r="L2797">
        <f t="shared" si="351"/>
        <v>0.55000000000000004</v>
      </c>
      <c r="M2797">
        <f>_xlfn.XLOOKUP(B2797, Dim_Hotel!$A$2:$A$11, Dim_Hotel!$I$2:$I$11)
 + (IF(J2797="",0,J2797)
    * _xlfn.XLOOKUP(B2797, Dim_Hotel!$A$2:$A$11, Dim_Hotel!$J$2:$J$11))</f>
        <v>190</v>
      </c>
    </row>
    <row r="2798" spans="1:13" x14ac:dyDescent="0.25">
      <c r="A2798" s="1">
        <f t="shared" si="344"/>
        <v>46302</v>
      </c>
      <c r="B2798" t="str" cm="1">
        <f t="array" ref="B2798">INDEX(HotelList,MOD(ROW()-2,10)+1)</f>
        <v>H007</v>
      </c>
      <c r="C2798">
        <f>_xlfn.XLOOKUP(B2798,Dim_Hotel!$A$2:$A$11,Dim_Hotel!$F$2:$F$11)</f>
        <v>132</v>
      </c>
      <c r="D2798">
        <f t="shared" si="345"/>
        <v>73</v>
      </c>
      <c r="E2798">
        <f t="shared" si="346"/>
        <v>0.55303030303030298</v>
      </c>
      <c r="F2798">
        <f t="shared" si="347"/>
        <v>165</v>
      </c>
      <c r="G2798">
        <f t="shared" si="348"/>
        <v>91.249999999999986</v>
      </c>
      <c r="H2798" t="str">
        <f>_xlfn.XLOOKUP(A2798,Fact_Events!$D$2:$D$20,Fact_Events!$A$2:$A$20, "")</f>
        <v/>
      </c>
      <c r="I2798">
        <f t="shared" si="349"/>
        <v>0</v>
      </c>
      <c r="J2798" t="str">
        <f>_xlfn.XLOOKUP(H2798, Fact_Events!$A$2:$A$20, Fact_Events!$F$2:$F$20, "")</f>
        <v/>
      </c>
      <c r="K2798" t="str">
        <f t="shared" si="350"/>
        <v>Low</v>
      </c>
      <c r="L2798">
        <f t="shared" si="351"/>
        <v>0.55000000000000004</v>
      </c>
      <c r="M2798">
        <f>_xlfn.XLOOKUP(B2798, Dim_Hotel!$A$2:$A$11, Dim_Hotel!$I$2:$I$11)
 + (IF(J2798="",0,J2798)
    * _xlfn.XLOOKUP(B2798, Dim_Hotel!$A$2:$A$11, Dim_Hotel!$J$2:$J$11))</f>
        <v>165</v>
      </c>
    </row>
    <row r="2799" spans="1:13" x14ac:dyDescent="0.25">
      <c r="A2799" s="1">
        <f t="shared" si="344"/>
        <v>46302</v>
      </c>
      <c r="B2799" t="str" cm="1">
        <f t="array" ref="B2799">INDEX(HotelList,MOD(ROW()-2,10)+1)</f>
        <v>H008</v>
      </c>
      <c r="C2799">
        <f>_xlfn.XLOOKUP(B2799,Dim_Hotel!$A$2:$A$11,Dim_Hotel!$F$2:$F$11)</f>
        <v>103</v>
      </c>
      <c r="D2799">
        <f t="shared" si="345"/>
        <v>57</v>
      </c>
      <c r="E2799">
        <f t="shared" si="346"/>
        <v>0.55339805825242716</v>
      </c>
      <c r="F2799">
        <f t="shared" si="347"/>
        <v>140</v>
      </c>
      <c r="G2799">
        <f t="shared" si="348"/>
        <v>77.475728155339809</v>
      </c>
      <c r="H2799" t="str">
        <f>_xlfn.XLOOKUP(A2799,Fact_Events!$D$2:$D$20,Fact_Events!$A$2:$A$20, "")</f>
        <v/>
      </c>
      <c r="I2799">
        <f t="shared" si="349"/>
        <v>0</v>
      </c>
      <c r="J2799" t="str">
        <f>_xlfn.XLOOKUP(H2799, Fact_Events!$A$2:$A$20, Fact_Events!$F$2:$F$20, "")</f>
        <v/>
      </c>
      <c r="K2799" t="str">
        <f t="shared" si="350"/>
        <v>Low</v>
      </c>
      <c r="L2799">
        <f t="shared" si="351"/>
        <v>0.55000000000000004</v>
      </c>
      <c r="M2799">
        <f>_xlfn.XLOOKUP(B2799, Dim_Hotel!$A$2:$A$11, Dim_Hotel!$I$2:$I$11)
 + (IF(J2799="",0,J2799)
    * _xlfn.XLOOKUP(B2799, Dim_Hotel!$A$2:$A$11, Dim_Hotel!$J$2:$J$11))</f>
        <v>140</v>
      </c>
    </row>
    <row r="2800" spans="1:13" x14ac:dyDescent="0.25">
      <c r="A2800" s="1">
        <f t="shared" si="344"/>
        <v>46302</v>
      </c>
      <c r="B2800" t="str" cm="1">
        <f t="array" ref="B2800">INDEX(HotelList,MOD(ROW()-2,10)+1)</f>
        <v>H009</v>
      </c>
      <c r="C2800">
        <f>_xlfn.XLOOKUP(B2800,Dim_Hotel!$A$2:$A$11,Dim_Hotel!$F$2:$F$11)</f>
        <v>114</v>
      </c>
      <c r="D2800">
        <f t="shared" si="345"/>
        <v>63</v>
      </c>
      <c r="E2800">
        <f t="shared" si="346"/>
        <v>0.55263157894736847</v>
      </c>
      <c r="F2800">
        <f t="shared" si="347"/>
        <v>185</v>
      </c>
      <c r="G2800">
        <f t="shared" si="348"/>
        <v>102.23684210526316</v>
      </c>
      <c r="H2800" t="str">
        <f>_xlfn.XLOOKUP(A2800,Fact_Events!$D$2:$D$20,Fact_Events!$A$2:$A$20, "")</f>
        <v/>
      </c>
      <c r="I2800">
        <f t="shared" si="349"/>
        <v>0</v>
      </c>
      <c r="J2800" t="str">
        <f>_xlfn.XLOOKUP(H2800, Fact_Events!$A$2:$A$20, Fact_Events!$F$2:$F$20, "")</f>
        <v/>
      </c>
      <c r="K2800" t="str">
        <f t="shared" si="350"/>
        <v>Low</v>
      </c>
      <c r="L2800">
        <f t="shared" si="351"/>
        <v>0.55000000000000004</v>
      </c>
      <c r="M2800">
        <f>_xlfn.XLOOKUP(B2800, Dim_Hotel!$A$2:$A$11, Dim_Hotel!$I$2:$I$11)
 + (IF(J2800="",0,J2800)
    * _xlfn.XLOOKUP(B2800, Dim_Hotel!$A$2:$A$11, Dim_Hotel!$J$2:$J$11))</f>
        <v>185</v>
      </c>
    </row>
    <row r="2801" spans="1:13" x14ac:dyDescent="0.25">
      <c r="A2801" s="1">
        <f t="shared" si="344"/>
        <v>46302</v>
      </c>
      <c r="B2801" t="str" cm="1">
        <f t="array" ref="B2801">INDEX(HotelList,MOD(ROW()-2,10)+1)</f>
        <v>H010</v>
      </c>
      <c r="C2801">
        <f>_xlfn.XLOOKUP(B2801,Dim_Hotel!$A$2:$A$11,Dim_Hotel!$F$2:$F$11)</f>
        <v>89</v>
      </c>
      <c r="D2801">
        <f t="shared" si="345"/>
        <v>49</v>
      </c>
      <c r="E2801">
        <f t="shared" si="346"/>
        <v>0.550561797752809</v>
      </c>
      <c r="F2801">
        <f t="shared" si="347"/>
        <v>150</v>
      </c>
      <c r="G2801">
        <f t="shared" si="348"/>
        <v>82.584269662921344</v>
      </c>
      <c r="H2801" t="str">
        <f>_xlfn.XLOOKUP(A2801,Fact_Events!$D$2:$D$20,Fact_Events!$A$2:$A$20, "")</f>
        <v/>
      </c>
      <c r="I2801">
        <f t="shared" si="349"/>
        <v>0</v>
      </c>
      <c r="J2801" t="str">
        <f>_xlfn.XLOOKUP(H2801, Fact_Events!$A$2:$A$20, Fact_Events!$F$2:$F$20, "")</f>
        <v/>
      </c>
      <c r="K2801" t="str">
        <f t="shared" si="350"/>
        <v>Low</v>
      </c>
      <c r="L2801">
        <f t="shared" si="351"/>
        <v>0.55000000000000004</v>
      </c>
      <c r="M2801">
        <f>_xlfn.XLOOKUP(B2801, Dim_Hotel!$A$2:$A$11, Dim_Hotel!$I$2:$I$11)
 + (IF(J2801="",0,J2801)
    * _xlfn.XLOOKUP(B2801, Dim_Hotel!$A$2:$A$11, Dim_Hotel!$J$2:$J$11))</f>
        <v>150</v>
      </c>
    </row>
    <row r="2802" spans="1:13" x14ac:dyDescent="0.25">
      <c r="A2802" s="1">
        <f t="shared" si="344"/>
        <v>46303</v>
      </c>
      <c r="B2802" t="str" cm="1">
        <f t="array" ref="B2802">INDEX(HotelList,MOD(ROW()-2,10)+1)</f>
        <v>H001</v>
      </c>
      <c r="C2802">
        <f>_xlfn.XLOOKUP(B2802,Dim_Hotel!$A$2:$A$11,Dim_Hotel!$F$2:$F$11)</f>
        <v>888</v>
      </c>
      <c r="D2802">
        <f t="shared" si="345"/>
        <v>488</v>
      </c>
      <c r="E2802">
        <f t="shared" si="346"/>
        <v>0.5495495495495496</v>
      </c>
      <c r="F2802">
        <f t="shared" si="347"/>
        <v>260</v>
      </c>
      <c r="G2802">
        <f t="shared" si="348"/>
        <v>142.88288288288288</v>
      </c>
      <c r="H2802" t="str">
        <f>_xlfn.XLOOKUP(A2802,Fact_Events!$D$2:$D$20,Fact_Events!$A$2:$A$20, "")</f>
        <v/>
      </c>
      <c r="I2802">
        <f t="shared" si="349"/>
        <v>0</v>
      </c>
      <c r="J2802" t="str">
        <f>_xlfn.XLOOKUP(H2802, Fact_Events!$A$2:$A$20, Fact_Events!$F$2:$F$20, "")</f>
        <v/>
      </c>
      <c r="K2802" t="str">
        <f t="shared" si="350"/>
        <v>Low</v>
      </c>
      <c r="L2802">
        <f t="shared" si="351"/>
        <v>0.55000000000000004</v>
      </c>
      <c r="M2802">
        <f>_xlfn.XLOOKUP(B2802, Dim_Hotel!$A$2:$A$11, Dim_Hotel!$I$2:$I$11)
 + (IF(J2802="",0,J2802)
    * _xlfn.XLOOKUP(B2802, Dim_Hotel!$A$2:$A$11, Dim_Hotel!$J$2:$J$11))</f>
        <v>260</v>
      </c>
    </row>
    <row r="2803" spans="1:13" x14ac:dyDescent="0.25">
      <c r="A2803" s="1">
        <f t="shared" si="344"/>
        <v>46303</v>
      </c>
      <c r="B2803" t="str" cm="1">
        <f t="array" ref="B2803">INDEX(HotelList,MOD(ROW()-2,10)+1)</f>
        <v>H002</v>
      </c>
      <c r="C2803">
        <f>_xlfn.XLOOKUP(B2803,Dim_Hotel!$A$2:$A$11,Dim_Hotel!$F$2:$F$11)</f>
        <v>147</v>
      </c>
      <c r="D2803">
        <f t="shared" si="345"/>
        <v>81</v>
      </c>
      <c r="E2803">
        <f t="shared" si="346"/>
        <v>0.55102040816326525</v>
      </c>
      <c r="F2803">
        <f t="shared" si="347"/>
        <v>175</v>
      </c>
      <c r="G2803">
        <f t="shared" si="348"/>
        <v>96.428571428571416</v>
      </c>
      <c r="H2803" t="str">
        <f>_xlfn.XLOOKUP(A2803,Fact_Events!$D$2:$D$20,Fact_Events!$A$2:$A$20, "")</f>
        <v/>
      </c>
      <c r="I2803">
        <f t="shared" si="349"/>
        <v>0</v>
      </c>
      <c r="J2803" t="str">
        <f>_xlfn.XLOOKUP(H2803, Fact_Events!$A$2:$A$20, Fact_Events!$F$2:$F$20, "")</f>
        <v/>
      </c>
      <c r="K2803" t="str">
        <f t="shared" si="350"/>
        <v>Low</v>
      </c>
      <c r="L2803">
        <f t="shared" si="351"/>
        <v>0.55000000000000004</v>
      </c>
      <c r="M2803">
        <f>_xlfn.XLOOKUP(B2803, Dim_Hotel!$A$2:$A$11, Dim_Hotel!$I$2:$I$11)
 + (IF(J2803="",0,J2803)
    * _xlfn.XLOOKUP(B2803, Dim_Hotel!$A$2:$A$11, Dim_Hotel!$J$2:$J$11))</f>
        <v>175</v>
      </c>
    </row>
    <row r="2804" spans="1:13" x14ac:dyDescent="0.25">
      <c r="A2804" s="1">
        <f t="shared" si="344"/>
        <v>46303</v>
      </c>
      <c r="B2804" t="str" cm="1">
        <f t="array" ref="B2804">INDEX(HotelList,MOD(ROW()-2,10)+1)</f>
        <v>H003</v>
      </c>
      <c r="C2804">
        <f>_xlfn.XLOOKUP(B2804,Dim_Hotel!$A$2:$A$11,Dim_Hotel!$F$2:$F$11)</f>
        <v>121</v>
      </c>
      <c r="D2804">
        <f t="shared" si="345"/>
        <v>67</v>
      </c>
      <c r="E2804">
        <f t="shared" si="346"/>
        <v>0.55371900826446285</v>
      </c>
      <c r="F2804">
        <f t="shared" si="347"/>
        <v>145</v>
      </c>
      <c r="G2804">
        <f t="shared" si="348"/>
        <v>80.289256198347118</v>
      </c>
      <c r="H2804" t="str">
        <f>_xlfn.XLOOKUP(A2804,Fact_Events!$D$2:$D$20,Fact_Events!$A$2:$A$20, "")</f>
        <v/>
      </c>
      <c r="I2804">
        <f t="shared" si="349"/>
        <v>0</v>
      </c>
      <c r="J2804" t="str">
        <f>_xlfn.XLOOKUP(H2804, Fact_Events!$A$2:$A$20, Fact_Events!$F$2:$F$20, "")</f>
        <v/>
      </c>
      <c r="K2804" t="str">
        <f t="shared" si="350"/>
        <v>Low</v>
      </c>
      <c r="L2804">
        <f t="shared" si="351"/>
        <v>0.55000000000000004</v>
      </c>
      <c r="M2804">
        <f>_xlfn.XLOOKUP(B2804, Dim_Hotel!$A$2:$A$11, Dim_Hotel!$I$2:$I$11)
 + (IF(J2804="",0,J2804)
    * _xlfn.XLOOKUP(B2804, Dim_Hotel!$A$2:$A$11, Dim_Hotel!$J$2:$J$11))</f>
        <v>145</v>
      </c>
    </row>
    <row r="2805" spans="1:13" x14ac:dyDescent="0.25">
      <c r="A2805" s="1">
        <f t="shared" si="344"/>
        <v>46303</v>
      </c>
      <c r="B2805" t="str" cm="1">
        <f t="array" ref="B2805">INDEX(HotelList,MOD(ROW()-2,10)+1)</f>
        <v>H004</v>
      </c>
      <c r="C2805">
        <f>_xlfn.XLOOKUP(B2805,Dim_Hotel!$A$2:$A$11,Dim_Hotel!$F$2:$F$11)</f>
        <v>108</v>
      </c>
      <c r="D2805">
        <f t="shared" si="345"/>
        <v>59</v>
      </c>
      <c r="E2805">
        <f t="shared" si="346"/>
        <v>0.54629629629629628</v>
      </c>
      <c r="F2805">
        <f t="shared" si="347"/>
        <v>135</v>
      </c>
      <c r="G2805">
        <f t="shared" si="348"/>
        <v>73.75</v>
      </c>
      <c r="H2805" t="str">
        <f>_xlfn.XLOOKUP(A2805,Fact_Events!$D$2:$D$20,Fact_Events!$A$2:$A$20, "")</f>
        <v/>
      </c>
      <c r="I2805">
        <f t="shared" si="349"/>
        <v>0</v>
      </c>
      <c r="J2805" t="str">
        <f>_xlfn.XLOOKUP(H2805, Fact_Events!$A$2:$A$20, Fact_Events!$F$2:$F$20, "")</f>
        <v/>
      </c>
      <c r="K2805" t="str">
        <f t="shared" si="350"/>
        <v>Low</v>
      </c>
      <c r="L2805">
        <f t="shared" si="351"/>
        <v>0.55000000000000004</v>
      </c>
      <c r="M2805">
        <f>_xlfn.XLOOKUP(B2805, Dim_Hotel!$A$2:$A$11, Dim_Hotel!$I$2:$I$11)
 + (IF(J2805="",0,J2805)
    * _xlfn.XLOOKUP(B2805, Dim_Hotel!$A$2:$A$11, Dim_Hotel!$J$2:$J$11))</f>
        <v>135</v>
      </c>
    </row>
    <row r="2806" spans="1:13" x14ac:dyDescent="0.25">
      <c r="A2806" s="1">
        <f t="shared" si="344"/>
        <v>46303</v>
      </c>
      <c r="B2806" t="str" cm="1">
        <f t="array" ref="B2806">INDEX(HotelList,MOD(ROW()-2,10)+1)</f>
        <v>H005</v>
      </c>
      <c r="C2806">
        <f>_xlfn.XLOOKUP(B2806,Dim_Hotel!$A$2:$A$11,Dim_Hotel!$F$2:$F$11)</f>
        <v>66</v>
      </c>
      <c r="D2806">
        <f t="shared" si="345"/>
        <v>36</v>
      </c>
      <c r="E2806">
        <f t="shared" si="346"/>
        <v>0.54545454545454541</v>
      </c>
      <c r="F2806">
        <f t="shared" si="347"/>
        <v>82</v>
      </c>
      <c r="G2806">
        <f t="shared" si="348"/>
        <v>44.727272727272727</v>
      </c>
      <c r="H2806" t="str">
        <f>_xlfn.XLOOKUP(A2806,Fact_Events!$D$2:$D$20,Fact_Events!$A$2:$A$20, "")</f>
        <v/>
      </c>
      <c r="I2806">
        <f t="shared" si="349"/>
        <v>0</v>
      </c>
      <c r="J2806" t="str">
        <f>_xlfn.XLOOKUP(H2806, Fact_Events!$A$2:$A$20, Fact_Events!$F$2:$F$20, "")</f>
        <v/>
      </c>
      <c r="K2806" t="str">
        <f t="shared" si="350"/>
        <v>Low</v>
      </c>
      <c r="L2806">
        <f t="shared" si="351"/>
        <v>0.55000000000000004</v>
      </c>
      <c r="M2806">
        <f>_xlfn.XLOOKUP(B2806, Dim_Hotel!$A$2:$A$11, Dim_Hotel!$I$2:$I$11)
 + (IF(J2806="",0,J2806)
    * _xlfn.XLOOKUP(B2806, Dim_Hotel!$A$2:$A$11, Dim_Hotel!$J$2:$J$11))</f>
        <v>82</v>
      </c>
    </row>
    <row r="2807" spans="1:13" x14ac:dyDescent="0.25">
      <c r="A2807" s="1">
        <f t="shared" si="344"/>
        <v>46303</v>
      </c>
      <c r="B2807" t="str" cm="1">
        <f t="array" ref="B2807">INDEX(HotelList,MOD(ROW()-2,10)+1)</f>
        <v>H006</v>
      </c>
      <c r="C2807">
        <f>_xlfn.XLOOKUP(B2807,Dim_Hotel!$A$2:$A$11,Dim_Hotel!$F$2:$F$11)</f>
        <v>311</v>
      </c>
      <c r="D2807">
        <f t="shared" si="345"/>
        <v>171</v>
      </c>
      <c r="E2807">
        <f t="shared" si="346"/>
        <v>0.54983922829581988</v>
      </c>
      <c r="F2807">
        <f t="shared" si="347"/>
        <v>190</v>
      </c>
      <c r="G2807">
        <f t="shared" si="348"/>
        <v>104.46945337620578</v>
      </c>
      <c r="H2807" t="str">
        <f>_xlfn.XLOOKUP(A2807,Fact_Events!$D$2:$D$20,Fact_Events!$A$2:$A$20, "")</f>
        <v/>
      </c>
      <c r="I2807">
        <f t="shared" si="349"/>
        <v>0</v>
      </c>
      <c r="J2807" t="str">
        <f>_xlfn.XLOOKUP(H2807, Fact_Events!$A$2:$A$20, Fact_Events!$F$2:$F$20, "")</f>
        <v/>
      </c>
      <c r="K2807" t="str">
        <f t="shared" si="350"/>
        <v>Low</v>
      </c>
      <c r="L2807">
        <f t="shared" si="351"/>
        <v>0.55000000000000004</v>
      </c>
      <c r="M2807">
        <f>_xlfn.XLOOKUP(B2807, Dim_Hotel!$A$2:$A$11, Dim_Hotel!$I$2:$I$11)
 + (IF(J2807="",0,J2807)
    * _xlfn.XLOOKUP(B2807, Dim_Hotel!$A$2:$A$11, Dim_Hotel!$J$2:$J$11))</f>
        <v>190</v>
      </c>
    </row>
    <row r="2808" spans="1:13" x14ac:dyDescent="0.25">
      <c r="A2808" s="1">
        <f t="shared" si="344"/>
        <v>46303</v>
      </c>
      <c r="B2808" t="str" cm="1">
        <f t="array" ref="B2808">INDEX(HotelList,MOD(ROW()-2,10)+1)</f>
        <v>H007</v>
      </c>
      <c r="C2808">
        <f>_xlfn.XLOOKUP(B2808,Dim_Hotel!$A$2:$A$11,Dim_Hotel!$F$2:$F$11)</f>
        <v>132</v>
      </c>
      <c r="D2808">
        <f t="shared" si="345"/>
        <v>73</v>
      </c>
      <c r="E2808">
        <f t="shared" si="346"/>
        <v>0.55303030303030298</v>
      </c>
      <c r="F2808">
        <f t="shared" si="347"/>
        <v>165</v>
      </c>
      <c r="G2808">
        <f t="shared" si="348"/>
        <v>91.249999999999986</v>
      </c>
      <c r="H2808" t="str">
        <f>_xlfn.XLOOKUP(A2808,Fact_Events!$D$2:$D$20,Fact_Events!$A$2:$A$20, "")</f>
        <v/>
      </c>
      <c r="I2808">
        <f t="shared" si="349"/>
        <v>0</v>
      </c>
      <c r="J2808" t="str">
        <f>_xlfn.XLOOKUP(H2808, Fact_Events!$A$2:$A$20, Fact_Events!$F$2:$F$20, "")</f>
        <v/>
      </c>
      <c r="K2808" t="str">
        <f t="shared" si="350"/>
        <v>Low</v>
      </c>
      <c r="L2808">
        <f t="shared" si="351"/>
        <v>0.55000000000000004</v>
      </c>
      <c r="M2808">
        <f>_xlfn.XLOOKUP(B2808, Dim_Hotel!$A$2:$A$11, Dim_Hotel!$I$2:$I$11)
 + (IF(J2808="",0,J2808)
    * _xlfn.XLOOKUP(B2808, Dim_Hotel!$A$2:$A$11, Dim_Hotel!$J$2:$J$11))</f>
        <v>165</v>
      </c>
    </row>
    <row r="2809" spans="1:13" x14ac:dyDescent="0.25">
      <c r="A2809" s="1">
        <f t="shared" si="344"/>
        <v>46303</v>
      </c>
      <c r="B2809" t="str" cm="1">
        <f t="array" ref="B2809">INDEX(HotelList,MOD(ROW()-2,10)+1)</f>
        <v>H008</v>
      </c>
      <c r="C2809">
        <f>_xlfn.XLOOKUP(B2809,Dim_Hotel!$A$2:$A$11,Dim_Hotel!$F$2:$F$11)</f>
        <v>103</v>
      </c>
      <c r="D2809">
        <f t="shared" si="345"/>
        <v>57</v>
      </c>
      <c r="E2809">
        <f t="shared" si="346"/>
        <v>0.55339805825242716</v>
      </c>
      <c r="F2809">
        <f t="shared" si="347"/>
        <v>140</v>
      </c>
      <c r="G2809">
        <f t="shared" si="348"/>
        <v>77.475728155339809</v>
      </c>
      <c r="H2809" t="str">
        <f>_xlfn.XLOOKUP(A2809,Fact_Events!$D$2:$D$20,Fact_Events!$A$2:$A$20, "")</f>
        <v/>
      </c>
      <c r="I2809">
        <f t="shared" si="349"/>
        <v>0</v>
      </c>
      <c r="J2809" t="str">
        <f>_xlfn.XLOOKUP(H2809, Fact_Events!$A$2:$A$20, Fact_Events!$F$2:$F$20, "")</f>
        <v/>
      </c>
      <c r="K2809" t="str">
        <f t="shared" si="350"/>
        <v>Low</v>
      </c>
      <c r="L2809">
        <f t="shared" si="351"/>
        <v>0.55000000000000004</v>
      </c>
      <c r="M2809">
        <f>_xlfn.XLOOKUP(B2809, Dim_Hotel!$A$2:$A$11, Dim_Hotel!$I$2:$I$11)
 + (IF(J2809="",0,J2809)
    * _xlfn.XLOOKUP(B2809, Dim_Hotel!$A$2:$A$11, Dim_Hotel!$J$2:$J$11))</f>
        <v>140</v>
      </c>
    </row>
    <row r="2810" spans="1:13" x14ac:dyDescent="0.25">
      <c r="A2810" s="1">
        <f t="shared" si="344"/>
        <v>46303</v>
      </c>
      <c r="B2810" t="str" cm="1">
        <f t="array" ref="B2810">INDEX(HotelList,MOD(ROW()-2,10)+1)</f>
        <v>H009</v>
      </c>
      <c r="C2810">
        <f>_xlfn.XLOOKUP(B2810,Dim_Hotel!$A$2:$A$11,Dim_Hotel!$F$2:$F$11)</f>
        <v>114</v>
      </c>
      <c r="D2810">
        <f t="shared" si="345"/>
        <v>63</v>
      </c>
      <c r="E2810">
        <f t="shared" si="346"/>
        <v>0.55263157894736847</v>
      </c>
      <c r="F2810">
        <f t="shared" si="347"/>
        <v>185</v>
      </c>
      <c r="G2810">
        <f t="shared" si="348"/>
        <v>102.23684210526316</v>
      </c>
      <c r="H2810" t="str">
        <f>_xlfn.XLOOKUP(A2810,Fact_Events!$D$2:$D$20,Fact_Events!$A$2:$A$20, "")</f>
        <v/>
      </c>
      <c r="I2810">
        <f t="shared" si="349"/>
        <v>0</v>
      </c>
      <c r="J2810" t="str">
        <f>_xlfn.XLOOKUP(H2810, Fact_Events!$A$2:$A$20, Fact_Events!$F$2:$F$20, "")</f>
        <v/>
      </c>
      <c r="K2810" t="str">
        <f t="shared" si="350"/>
        <v>Low</v>
      </c>
      <c r="L2810">
        <f t="shared" si="351"/>
        <v>0.55000000000000004</v>
      </c>
      <c r="M2810">
        <f>_xlfn.XLOOKUP(B2810, Dim_Hotel!$A$2:$A$11, Dim_Hotel!$I$2:$I$11)
 + (IF(J2810="",0,J2810)
    * _xlfn.XLOOKUP(B2810, Dim_Hotel!$A$2:$A$11, Dim_Hotel!$J$2:$J$11))</f>
        <v>185</v>
      </c>
    </row>
    <row r="2811" spans="1:13" x14ac:dyDescent="0.25">
      <c r="A2811" s="1">
        <f t="shared" si="344"/>
        <v>46303</v>
      </c>
      <c r="B2811" t="str" cm="1">
        <f t="array" ref="B2811">INDEX(HotelList,MOD(ROW()-2,10)+1)</f>
        <v>H010</v>
      </c>
      <c r="C2811">
        <f>_xlfn.XLOOKUP(B2811,Dim_Hotel!$A$2:$A$11,Dim_Hotel!$F$2:$F$11)</f>
        <v>89</v>
      </c>
      <c r="D2811">
        <f t="shared" si="345"/>
        <v>49</v>
      </c>
      <c r="E2811">
        <f t="shared" si="346"/>
        <v>0.550561797752809</v>
      </c>
      <c r="F2811">
        <f t="shared" si="347"/>
        <v>150</v>
      </c>
      <c r="G2811">
        <f t="shared" si="348"/>
        <v>82.584269662921344</v>
      </c>
      <c r="H2811" t="str">
        <f>_xlfn.XLOOKUP(A2811,Fact_Events!$D$2:$D$20,Fact_Events!$A$2:$A$20, "")</f>
        <v/>
      </c>
      <c r="I2811">
        <f t="shared" si="349"/>
        <v>0</v>
      </c>
      <c r="J2811" t="str">
        <f>_xlfn.XLOOKUP(H2811, Fact_Events!$A$2:$A$20, Fact_Events!$F$2:$F$20, "")</f>
        <v/>
      </c>
      <c r="K2811" t="str">
        <f t="shared" si="350"/>
        <v>Low</v>
      </c>
      <c r="L2811">
        <f t="shared" si="351"/>
        <v>0.55000000000000004</v>
      </c>
      <c r="M2811">
        <f>_xlfn.XLOOKUP(B2811, Dim_Hotel!$A$2:$A$11, Dim_Hotel!$I$2:$I$11)
 + (IF(J2811="",0,J2811)
    * _xlfn.XLOOKUP(B2811, Dim_Hotel!$A$2:$A$11, Dim_Hotel!$J$2:$J$11))</f>
        <v>150</v>
      </c>
    </row>
    <row r="2812" spans="1:13" x14ac:dyDescent="0.25">
      <c r="A2812" s="1">
        <f t="shared" si="344"/>
        <v>46304</v>
      </c>
      <c r="B2812" t="str" cm="1">
        <f t="array" ref="B2812">INDEX(HotelList,MOD(ROW()-2,10)+1)</f>
        <v>H001</v>
      </c>
      <c r="C2812">
        <f>_xlfn.XLOOKUP(B2812,Dim_Hotel!$A$2:$A$11,Dim_Hotel!$F$2:$F$11)</f>
        <v>888</v>
      </c>
      <c r="D2812">
        <f t="shared" si="345"/>
        <v>488</v>
      </c>
      <c r="E2812">
        <f t="shared" si="346"/>
        <v>0.5495495495495496</v>
      </c>
      <c r="F2812">
        <f t="shared" si="347"/>
        <v>260</v>
      </c>
      <c r="G2812">
        <f t="shared" si="348"/>
        <v>142.88288288288288</v>
      </c>
      <c r="H2812" t="str">
        <f>_xlfn.XLOOKUP(A2812,Fact_Events!$D$2:$D$20,Fact_Events!$A$2:$A$20, "")</f>
        <v/>
      </c>
      <c r="I2812">
        <f t="shared" si="349"/>
        <v>0</v>
      </c>
      <c r="J2812" t="str">
        <f>_xlfn.XLOOKUP(H2812, Fact_Events!$A$2:$A$20, Fact_Events!$F$2:$F$20, "")</f>
        <v/>
      </c>
      <c r="K2812" t="str">
        <f t="shared" si="350"/>
        <v>Low</v>
      </c>
      <c r="L2812">
        <f t="shared" si="351"/>
        <v>0.55000000000000004</v>
      </c>
      <c r="M2812">
        <f>_xlfn.XLOOKUP(B2812, Dim_Hotel!$A$2:$A$11, Dim_Hotel!$I$2:$I$11)
 + (IF(J2812="",0,J2812)
    * _xlfn.XLOOKUP(B2812, Dim_Hotel!$A$2:$A$11, Dim_Hotel!$J$2:$J$11))</f>
        <v>260</v>
      </c>
    </row>
    <row r="2813" spans="1:13" x14ac:dyDescent="0.25">
      <c r="A2813" s="1">
        <f t="shared" si="344"/>
        <v>46304</v>
      </c>
      <c r="B2813" t="str" cm="1">
        <f t="array" ref="B2813">INDEX(HotelList,MOD(ROW()-2,10)+1)</f>
        <v>H002</v>
      </c>
      <c r="C2813">
        <f>_xlfn.XLOOKUP(B2813,Dim_Hotel!$A$2:$A$11,Dim_Hotel!$F$2:$F$11)</f>
        <v>147</v>
      </c>
      <c r="D2813">
        <f t="shared" si="345"/>
        <v>81</v>
      </c>
      <c r="E2813">
        <f t="shared" si="346"/>
        <v>0.55102040816326525</v>
      </c>
      <c r="F2813">
        <f t="shared" si="347"/>
        <v>175</v>
      </c>
      <c r="G2813">
        <f t="shared" si="348"/>
        <v>96.428571428571416</v>
      </c>
      <c r="H2813" t="str">
        <f>_xlfn.XLOOKUP(A2813,Fact_Events!$D$2:$D$20,Fact_Events!$A$2:$A$20, "")</f>
        <v/>
      </c>
      <c r="I2813">
        <f t="shared" si="349"/>
        <v>0</v>
      </c>
      <c r="J2813" t="str">
        <f>_xlfn.XLOOKUP(H2813, Fact_Events!$A$2:$A$20, Fact_Events!$F$2:$F$20, "")</f>
        <v/>
      </c>
      <c r="K2813" t="str">
        <f t="shared" si="350"/>
        <v>Low</v>
      </c>
      <c r="L2813">
        <f t="shared" si="351"/>
        <v>0.55000000000000004</v>
      </c>
      <c r="M2813">
        <f>_xlfn.XLOOKUP(B2813, Dim_Hotel!$A$2:$A$11, Dim_Hotel!$I$2:$I$11)
 + (IF(J2813="",0,J2813)
    * _xlfn.XLOOKUP(B2813, Dim_Hotel!$A$2:$A$11, Dim_Hotel!$J$2:$J$11))</f>
        <v>175</v>
      </c>
    </row>
    <row r="2814" spans="1:13" x14ac:dyDescent="0.25">
      <c r="A2814" s="1">
        <f t="shared" si="344"/>
        <v>46304</v>
      </c>
      <c r="B2814" t="str" cm="1">
        <f t="array" ref="B2814">INDEX(HotelList,MOD(ROW()-2,10)+1)</f>
        <v>H003</v>
      </c>
      <c r="C2814">
        <f>_xlfn.XLOOKUP(B2814,Dim_Hotel!$A$2:$A$11,Dim_Hotel!$F$2:$F$11)</f>
        <v>121</v>
      </c>
      <c r="D2814">
        <f t="shared" si="345"/>
        <v>67</v>
      </c>
      <c r="E2814">
        <f t="shared" si="346"/>
        <v>0.55371900826446285</v>
      </c>
      <c r="F2814">
        <f t="shared" si="347"/>
        <v>145</v>
      </c>
      <c r="G2814">
        <f t="shared" si="348"/>
        <v>80.289256198347118</v>
      </c>
      <c r="H2814" t="str">
        <f>_xlfn.XLOOKUP(A2814,Fact_Events!$D$2:$D$20,Fact_Events!$A$2:$A$20, "")</f>
        <v/>
      </c>
      <c r="I2814">
        <f t="shared" si="349"/>
        <v>0</v>
      </c>
      <c r="J2814" t="str">
        <f>_xlfn.XLOOKUP(H2814, Fact_Events!$A$2:$A$20, Fact_Events!$F$2:$F$20, "")</f>
        <v/>
      </c>
      <c r="K2814" t="str">
        <f t="shared" si="350"/>
        <v>Low</v>
      </c>
      <c r="L2814">
        <f t="shared" si="351"/>
        <v>0.55000000000000004</v>
      </c>
      <c r="M2814">
        <f>_xlfn.XLOOKUP(B2814, Dim_Hotel!$A$2:$A$11, Dim_Hotel!$I$2:$I$11)
 + (IF(J2814="",0,J2814)
    * _xlfn.XLOOKUP(B2814, Dim_Hotel!$A$2:$A$11, Dim_Hotel!$J$2:$J$11))</f>
        <v>145</v>
      </c>
    </row>
    <row r="2815" spans="1:13" x14ac:dyDescent="0.25">
      <c r="A2815" s="1">
        <f t="shared" si="344"/>
        <v>46304</v>
      </c>
      <c r="B2815" t="str" cm="1">
        <f t="array" ref="B2815">INDEX(HotelList,MOD(ROW()-2,10)+1)</f>
        <v>H004</v>
      </c>
      <c r="C2815">
        <f>_xlfn.XLOOKUP(B2815,Dim_Hotel!$A$2:$A$11,Dim_Hotel!$F$2:$F$11)</f>
        <v>108</v>
      </c>
      <c r="D2815">
        <f t="shared" si="345"/>
        <v>59</v>
      </c>
      <c r="E2815">
        <f t="shared" si="346"/>
        <v>0.54629629629629628</v>
      </c>
      <c r="F2815">
        <f t="shared" si="347"/>
        <v>135</v>
      </c>
      <c r="G2815">
        <f t="shared" si="348"/>
        <v>73.75</v>
      </c>
      <c r="H2815" t="str">
        <f>_xlfn.XLOOKUP(A2815,Fact_Events!$D$2:$D$20,Fact_Events!$A$2:$A$20, "")</f>
        <v/>
      </c>
      <c r="I2815">
        <f t="shared" si="349"/>
        <v>0</v>
      </c>
      <c r="J2815" t="str">
        <f>_xlfn.XLOOKUP(H2815, Fact_Events!$A$2:$A$20, Fact_Events!$F$2:$F$20, "")</f>
        <v/>
      </c>
      <c r="K2815" t="str">
        <f t="shared" si="350"/>
        <v>Low</v>
      </c>
      <c r="L2815">
        <f t="shared" si="351"/>
        <v>0.55000000000000004</v>
      </c>
      <c r="M2815">
        <f>_xlfn.XLOOKUP(B2815, Dim_Hotel!$A$2:$A$11, Dim_Hotel!$I$2:$I$11)
 + (IF(J2815="",0,J2815)
    * _xlfn.XLOOKUP(B2815, Dim_Hotel!$A$2:$A$11, Dim_Hotel!$J$2:$J$11))</f>
        <v>135</v>
      </c>
    </row>
    <row r="2816" spans="1:13" x14ac:dyDescent="0.25">
      <c r="A2816" s="1">
        <f t="shared" si="344"/>
        <v>46304</v>
      </c>
      <c r="B2816" t="str" cm="1">
        <f t="array" ref="B2816">INDEX(HotelList,MOD(ROW()-2,10)+1)</f>
        <v>H005</v>
      </c>
      <c r="C2816">
        <f>_xlfn.XLOOKUP(B2816,Dim_Hotel!$A$2:$A$11,Dim_Hotel!$F$2:$F$11)</f>
        <v>66</v>
      </c>
      <c r="D2816">
        <f t="shared" si="345"/>
        <v>36</v>
      </c>
      <c r="E2816">
        <f t="shared" si="346"/>
        <v>0.54545454545454541</v>
      </c>
      <c r="F2816">
        <f t="shared" si="347"/>
        <v>82</v>
      </c>
      <c r="G2816">
        <f t="shared" si="348"/>
        <v>44.727272727272727</v>
      </c>
      <c r="H2816" t="str">
        <f>_xlfn.XLOOKUP(A2816,Fact_Events!$D$2:$D$20,Fact_Events!$A$2:$A$20, "")</f>
        <v/>
      </c>
      <c r="I2816">
        <f t="shared" si="349"/>
        <v>0</v>
      </c>
      <c r="J2816" t="str">
        <f>_xlfn.XLOOKUP(H2816, Fact_Events!$A$2:$A$20, Fact_Events!$F$2:$F$20, "")</f>
        <v/>
      </c>
      <c r="K2816" t="str">
        <f t="shared" si="350"/>
        <v>Low</v>
      </c>
      <c r="L2816">
        <f t="shared" si="351"/>
        <v>0.55000000000000004</v>
      </c>
      <c r="M2816">
        <f>_xlfn.XLOOKUP(B2816, Dim_Hotel!$A$2:$A$11, Dim_Hotel!$I$2:$I$11)
 + (IF(J2816="",0,J2816)
    * _xlfn.XLOOKUP(B2816, Dim_Hotel!$A$2:$A$11, Dim_Hotel!$J$2:$J$11))</f>
        <v>82</v>
      </c>
    </row>
    <row r="2817" spans="1:13" x14ac:dyDescent="0.25">
      <c r="A2817" s="1">
        <f t="shared" si="344"/>
        <v>46304</v>
      </c>
      <c r="B2817" t="str" cm="1">
        <f t="array" ref="B2817">INDEX(HotelList,MOD(ROW()-2,10)+1)</f>
        <v>H006</v>
      </c>
      <c r="C2817">
        <f>_xlfn.XLOOKUP(B2817,Dim_Hotel!$A$2:$A$11,Dim_Hotel!$F$2:$F$11)</f>
        <v>311</v>
      </c>
      <c r="D2817">
        <f t="shared" si="345"/>
        <v>171</v>
      </c>
      <c r="E2817">
        <f t="shared" si="346"/>
        <v>0.54983922829581988</v>
      </c>
      <c r="F2817">
        <f t="shared" si="347"/>
        <v>190</v>
      </c>
      <c r="G2817">
        <f t="shared" si="348"/>
        <v>104.46945337620578</v>
      </c>
      <c r="H2817" t="str">
        <f>_xlfn.XLOOKUP(A2817,Fact_Events!$D$2:$D$20,Fact_Events!$A$2:$A$20, "")</f>
        <v/>
      </c>
      <c r="I2817">
        <f t="shared" si="349"/>
        <v>0</v>
      </c>
      <c r="J2817" t="str">
        <f>_xlfn.XLOOKUP(H2817, Fact_Events!$A$2:$A$20, Fact_Events!$F$2:$F$20, "")</f>
        <v/>
      </c>
      <c r="K2817" t="str">
        <f t="shared" si="350"/>
        <v>Low</v>
      </c>
      <c r="L2817">
        <f t="shared" si="351"/>
        <v>0.55000000000000004</v>
      </c>
      <c r="M2817">
        <f>_xlfn.XLOOKUP(B2817, Dim_Hotel!$A$2:$A$11, Dim_Hotel!$I$2:$I$11)
 + (IF(J2817="",0,J2817)
    * _xlfn.XLOOKUP(B2817, Dim_Hotel!$A$2:$A$11, Dim_Hotel!$J$2:$J$11))</f>
        <v>190</v>
      </c>
    </row>
    <row r="2818" spans="1:13" x14ac:dyDescent="0.25">
      <c r="A2818" s="1">
        <f t="shared" si="344"/>
        <v>46304</v>
      </c>
      <c r="B2818" t="str" cm="1">
        <f t="array" ref="B2818">INDEX(HotelList,MOD(ROW()-2,10)+1)</f>
        <v>H007</v>
      </c>
      <c r="C2818">
        <f>_xlfn.XLOOKUP(B2818,Dim_Hotel!$A$2:$A$11,Dim_Hotel!$F$2:$F$11)</f>
        <v>132</v>
      </c>
      <c r="D2818">
        <f t="shared" si="345"/>
        <v>73</v>
      </c>
      <c r="E2818">
        <f t="shared" si="346"/>
        <v>0.55303030303030298</v>
      </c>
      <c r="F2818">
        <f t="shared" si="347"/>
        <v>165</v>
      </c>
      <c r="G2818">
        <f t="shared" si="348"/>
        <v>91.249999999999986</v>
      </c>
      <c r="H2818" t="str">
        <f>_xlfn.XLOOKUP(A2818,Fact_Events!$D$2:$D$20,Fact_Events!$A$2:$A$20, "")</f>
        <v/>
      </c>
      <c r="I2818">
        <f t="shared" si="349"/>
        <v>0</v>
      </c>
      <c r="J2818" t="str">
        <f>_xlfn.XLOOKUP(H2818, Fact_Events!$A$2:$A$20, Fact_Events!$F$2:$F$20, "")</f>
        <v/>
      </c>
      <c r="K2818" t="str">
        <f t="shared" si="350"/>
        <v>Low</v>
      </c>
      <c r="L2818">
        <f t="shared" si="351"/>
        <v>0.55000000000000004</v>
      </c>
      <c r="M2818">
        <f>_xlfn.XLOOKUP(B2818, Dim_Hotel!$A$2:$A$11, Dim_Hotel!$I$2:$I$11)
 + (IF(J2818="",0,J2818)
    * _xlfn.XLOOKUP(B2818, Dim_Hotel!$A$2:$A$11, Dim_Hotel!$J$2:$J$11))</f>
        <v>165</v>
      </c>
    </row>
    <row r="2819" spans="1:13" x14ac:dyDescent="0.25">
      <c r="A2819" s="1">
        <f t="shared" ref="A2819:A2882" si="352">DATE(2026,1,1) + INT((ROW()-2)/10)</f>
        <v>46304</v>
      </c>
      <c r="B2819" t="str" cm="1">
        <f t="array" ref="B2819">INDEX(HotelList,MOD(ROW()-2,10)+1)</f>
        <v>H008</v>
      </c>
      <c r="C2819">
        <f>_xlfn.XLOOKUP(B2819,Dim_Hotel!$A$2:$A$11,Dim_Hotel!$F$2:$F$11)</f>
        <v>103</v>
      </c>
      <c r="D2819">
        <f t="shared" ref="D2819:D2882" si="353">ROUND(L2819 * C2819, 0)</f>
        <v>57</v>
      </c>
      <c r="E2819">
        <f t="shared" ref="E2819:E2882" si="354">D2819/C2819</f>
        <v>0.55339805825242716</v>
      </c>
      <c r="F2819">
        <f t="shared" ref="F2819:F2882" si="355">M2819</f>
        <v>140</v>
      </c>
      <c r="G2819">
        <f t="shared" ref="G2819:G2882" si="356">E2819*F2819</f>
        <v>77.475728155339809</v>
      </c>
      <c r="H2819" t="str">
        <f>_xlfn.XLOOKUP(A2819,Fact_Events!$D$2:$D$20,Fact_Events!$A$2:$A$20, "")</f>
        <v/>
      </c>
      <c r="I2819">
        <f t="shared" ref="I2819:I2882" si="357">IF(H2819="",0,1)</f>
        <v>0</v>
      </c>
      <c r="J2819" t="str">
        <f>_xlfn.XLOOKUP(H2819, Fact_Events!$A$2:$A$20, Fact_Events!$F$2:$F$20, "")</f>
        <v/>
      </c>
      <c r="K2819" t="str">
        <f t="shared" ref="K2819:K2882" si="358">IF(I2819=0,"Low",
   IF(J2819&gt;=9,"High","Medium"))</f>
        <v>Low</v>
      </c>
      <c r="L2819">
        <f t="shared" ref="L2819:L2882" si="359">MIN(1,
  0.55
  + (I2819 * 0.25)
  + (IF(J2819="",0,J2819) / 100)
)</f>
        <v>0.55000000000000004</v>
      </c>
      <c r="M2819">
        <f>_xlfn.XLOOKUP(B2819, Dim_Hotel!$A$2:$A$11, Dim_Hotel!$I$2:$I$11)
 + (IF(J2819="",0,J2819)
    * _xlfn.XLOOKUP(B2819, Dim_Hotel!$A$2:$A$11, Dim_Hotel!$J$2:$J$11))</f>
        <v>140</v>
      </c>
    </row>
    <row r="2820" spans="1:13" x14ac:dyDescent="0.25">
      <c r="A2820" s="1">
        <f t="shared" si="352"/>
        <v>46304</v>
      </c>
      <c r="B2820" t="str" cm="1">
        <f t="array" ref="B2820">INDEX(HotelList,MOD(ROW()-2,10)+1)</f>
        <v>H009</v>
      </c>
      <c r="C2820">
        <f>_xlfn.XLOOKUP(B2820,Dim_Hotel!$A$2:$A$11,Dim_Hotel!$F$2:$F$11)</f>
        <v>114</v>
      </c>
      <c r="D2820">
        <f t="shared" si="353"/>
        <v>63</v>
      </c>
      <c r="E2820">
        <f t="shared" si="354"/>
        <v>0.55263157894736847</v>
      </c>
      <c r="F2820">
        <f t="shared" si="355"/>
        <v>185</v>
      </c>
      <c r="G2820">
        <f t="shared" si="356"/>
        <v>102.23684210526316</v>
      </c>
      <c r="H2820" t="str">
        <f>_xlfn.XLOOKUP(A2820,Fact_Events!$D$2:$D$20,Fact_Events!$A$2:$A$20, "")</f>
        <v/>
      </c>
      <c r="I2820">
        <f t="shared" si="357"/>
        <v>0</v>
      </c>
      <c r="J2820" t="str">
        <f>_xlfn.XLOOKUP(H2820, Fact_Events!$A$2:$A$20, Fact_Events!$F$2:$F$20, "")</f>
        <v/>
      </c>
      <c r="K2820" t="str">
        <f t="shared" si="358"/>
        <v>Low</v>
      </c>
      <c r="L2820">
        <f t="shared" si="359"/>
        <v>0.55000000000000004</v>
      </c>
      <c r="M2820">
        <f>_xlfn.XLOOKUP(B2820, Dim_Hotel!$A$2:$A$11, Dim_Hotel!$I$2:$I$11)
 + (IF(J2820="",0,J2820)
    * _xlfn.XLOOKUP(B2820, Dim_Hotel!$A$2:$A$11, Dim_Hotel!$J$2:$J$11))</f>
        <v>185</v>
      </c>
    </row>
    <row r="2821" spans="1:13" x14ac:dyDescent="0.25">
      <c r="A2821" s="1">
        <f t="shared" si="352"/>
        <v>46304</v>
      </c>
      <c r="B2821" t="str" cm="1">
        <f t="array" ref="B2821">INDEX(HotelList,MOD(ROW()-2,10)+1)</f>
        <v>H010</v>
      </c>
      <c r="C2821">
        <f>_xlfn.XLOOKUP(B2821,Dim_Hotel!$A$2:$A$11,Dim_Hotel!$F$2:$F$11)</f>
        <v>89</v>
      </c>
      <c r="D2821">
        <f t="shared" si="353"/>
        <v>49</v>
      </c>
      <c r="E2821">
        <f t="shared" si="354"/>
        <v>0.550561797752809</v>
      </c>
      <c r="F2821">
        <f t="shared" si="355"/>
        <v>150</v>
      </c>
      <c r="G2821">
        <f t="shared" si="356"/>
        <v>82.584269662921344</v>
      </c>
      <c r="H2821" t="str">
        <f>_xlfn.XLOOKUP(A2821,Fact_Events!$D$2:$D$20,Fact_Events!$A$2:$A$20, "")</f>
        <v/>
      </c>
      <c r="I2821">
        <f t="shared" si="357"/>
        <v>0</v>
      </c>
      <c r="J2821" t="str">
        <f>_xlfn.XLOOKUP(H2821, Fact_Events!$A$2:$A$20, Fact_Events!$F$2:$F$20, "")</f>
        <v/>
      </c>
      <c r="K2821" t="str">
        <f t="shared" si="358"/>
        <v>Low</v>
      </c>
      <c r="L2821">
        <f t="shared" si="359"/>
        <v>0.55000000000000004</v>
      </c>
      <c r="M2821">
        <f>_xlfn.XLOOKUP(B2821, Dim_Hotel!$A$2:$A$11, Dim_Hotel!$I$2:$I$11)
 + (IF(J2821="",0,J2821)
    * _xlfn.XLOOKUP(B2821, Dim_Hotel!$A$2:$A$11, Dim_Hotel!$J$2:$J$11))</f>
        <v>150</v>
      </c>
    </row>
    <row r="2822" spans="1:13" x14ac:dyDescent="0.25">
      <c r="A2822" s="1">
        <f t="shared" si="352"/>
        <v>46305</v>
      </c>
      <c r="B2822" t="str" cm="1">
        <f t="array" ref="B2822">INDEX(HotelList,MOD(ROW()-2,10)+1)</f>
        <v>H001</v>
      </c>
      <c r="C2822">
        <f>_xlfn.XLOOKUP(B2822,Dim_Hotel!$A$2:$A$11,Dim_Hotel!$F$2:$F$11)</f>
        <v>888</v>
      </c>
      <c r="D2822">
        <f t="shared" si="353"/>
        <v>488</v>
      </c>
      <c r="E2822">
        <f t="shared" si="354"/>
        <v>0.5495495495495496</v>
      </c>
      <c r="F2822">
        <f t="shared" si="355"/>
        <v>260</v>
      </c>
      <c r="G2822">
        <f t="shared" si="356"/>
        <v>142.88288288288288</v>
      </c>
      <c r="H2822" t="str">
        <f>_xlfn.XLOOKUP(A2822,Fact_Events!$D$2:$D$20,Fact_Events!$A$2:$A$20, "")</f>
        <v/>
      </c>
      <c r="I2822">
        <f t="shared" si="357"/>
        <v>0</v>
      </c>
      <c r="J2822" t="str">
        <f>_xlfn.XLOOKUP(H2822, Fact_Events!$A$2:$A$20, Fact_Events!$F$2:$F$20, "")</f>
        <v/>
      </c>
      <c r="K2822" t="str">
        <f t="shared" si="358"/>
        <v>Low</v>
      </c>
      <c r="L2822">
        <f t="shared" si="359"/>
        <v>0.55000000000000004</v>
      </c>
      <c r="M2822">
        <f>_xlfn.XLOOKUP(B2822, Dim_Hotel!$A$2:$A$11, Dim_Hotel!$I$2:$I$11)
 + (IF(J2822="",0,J2822)
    * _xlfn.XLOOKUP(B2822, Dim_Hotel!$A$2:$A$11, Dim_Hotel!$J$2:$J$11))</f>
        <v>260</v>
      </c>
    </row>
    <row r="2823" spans="1:13" x14ac:dyDescent="0.25">
      <c r="A2823" s="1">
        <f t="shared" si="352"/>
        <v>46305</v>
      </c>
      <c r="B2823" t="str" cm="1">
        <f t="array" ref="B2823">INDEX(HotelList,MOD(ROW()-2,10)+1)</f>
        <v>H002</v>
      </c>
      <c r="C2823">
        <f>_xlfn.XLOOKUP(B2823,Dim_Hotel!$A$2:$A$11,Dim_Hotel!$F$2:$F$11)</f>
        <v>147</v>
      </c>
      <c r="D2823">
        <f t="shared" si="353"/>
        <v>81</v>
      </c>
      <c r="E2823">
        <f t="shared" si="354"/>
        <v>0.55102040816326525</v>
      </c>
      <c r="F2823">
        <f t="shared" si="355"/>
        <v>175</v>
      </c>
      <c r="G2823">
        <f t="shared" si="356"/>
        <v>96.428571428571416</v>
      </c>
      <c r="H2823" t="str">
        <f>_xlfn.XLOOKUP(A2823,Fact_Events!$D$2:$D$20,Fact_Events!$A$2:$A$20, "")</f>
        <v/>
      </c>
      <c r="I2823">
        <f t="shared" si="357"/>
        <v>0</v>
      </c>
      <c r="J2823" t="str">
        <f>_xlfn.XLOOKUP(H2823, Fact_Events!$A$2:$A$20, Fact_Events!$F$2:$F$20, "")</f>
        <v/>
      </c>
      <c r="K2823" t="str">
        <f t="shared" si="358"/>
        <v>Low</v>
      </c>
      <c r="L2823">
        <f t="shared" si="359"/>
        <v>0.55000000000000004</v>
      </c>
      <c r="M2823">
        <f>_xlfn.XLOOKUP(B2823, Dim_Hotel!$A$2:$A$11, Dim_Hotel!$I$2:$I$11)
 + (IF(J2823="",0,J2823)
    * _xlfn.XLOOKUP(B2823, Dim_Hotel!$A$2:$A$11, Dim_Hotel!$J$2:$J$11))</f>
        <v>175</v>
      </c>
    </row>
    <row r="2824" spans="1:13" x14ac:dyDescent="0.25">
      <c r="A2824" s="1">
        <f t="shared" si="352"/>
        <v>46305</v>
      </c>
      <c r="B2824" t="str" cm="1">
        <f t="array" ref="B2824">INDEX(HotelList,MOD(ROW()-2,10)+1)</f>
        <v>H003</v>
      </c>
      <c r="C2824">
        <f>_xlfn.XLOOKUP(B2824,Dim_Hotel!$A$2:$A$11,Dim_Hotel!$F$2:$F$11)</f>
        <v>121</v>
      </c>
      <c r="D2824">
        <f t="shared" si="353"/>
        <v>67</v>
      </c>
      <c r="E2824">
        <f t="shared" si="354"/>
        <v>0.55371900826446285</v>
      </c>
      <c r="F2824">
        <f t="shared" si="355"/>
        <v>145</v>
      </c>
      <c r="G2824">
        <f t="shared" si="356"/>
        <v>80.289256198347118</v>
      </c>
      <c r="H2824" t="str">
        <f>_xlfn.XLOOKUP(A2824,Fact_Events!$D$2:$D$20,Fact_Events!$A$2:$A$20, "")</f>
        <v/>
      </c>
      <c r="I2824">
        <f t="shared" si="357"/>
        <v>0</v>
      </c>
      <c r="J2824" t="str">
        <f>_xlfn.XLOOKUP(H2824, Fact_Events!$A$2:$A$20, Fact_Events!$F$2:$F$20, "")</f>
        <v/>
      </c>
      <c r="K2824" t="str">
        <f t="shared" si="358"/>
        <v>Low</v>
      </c>
      <c r="L2824">
        <f t="shared" si="359"/>
        <v>0.55000000000000004</v>
      </c>
      <c r="M2824">
        <f>_xlfn.XLOOKUP(B2824, Dim_Hotel!$A$2:$A$11, Dim_Hotel!$I$2:$I$11)
 + (IF(J2824="",0,J2824)
    * _xlfn.XLOOKUP(B2824, Dim_Hotel!$A$2:$A$11, Dim_Hotel!$J$2:$J$11))</f>
        <v>145</v>
      </c>
    </row>
    <row r="2825" spans="1:13" x14ac:dyDescent="0.25">
      <c r="A2825" s="1">
        <f t="shared" si="352"/>
        <v>46305</v>
      </c>
      <c r="B2825" t="str" cm="1">
        <f t="array" ref="B2825">INDEX(HotelList,MOD(ROW()-2,10)+1)</f>
        <v>H004</v>
      </c>
      <c r="C2825">
        <f>_xlfn.XLOOKUP(B2825,Dim_Hotel!$A$2:$A$11,Dim_Hotel!$F$2:$F$11)</f>
        <v>108</v>
      </c>
      <c r="D2825">
        <f t="shared" si="353"/>
        <v>59</v>
      </c>
      <c r="E2825">
        <f t="shared" si="354"/>
        <v>0.54629629629629628</v>
      </c>
      <c r="F2825">
        <f t="shared" si="355"/>
        <v>135</v>
      </c>
      <c r="G2825">
        <f t="shared" si="356"/>
        <v>73.75</v>
      </c>
      <c r="H2825" t="str">
        <f>_xlfn.XLOOKUP(A2825,Fact_Events!$D$2:$D$20,Fact_Events!$A$2:$A$20, "")</f>
        <v/>
      </c>
      <c r="I2825">
        <f t="shared" si="357"/>
        <v>0</v>
      </c>
      <c r="J2825" t="str">
        <f>_xlfn.XLOOKUP(H2825, Fact_Events!$A$2:$A$20, Fact_Events!$F$2:$F$20, "")</f>
        <v/>
      </c>
      <c r="K2825" t="str">
        <f t="shared" si="358"/>
        <v>Low</v>
      </c>
      <c r="L2825">
        <f t="shared" si="359"/>
        <v>0.55000000000000004</v>
      </c>
      <c r="M2825">
        <f>_xlfn.XLOOKUP(B2825, Dim_Hotel!$A$2:$A$11, Dim_Hotel!$I$2:$I$11)
 + (IF(J2825="",0,J2825)
    * _xlfn.XLOOKUP(B2825, Dim_Hotel!$A$2:$A$11, Dim_Hotel!$J$2:$J$11))</f>
        <v>135</v>
      </c>
    </row>
    <row r="2826" spans="1:13" x14ac:dyDescent="0.25">
      <c r="A2826" s="1">
        <f t="shared" si="352"/>
        <v>46305</v>
      </c>
      <c r="B2826" t="str" cm="1">
        <f t="array" ref="B2826">INDEX(HotelList,MOD(ROW()-2,10)+1)</f>
        <v>H005</v>
      </c>
      <c r="C2826">
        <f>_xlfn.XLOOKUP(B2826,Dim_Hotel!$A$2:$A$11,Dim_Hotel!$F$2:$F$11)</f>
        <v>66</v>
      </c>
      <c r="D2826">
        <f t="shared" si="353"/>
        <v>36</v>
      </c>
      <c r="E2826">
        <f t="shared" si="354"/>
        <v>0.54545454545454541</v>
      </c>
      <c r="F2826">
        <f t="shared" si="355"/>
        <v>82</v>
      </c>
      <c r="G2826">
        <f t="shared" si="356"/>
        <v>44.727272727272727</v>
      </c>
      <c r="H2826" t="str">
        <f>_xlfn.XLOOKUP(A2826,Fact_Events!$D$2:$D$20,Fact_Events!$A$2:$A$20, "")</f>
        <v/>
      </c>
      <c r="I2826">
        <f t="shared" si="357"/>
        <v>0</v>
      </c>
      <c r="J2826" t="str">
        <f>_xlfn.XLOOKUP(H2826, Fact_Events!$A$2:$A$20, Fact_Events!$F$2:$F$20, "")</f>
        <v/>
      </c>
      <c r="K2826" t="str">
        <f t="shared" si="358"/>
        <v>Low</v>
      </c>
      <c r="L2826">
        <f t="shared" si="359"/>
        <v>0.55000000000000004</v>
      </c>
      <c r="M2826">
        <f>_xlfn.XLOOKUP(B2826, Dim_Hotel!$A$2:$A$11, Dim_Hotel!$I$2:$I$11)
 + (IF(J2826="",0,J2826)
    * _xlfn.XLOOKUP(B2826, Dim_Hotel!$A$2:$A$11, Dim_Hotel!$J$2:$J$11))</f>
        <v>82</v>
      </c>
    </row>
    <row r="2827" spans="1:13" x14ac:dyDescent="0.25">
      <c r="A2827" s="1">
        <f t="shared" si="352"/>
        <v>46305</v>
      </c>
      <c r="B2827" t="str" cm="1">
        <f t="array" ref="B2827">INDEX(HotelList,MOD(ROW()-2,10)+1)</f>
        <v>H006</v>
      </c>
      <c r="C2827">
        <f>_xlfn.XLOOKUP(B2827,Dim_Hotel!$A$2:$A$11,Dim_Hotel!$F$2:$F$11)</f>
        <v>311</v>
      </c>
      <c r="D2827">
        <f t="shared" si="353"/>
        <v>171</v>
      </c>
      <c r="E2827">
        <f t="shared" si="354"/>
        <v>0.54983922829581988</v>
      </c>
      <c r="F2827">
        <f t="shared" si="355"/>
        <v>190</v>
      </c>
      <c r="G2827">
        <f t="shared" si="356"/>
        <v>104.46945337620578</v>
      </c>
      <c r="H2827" t="str">
        <f>_xlfn.XLOOKUP(A2827,Fact_Events!$D$2:$D$20,Fact_Events!$A$2:$A$20, "")</f>
        <v/>
      </c>
      <c r="I2827">
        <f t="shared" si="357"/>
        <v>0</v>
      </c>
      <c r="J2827" t="str">
        <f>_xlfn.XLOOKUP(H2827, Fact_Events!$A$2:$A$20, Fact_Events!$F$2:$F$20, "")</f>
        <v/>
      </c>
      <c r="K2827" t="str">
        <f t="shared" si="358"/>
        <v>Low</v>
      </c>
      <c r="L2827">
        <f t="shared" si="359"/>
        <v>0.55000000000000004</v>
      </c>
      <c r="M2827">
        <f>_xlfn.XLOOKUP(B2827, Dim_Hotel!$A$2:$A$11, Dim_Hotel!$I$2:$I$11)
 + (IF(J2827="",0,J2827)
    * _xlfn.XLOOKUP(B2827, Dim_Hotel!$A$2:$A$11, Dim_Hotel!$J$2:$J$11))</f>
        <v>190</v>
      </c>
    </row>
    <row r="2828" spans="1:13" x14ac:dyDescent="0.25">
      <c r="A2828" s="1">
        <f t="shared" si="352"/>
        <v>46305</v>
      </c>
      <c r="B2828" t="str" cm="1">
        <f t="array" ref="B2828">INDEX(HotelList,MOD(ROW()-2,10)+1)</f>
        <v>H007</v>
      </c>
      <c r="C2828">
        <f>_xlfn.XLOOKUP(B2828,Dim_Hotel!$A$2:$A$11,Dim_Hotel!$F$2:$F$11)</f>
        <v>132</v>
      </c>
      <c r="D2828">
        <f t="shared" si="353"/>
        <v>73</v>
      </c>
      <c r="E2828">
        <f t="shared" si="354"/>
        <v>0.55303030303030298</v>
      </c>
      <c r="F2828">
        <f t="shared" si="355"/>
        <v>165</v>
      </c>
      <c r="G2828">
        <f t="shared" si="356"/>
        <v>91.249999999999986</v>
      </c>
      <c r="H2828" t="str">
        <f>_xlfn.XLOOKUP(A2828,Fact_Events!$D$2:$D$20,Fact_Events!$A$2:$A$20, "")</f>
        <v/>
      </c>
      <c r="I2828">
        <f t="shared" si="357"/>
        <v>0</v>
      </c>
      <c r="J2828" t="str">
        <f>_xlfn.XLOOKUP(H2828, Fact_Events!$A$2:$A$20, Fact_Events!$F$2:$F$20, "")</f>
        <v/>
      </c>
      <c r="K2828" t="str">
        <f t="shared" si="358"/>
        <v>Low</v>
      </c>
      <c r="L2828">
        <f t="shared" si="359"/>
        <v>0.55000000000000004</v>
      </c>
      <c r="M2828">
        <f>_xlfn.XLOOKUP(B2828, Dim_Hotel!$A$2:$A$11, Dim_Hotel!$I$2:$I$11)
 + (IF(J2828="",0,J2828)
    * _xlfn.XLOOKUP(B2828, Dim_Hotel!$A$2:$A$11, Dim_Hotel!$J$2:$J$11))</f>
        <v>165</v>
      </c>
    </row>
    <row r="2829" spans="1:13" x14ac:dyDescent="0.25">
      <c r="A2829" s="1">
        <f t="shared" si="352"/>
        <v>46305</v>
      </c>
      <c r="B2829" t="str" cm="1">
        <f t="array" ref="B2829">INDEX(HotelList,MOD(ROW()-2,10)+1)</f>
        <v>H008</v>
      </c>
      <c r="C2829">
        <f>_xlfn.XLOOKUP(B2829,Dim_Hotel!$A$2:$A$11,Dim_Hotel!$F$2:$F$11)</f>
        <v>103</v>
      </c>
      <c r="D2829">
        <f t="shared" si="353"/>
        <v>57</v>
      </c>
      <c r="E2829">
        <f t="shared" si="354"/>
        <v>0.55339805825242716</v>
      </c>
      <c r="F2829">
        <f t="shared" si="355"/>
        <v>140</v>
      </c>
      <c r="G2829">
        <f t="shared" si="356"/>
        <v>77.475728155339809</v>
      </c>
      <c r="H2829" t="str">
        <f>_xlfn.XLOOKUP(A2829,Fact_Events!$D$2:$D$20,Fact_Events!$A$2:$A$20, "")</f>
        <v/>
      </c>
      <c r="I2829">
        <f t="shared" si="357"/>
        <v>0</v>
      </c>
      <c r="J2829" t="str">
        <f>_xlfn.XLOOKUP(H2829, Fact_Events!$A$2:$A$20, Fact_Events!$F$2:$F$20, "")</f>
        <v/>
      </c>
      <c r="K2829" t="str">
        <f t="shared" si="358"/>
        <v>Low</v>
      </c>
      <c r="L2829">
        <f t="shared" si="359"/>
        <v>0.55000000000000004</v>
      </c>
      <c r="M2829">
        <f>_xlfn.XLOOKUP(B2829, Dim_Hotel!$A$2:$A$11, Dim_Hotel!$I$2:$I$11)
 + (IF(J2829="",0,J2829)
    * _xlfn.XLOOKUP(B2829, Dim_Hotel!$A$2:$A$11, Dim_Hotel!$J$2:$J$11))</f>
        <v>140</v>
      </c>
    </row>
    <row r="2830" spans="1:13" x14ac:dyDescent="0.25">
      <c r="A2830" s="1">
        <f t="shared" si="352"/>
        <v>46305</v>
      </c>
      <c r="B2830" t="str" cm="1">
        <f t="array" ref="B2830">INDEX(HotelList,MOD(ROW()-2,10)+1)</f>
        <v>H009</v>
      </c>
      <c r="C2830">
        <f>_xlfn.XLOOKUP(B2830,Dim_Hotel!$A$2:$A$11,Dim_Hotel!$F$2:$F$11)</f>
        <v>114</v>
      </c>
      <c r="D2830">
        <f t="shared" si="353"/>
        <v>63</v>
      </c>
      <c r="E2830">
        <f t="shared" si="354"/>
        <v>0.55263157894736847</v>
      </c>
      <c r="F2830">
        <f t="shared" si="355"/>
        <v>185</v>
      </c>
      <c r="G2830">
        <f t="shared" si="356"/>
        <v>102.23684210526316</v>
      </c>
      <c r="H2830" t="str">
        <f>_xlfn.XLOOKUP(A2830,Fact_Events!$D$2:$D$20,Fact_Events!$A$2:$A$20, "")</f>
        <v/>
      </c>
      <c r="I2830">
        <f t="shared" si="357"/>
        <v>0</v>
      </c>
      <c r="J2830" t="str">
        <f>_xlfn.XLOOKUP(H2830, Fact_Events!$A$2:$A$20, Fact_Events!$F$2:$F$20, "")</f>
        <v/>
      </c>
      <c r="K2830" t="str">
        <f t="shared" si="358"/>
        <v>Low</v>
      </c>
      <c r="L2830">
        <f t="shared" si="359"/>
        <v>0.55000000000000004</v>
      </c>
      <c r="M2830">
        <f>_xlfn.XLOOKUP(B2830, Dim_Hotel!$A$2:$A$11, Dim_Hotel!$I$2:$I$11)
 + (IF(J2830="",0,J2830)
    * _xlfn.XLOOKUP(B2830, Dim_Hotel!$A$2:$A$11, Dim_Hotel!$J$2:$J$11))</f>
        <v>185</v>
      </c>
    </row>
    <row r="2831" spans="1:13" x14ac:dyDescent="0.25">
      <c r="A2831" s="1">
        <f t="shared" si="352"/>
        <v>46305</v>
      </c>
      <c r="B2831" t="str" cm="1">
        <f t="array" ref="B2831">INDEX(HotelList,MOD(ROW()-2,10)+1)</f>
        <v>H010</v>
      </c>
      <c r="C2831">
        <f>_xlfn.XLOOKUP(B2831,Dim_Hotel!$A$2:$A$11,Dim_Hotel!$F$2:$F$11)</f>
        <v>89</v>
      </c>
      <c r="D2831">
        <f t="shared" si="353"/>
        <v>49</v>
      </c>
      <c r="E2831">
        <f t="shared" si="354"/>
        <v>0.550561797752809</v>
      </c>
      <c r="F2831">
        <f t="shared" si="355"/>
        <v>150</v>
      </c>
      <c r="G2831">
        <f t="shared" si="356"/>
        <v>82.584269662921344</v>
      </c>
      <c r="H2831" t="str">
        <f>_xlfn.XLOOKUP(A2831,Fact_Events!$D$2:$D$20,Fact_Events!$A$2:$A$20, "")</f>
        <v/>
      </c>
      <c r="I2831">
        <f t="shared" si="357"/>
        <v>0</v>
      </c>
      <c r="J2831" t="str">
        <f>_xlfn.XLOOKUP(H2831, Fact_Events!$A$2:$A$20, Fact_Events!$F$2:$F$20, "")</f>
        <v/>
      </c>
      <c r="K2831" t="str">
        <f t="shared" si="358"/>
        <v>Low</v>
      </c>
      <c r="L2831">
        <f t="shared" si="359"/>
        <v>0.55000000000000004</v>
      </c>
      <c r="M2831">
        <f>_xlfn.XLOOKUP(B2831, Dim_Hotel!$A$2:$A$11, Dim_Hotel!$I$2:$I$11)
 + (IF(J2831="",0,J2831)
    * _xlfn.XLOOKUP(B2831, Dim_Hotel!$A$2:$A$11, Dim_Hotel!$J$2:$J$11))</f>
        <v>150</v>
      </c>
    </row>
    <row r="2832" spans="1:13" x14ac:dyDescent="0.25">
      <c r="A2832" s="1">
        <f t="shared" si="352"/>
        <v>46306</v>
      </c>
      <c r="B2832" t="str" cm="1">
        <f t="array" ref="B2832">INDEX(HotelList,MOD(ROW()-2,10)+1)</f>
        <v>H001</v>
      </c>
      <c r="C2832">
        <f>_xlfn.XLOOKUP(B2832,Dim_Hotel!$A$2:$A$11,Dim_Hotel!$F$2:$F$11)</f>
        <v>888</v>
      </c>
      <c r="D2832">
        <f t="shared" si="353"/>
        <v>488</v>
      </c>
      <c r="E2832">
        <f t="shared" si="354"/>
        <v>0.5495495495495496</v>
      </c>
      <c r="F2832">
        <f t="shared" si="355"/>
        <v>260</v>
      </c>
      <c r="G2832">
        <f t="shared" si="356"/>
        <v>142.88288288288288</v>
      </c>
      <c r="H2832" t="str">
        <f>_xlfn.XLOOKUP(A2832,Fact_Events!$D$2:$D$20,Fact_Events!$A$2:$A$20, "")</f>
        <v/>
      </c>
      <c r="I2832">
        <f t="shared" si="357"/>
        <v>0</v>
      </c>
      <c r="J2832" t="str">
        <f>_xlfn.XLOOKUP(H2832, Fact_Events!$A$2:$A$20, Fact_Events!$F$2:$F$20, "")</f>
        <v/>
      </c>
      <c r="K2832" t="str">
        <f t="shared" si="358"/>
        <v>Low</v>
      </c>
      <c r="L2832">
        <f t="shared" si="359"/>
        <v>0.55000000000000004</v>
      </c>
      <c r="M2832">
        <f>_xlfn.XLOOKUP(B2832, Dim_Hotel!$A$2:$A$11, Dim_Hotel!$I$2:$I$11)
 + (IF(J2832="",0,J2832)
    * _xlfn.XLOOKUP(B2832, Dim_Hotel!$A$2:$A$11, Dim_Hotel!$J$2:$J$11))</f>
        <v>260</v>
      </c>
    </row>
    <row r="2833" spans="1:13" x14ac:dyDescent="0.25">
      <c r="A2833" s="1">
        <f t="shared" si="352"/>
        <v>46306</v>
      </c>
      <c r="B2833" t="str" cm="1">
        <f t="array" ref="B2833">INDEX(HotelList,MOD(ROW()-2,10)+1)</f>
        <v>H002</v>
      </c>
      <c r="C2833">
        <f>_xlfn.XLOOKUP(B2833,Dim_Hotel!$A$2:$A$11,Dim_Hotel!$F$2:$F$11)</f>
        <v>147</v>
      </c>
      <c r="D2833">
        <f t="shared" si="353"/>
        <v>81</v>
      </c>
      <c r="E2833">
        <f t="shared" si="354"/>
        <v>0.55102040816326525</v>
      </c>
      <c r="F2833">
        <f t="shared" si="355"/>
        <v>175</v>
      </c>
      <c r="G2833">
        <f t="shared" si="356"/>
        <v>96.428571428571416</v>
      </c>
      <c r="H2833" t="str">
        <f>_xlfn.XLOOKUP(A2833,Fact_Events!$D$2:$D$20,Fact_Events!$A$2:$A$20, "")</f>
        <v/>
      </c>
      <c r="I2833">
        <f t="shared" si="357"/>
        <v>0</v>
      </c>
      <c r="J2833" t="str">
        <f>_xlfn.XLOOKUP(H2833, Fact_Events!$A$2:$A$20, Fact_Events!$F$2:$F$20, "")</f>
        <v/>
      </c>
      <c r="K2833" t="str">
        <f t="shared" si="358"/>
        <v>Low</v>
      </c>
      <c r="L2833">
        <f t="shared" si="359"/>
        <v>0.55000000000000004</v>
      </c>
      <c r="M2833">
        <f>_xlfn.XLOOKUP(B2833, Dim_Hotel!$A$2:$A$11, Dim_Hotel!$I$2:$I$11)
 + (IF(J2833="",0,J2833)
    * _xlfn.XLOOKUP(B2833, Dim_Hotel!$A$2:$A$11, Dim_Hotel!$J$2:$J$11))</f>
        <v>175</v>
      </c>
    </row>
    <row r="2834" spans="1:13" x14ac:dyDescent="0.25">
      <c r="A2834" s="1">
        <f t="shared" si="352"/>
        <v>46306</v>
      </c>
      <c r="B2834" t="str" cm="1">
        <f t="array" ref="B2834">INDEX(HotelList,MOD(ROW()-2,10)+1)</f>
        <v>H003</v>
      </c>
      <c r="C2834">
        <f>_xlfn.XLOOKUP(B2834,Dim_Hotel!$A$2:$A$11,Dim_Hotel!$F$2:$F$11)</f>
        <v>121</v>
      </c>
      <c r="D2834">
        <f t="shared" si="353"/>
        <v>67</v>
      </c>
      <c r="E2834">
        <f t="shared" si="354"/>
        <v>0.55371900826446285</v>
      </c>
      <c r="F2834">
        <f t="shared" si="355"/>
        <v>145</v>
      </c>
      <c r="G2834">
        <f t="shared" si="356"/>
        <v>80.289256198347118</v>
      </c>
      <c r="H2834" t="str">
        <f>_xlfn.XLOOKUP(A2834,Fact_Events!$D$2:$D$20,Fact_Events!$A$2:$A$20, "")</f>
        <v/>
      </c>
      <c r="I2834">
        <f t="shared" si="357"/>
        <v>0</v>
      </c>
      <c r="J2834" t="str">
        <f>_xlfn.XLOOKUP(H2834, Fact_Events!$A$2:$A$20, Fact_Events!$F$2:$F$20, "")</f>
        <v/>
      </c>
      <c r="K2834" t="str">
        <f t="shared" si="358"/>
        <v>Low</v>
      </c>
      <c r="L2834">
        <f t="shared" si="359"/>
        <v>0.55000000000000004</v>
      </c>
      <c r="M2834">
        <f>_xlfn.XLOOKUP(B2834, Dim_Hotel!$A$2:$A$11, Dim_Hotel!$I$2:$I$11)
 + (IF(J2834="",0,J2834)
    * _xlfn.XLOOKUP(B2834, Dim_Hotel!$A$2:$A$11, Dim_Hotel!$J$2:$J$11))</f>
        <v>145</v>
      </c>
    </row>
    <row r="2835" spans="1:13" x14ac:dyDescent="0.25">
      <c r="A2835" s="1">
        <f t="shared" si="352"/>
        <v>46306</v>
      </c>
      <c r="B2835" t="str" cm="1">
        <f t="array" ref="B2835">INDEX(HotelList,MOD(ROW()-2,10)+1)</f>
        <v>H004</v>
      </c>
      <c r="C2835">
        <f>_xlfn.XLOOKUP(B2835,Dim_Hotel!$A$2:$A$11,Dim_Hotel!$F$2:$F$11)</f>
        <v>108</v>
      </c>
      <c r="D2835">
        <f t="shared" si="353"/>
        <v>59</v>
      </c>
      <c r="E2835">
        <f t="shared" si="354"/>
        <v>0.54629629629629628</v>
      </c>
      <c r="F2835">
        <f t="shared" si="355"/>
        <v>135</v>
      </c>
      <c r="G2835">
        <f t="shared" si="356"/>
        <v>73.75</v>
      </c>
      <c r="H2835" t="str">
        <f>_xlfn.XLOOKUP(A2835,Fact_Events!$D$2:$D$20,Fact_Events!$A$2:$A$20, "")</f>
        <v/>
      </c>
      <c r="I2835">
        <f t="shared" si="357"/>
        <v>0</v>
      </c>
      <c r="J2835" t="str">
        <f>_xlfn.XLOOKUP(H2835, Fact_Events!$A$2:$A$20, Fact_Events!$F$2:$F$20, "")</f>
        <v/>
      </c>
      <c r="K2835" t="str">
        <f t="shared" si="358"/>
        <v>Low</v>
      </c>
      <c r="L2835">
        <f t="shared" si="359"/>
        <v>0.55000000000000004</v>
      </c>
      <c r="M2835">
        <f>_xlfn.XLOOKUP(B2835, Dim_Hotel!$A$2:$A$11, Dim_Hotel!$I$2:$I$11)
 + (IF(J2835="",0,J2835)
    * _xlfn.XLOOKUP(B2835, Dim_Hotel!$A$2:$A$11, Dim_Hotel!$J$2:$J$11))</f>
        <v>135</v>
      </c>
    </row>
    <row r="2836" spans="1:13" x14ac:dyDescent="0.25">
      <c r="A2836" s="1">
        <f t="shared" si="352"/>
        <v>46306</v>
      </c>
      <c r="B2836" t="str" cm="1">
        <f t="array" ref="B2836">INDEX(HotelList,MOD(ROW()-2,10)+1)</f>
        <v>H005</v>
      </c>
      <c r="C2836">
        <f>_xlfn.XLOOKUP(B2836,Dim_Hotel!$A$2:$A$11,Dim_Hotel!$F$2:$F$11)</f>
        <v>66</v>
      </c>
      <c r="D2836">
        <f t="shared" si="353"/>
        <v>36</v>
      </c>
      <c r="E2836">
        <f t="shared" si="354"/>
        <v>0.54545454545454541</v>
      </c>
      <c r="F2836">
        <f t="shared" si="355"/>
        <v>82</v>
      </c>
      <c r="G2836">
        <f t="shared" si="356"/>
        <v>44.727272727272727</v>
      </c>
      <c r="H2836" t="str">
        <f>_xlfn.XLOOKUP(A2836,Fact_Events!$D$2:$D$20,Fact_Events!$A$2:$A$20, "")</f>
        <v/>
      </c>
      <c r="I2836">
        <f t="shared" si="357"/>
        <v>0</v>
      </c>
      <c r="J2836" t="str">
        <f>_xlfn.XLOOKUP(H2836, Fact_Events!$A$2:$A$20, Fact_Events!$F$2:$F$20, "")</f>
        <v/>
      </c>
      <c r="K2836" t="str">
        <f t="shared" si="358"/>
        <v>Low</v>
      </c>
      <c r="L2836">
        <f t="shared" si="359"/>
        <v>0.55000000000000004</v>
      </c>
      <c r="M2836">
        <f>_xlfn.XLOOKUP(B2836, Dim_Hotel!$A$2:$A$11, Dim_Hotel!$I$2:$I$11)
 + (IF(J2836="",0,J2836)
    * _xlfn.XLOOKUP(B2836, Dim_Hotel!$A$2:$A$11, Dim_Hotel!$J$2:$J$11))</f>
        <v>82</v>
      </c>
    </row>
    <row r="2837" spans="1:13" x14ac:dyDescent="0.25">
      <c r="A2837" s="1">
        <f t="shared" si="352"/>
        <v>46306</v>
      </c>
      <c r="B2837" t="str" cm="1">
        <f t="array" ref="B2837">INDEX(HotelList,MOD(ROW()-2,10)+1)</f>
        <v>H006</v>
      </c>
      <c r="C2837">
        <f>_xlfn.XLOOKUP(B2837,Dim_Hotel!$A$2:$A$11,Dim_Hotel!$F$2:$F$11)</f>
        <v>311</v>
      </c>
      <c r="D2837">
        <f t="shared" si="353"/>
        <v>171</v>
      </c>
      <c r="E2837">
        <f t="shared" si="354"/>
        <v>0.54983922829581988</v>
      </c>
      <c r="F2837">
        <f t="shared" si="355"/>
        <v>190</v>
      </c>
      <c r="G2837">
        <f t="shared" si="356"/>
        <v>104.46945337620578</v>
      </c>
      <c r="H2837" t="str">
        <f>_xlfn.XLOOKUP(A2837,Fact_Events!$D$2:$D$20,Fact_Events!$A$2:$A$20, "")</f>
        <v/>
      </c>
      <c r="I2837">
        <f t="shared" si="357"/>
        <v>0</v>
      </c>
      <c r="J2837" t="str">
        <f>_xlfn.XLOOKUP(H2837, Fact_Events!$A$2:$A$20, Fact_Events!$F$2:$F$20, "")</f>
        <v/>
      </c>
      <c r="K2837" t="str">
        <f t="shared" si="358"/>
        <v>Low</v>
      </c>
      <c r="L2837">
        <f t="shared" si="359"/>
        <v>0.55000000000000004</v>
      </c>
      <c r="M2837">
        <f>_xlfn.XLOOKUP(B2837, Dim_Hotel!$A$2:$A$11, Dim_Hotel!$I$2:$I$11)
 + (IF(J2837="",0,J2837)
    * _xlfn.XLOOKUP(B2837, Dim_Hotel!$A$2:$A$11, Dim_Hotel!$J$2:$J$11))</f>
        <v>190</v>
      </c>
    </row>
    <row r="2838" spans="1:13" x14ac:dyDescent="0.25">
      <c r="A2838" s="1">
        <f t="shared" si="352"/>
        <v>46306</v>
      </c>
      <c r="B2838" t="str" cm="1">
        <f t="array" ref="B2838">INDEX(HotelList,MOD(ROW()-2,10)+1)</f>
        <v>H007</v>
      </c>
      <c r="C2838">
        <f>_xlfn.XLOOKUP(B2838,Dim_Hotel!$A$2:$A$11,Dim_Hotel!$F$2:$F$11)</f>
        <v>132</v>
      </c>
      <c r="D2838">
        <f t="shared" si="353"/>
        <v>73</v>
      </c>
      <c r="E2838">
        <f t="shared" si="354"/>
        <v>0.55303030303030298</v>
      </c>
      <c r="F2838">
        <f t="shared" si="355"/>
        <v>165</v>
      </c>
      <c r="G2838">
        <f t="shared" si="356"/>
        <v>91.249999999999986</v>
      </c>
      <c r="H2838" t="str">
        <f>_xlfn.XLOOKUP(A2838,Fact_Events!$D$2:$D$20,Fact_Events!$A$2:$A$20, "")</f>
        <v/>
      </c>
      <c r="I2838">
        <f t="shared" si="357"/>
        <v>0</v>
      </c>
      <c r="J2838" t="str">
        <f>_xlfn.XLOOKUP(H2838, Fact_Events!$A$2:$A$20, Fact_Events!$F$2:$F$20, "")</f>
        <v/>
      </c>
      <c r="K2838" t="str">
        <f t="shared" si="358"/>
        <v>Low</v>
      </c>
      <c r="L2838">
        <f t="shared" si="359"/>
        <v>0.55000000000000004</v>
      </c>
      <c r="M2838">
        <f>_xlfn.XLOOKUP(B2838, Dim_Hotel!$A$2:$A$11, Dim_Hotel!$I$2:$I$11)
 + (IF(J2838="",0,J2838)
    * _xlfn.XLOOKUP(B2838, Dim_Hotel!$A$2:$A$11, Dim_Hotel!$J$2:$J$11))</f>
        <v>165</v>
      </c>
    </row>
    <row r="2839" spans="1:13" x14ac:dyDescent="0.25">
      <c r="A2839" s="1">
        <f t="shared" si="352"/>
        <v>46306</v>
      </c>
      <c r="B2839" t="str" cm="1">
        <f t="array" ref="B2839">INDEX(HotelList,MOD(ROW()-2,10)+1)</f>
        <v>H008</v>
      </c>
      <c r="C2839">
        <f>_xlfn.XLOOKUP(B2839,Dim_Hotel!$A$2:$A$11,Dim_Hotel!$F$2:$F$11)</f>
        <v>103</v>
      </c>
      <c r="D2839">
        <f t="shared" si="353"/>
        <v>57</v>
      </c>
      <c r="E2839">
        <f t="shared" si="354"/>
        <v>0.55339805825242716</v>
      </c>
      <c r="F2839">
        <f t="shared" si="355"/>
        <v>140</v>
      </c>
      <c r="G2839">
        <f t="shared" si="356"/>
        <v>77.475728155339809</v>
      </c>
      <c r="H2839" t="str">
        <f>_xlfn.XLOOKUP(A2839,Fact_Events!$D$2:$D$20,Fact_Events!$A$2:$A$20, "")</f>
        <v/>
      </c>
      <c r="I2839">
        <f t="shared" si="357"/>
        <v>0</v>
      </c>
      <c r="J2839" t="str">
        <f>_xlfn.XLOOKUP(H2839, Fact_Events!$A$2:$A$20, Fact_Events!$F$2:$F$20, "")</f>
        <v/>
      </c>
      <c r="K2839" t="str">
        <f t="shared" si="358"/>
        <v>Low</v>
      </c>
      <c r="L2839">
        <f t="shared" si="359"/>
        <v>0.55000000000000004</v>
      </c>
      <c r="M2839">
        <f>_xlfn.XLOOKUP(B2839, Dim_Hotel!$A$2:$A$11, Dim_Hotel!$I$2:$I$11)
 + (IF(J2839="",0,J2839)
    * _xlfn.XLOOKUP(B2839, Dim_Hotel!$A$2:$A$11, Dim_Hotel!$J$2:$J$11))</f>
        <v>140</v>
      </c>
    </row>
    <row r="2840" spans="1:13" x14ac:dyDescent="0.25">
      <c r="A2840" s="1">
        <f t="shared" si="352"/>
        <v>46306</v>
      </c>
      <c r="B2840" t="str" cm="1">
        <f t="array" ref="B2840">INDEX(HotelList,MOD(ROW()-2,10)+1)</f>
        <v>H009</v>
      </c>
      <c r="C2840">
        <f>_xlfn.XLOOKUP(B2840,Dim_Hotel!$A$2:$A$11,Dim_Hotel!$F$2:$F$11)</f>
        <v>114</v>
      </c>
      <c r="D2840">
        <f t="shared" si="353"/>
        <v>63</v>
      </c>
      <c r="E2840">
        <f t="shared" si="354"/>
        <v>0.55263157894736847</v>
      </c>
      <c r="F2840">
        <f t="shared" si="355"/>
        <v>185</v>
      </c>
      <c r="G2840">
        <f t="shared" si="356"/>
        <v>102.23684210526316</v>
      </c>
      <c r="H2840" t="str">
        <f>_xlfn.XLOOKUP(A2840,Fact_Events!$D$2:$D$20,Fact_Events!$A$2:$A$20, "")</f>
        <v/>
      </c>
      <c r="I2840">
        <f t="shared" si="357"/>
        <v>0</v>
      </c>
      <c r="J2840" t="str">
        <f>_xlfn.XLOOKUP(H2840, Fact_Events!$A$2:$A$20, Fact_Events!$F$2:$F$20, "")</f>
        <v/>
      </c>
      <c r="K2840" t="str">
        <f t="shared" si="358"/>
        <v>Low</v>
      </c>
      <c r="L2840">
        <f t="shared" si="359"/>
        <v>0.55000000000000004</v>
      </c>
      <c r="M2840">
        <f>_xlfn.XLOOKUP(B2840, Dim_Hotel!$A$2:$A$11, Dim_Hotel!$I$2:$I$11)
 + (IF(J2840="",0,J2840)
    * _xlfn.XLOOKUP(B2840, Dim_Hotel!$A$2:$A$11, Dim_Hotel!$J$2:$J$11))</f>
        <v>185</v>
      </c>
    </row>
    <row r="2841" spans="1:13" x14ac:dyDescent="0.25">
      <c r="A2841" s="1">
        <f t="shared" si="352"/>
        <v>46306</v>
      </c>
      <c r="B2841" t="str" cm="1">
        <f t="array" ref="B2841">INDEX(HotelList,MOD(ROW()-2,10)+1)</f>
        <v>H010</v>
      </c>
      <c r="C2841">
        <f>_xlfn.XLOOKUP(B2841,Dim_Hotel!$A$2:$A$11,Dim_Hotel!$F$2:$F$11)</f>
        <v>89</v>
      </c>
      <c r="D2841">
        <f t="shared" si="353"/>
        <v>49</v>
      </c>
      <c r="E2841">
        <f t="shared" si="354"/>
        <v>0.550561797752809</v>
      </c>
      <c r="F2841">
        <f t="shared" si="355"/>
        <v>150</v>
      </c>
      <c r="G2841">
        <f t="shared" si="356"/>
        <v>82.584269662921344</v>
      </c>
      <c r="H2841" t="str">
        <f>_xlfn.XLOOKUP(A2841,Fact_Events!$D$2:$D$20,Fact_Events!$A$2:$A$20, "")</f>
        <v/>
      </c>
      <c r="I2841">
        <f t="shared" si="357"/>
        <v>0</v>
      </c>
      <c r="J2841" t="str">
        <f>_xlfn.XLOOKUP(H2841, Fact_Events!$A$2:$A$20, Fact_Events!$F$2:$F$20, "")</f>
        <v/>
      </c>
      <c r="K2841" t="str">
        <f t="shared" si="358"/>
        <v>Low</v>
      </c>
      <c r="L2841">
        <f t="shared" si="359"/>
        <v>0.55000000000000004</v>
      </c>
      <c r="M2841">
        <f>_xlfn.XLOOKUP(B2841, Dim_Hotel!$A$2:$A$11, Dim_Hotel!$I$2:$I$11)
 + (IF(J2841="",0,J2841)
    * _xlfn.XLOOKUP(B2841, Dim_Hotel!$A$2:$A$11, Dim_Hotel!$J$2:$J$11))</f>
        <v>150</v>
      </c>
    </row>
    <row r="2842" spans="1:13" x14ac:dyDescent="0.25">
      <c r="A2842" s="1">
        <f t="shared" si="352"/>
        <v>46307</v>
      </c>
      <c r="B2842" t="str" cm="1">
        <f t="array" ref="B2842">INDEX(HotelList,MOD(ROW()-2,10)+1)</f>
        <v>H001</v>
      </c>
      <c r="C2842">
        <f>_xlfn.XLOOKUP(B2842,Dim_Hotel!$A$2:$A$11,Dim_Hotel!$F$2:$F$11)</f>
        <v>888</v>
      </c>
      <c r="D2842">
        <f t="shared" si="353"/>
        <v>488</v>
      </c>
      <c r="E2842">
        <f t="shared" si="354"/>
        <v>0.5495495495495496</v>
      </c>
      <c r="F2842">
        <f t="shared" si="355"/>
        <v>260</v>
      </c>
      <c r="G2842">
        <f t="shared" si="356"/>
        <v>142.88288288288288</v>
      </c>
      <c r="H2842" t="str">
        <f>_xlfn.XLOOKUP(A2842,Fact_Events!$D$2:$D$20,Fact_Events!$A$2:$A$20, "")</f>
        <v/>
      </c>
      <c r="I2842">
        <f t="shared" si="357"/>
        <v>0</v>
      </c>
      <c r="J2842" t="str">
        <f>_xlfn.XLOOKUP(H2842, Fact_Events!$A$2:$A$20, Fact_Events!$F$2:$F$20, "")</f>
        <v/>
      </c>
      <c r="K2842" t="str">
        <f t="shared" si="358"/>
        <v>Low</v>
      </c>
      <c r="L2842">
        <f t="shared" si="359"/>
        <v>0.55000000000000004</v>
      </c>
      <c r="M2842">
        <f>_xlfn.XLOOKUP(B2842, Dim_Hotel!$A$2:$A$11, Dim_Hotel!$I$2:$I$11)
 + (IF(J2842="",0,J2842)
    * _xlfn.XLOOKUP(B2842, Dim_Hotel!$A$2:$A$11, Dim_Hotel!$J$2:$J$11))</f>
        <v>260</v>
      </c>
    </row>
    <row r="2843" spans="1:13" x14ac:dyDescent="0.25">
      <c r="A2843" s="1">
        <f t="shared" si="352"/>
        <v>46307</v>
      </c>
      <c r="B2843" t="str" cm="1">
        <f t="array" ref="B2843">INDEX(HotelList,MOD(ROW()-2,10)+1)</f>
        <v>H002</v>
      </c>
      <c r="C2843">
        <f>_xlfn.XLOOKUP(B2843,Dim_Hotel!$A$2:$A$11,Dim_Hotel!$F$2:$F$11)</f>
        <v>147</v>
      </c>
      <c r="D2843">
        <f t="shared" si="353"/>
        <v>81</v>
      </c>
      <c r="E2843">
        <f t="shared" si="354"/>
        <v>0.55102040816326525</v>
      </c>
      <c r="F2843">
        <f t="shared" si="355"/>
        <v>175</v>
      </c>
      <c r="G2843">
        <f t="shared" si="356"/>
        <v>96.428571428571416</v>
      </c>
      <c r="H2843" t="str">
        <f>_xlfn.XLOOKUP(A2843,Fact_Events!$D$2:$D$20,Fact_Events!$A$2:$A$20, "")</f>
        <v/>
      </c>
      <c r="I2843">
        <f t="shared" si="357"/>
        <v>0</v>
      </c>
      <c r="J2843" t="str">
        <f>_xlfn.XLOOKUP(H2843, Fact_Events!$A$2:$A$20, Fact_Events!$F$2:$F$20, "")</f>
        <v/>
      </c>
      <c r="K2843" t="str">
        <f t="shared" si="358"/>
        <v>Low</v>
      </c>
      <c r="L2843">
        <f t="shared" si="359"/>
        <v>0.55000000000000004</v>
      </c>
      <c r="M2843">
        <f>_xlfn.XLOOKUP(B2843, Dim_Hotel!$A$2:$A$11, Dim_Hotel!$I$2:$I$11)
 + (IF(J2843="",0,J2843)
    * _xlfn.XLOOKUP(B2843, Dim_Hotel!$A$2:$A$11, Dim_Hotel!$J$2:$J$11))</f>
        <v>175</v>
      </c>
    </row>
    <row r="2844" spans="1:13" x14ac:dyDescent="0.25">
      <c r="A2844" s="1">
        <f t="shared" si="352"/>
        <v>46307</v>
      </c>
      <c r="B2844" t="str" cm="1">
        <f t="array" ref="B2844">INDEX(HotelList,MOD(ROW()-2,10)+1)</f>
        <v>H003</v>
      </c>
      <c r="C2844">
        <f>_xlfn.XLOOKUP(B2844,Dim_Hotel!$A$2:$A$11,Dim_Hotel!$F$2:$F$11)</f>
        <v>121</v>
      </c>
      <c r="D2844">
        <f t="shared" si="353"/>
        <v>67</v>
      </c>
      <c r="E2844">
        <f t="shared" si="354"/>
        <v>0.55371900826446285</v>
      </c>
      <c r="F2844">
        <f t="shared" si="355"/>
        <v>145</v>
      </c>
      <c r="G2844">
        <f t="shared" si="356"/>
        <v>80.289256198347118</v>
      </c>
      <c r="H2844" t="str">
        <f>_xlfn.XLOOKUP(A2844,Fact_Events!$D$2:$D$20,Fact_Events!$A$2:$A$20, "")</f>
        <v/>
      </c>
      <c r="I2844">
        <f t="shared" si="357"/>
        <v>0</v>
      </c>
      <c r="J2844" t="str">
        <f>_xlfn.XLOOKUP(H2844, Fact_Events!$A$2:$A$20, Fact_Events!$F$2:$F$20, "")</f>
        <v/>
      </c>
      <c r="K2844" t="str">
        <f t="shared" si="358"/>
        <v>Low</v>
      </c>
      <c r="L2844">
        <f t="shared" si="359"/>
        <v>0.55000000000000004</v>
      </c>
      <c r="M2844">
        <f>_xlfn.XLOOKUP(B2844, Dim_Hotel!$A$2:$A$11, Dim_Hotel!$I$2:$I$11)
 + (IF(J2844="",0,J2844)
    * _xlfn.XLOOKUP(B2844, Dim_Hotel!$A$2:$A$11, Dim_Hotel!$J$2:$J$11))</f>
        <v>145</v>
      </c>
    </row>
    <row r="2845" spans="1:13" x14ac:dyDescent="0.25">
      <c r="A2845" s="1">
        <f t="shared" si="352"/>
        <v>46307</v>
      </c>
      <c r="B2845" t="str" cm="1">
        <f t="array" ref="B2845">INDEX(HotelList,MOD(ROW()-2,10)+1)</f>
        <v>H004</v>
      </c>
      <c r="C2845">
        <f>_xlfn.XLOOKUP(B2845,Dim_Hotel!$A$2:$A$11,Dim_Hotel!$F$2:$F$11)</f>
        <v>108</v>
      </c>
      <c r="D2845">
        <f t="shared" si="353"/>
        <v>59</v>
      </c>
      <c r="E2845">
        <f t="shared" si="354"/>
        <v>0.54629629629629628</v>
      </c>
      <c r="F2845">
        <f t="shared" si="355"/>
        <v>135</v>
      </c>
      <c r="G2845">
        <f t="shared" si="356"/>
        <v>73.75</v>
      </c>
      <c r="H2845" t="str">
        <f>_xlfn.XLOOKUP(A2845,Fact_Events!$D$2:$D$20,Fact_Events!$A$2:$A$20, "")</f>
        <v/>
      </c>
      <c r="I2845">
        <f t="shared" si="357"/>
        <v>0</v>
      </c>
      <c r="J2845" t="str">
        <f>_xlfn.XLOOKUP(H2845, Fact_Events!$A$2:$A$20, Fact_Events!$F$2:$F$20, "")</f>
        <v/>
      </c>
      <c r="K2845" t="str">
        <f t="shared" si="358"/>
        <v>Low</v>
      </c>
      <c r="L2845">
        <f t="shared" si="359"/>
        <v>0.55000000000000004</v>
      </c>
      <c r="M2845">
        <f>_xlfn.XLOOKUP(B2845, Dim_Hotel!$A$2:$A$11, Dim_Hotel!$I$2:$I$11)
 + (IF(J2845="",0,J2845)
    * _xlfn.XLOOKUP(B2845, Dim_Hotel!$A$2:$A$11, Dim_Hotel!$J$2:$J$11))</f>
        <v>135</v>
      </c>
    </row>
    <row r="2846" spans="1:13" x14ac:dyDescent="0.25">
      <c r="A2846" s="1">
        <f t="shared" si="352"/>
        <v>46307</v>
      </c>
      <c r="B2846" t="str" cm="1">
        <f t="array" ref="B2846">INDEX(HotelList,MOD(ROW()-2,10)+1)</f>
        <v>H005</v>
      </c>
      <c r="C2846">
        <f>_xlfn.XLOOKUP(B2846,Dim_Hotel!$A$2:$A$11,Dim_Hotel!$F$2:$F$11)</f>
        <v>66</v>
      </c>
      <c r="D2846">
        <f t="shared" si="353"/>
        <v>36</v>
      </c>
      <c r="E2846">
        <f t="shared" si="354"/>
        <v>0.54545454545454541</v>
      </c>
      <c r="F2846">
        <f t="shared" si="355"/>
        <v>82</v>
      </c>
      <c r="G2846">
        <f t="shared" si="356"/>
        <v>44.727272727272727</v>
      </c>
      <c r="H2846" t="str">
        <f>_xlfn.XLOOKUP(A2846,Fact_Events!$D$2:$D$20,Fact_Events!$A$2:$A$20, "")</f>
        <v/>
      </c>
      <c r="I2846">
        <f t="shared" si="357"/>
        <v>0</v>
      </c>
      <c r="J2846" t="str">
        <f>_xlfn.XLOOKUP(H2846, Fact_Events!$A$2:$A$20, Fact_Events!$F$2:$F$20, "")</f>
        <v/>
      </c>
      <c r="K2846" t="str">
        <f t="shared" si="358"/>
        <v>Low</v>
      </c>
      <c r="L2846">
        <f t="shared" si="359"/>
        <v>0.55000000000000004</v>
      </c>
      <c r="M2846">
        <f>_xlfn.XLOOKUP(B2846, Dim_Hotel!$A$2:$A$11, Dim_Hotel!$I$2:$I$11)
 + (IF(J2846="",0,J2846)
    * _xlfn.XLOOKUP(B2846, Dim_Hotel!$A$2:$A$11, Dim_Hotel!$J$2:$J$11))</f>
        <v>82</v>
      </c>
    </row>
    <row r="2847" spans="1:13" x14ac:dyDescent="0.25">
      <c r="A2847" s="1">
        <f t="shared" si="352"/>
        <v>46307</v>
      </c>
      <c r="B2847" t="str" cm="1">
        <f t="array" ref="B2847">INDEX(HotelList,MOD(ROW()-2,10)+1)</f>
        <v>H006</v>
      </c>
      <c r="C2847">
        <f>_xlfn.XLOOKUP(B2847,Dim_Hotel!$A$2:$A$11,Dim_Hotel!$F$2:$F$11)</f>
        <v>311</v>
      </c>
      <c r="D2847">
        <f t="shared" si="353"/>
        <v>171</v>
      </c>
      <c r="E2847">
        <f t="shared" si="354"/>
        <v>0.54983922829581988</v>
      </c>
      <c r="F2847">
        <f t="shared" si="355"/>
        <v>190</v>
      </c>
      <c r="G2847">
        <f t="shared" si="356"/>
        <v>104.46945337620578</v>
      </c>
      <c r="H2847" t="str">
        <f>_xlfn.XLOOKUP(A2847,Fact_Events!$D$2:$D$20,Fact_Events!$A$2:$A$20, "")</f>
        <v/>
      </c>
      <c r="I2847">
        <f t="shared" si="357"/>
        <v>0</v>
      </c>
      <c r="J2847" t="str">
        <f>_xlfn.XLOOKUP(H2847, Fact_Events!$A$2:$A$20, Fact_Events!$F$2:$F$20, "")</f>
        <v/>
      </c>
      <c r="K2847" t="str">
        <f t="shared" si="358"/>
        <v>Low</v>
      </c>
      <c r="L2847">
        <f t="shared" si="359"/>
        <v>0.55000000000000004</v>
      </c>
      <c r="M2847">
        <f>_xlfn.XLOOKUP(B2847, Dim_Hotel!$A$2:$A$11, Dim_Hotel!$I$2:$I$11)
 + (IF(J2847="",0,J2847)
    * _xlfn.XLOOKUP(B2847, Dim_Hotel!$A$2:$A$11, Dim_Hotel!$J$2:$J$11))</f>
        <v>190</v>
      </c>
    </row>
    <row r="2848" spans="1:13" x14ac:dyDescent="0.25">
      <c r="A2848" s="1">
        <f t="shared" si="352"/>
        <v>46307</v>
      </c>
      <c r="B2848" t="str" cm="1">
        <f t="array" ref="B2848">INDEX(HotelList,MOD(ROW()-2,10)+1)</f>
        <v>H007</v>
      </c>
      <c r="C2848">
        <f>_xlfn.XLOOKUP(B2848,Dim_Hotel!$A$2:$A$11,Dim_Hotel!$F$2:$F$11)</f>
        <v>132</v>
      </c>
      <c r="D2848">
        <f t="shared" si="353"/>
        <v>73</v>
      </c>
      <c r="E2848">
        <f t="shared" si="354"/>
        <v>0.55303030303030298</v>
      </c>
      <c r="F2848">
        <f t="shared" si="355"/>
        <v>165</v>
      </c>
      <c r="G2848">
        <f t="shared" si="356"/>
        <v>91.249999999999986</v>
      </c>
      <c r="H2848" t="str">
        <f>_xlfn.XLOOKUP(A2848,Fact_Events!$D$2:$D$20,Fact_Events!$A$2:$A$20, "")</f>
        <v/>
      </c>
      <c r="I2848">
        <f t="shared" si="357"/>
        <v>0</v>
      </c>
      <c r="J2848" t="str">
        <f>_xlfn.XLOOKUP(H2848, Fact_Events!$A$2:$A$20, Fact_Events!$F$2:$F$20, "")</f>
        <v/>
      </c>
      <c r="K2848" t="str">
        <f t="shared" si="358"/>
        <v>Low</v>
      </c>
      <c r="L2848">
        <f t="shared" si="359"/>
        <v>0.55000000000000004</v>
      </c>
      <c r="M2848">
        <f>_xlfn.XLOOKUP(B2848, Dim_Hotel!$A$2:$A$11, Dim_Hotel!$I$2:$I$11)
 + (IF(J2848="",0,J2848)
    * _xlfn.XLOOKUP(B2848, Dim_Hotel!$A$2:$A$11, Dim_Hotel!$J$2:$J$11))</f>
        <v>165</v>
      </c>
    </row>
    <row r="2849" spans="1:13" x14ac:dyDescent="0.25">
      <c r="A2849" s="1">
        <f t="shared" si="352"/>
        <v>46307</v>
      </c>
      <c r="B2849" t="str" cm="1">
        <f t="array" ref="B2849">INDEX(HotelList,MOD(ROW()-2,10)+1)</f>
        <v>H008</v>
      </c>
      <c r="C2849">
        <f>_xlfn.XLOOKUP(B2849,Dim_Hotel!$A$2:$A$11,Dim_Hotel!$F$2:$F$11)</f>
        <v>103</v>
      </c>
      <c r="D2849">
        <f t="shared" si="353"/>
        <v>57</v>
      </c>
      <c r="E2849">
        <f t="shared" si="354"/>
        <v>0.55339805825242716</v>
      </c>
      <c r="F2849">
        <f t="shared" si="355"/>
        <v>140</v>
      </c>
      <c r="G2849">
        <f t="shared" si="356"/>
        <v>77.475728155339809</v>
      </c>
      <c r="H2849" t="str">
        <f>_xlfn.XLOOKUP(A2849,Fact_Events!$D$2:$D$20,Fact_Events!$A$2:$A$20, "")</f>
        <v/>
      </c>
      <c r="I2849">
        <f t="shared" si="357"/>
        <v>0</v>
      </c>
      <c r="J2849" t="str">
        <f>_xlfn.XLOOKUP(H2849, Fact_Events!$A$2:$A$20, Fact_Events!$F$2:$F$20, "")</f>
        <v/>
      </c>
      <c r="K2849" t="str">
        <f t="shared" si="358"/>
        <v>Low</v>
      </c>
      <c r="L2849">
        <f t="shared" si="359"/>
        <v>0.55000000000000004</v>
      </c>
      <c r="M2849">
        <f>_xlfn.XLOOKUP(B2849, Dim_Hotel!$A$2:$A$11, Dim_Hotel!$I$2:$I$11)
 + (IF(J2849="",0,J2849)
    * _xlfn.XLOOKUP(B2849, Dim_Hotel!$A$2:$A$11, Dim_Hotel!$J$2:$J$11))</f>
        <v>140</v>
      </c>
    </row>
    <row r="2850" spans="1:13" x14ac:dyDescent="0.25">
      <c r="A2850" s="1">
        <f t="shared" si="352"/>
        <v>46307</v>
      </c>
      <c r="B2850" t="str" cm="1">
        <f t="array" ref="B2850">INDEX(HotelList,MOD(ROW()-2,10)+1)</f>
        <v>H009</v>
      </c>
      <c r="C2850">
        <f>_xlfn.XLOOKUP(B2850,Dim_Hotel!$A$2:$A$11,Dim_Hotel!$F$2:$F$11)</f>
        <v>114</v>
      </c>
      <c r="D2850">
        <f t="shared" si="353"/>
        <v>63</v>
      </c>
      <c r="E2850">
        <f t="shared" si="354"/>
        <v>0.55263157894736847</v>
      </c>
      <c r="F2850">
        <f t="shared" si="355"/>
        <v>185</v>
      </c>
      <c r="G2850">
        <f t="shared" si="356"/>
        <v>102.23684210526316</v>
      </c>
      <c r="H2850" t="str">
        <f>_xlfn.XLOOKUP(A2850,Fact_Events!$D$2:$D$20,Fact_Events!$A$2:$A$20, "")</f>
        <v/>
      </c>
      <c r="I2850">
        <f t="shared" si="357"/>
        <v>0</v>
      </c>
      <c r="J2850" t="str">
        <f>_xlfn.XLOOKUP(H2850, Fact_Events!$A$2:$A$20, Fact_Events!$F$2:$F$20, "")</f>
        <v/>
      </c>
      <c r="K2850" t="str">
        <f t="shared" si="358"/>
        <v>Low</v>
      </c>
      <c r="L2850">
        <f t="shared" si="359"/>
        <v>0.55000000000000004</v>
      </c>
      <c r="M2850">
        <f>_xlfn.XLOOKUP(B2850, Dim_Hotel!$A$2:$A$11, Dim_Hotel!$I$2:$I$11)
 + (IF(J2850="",0,J2850)
    * _xlfn.XLOOKUP(B2850, Dim_Hotel!$A$2:$A$11, Dim_Hotel!$J$2:$J$11))</f>
        <v>185</v>
      </c>
    </row>
    <row r="2851" spans="1:13" x14ac:dyDescent="0.25">
      <c r="A2851" s="1">
        <f t="shared" si="352"/>
        <v>46307</v>
      </c>
      <c r="B2851" t="str" cm="1">
        <f t="array" ref="B2851">INDEX(HotelList,MOD(ROW()-2,10)+1)</f>
        <v>H010</v>
      </c>
      <c r="C2851">
        <f>_xlfn.XLOOKUP(B2851,Dim_Hotel!$A$2:$A$11,Dim_Hotel!$F$2:$F$11)</f>
        <v>89</v>
      </c>
      <c r="D2851">
        <f t="shared" si="353"/>
        <v>49</v>
      </c>
      <c r="E2851">
        <f t="shared" si="354"/>
        <v>0.550561797752809</v>
      </c>
      <c r="F2851">
        <f t="shared" si="355"/>
        <v>150</v>
      </c>
      <c r="G2851">
        <f t="shared" si="356"/>
        <v>82.584269662921344</v>
      </c>
      <c r="H2851" t="str">
        <f>_xlfn.XLOOKUP(A2851,Fact_Events!$D$2:$D$20,Fact_Events!$A$2:$A$20, "")</f>
        <v/>
      </c>
      <c r="I2851">
        <f t="shared" si="357"/>
        <v>0</v>
      </c>
      <c r="J2851" t="str">
        <f>_xlfn.XLOOKUP(H2851, Fact_Events!$A$2:$A$20, Fact_Events!$F$2:$F$20, "")</f>
        <v/>
      </c>
      <c r="K2851" t="str">
        <f t="shared" si="358"/>
        <v>Low</v>
      </c>
      <c r="L2851">
        <f t="shared" si="359"/>
        <v>0.55000000000000004</v>
      </c>
      <c r="M2851">
        <f>_xlfn.XLOOKUP(B2851, Dim_Hotel!$A$2:$A$11, Dim_Hotel!$I$2:$I$11)
 + (IF(J2851="",0,J2851)
    * _xlfn.XLOOKUP(B2851, Dim_Hotel!$A$2:$A$11, Dim_Hotel!$J$2:$J$11))</f>
        <v>150</v>
      </c>
    </row>
    <row r="2852" spans="1:13" x14ac:dyDescent="0.25">
      <c r="A2852" s="1">
        <f t="shared" si="352"/>
        <v>46308</v>
      </c>
      <c r="B2852" t="str" cm="1">
        <f t="array" ref="B2852">INDEX(HotelList,MOD(ROW()-2,10)+1)</f>
        <v>H001</v>
      </c>
      <c r="C2852">
        <f>_xlfn.XLOOKUP(B2852,Dim_Hotel!$A$2:$A$11,Dim_Hotel!$F$2:$F$11)</f>
        <v>888</v>
      </c>
      <c r="D2852">
        <f t="shared" si="353"/>
        <v>488</v>
      </c>
      <c r="E2852">
        <f t="shared" si="354"/>
        <v>0.5495495495495496</v>
      </c>
      <c r="F2852">
        <f t="shared" si="355"/>
        <v>260</v>
      </c>
      <c r="G2852">
        <f t="shared" si="356"/>
        <v>142.88288288288288</v>
      </c>
      <c r="H2852" t="str">
        <f>_xlfn.XLOOKUP(A2852,Fact_Events!$D$2:$D$20,Fact_Events!$A$2:$A$20, "")</f>
        <v/>
      </c>
      <c r="I2852">
        <f t="shared" si="357"/>
        <v>0</v>
      </c>
      <c r="J2852" t="str">
        <f>_xlfn.XLOOKUP(H2852, Fact_Events!$A$2:$A$20, Fact_Events!$F$2:$F$20, "")</f>
        <v/>
      </c>
      <c r="K2852" t="str">
        <f t="shared" si="358"/>
        <v>Low</v>
      </c>
      <c r="L2852">
        <f t="shared" si="359"/>
        <v>0.55000000000000004</v>
      </c>
      <c r="M2852">
        <f>_xlfn.XLOOKUP(B2852, Dim_Hotel!$A$2:$A$11, Dim_Hotel!$I$2:$I$11)
 + (IF(J2852="",0,J2852)
    * _xlfn.XLOOKUP(B2852, Dim_Hotel!$A$2:$A$11, Dim_Hotel!$J$2:$J$11))</f>
        <v>260</v>
      </c>
    </row>
    <row r="2853" spans="1:13" x14ac:dyDescent="0.25">
      <c r="A2853" s="1">
        <f t="shared" si="352"/>
        <v>46308</v>
      </c>
      <c r="B2853" t="str" cm="1">
        <f t="array" ref="B2853">INDEX(HotelList,MOD(ROW()-2,10)+1)</f>
        <v>H002</v>
      </c>
      <c r="C2853">
        <f>_xlfn.XLOOKUP(B2853,Dim_Hotel!$A$2:$A$11,Dim_Hotel!$F$2:$F$11)</f>
        <v>147</v>
      </c>
      <c r="D2853">
        <f t="shared" si="353"/>
        <v>81</v>
      </c>
      <c r="E2853">
        <f t="shared" si="354"/>
        <v>0.55102040816326525</v>
      </c>
      <c r="F2853">
        <f t="shared" si="355"/>
        <v>175</v>
      </c>
      <c r="G2853">
        <f t="shared" si="356"/>
        <v>96.428571428571416</v>
      </c>
      <c r="H2853" t="str">
        <f>_xlfn.XLOOKUP(A2853,Fact_Events!$D$2:$D$20,Fact_Events!$A$2:$A$20, "")</f>
        <v/>
      </c>
      <c r="I2853">
        <f t="shared" si="357"/>
        <v>0</v>
      </c>
      <c r="J2853" t="str">
        <f>_xlfn.XLOOKUP(H2853, Fact_Events!$A$2:$A$20, Fact_Events!$F$2:$F$20, "")</f>
        <v/>
      </c>
      <c r="K2853" t="str">
        <f t="shared" si="358"/>
        <v>Low</v>
      </c>
      <c r="L2853">
        <f t="shared" si="359"/>
        <v>0.55000000000000004</v>
      </c>
      <c r="M2853">
        <f>_xlfn.XLOOKUP(B2853, Dim_Hotel!$A$2:$A$11, Dim_Hotel!$I$2:$I$11)
 + (IF(J2853="",0,J2853)
    * _xlfn.XLOOKUP(B2853, Dim_Hotel!$A$2:$A$11, Dim_Hotel!$J$2:$J$11))</f>
        <v>175</v>
      </c>
    </row>
    <row r="2854" spans="1:13" x14ac:dyDescent="0.25">
      <c r="A2854" s="1">
        <f t="shared" si="352"/>
        <v>46308</v>
      </c>
      <c r="B2854" t="str" cm="1">
        <f t="array" ref="B2854">INDEX(HotelList,MOD(ROW()-2,10)+1)</f>
        <v>H003</v>
      </c>
      <c r="C2854">
        <f>_xlfn.XLOOKUP(B2854,Dim_Hotel!$A$2:$A$11,Dim_Hotel!$F$2:$F$11)</f>
        <v>121</v>
      </c>
      <c r="D2854">
        <f t="shared" si="353"/>
        <v>67</v>
      </c>
      <c r="E2854">
        <f t="shared" si="354"/>
        <v>0.55371900826446285</v>
      </c>
      <c r="F2854">
        <f t="shared" si="355"/>
        <v>145</v>
      </c>
      <c r="G2854">
        <f t="shared" si="356"/>
        <v>80.289256198347118</v>
      </c>
      <c r="H2854" t="str">
        <f>_xlfn.XLOOKUP(A2854,Fact_Events!$D$2:$D$20,Fact_Events!$A$2:$A$20, "")</f>
        <v/>
      </c>
      <c r="I2854">
        <f t="shared" si="357"/>
        <v>0</v>
      </c>
      <c r="J2854" t="str">
        <f>_xlfn.XLOOKUP(H2854, Fact_Events!$A$2:$A$20, Fact_Events!$F$2:$F$20, "")</f>
        <v/>
      </c>
      <c r="K2854" t="str">
        <f t="shared" si="358"/>
        <v>Low</v>
      </c>
      <c r="L2854">
        <f t="shared" si="359"/>
        <v>0.55000000000000004</v>
      </c>
      <c r="M2854">
        <f>_xlfn.XLOOKUP(B2854, Dim_Hotel!$A$2:$A$11, Dim_Hotel!$I$2:$I$11)
 + (IF(J2854="",0,J2854)
    * _xlfn.XLOOKUP(B2854, Dim_Hotel!$A$2:$A$11, Dim_Hotel!$J$2:$J$11))</f>
        <v>145</v>
      </c>
    </row>
    <row r="2855" spans="1:13" x14ac:dyDescent="0.25">
      <c r="A2855" s="1">
        <f t="shared" si="352"/>
        <v>46308</v>
      </c>
      <c r="B2855" t="str" cm="1">
        <f t="array" ref="B2855">INDEX(HotelList,MOD(ROW()-2,10)+1)</f>
        <v>H004</v>
      </c>
      <c r="C2855">
        <f>_xlfn.XLOOKUP(B2855,Dim_Hotel!$A$2:$A$11,Dim_Hotel!$F$2:$F$11)</f>
        <v>108</v>
      </c>
      <c r="D2855">
        <f t="shared" si="353"/>
        <v>59</v>
      </c>
      <c r="E2855">
        <f t="shared" si="354"/>
        <v>0.54629629629629628</v>
      </c>
      <c r="F2855">
        <f t="shared" si="355"/>
        <v>135</v>
      </c>
      <c r="G2855">
        <f t="shared" si="356"/>
        <v>73.75</v>
      </c>
      <c r="H2855" t="str">
        <f>_xlfn.XLOOKUP(A2855,Fact_Events!$D$2:$D$20,Fact_Events!$A$2:$A$20, "")</f>
        <v/>
      </c>
      <c r="I2855">
        <f t="shared" si="357"/>
        <v>0</v>
      </c>
      <c r="J2855" t="str">
        <f>_xlfn.XLOOKUP(H2855, Fact_Events!$A$2:$A$20, Fact_Events!$F$2:$F$20, "")</f>
        <v/>
      </c>
      <c r="K2855" t="str">
        <f t="shared" si="358"/>
        <v>Low</v>
      </c>
      <c r="L2855">
        <f t="shared" si="359"/>
        <v>0.55000000000000004</v>
      </c>
      <c r="M2855">
        <f>_xlfn.XLOOKUP(B2855, Dim_Hotel!$A$2:$A$11, Dim_Hotel!$I$2:$I$11)
 + (IF(J2855="",0,J2855)
    * _xlfn.XLOOKUP(B2855, Dim_Hotel!$A$2:$A$11, Dim_Hotel!$J$2:$J$11))</f>
        <v>135</v>
      </c>
    </row>
    <row r="2856" spans="1:13" x14ac:dyDescent="0.25">
      <c r="A2856" s="1">
        <f t="shared" si="352"/>
        <v>46308</v>
      </c>
      <c r="B2856" t="str" cm="1">
        <f t="array" ref="B2856">INDEX(HotelList,MOD(ROW()-2,10)+1)</f>
        <v>H005</v>
      </c>
      <c r="C2856">
        <f>_xlfn.XLOOKUP(B2856,Dim_Hotel!$A$2:$A$11,Dim_Hotel!$F$2:$F$11)</f>
        <v>66</v>
      </c>
      <c r="D2856">
        <f t="shared" si="353"/>
        <v>36</v>
      </c>
      <c r="E2856">
        <f t="shared" si="354"/>
        <v>0.54545454545454541</v>
      </c>
      <c r="F2856">
        <f t="shared" si="355"/>
        <v>82</v>
      </c>
      <c r="G2856">
        <f t="shared" si="356"/>
        <v>44.727272727272727</v>
      </c>
      <c r="H2856" t="str">
        <f>_xlfn.XLOOKUP(A2856,Fact_Events!$D$2:$D$20,Fact_Events!$A$2:$A$20, "")</f>
        <v/>
      </c>
      <c r="I2856">
        <f t="shared" si="357"/>
        <v>0</v>
      </c>
      <c r="J2856" t="str">
        <f>_xlfn.XLOOKUP(H2856, Fact_Events!$A$2:$A$20, Fact_Events!$F$2:$F$20, "")</f>
        <v/>
      </c>
      <c r="K2856" t="str">
        <f t="shared" si="358"/>
        <v>Low</v>
      </c>
      <c r="L2856">
        <f t="shared" si="359"/>
        <v>0.55000000000000004</v>
      </c>
      <c r="M2856">
        <f>_xlfn.XLOOKUP(B2856, Dim_Hotel!$A$2:$A$11, Dim_Hotel!$I$2:$I$11)
 + (IF(J2856="",0,J2856)
    * _xlfn.XLOOKUP(B2856, Dim_Hotel!$A$2:$A$11, Dim_Hotel!$J$2:$J$11))</f>
        <v>82</v>
      </c>
    </row>
    <row r="2857" spans="1:13" x14ac:dyDescent="0.25">
      <c r="A2857" s="1">
        <f t="shared" si="352"/>
        <v>46308</v>
      </c>
      <c r="B2857" t="str" cm="1">
        <f t="array" ref="B2857">INDEX(HotelList,MOD(ROW()-2,10)+1)</f>
        <v>H006</v>
      </c>
      <c r="C2857">
        <f>_xlfn.XLOOKUP(B2857,Dim_Hotel!$A$2:$A$11,Dim_Hotel!$F$2:$F$11)</f>
        <v>311</v>
      </c>
      <c r="D2857">
        <f t="shared" si="353"/>
        <v>171</v>
      </c>
      <c r="E2857">
        <f t="shared" si="354"/>
        <v>0.54983922829581988</v>
      </c>
      <c r="F2857">
        <f t="shared" si="355"/>
        <v>190</v>
      </c>
      <c r="G2857">
        <f t="shared" si="356"/>
        <v>104.46945337620578</v>
      </c>
      <c r="H2857" t="str">
        <f>_xlfn.XLOOKUP(A2857,Fact_Events!$D$2:$D$20,Fact_Events!$A$2:$A$20, "")</f>
        <v/>
      </c>
      <c r="I2857">
        <f t="shared" si="357"/>
        <v>0</v>
      </c>
      <c r="J2857" t="str">
        <f>_xlfn.XLOOKUP(H2857, Fact_Events!$A$2:$A$20, Fact_Events!$F$2:$F$20, "")</f>
        <v/>
      </c>
      <c r="K2857" t="str">
        <f t="shared" si="358"/>
        <v>Low</v>
      </c>
      <c r="L2857">
        <f t="shared" si="359"/>
        <v>0.55000000000000004</v>
      </c>
      <c r="M2857">
        <f>_xlfn.XLOOKUP(B2857, Dim_Hotel!$A$2:$A$11, Dim_Hotel!$I$2:$I$11)
 + (IF(J2857="",0,J2857)
    * _xlfn.XLOOKUP(B2857, Dim_Hotel!$A$2:$A$11, Dim_Hotel!$J$2:$J$11))</f>
        <v>190</v>
      </c>
    </row>
    <row r="2858" spans="1:13" x14ac:dyDescent="0.25">
      <c r="A2858" s="1">
        <f t="shared" si="352"/>
        <v>46308</v>
      </c>
      <c r="B2858" t="str" cm="1">
        <f t="array" ref="B2858">INDEX(HotelList,MOD(ROW()-2,10)+1)</f>
        <v>H007</v>
      </c>
      <c r="C2858">
        <f>_xlfn.XLOOKUP(B2858,Dim_Hotel!$A$2:$A$11,Dim_Hotel!$F$2:$F$11)</f>
        <v>132</v>
      </c>
      <c r="D2858">
        <f t="shared" si="353"/>
        <v>73</v>
      </c>
      <c r="E2858">
        <f t="shared" si="354"/>
        <v>0.55303030303030298</v>
      </c>
      <c r="F2858">
        <f t="shared" si="355"/>
        <v>165</v>
      </c>
      <c r="G2858">
        <f t="shared" si="356"/>
        <v>91.249999999999986</v>
      </c>
      <c r="H2858" t="str">
        <f>_xlfn.XLOOKUP(A2858,Fact_Events!$D$2:$D$20,Fact_Events!$A$2:$A$20, "")</f>
        <v/>
      </c>
      <c r="I2858">
        <f t="shared" si="357"/>
        <v>0</v>
      </c>
      <c r="J2858" t="str">
        <f>_xlfn.XLOOKUP(H2858, Fact_Events!$A$2:$A$20, Fact_Events!$F$2:$F$20, "")</f>
        <v/>
      </c>
      <c r="K2858" t="str">
        <f t="shared" si="358"/>
        <v>Low</v>
      </c>
      <c r="L2858">
        <f t="shared" si="359"/>
        <v>0.55000000000000004</v>
      </c>
      <c r="M2858">
        <f>_xlfn.XLOOKUP(B2858, Dim_Hotel!$A$2:$A$11, Dim_Hotel!$I$2:$I$11)
 + (IF(J2858="",0,J2858)
    * _xlfn.XLOOKUP(B2858, Dim_Hotel!$A$2:$A$11, Dim_Hotel!$J$2:$J$11))</f>
        <v>165</v>
      </c>
    </row>
    <row r="2859" spans="1:13" x14ac:dyDescent="0.25">
      <c r="A2859" s="1">
        <f t="shared" si="352"/>
        <v>46308</v>
      </c>
      <c r="B2859" t="str" cm="1">
        <f t="array" ref="B2859">INDEX(HotelList,MOD(ROW()-2,10)+1)</f>
        <v>H008</v>
      </c>
      <c r="C2859">
        <f>_xlfn.XLOOKUP(B2859,Dim_Hotel!$A$2:$A$11,Dim_Hotel!$F$2:$F$11)</f>
        <v>103</v>
      </c>
      <c r="D2859">
        <f t="shared" si="353"/>
        <v>57</v>
      </c>
      <c r="E2859">
        <f t="shared" si="354"/>
        <v>0.55339805825242716</v>
      </c>
      <c r="F2859">
        <f t="shared" si="355"/>
        <v>140</v>
      </c>
      <c r="G2859">
        <f t="shared" si="356"/>
        <v>77.475728155339809</v>
      </c>
      <c r="H2859" t="str">
        <f>_xlfn.XLOOKUP(A2859,Fact_Events!$D$2:$D$20,Fact_Events!$A$2:$A$20, "")</f>
        <v/>
      </c>
      <c r="I2859">
        <f t="shared" si="357"/>
        <v>0</v>
      </c>
      <c r="J2859" t="str">
        <f>_xlfn.XLOOKUP(H2859, Fact_Events!$A$2:$A$20, Fact_Events!$F$2:$F$20, "")</f>
        <v/>
      </c>
      <c r="K2859" t="str">
        <f t="shared" si="358"/>
        <v>Low</v>
      </c>
      <c r="L2859">
        <f t="shared" si="359"/>
        <v>0.55000000000000004</v>
      </c>
      <c r="M2859">
        <f>_xlfn.XLOOKUP(B2859, Dim_Hotel!$A$2:$A$11, Dim_Hotel!$I$2:$I$11)
 + (IF(J2859="",0,J2859)
    * _xlfn.XLOOKUP(B2859, Dim_Hotel!$A$2:$A$11, Dim_Hotel!$J$2:$J$11))</f>
        <v>140</v>
      </c>
    </row>
    <row r="2860" spans="1:13" x14ac:dyDescent="0.25">
      <c r="A2860" s="1">
        <f t="shared" si="352"/>
        <v>46308</v>
      </c>
      <c r="B2860" t="str" cm="1">
        <f t="array" ref="B2860">INDEX(HotelList,MOD(ROW()-2,10)+1)</f>
        <v>H009</v>
      </c>
      <c r="C2860">
        <f>_xlfn.XLOOKUP(B2860,Dim_Hotel!$A$2:$A$11,Dim_Hotel!$F$2:$F$11)</f>
        <v>114</v>
      </c>
      <c r="D2860">
        <f t="shared" si="353"/>
        <v>63</v>
      </c>
      <c r="E2860">
        <f t="shared" si="354"/>
        <v>0.55263157894736847</v>
      </c>
      <c r="F2860">
        <f t="shared" si="355"/>
        <v>185</v>
      </c>
      <c r="G2860">
        <f t="shared" si="356"/>
        <v>102.23684210526316</v>
      </c>
      <c r="H2860" t="str">
        <f>_xlfn.XLOOKUP(A2860,Fact_Events!$D$2:$D$20,Fact_Events!$A$2:$A$20, "")</f>
        <v/>
      </c>
      <c r="I2860">
        <f t="shared" si="357"/>
        <v>0</v>
      </c>
      <c r="J2860" t="str">
        <f>_xlfn.XLOOKUP(H2860, Fact_Events!$A$2:$A$20, Fact_Events!$F$2:$F$20, "")</f>
        <v/>
      </c>
      <c r="K2860" t="str">
        <f t="shared" si="358"/>
        <v>Low</v>
      </c>
      <c r="L2860">
        <f t="shared" si="359"/>
        <v>0.55000000000000004</v>
      </c>
      <c r="M2860">
        <f>_xlfn.XLOOKUP(B2860, Dim_Hotel!$A$2:$A$11, Dim_Hotel!$I$2:$I$11)
 + (IF(J2860="",0,J2860)
    * _xlfn.XLOOKUP(B2860, Dim_Hotel!$A$2:$A$11, Dim_Hotel!$J$2:$J$11))</f>
        <v>185</v>
      </c>
    </row>
    <row r="2861" spans="1:13" x14ac:dyDescent="0.25">
      <c r="A2861" s="1">
        <f t="shared" si="352"/>
        <v>46308</v>
      </c>
      <c r="B2861" t="str" cm="1">
        <f t="array" ref="B2861">INDEX(HotelList,MOD(ROW()-2,10)+1)</f>
        <v>H010</v>
      </c>
      <c r="C2861">
        <f>_xlfn.XLOOKUP(B2861,Dim_Hotel!$A$2:$A$11,Dim_Hotel!$F$2:$F$11)</f>
        <v>89</v>
      </c>
      <c r="D2861">
        <f t="shared" si="353"/>
        <v>49</v>
      </c>
      <c r="E2861">
        <f t="shared" si="354"/>
        <v>0.550561797752809</v>
      </c>
      <c r="F2861">
        <f t="shared" si="355"/>
        <v>150</v>
      </c>
      <c r="G2861">
        <f t="shared" si="356"/>
        <v>82.584269662921344</v>
      </c>
      <c r="H2861" t="str">
        <f>_xlfn.XLOOKUP(A2861,Fact_Events!$D$2:$D$20,Fact_Events!$A$2:$A$20, "")</f>
        <v/>
      </c>
      <c r="I2861">
        <f t="shared" si="357"/>
        <v>0</v>
      </c>
      <c r="J2861" t="str">
        <f>_xlfn.XLOOKUP(H2861, Fact_Events!$A$2:$A$20, Fact_Events!$F$2:$F$20, "")</f>
        <v/>
      </c>
      <c r="K2861" t="str">
        <f t="shared" si="358"/>
        <v>Low</v>
      </c>
      <c r="L2861">
        <f t="shared" si="359"/>
        <v>0.55000000000000004</v>
      </c>
      <c r="M2861">
        <f>_xlfn.XLOOKUP(B2861, Dim_Hotel!$A$2:$A$11, Dim_Hotel!$I$2:$I$11)
 + (IF(J2861="",0,J2861)
    * _xlfn.XLOOKUP(B2861, Dim_Hotel!$A$2:$A$11, Dim_Hotel!$J$2:$J$11))</f>
        <v>150</v>
      </c>
    </row>
    <row r="2862" spans="1:13" x14ac:dyDescent="0.25">
      <c r="A2862" s="1">
        <f t="shared" si="352"/>
        <v>46309</v>
      </c>
      <c r="B2862" t="str" cm="1">
        <f t="array" ref="B2862">INDEX(HotelList,MOD(ROW()-2,10)+1)</f>
        <v>H001</v>
      </c>
      <c r="C2862">
        <f>_xlfn.XLOOKUP(B2862,Dim_Hotel!$A$2:$A$11,Dim_Hotel!$F$2:$F$11)</f>
        <v>888</v>
      </c>
      <c r="D2862">
        <f t="shared" si="353"/>
        <v>488</v>
      </c>
      <c r="E2862">
        <f t="shared" si="354"/>
        <v>0.5495495495495496</v>
      </c>
      <c r="F2862">
        <f t="shared" si="355"/>
        <v>260</v>
      </c>
      <c r="G2862">
        <f t="shared" si="356"/>
        <v>142.88288288288288</v>
      </c>
      <c r="H2862" t="str">
        <f>_xlfn.XLOOKUP(A2862,Fact_Events!$D$2:$D$20,Fact_Events!$A$2:$A$20, "")</f>
        <v/>
      </c>
      <c r="I2862">
        <f t="shared" si="357"/>
        <v>0</v>
      </c>
      <c r="J2862" t="str">
        <f>_xlfn.XLOOKUP(H2862, Fact_Events!$A$2:$A$20, Fact_Events!$F$2:$F$20, "")</f>
        <v/>
      </c>
      <c r="K2862" t="str">
        <f t="shared" si="358"/>
        <v>Low</v>
      </c>
      <c r="L2862">
        <f t="shared" si="359"/>
        <v>0.55000000000000004</v>
      </c>
      <c r="M2862">
        <f>_xlfn.XLOOKUP(B2862, Dim_Hotel!$A$2:$A$11, Dim_Hotel!$I$2:$I$11)
 + (IF(J2862="",0,J2862)
    * _xlfn.XLOOKUP(B2862, Dim_Hotel!$A$2:$A$11, Dim_Hotel!$J$2:$J$11))</f>
        <v>260</v>
      </c>
    </row>
    <row r="2863" spans="1:13" x14ac:dyDescent="0.25">
      <c r="A2863" s="1">
        <f t="shared" si="352"/>
        <v>46309</v>
      </c>
      <c r="B2863" t="str" cm="1">
        <f t="array" ref="B2863">INDEX(HotelList,MOD(ROW()-2,10)+1)</f>
        <v>H002</v>
      </c>
      <c r="C2863">
        <f>_xlfn.XLOOKUP(B2863,Dim_Hotel!$A$2:$A$11,Dim_Hotel!$F$2:$F$11)</f>
        <v>147</v>
      </c>
      <c r="D2863">
        <f t="shared" si="353"/>
        <v>81</v>
      </c>
      <c r="E2863">
        <f t="shared" si="354"/>
        <v>0.55102040816326525</v>
      </c>
      <c r="F2863">
        <f t="shared" si="355"/>
        <v>175</v>
      </c>
      <c r="G2863">
        <f t="shared" si="356"/>
        <v>96.428571428571416</v>
      </c>
      <c r="H2863" t="str">
        <f>_xlfn.XLOOKUP(A2863,Fact_Events!$D$2:$D$20,Fact_Events!$A$2:$A$20, "")</f>
        <v/>
      </c>
      <c r="I2863">
        <f t="shared" si="357"/>
        <v>0</v>
      </c>
      <c r="J2863" t="str">
        <f>_xlfn.XLOOKUP(H2863, Fact_Events!$A$2:$A$20, Fact_Events!$F$2:$F$20, "")</f>
        <v/>
      </c>
      <c r="K2863" t="str">
        <f t="shared" si="358"/>
        <v>Low</v>
      </c>
      <c r="L2863">
        <f t="shared" si="359"/>
        <v>0.55000000000000004</v>
      </c>
      <c r="M2863">
        <f>_xlfn.XLOOKUP(B2863, Dim_Hotel!$A$2:$A$11, Dim_Hotel!$I$2:$I$11)
 + (IF(J2863="",0,J2863)
    * _xlfn.XLOOKUP(B2863, Dim_Hotel!$A$2:$A$11, Dim_Hotel!$J$2:$J$11))</f>
        <v>175</v>
      </c>
    </row>
    <row r="2864" spans="1:13" x14ac:dyDescent="0.25">
      <c r="A2864" s="1">
        <f t="shared" si="352"/>
        <v>46309</v>
      </c>
      <c r="B2864" t="str" cm="1">
        <f t="array" ref="B2864">INDEX(HotelList,MOD(ROW()-2,10)+1)</f>
        <v>H003</v>
      </c>
      <c r="C2864">
        <f>_xlfn.XLOOKUP(B2864,Dim_Hotel!$A$2:$A$11,Dim_Hotel!$F$2:$F$11)</f>
        <v>121</v>
      </c>
      <c r="D2864">
        <f t="shared" si="353"/>
        <v>67</v>
      </c>
      <c r="E2864">
        <f t="shared" si="354"/>
        <v>0.55371900826446285</v>
      </c>
      <c r="F2864">
        <f t="shared" si="355"/>
        <v>145</v>
      </c>
      <c r="G2864">
        <f t="shared" si="356"/>
        <v>80.289256198347118</v>
      </c>
      <c r="H2864" t="str">
        <f>_xlfn.XLOOKUP(A2864,Fact_Events!$D$2:$D$20,Fact_Events!$A$2:$A$20, "")</f>
        <v/>
      </c>
      <c r="I2864">
        <f t="shared" si="357"/>
        <v>0</v>
      </c>
      <c r="J2864" t="str">
        <f>_xlfn.XLOOKUP(H2864, Fact_Events!$A$2:$A$20, Fact_Events!$F$2:$F$20, "")</f>
        <v/>
      </c>
      <c r="K2864" t="str">
        <f t="shared" si="358"/>
        <v>Low</v>
      </c>
      <c r="L2864">
        <f t="shared" si="359"/>
        <v>0.55000000000000004</v>
      </c>
      <c r="M2864">
        <f>_xlfn.XLOOKUP(B2864, Dim_Hotel!$A$2:$A$11, Dim_Hotel!$I$2:$I$11)
 + (IF(J2864="",0,J2864)
    * _xlfn.XLOOKUP(B2864, Dim_Hotel!$A$2:$A$11, Dim_Hotel!$J$2:$J$11))</f>
        <v>145</v>
      </c>
    </row>
    <row r="2865" spans="1:13" x14ac:dyDescent="0.25">
      <c r="A2865" s="1">
        <f t="shared" si="352"/>
        <v>46309</v>
      </c>
      <c r="B2865" t="str" cm="1">
        <f t="array" ref="B2865">INDEX(HotelList,MOD(ROW()-2,10)+1)</f>
        <v>H004</v>
      </c>
      <c r="C2865">
        <f>_xlfn.XLOOKUP(B2865,Dim_Hotel!$A$2:$A$11,Dim_Hotel!$F$2:$F$11)</f>
        <v>108</v>
      </c>
      <c r="D2865">
        <f t="shared" si="353"/>
        <v>59</v>
      </c>
      <c r="E2865">
        <f t="shared" si="354"/>
        <v>0.54629629629629628</v>
      </c>
      <c r="F2865">
        <f t="shared" si="355"/>
        <v>135</v>
      </c>
      <c r="G2865">
        <f t="shared" si="356"/>
        <v>73.75</v>
      </c>
      <c r="H2865" t="str">
        <f>_xlfn.XLOOKUP(A2865,Fact_Events!$D$2:$D$20,Fact_Events!$A$2:$A$20, "")</f>
        <v/>
      </c>
      <c r="I2865">
        <f t="shared" si="357"/>
        <v>0</v>
      </c>
      <c r="J2865" t="str">
        <f>_xlfn.XLOOKUP(H2865, Fact_Events!$A$2:$A$20, Fact_Events!$F$2:$F$20, "")</f>
        <v/>
      </c>
      <c r="K2865" t="str">
        <f t="shared" si="358"/>
        <v>Low</v>
      </c>
      <c r="L2865">
        <f t="shared" si="359"/>
        <v>0.55000000000000004</v>
      </c>
      <c r="M2865">
        <f>_xlfn.XLOOKUP(B2865, Dim_Hotel!$A$2:$A$11, Dim_Hotel!$I$2:$I$11)
 + (IF(J2865="",0,J2865)
    * _xlfn.XLOOKUP(B2865, Dim_Hotel!$A$2:$A$11, Dim_Hotel!$J$2:$J$11))</f>
        <v>135</v>
      </c>
    </row>
    <row r="2866" spans="1:13" x14ac:dyDescent="0.25">
      <c r="A2866" s="1">
        <f t="shared" si="352"/>
        <v>46309</v>
      </c>
      <c r="B2866" t="str" cm="1">
        <f t="array" ref="B2866">INDEX(HotelList,MOD(ROW()-2,10)+1)</f>
        <v>H005</v>
      </c>
      <c r="C2866">
        <f>_xlfn.XLOOKUP(B2866,Dim_Hotel!$A$2:$A$11,Dim_Hotel!$F$2:$F$11)</f>
        <v>66</v>
      </c>
      <c r="D2866">
        <f t="shared" si="353"/>
        <v>36</v>
      </c>
      <c r="E2866">
        <f t="shared" si="354"/>
        <v>0.54545454545454541</v>
      </c>
      <c r="F2866">
        <f t="shared" si="355"/>
        <v>82</v>
      </c>
      <c r="G2866">
        <f t="shared" si="356"/>
        <v>44.727272727272727</v>
      </c>
      <c r="H2866" t="str">
        <f>_xlfn.XLOOKUP(A2866,Fact_Events!$D$2:$D$20,Fact_Events!$A$2:$A$20, "")</f>
        <v/>
      </c>
      <c r="I2866">
        <f t="shared" si="357"/>
        <v>0</v>
      </c>
      <c r="J2866" t="str">
        <f>_xlfn.XLOOKUP(H2866, Fact_Events!$A$2:$A$20, Fact_Events!$F$2:$F$20, "")</f>
        <v/>
      </c>
      <c r="K2866" t="str">
        <f t="shared" si="358"/>
        <v>Low</v>
      </c>
      <c r="L2866">
        <f t="shared" si="359"/>
        <v>0.55000000000000004</v>
      </c>
      <c r="M2866">
        <f>_xlfn.XLOOKUP(B2866, Dim_Hotel!$A$2:$A$11, Dim_Hotel!$I$2:$I$11)
 + (IF(J2866="",0,J2866)
    * _xlfn.XLOOKUP(B2866, Dim_Hotel!$A$2:$A$11, Dim_Hotel!$J$2:$J$11))</f>
        <v>82</v>
      </c>
    </row>
    <row r="2867" spans="1:13" x14ac:dyDescent="0.25">
      <c r="A2867" s="1">
        <f t="shared" si="352"/>
        <v>46309</v>
      </c>
      <c r="B2867" t="str" cm="1">
        <f t="array" ref="B2867">INDEX(HotelList,MOD(ROW()-2,10)+1)</f>
        <v>H006</v>
      </c>
      <c r="C2867">
        <f>_xlfn.XLOOKUP(B2867,Dim_Hotel!$A$2:$A$11,Dim_Hotel!$F$2:$F$11)</f>
        <v>311</v>
      </c>
      <c r="D2867">
        <f t="shared" si="353"/>
        <v>171</v>
      </c>
      <c r="E2867">
        <f t="shared" si="354"/>
        <v>0.54983922829581988</v>
      </c>
      <c r="F2867">
        <f t="shared" si="355"/>
        <v>190</v>
      </c>
      <c r="G2867">
        <f t="shared" si="356"/>
        <v>104.46945337620578</v>
      </c>
      <c r="H2867" t="str">
        <f>_xlfn.XLOOKUP(A2867,Fact_Events!$D$2:$D$20,Fact_Events!$A$2:$A$20, "")</f>
        <v/>
      </c>
      <c r="I2867">
        <f t="shared" si="357"/>
        <v>0</v>
      </c>
      <c r="J2867" t="str">
        <f>_xlfn.XLOOKUP(H2867, Fact_Events!$A$2:$A$20, Fact_Events!$F$2:$F$20, "")</f>
        <v/>
      </c>
      <c r="K2867" t="str">
        <f t="shared" si="358"/>
        <v>Low</v>
      </c>
      <c r="L2867">
        <f t="shared" si="359"/>
        <v>0.55000000000000004</v>
      </c>
      <c r="M2867">
        <f>_xlfn.XLOOKUP(B2867, Dim_Hotel!$A$2:$A$11, Dim_Hotel!$I$2:$I$11)
 + (IF(J2867="",0,J2867)
    * _xlfn.XLOOKUP(B2867, Dim_Hotel!$A$2:$A$11, Dim_Hotel!$J$2:$J$11))</f>
        <v>190</v>
      </c>
    </row>
    <row r="2868" spans="1:13" x14ac:dyDescent="0.25">
      <c r="A2868" s="1">
        <f t="shared" si="352"/>
        <v>46309</v>
      </c>
      <c r="B2868" t="str" cm="1">
        <f t="array" ref="B2868">INDEX(HotelList,MOD(ROW()-2,10)+1)</f>
        <v>H007</v>
      </c>
      <c r="C2868">
        <f>_xlfn.XLOOKUP(B2868,Dim_Hotel!$A$2:$A$11,Dim_Hotel!$F$2:$F$11)</f>
        <v>132</v>
      </c>
      <c r="D2868">
        <f t="shared" si="353"/>
        <v>73</v>
      </c>
      <c r="E2868">
        <f t="shared" si="354"/>
        <v>0.55303030303030298</v>
      </c>
      <c r="F2868">
        <f t="shared" si="355"/>
        <v>165</v>
      </c>
      <c r="G2868">
        <f t="shared" si="356"/>
        <v>91.249999999999986</v>
      </c>
      <c r="H2868" t="str">
        <f>_xlfn.XLOOKUP(A2868,Fact_Events!$D$2:$D$20,Fact_Events!$A$2:$A$20, "")</f>
        <v/>
      </c>
      <c r="I2868">
        <f t="shared" si="357"/>
        <v>0</v>
      </c>
      <c r="J2868" t="str">
        <f>_xlfn.XLOOKUP(H2868, Fact_Events!$A$2:$A$20, Fact_Events!$F$2:$F$20, "")</f>
        <v/>
      </c>
      <c r="K2868" t="str">
        <f t="shared" si="358"/>
        <v>Low</v>
      </c>
      <c r="L2868">
        <f t="shared" si="359"/>
        <v>0.55000000000000004</v>
      </c>
      <c r="M2868">
        <f>_xlfn.XLOOKUP(B2868, Dim_Hotel!$A$2:$A$11, Dim_Hotel!$I$2:$I$11)
 + (IF(J2868="",0,J2868)
    * _xlfn.XLOOKUP(B2868, Dim_Hotel!$A$2:$A$11, Dim_Hotel!$J$2:$J$11))</f>
        <v>165</v>
      </c>
    </row>
    <row r="2869" spans="1:13" x14ac:dyDescent="0.25">
      <c r="A2869" s="1">
        <f t="shared" si="352"/>
        <v>46309</v>
      </c>
      <c r="B2869" t="str" cm="1">
        <f t="array" ref="B2869">INDEX(HotelList,MOD(ROW()-2,10)+1)</f>
        <v>H008</v>
      </c>
      <c r="C2869">
        <f>_xlfn.XLOOKUP(B2869,Dim_Hotel!$A$2:$A$11,Dim_Hotel!$F$2:$F$11)</f>
        <v>103</v>
      </c>
      <c r="D2869">
        <f t="shared" si="353"/>
        <v>57</v>
      </c>
      <c r="E2869">
        <f t="shared" si="354"/>
        <v>0.55339805825242716</v>
      </c>
      <c r="F2869">
        <f t="shared" si="355"/>
        <v>140</v>
      </c>
      <c r="G2869">
        <f t="shared" si="356"/>
        <v>77.475728155339809</v>
      </c>
      <c r="H2869" t="str">
        <f>_xlfn.XLOOKUP(A2869,Fact_Events!$D$2:$D$20,Fact_Events!$A$2:$A$20, "")</f>
        <v/>
      </c>
      <c r="I2869">
        <f t="shared" si="357"/>
        <v>0</v>
      </c>
      <c r="J2869" t="str">
        <f>_xlfn.XLOOKUP(H2869, Fact_Events!$A$2:$A$20, Fact_Events!$F$2:$F$20, "")</f>
        <v/>
      </c>
      <c r="K2869" t="str">
        <f t="shared" si="358"/>
        <v>Low</v>
      </c>
      <c r="L2869">
        <f t="shared" si="359"/>
        <v>0.55000000000000004</v>
      </c>
      <c r="M2869">
        <f>_xlfn.XLOOKUP(B2869, Dim_Hotel!$A$2:$A$11, Dim_Hotel!$I$2:$I$11)
 + (IF(J2869="",0,J2869)
    * _xlfn.XLOOKUP(B2869, Dim_Hotel!$A$2:$A$11, Dim_Hotel!$J$2:$J$11))</f>
        <v>140</v>
      </c>
    </row>
    <row r="2870" spans="1:13" x14ac:dyDescent="0.25">
      <c r="A2870" s="1">
        <f t="shared" si="352"/>
        <v>46309</v>
      </c>
      <c r="B2870" t="str" cm="1">
        <f t="array" ref="B2870">INDEX(HotelList,MOD(ROW()-2,10)+1)</f>
        <v>H009</v>
      </c>
      <c r="C2870">
        <f>_xlfn.XLOOKUP(B2870,Dim_Hotel!$A$2:$A$11,Dim_Hotel!$F$2:$F$11)</f>
        <v>114</v>
      </c>
      <c r="D2870">
        <f t="shared" si="353"/>
        <v>63</v>
      </c>
      <c r="E2870">
        <f t="shared" si="354"/>
        <v>0.55263157894736847</v>
      </c>
      <c r="F2870">
        <f t="shared" si="355"/>
        <v>185</v>
      </c>
      <c r="G2870">
        <f t="shared" si="356"/>
        <v>102.23684210526316</v>
      </c>
      <c r="H2870" t="str">
        <f>_xlfn.XLOOKUP(A2870,Fact_Events!$D$2:$D$20,Fact_Events!$A$2:$A$20, "")</f>
        <v/>
      </c>
      <c r="I2870">
        <f t="shared" si="357"/>
        <v>0</v>
      </c>
      <c r="J2870" t="str">
        <f>_xlfn.XLOOKUP(H2870, Fact_Events!$A$2:$A$20, Fact_Events!$F$2:$F$20, "")</f>
        <v/>
      </c>
      <c r="K2870" t="str">
        <f t="shared" si="358"/>
        <v>Low</v>
      </c>
      <c r="L2870">
        <f t="shared" si="359"/>
        <v>0.55000000000000004</v>
      </c>
      <c r="M2870">
        <f>_xlfn.XLOOKUP(B2870, Dim_Hotel!$A$2:$A$11, Dim_Hotel!$I$2:$I$11)
 + (IF(J2870="",0,J2870)
    * _xlfn.XLOOKUP(B2870, Dim_Hotel!$A$2:$A$11, Dim_Hotel!$J$2:$J$11))</f>
        <v>185</v>
      </c>
    </row>
    <row r="2871" spans="1:13" x14ac:dyDescent="0.25">
      <c r="A2871" s="1">
        <f t="shared" si="352"/>
        <v>46309</v>
      </c>
      <c r="B2871" t="str" cm="1">
        <f t="array" ref="B2871">INDEX(HotelList,MOD(ROW()-2,10)+1)</f>
        <v>H010</v>
      </c>
      <c r="C2871">
        <f>_xlfn.XLOOKUP(B2871,Dim_Hotel!$A$2:$A$11,Dim_Hotel!$F$2:$F$11)</f>
        <v>89</v>
      </c>
      <c r="D2871">
        <f t="shared" si="353"/>
        <v>49</v>
      </c>
      <c r="E2871">
        <f t="shared" si="354"/>
        <v>0.550561797752809</v>
      </c>
      <c r="F2871">
        <f t="shared" si="355"/>
        <v>150</v>
      </c>
      <c r="G2871">
        <f t="shared" si="356"/>
        <v>82.584269662921344</v>
      </c>
      <c r="H2871" t="str">
        <f>_xlfn.XLOOKUP(A2871,Fact_Events!$D$2:$D$20,Fact_Events!$A$2:$A$20, "")</f>
        <v/>
      </c>
      <c r="I2871">
        <f t="shared" si="357"/>
        <v>0</v>
      </c>
      <c r="J2871" t="str">
        <f>_xlfn.XLOOKUP(H2871, Fact_Events!$A$2:$A$20, Fact_Events!$F$2:$F$20, "")</f>
        <v/>
      </c>
      <c r="K2871" t="str">
        <f t="shared" si="358"/>
        <v>Low</v>
      </c>
      <c r="L2871">
        <f t="shared" si="359"/>
        <v>0.55000000000000004</v>
      </c>
      <c r="M2871">
        <f>_xlfn.XLOOKUP(B2871, Dim_Hotel!$A$2:$A$11, Dim_Hotel!$I$2:$I$11)
 + (IF(J2871="",0,J2871)
    * _xlfn.XLOOKUP(B2871, Dim_Hotel!$A$2:$A$11, Dim_Hotel!$J$2:$J$11))</f>
        <v>150</v>
      </c>
    </row>
    <row r="2872" spans="1:13" x14ac:dyDescent="0.25">
      <c r="A2872" s="1">
        <f t="shared" si="352"/>
        <v>46310</v>
      </c>
      <c r="B2872" t="str" cm="1">
        <f t="array" ref="B2872">INDEX(HotelList,MOD(ROW()-2,10)+1)</f>
        <v>H001</v>
      </c>
      <c r="C2872">
        <f>_xlfn.XLOOKUP(B2872,Dim_Hotel!$A$2:$A$11,Dim_Hotel!$F$2:$F$11)</f>
        <v>888</v>
      </c>
      <c r="D2872">
        <f t="shared" si="353"/>
        <v>488</v>
      </c>
      <c r="E2872">
        <f t="shared" si="354"/>
        <v>0.5495495495495496</v>
      </c>
      <c r="F2872">
        <f t="shared" si="355"/>
        <v>260</v>
      </c>
      <c r="G2872">
        <f t="shared" si="356"/>
        <v>142.88288288288288</v>
      </c>
      <c r="H2872" t="str">
        <f>_xlfn.XLOOKUP(A2872,Fact_Events!$D$2:$D$20,Fact_Events!$A$2:$A$20, "")</f>
        <v/>
      </c>
      <c r="I2872">
        <f t="shared" si="357"/>
        <v>0</v>
      </c>
      <c r="J2872" t="str">
        <f>_xlfn.XLOOKUP(H2872, Fact_Events!$A$2:$A$20, Fact_Events!$F$2:$F$20, "")</f>
        <v/>
      </c>
      <c r="K2872" t="str">
        <f t="shared" si="358"/>
        <v>Low</v>
      </c>
      <c r="L2872">
        <f t="shared" si="359"/>
        <v>0.55000000000000004</v>
      </c>
      <c r="M2872">
        <f>_xlfn.XLOOKUP(B2872, Dim_Hotel!$A$2:$A$11, Dim_Hotel!$I$2:$I$11)
 + (IF(J2872="",0,J2872)
    * _xlfn.XLOOKUP(B2872, Dim_Hotel!$A$2:$A$11, Dim_Hotel!$J$2:$J$11))</f>
        <v>260</v>
      </c>
    </row>
    <row r="2873" spans="1:13" x14ac:dyDescent="0.25">
      <c r="A2873" s="1">
        <f t="shared" si="352"/>
        <v>46310</v>
      </c>
      <c r="B2873" t="str" cm="1">
        <f t="array" ref="B2873">INDEX(HotelList,MOD(ROW()-2,10)+1)</f>
        <v>H002</v>
      </c>
      <c r="C2873">
        <f>_xlfn.XLOOKUP(B2873,Dim_Hotel!$A$2:$A$11,Dim_Hotel!$F$2:$F$11)</f>
        <v>147</v>
      </c>
      <c r="D2873">
        <f t="shared" si="353"/>
        <v>81</v>
      </c>
      <c r="E2873">
        <f t="shared" si="354"/>
        <v>0.55102040816326525</v>
      </c>
      <c r="F2873">
        <f t="shared" si="355"/>
        <v>175</v>
      </c>
      <c r="G2873">
        <f t="shared" si="356"/>
        <v>96.428571428571416</v>
      </c>
      <c r="H2873" t="str">
        <f>_xlfn.XLOOKUP(A2873,Fact_Events!$D$2:$D$20,Fact_Events!$A$2:$A$20, "")</f>
        <v/>
      </c>
      <c r="I2873">
        <f t="shared" si="357"/>
        <v>0</v>
      </c>
      <c r="J2873" t="str">
        <f>_xlfn.XLOOKUP(H2873, Fact_Events!$A$2:$A$20, Fact_Events!$F$2:$F$20, "")</f>
        <v/>
      </c>
      <c r="K2873" t="str">
        <f t="shared" si="358"/>
        <v>Low</v>
      </c>
      <c r="L2873">
        <f t="shared" si="359"/>
        <v>0.55000000000000004</v>
      </c>
      <c r="M2873">
        <f>_xlfn.XLOOKUP(B2873, Dim_Hotel!$A$2:$A$11, Dim_Hotel!$I$2:$I$11)
 + (IF(J2873="",0,J2873)
    * _xlfn.XLOOKUP(B2873, Dim_Hotel!$A$2:$A$11, Dim_Hotel!$J$2:$J$11))</f>
        <v>175</v>
      </c>
    </row>
    <row r="2874" spans="1:13" x14ac:dyDescent="0.25">
      <c r="A2874" s="1">
        <f t="shared" si="352"/>
        <v>46310</v>
      </c>
      <c r="B2874" t="str" cm="1">
        <f t="array" ref="B2874">INDEX(HotelList,MOD(ROW()-2,10)+1)</f>
        <v>H003</v>
      </c>
      <c r="C2874">
        <f>_xlfn.XLOOKUP(B2874,Dim_Hotel!$A$2:$A$11,Dim_Hotel!$F$2:$F$11)</f>
        <v>121</v>
      </c>
      <c r="D2874">
        <f t="shared" si="353"/>
        <v>67</v>
      </c>
      <c r="E2874">
        <f t="shared" si="354"/>
        <v>0.55371900826446285</v>
      </c>
      <c r="F2874">
        <f t="shared" si="355"/>
        <v>145</v>
      </c>
      <c r="G2874">
        <f t="shared" si="356"/>
        <v>80.289256198347118</v>
      </c>
      <c r="H2874" t="str">
        <f>_xlfn.XLOOKUP(A2874,Fact_Events!$D$2:$D$20,Fact_Events!$A$2:$A$20, "")</f>
        <v/>
      </c>
      <c r="I2874">
        <f t="shared" si="357"/>
        <v>0</v>
      </c>
      <c r="J2874" t="str">
        <f>_xlfn.XLOOKUP(H2874, Fact_Events!$A$2:$A$20, Fact_Events!$F$2:$F$20, "")</f>
        <v/>
      </c>
      <c r="K2874" t="str">
        <f t="shared" si="358"/>
        <v>Low</v>
      </c>
      <c r="L2874">
        <f t="shared" si="359"/>
        <v>0.55000000000000004</v>
      </c>
      <c r="M2874">
        <f>_xlfn.XLOOKUP(B2874, Dim_Hotel!$A$2:$A$11, Dim_Hotel!$I$2:$I$11)
 + (IF(J2874="",0,J2874)
    * _xlfn.XLOOKUP(B2874, Dim_Hotel!$A$2:$A$11, Dim_Hotel!$J$2:$J$11))</f>
        <v>145</v>
      </c>
    </row>
    <row r="2875" spans="1:13" x14ac:dyDescent="0.25">
      <c r="A2875" s="1">
        <f t="shared" si="352"/>
        <v>46310</v>
      </c>
      <c r="B2875" t="str" cm="1">
        <f t="array" ref="B2875">INDEX(HotelList,MOD(ROW()-2,10)+1)</f>
        <v>H004</v>
      </c>
      <c r="C2875">
        <f>_xlfn.XLOOKUP(B2875,Dim_Hotel!$A$2:$A$11,Dim_Hotel!$F$2:$F$11)</f>
        <v>108</v>
      </c>
      <c r="D2875">
        <f t="shared" si="353"/>
        <v>59</v>
      </c>
      <c r="E2875">
        <f t="shared" si="354"/>
        <v>0.54629629629629628</v>
      </c>
      <c r="F2875">
        <f t="shared" si="355"/>
        <v>135</v>
      </c>
      <c r="G2875">
        <f t="shared" si="356"/>
        <v>73.75</v>
      </c>
      <c r="H2875" t="str">
        <f>_xlfn.XLOOKUP(A2875,Fact_Events!$D$2:$D$20,Fact_Events!$A$2:$A$20, "")</f>
        <v/>
      </c>
      <c r="I2875">
        <f t="shared" si="357"/>
        <v>0</v>
      </c>
      <c r="J2875" t="str">
        <f>_xlfn.XLOOKUP(H2875, Fact_Events!$A$2:$A$20, Fact_Events!$F$2:$F$20, "")</f>
        <v/>
      </c>
      <c r="K2875" t="str">
        <f t="shared" si="358"/>
        <v>Low</v>
      </c>
      <c r="L2875">
        <f t="shared" si="359"/>
        <v>0.55000000000000004</v>
      </c>
      <c r="M2875">
        <f>_xlfn.XLOOKUP(B2875, Dim_Hotel!$A$2:$A$11, Dim_Hotel!$I$2:$I$11)
 + (IF(J2875="",0,J2875)
    * _xlfn.XLOOKUP(B2875, Dim_Hotel!$A$2:$A$11, Dim_Hotel!$J$2:$J$11))</f>
        <v>135</v>
      </c>
    </row>
    <row r="2876" spans="1:13" x14ac:dyDescent="0.25">
      <c r="A2876" s="1">
        <f t="shared" si="352"/>
        <v>46310</v>
      </c>
      <c r="B2876" t="str" cm="1">
        <f t="array" ref="B2876">INDEX(HotelList,MOD(ROW()-2,10)+1)</f>
        <v>H005</v>
      </c>
      <c r="C2876">
        <f>_xlfn.XLOOKUP(B2876,Dim_Hotel!$A$2:$A$11,Dim_Hotel!$F$2:$F$11)</f>
        <v>66</v>
      </c>
      <c r="D2876">
        <f t="shared" si="353"/>
        <v>36</v>
      </c>
      <c r="E2876">
        <f t="shared" si="354"/>
        <v>0.54545454545454541</v>
      </c>
      <c r="F2876">
        <f t="shared" si="355"/>
        <v>82</v>
      </c>
      <c r="G2876">
        <f t="shared" si="356"/>
        <v>44.727272727272727</v>
      </c>
      <c r="H2876" t="str">
        <f>_xlfn.XLOOKUP(A2876,Fact_Events!$D$2:$D$20,Fact_Events!$A$2:$A$20, "")</f>
        <v/>
      </c>
      <c r="I2876">
        <f t="shared" si="357"/>
        <v>0</v>
      </c>
      <c r="J2876" t="str">
        <f>_xlfn.XLOOKUP(H2876, Fact_Events!$A$2:$A$20, Fact_Events!$F$2:$F$20, "")</f>
        <v/>
      </c>
      <c r="K2876" t="str">
        <f t="shared" si="358"/>
        <v>Low</v>
      </c>
      <c r="L2876">
        <f t="shared" si="359"/>
        <v>0.55000000000000004</v>
      </c>
      <c r="M2876">
        <f>_xlfn.XLOOKUP(B2876, Dim_Hotel!$A$2:$A$11, Dim_Hotel!$I$2:$I$11)
 + (IF(J2876="",0,J2876)
    * _xlfn.XLOOKUP(B2876, Dim_Hotel!$A$2:$A$11, Dim_Hotel!$J$2:$J$11))</f>
        <v>82</v>
      </c>
    </row>
    <row r="2877" spans="1:13" x14ac:dyDescent="0.25">
      <c r="A2877" s="1">
        <f t="shared" si="352"/>
        <v>46310</v>
      </c>
      <c r="B2877" t="str" cm="1">
        <f t="array" ref="B2877">INDEX(HotelList,MOD(ROW()-2,10)+1)</f>
        <v>H006</v>
      </c>
      <c r="C2877">
        <f>_xlfn.XLOOKUP(B2877,Dim_Hotel!$A$2:$A$11,Dim_Hotel!$F$2:$F$11)</f>
        <v>311</v>
      </c>
      <c r="D2877">
        <f t="shared" si="353"/>
        <v>171</v>
      </c>
      <c r="E2877">
        <f t="shared" si="354"/>
        <v>0.54983922829581988</v>
      </c>
      <c r="F2877">
        <f t="shared" si="355"/>
        <v>190</v>
      </c>
      <c r="G2877">
        <f t="shared" si="356"/>
        <v>104.46945337620578</v>
      </c>
      <c r="H2877" t="str">
        <f>_xlfn.XLOOKUP(A2877,Fact_Events!$D$2:$D$20,Fact_Events!$A$2:$A$20, "")</f>
        <v/>
      </c>
      <c r="I2877">
        <f t="shared" si="357"/>
        <v>0</v>
      </c>
      <c r="J2877" t="str">
        <f>_xlfn.XLOOKUP(H2877, Fact_Events!$A$2:$A$20, Fact_Events!$F$2:$F$20, "")</f>
        <v/>
      </c>
      <c r="K2877" t="str">
        <f t="shared" si="358"/>
        <v>Low</v>
      </c>
      <c r="L2877">
        <f t="shared" si="359"/>
        <v>0.55000000000000004</v>
      </c>
      <c r="M2877">
        <f>_xlfn.XLOOKUP(B2877, Dim_Hotel!$A$2:$A$11, Dim_Hotel!$I$2:$I$11)
 + (IF(J2877="",0,J2877)
    * _xlfn.XLOOKUP(B2877, Dim_Hotel!$A$2:$A$11, Dim_Hotel!$J$2:$J$11))</f>
        <v>190</v>
      </c>
    </row>
    <row r="2878" spans="1:13" x14ac:dyDescent="0.25">
      <c r="A2878" s="1">
        <f t="shared" si="352"/>
        <v>46310</v>
      </c>
      <c r="B2878" t="str" cm="1">
        <f t="array" ref="B2878">INDEX(HotelList,MOD(ROW()-2,10)+1)</f>
        <v>H007</v>
      </c>
      <c r="C2878">
        <f>_xlfn.XLOOKUP(B2878,Dim_Hotel!$A$2:$A$11,Dim_Hotel!$F$2:$F$11)</f>
        <v>132</v>
      </c>
      <c r="D2878">
        <f t="shared" si="353"/>
        <v>73</v>
      </c>
      <c r="E2878">
        <f t="shared" si="354"/>
        <v>0.55303030303030298</v>
      </c>
      <c r="F2878">
        <f t="shared" si="355"/>
        <v>165</v>
      </c>
      <c r="G2878">
        <f t="shared" si="356"/>
        <v>91.249999999999986</v>
      </c>
      <c r="H2878" t="str">
        <f>_xlfn.XLOOKUP(A2878,Fact_Events!$D$2:$D$20,Fact_Events!$A$2:$A$20, "")</f>
        <v/>
      </c>
      <c r="I2878">
        <f t="shared" si="357"/>
        <v>0</v>
      </c>
      <c r="J2878" t="str">
        <f>_xlfn.XLOOKUP(H2878, Fact_Events!$A$2:$A$20, Fact_Events!$F$2:$F$20, "")</f>
        <v/>
      </c>
      <c r="K2878" t="str">
        <f t="shared" si="358"/>
        <v>Low</v>
      </c>
      <c r="L2878">
        <f t="shared" si="359"/>
        <v>0.55000000000000004</v>
      </c>
      <c r="M2878">
        <f>_xlfn.XLOOKUP(B2878, Dim_Hotel!$A$2:$A$11, Dim_Hotel!$I$2:$I$11)
 + (IF(J2878="",0,J2878)
    * _xlfn.XLOOKUP(B2878, Dim_Hotel!$A$2:$A$11, Dim_Hotel!$J$2:$J$11))</f>
        <v>165</v>
      </c>
    </row>
    <row r="2879" spans="1:13" x14ac:dyDescent="0.25">
      <c r="A2879" s="1">
        <f t="shared" si="352"/>
        <v>46310</v>
      </c>
      <c r="B2879" t="str" cm="1">
        <f t="array" ref="B2879">INDEX(HotelList,MOD(ROW()-2,10)+1)</f>
        <v>H008</v>
      </c>
      <c r="C2879">
        <f>_xlfn.XLOOKUP(B2879,Dim_Hotel!$A$2:$A$11,Dim_Hotel!$F$2:$F$11)</f>
        <v>103</v>
      </c>
      <c r="D2879">
        <f t="shared" si="353"/>
        <v>57</v>
      </c>
      <c r="E2879">
        <f t="shared" si="354"/>
        <v>0.55339805825242716</v>
      </c>
      <c r="F2879">
        <f t="shared" si="355"/>
        <v>140</v>
      </c>
      <c r="G2879">
        <f t="shared" si="356"/>
        <v>77.475728155339809</v>
      </c>
      <c r="H2879" t="str">
        <f>_xlfn.XLOOKUP(A2879,Fact_Events!$D$2:$D$20,Fact_Events!$A$2:$A$20, "")</f>
        <v/>
      </c>
      <c r="I2879">
        <f t="shared" si="357"/>
        <v>0</v>
      </c>
      <c r="J2879" t="str">
        <f>_xlfn.XLOOKUP(H2879, Fact_Events!$A$2:$A$20, Fact_Events!$F$2:$F$20, "")</f>
        <v/>
      </c>
      <c r="K2879" t="str">
        <f t="shared" si="358"/>
        <v>Low</v>
      </c>
      <c r="L2879">
        <f t="shared" si="359"/>
        <v>0.55000000000000004</v>
      </c>
      <c r="M2879">
        <f>_xlfn.XLOOKUP(B2879, Dim_Hotel!$A$2:$A$11, Dim_Hotel!$I$2:$I$11)
 + (IF(J2879="",0,J2879)
    * _xlfn.XLOOKUP(B2879, Dim_Hotel!$A$2:$A$11, Dim_Hotel!$J$2:$J$11))</f>
        <v>140</v>
      </c>
    </row>
    <row r="2880" spans="1:13" x14ac:dyDescent="0.25">
      <c r="A2880" s="1">
        <f t="shared" si="352"/>
        <v>46310</v>
      </c>
      <c r="B2880" t="str" cm="1">
        <f t="array" ref="B2880">INDEX(HotelList,MOD(ROW()-2,10)+1)</f>
        <v>H009</v>
      </c>
      <c r="C2880">
        <f>_xlfn.XLOOKUP(B2880,Dim_Hotel!$A$2:$A$11,Dim_Hotel!$F$2:$F$11)</f>
        <v>114</v>
      </c>
      <c r="D2880">
        <f t="shared" si="353"/>
        <v>63</v>
      </c>
      <c r="E2880">
        <f t="shared" si="354"/>
        <v>0.55263157894736847</v>
      </c>
      <c r="F2880">
        <f t="shared" si="355"/>
        <v>185</v>
      </c>
      <c r="G2880">
        <f t="shared" si="356"/>
        <v>102.23684210526316</v>
      </c>
      <c r="H2880" t="str">
        <f>_xlfn.XLOOKUP(A2880,Fact_Events!$D$2:$D$20,Fact_Events!$A$2:$A$20, "")</f>
        <v/>
      </c>
      <c r="I2880">
        <f t="shared" si="357"/>
        <v>0</v>
      </c>
      <c r="J2880" t="str">
        <f>_xlfn.XLOOKUP(H2880, Fact_Events!$A$2:$A$20, Fact_Events!$F$2:$F$20, "")</f>
        <v/>
      </c>
      <c r="K2880" t="str">
        <f t="shared" si="358"/>
        <v>Low</v>
      </c>
      <c r="L2880">
        <f t="shared" si="359"/>
        <v>0.55000000000000004</v>
      </c>
      <c r="M2880">
        <f>_xlfn.XLOOKUP(B2880, Dim_Hotel!$A$2:$A$11, Dim_Hotel!$I$2:$I$11)
 + (IF(J2880="",0,J2880)
    * _xlfn.XLOOKUP(B2880, Dim_Hotel!$A$2:$A$11, Dim_Hotel!$J$2:$J$11))</f>
        <v>185</v>
      </c>
    </row>
    <row r="2881" spans="1:13" x14ac:dyDescent="0.25">
      <c r="A2881" s="1">
        <f t="shared" si="352"/>
        <v>46310</v>
      </c>
      <c r="B2881" t="str" cm="1">
        <f t="array" ref="B2881">INDEX(HotelList,MOD(ROW()-2,10)+1)</f>
        <v>H010</v>
      </c>
      <c r="C2881">
        <f>_xlfn.XLOOKUP(B2881,Dim_Hotel!$A$2:$A$11,Dim_Hotel!$F$2:$F$11)</f>
        <v>89</v>
      </c>
      <c r="D2881">
        <f t="shared" si="353"/>
        <v>49</v>
      </c>
      <c r="E2881">
        <f t="shared" si="354"/>
        <v>0.550561797752809</v>
      </c>
      <c r="F2881">
        <f t="shared" si="355"/>
        <v>150</v>
      </c>
      <c r="G2881">
        <f t="shared" si="356"/>
        <v>82.584269662921344</v>
      </c>
      <c r="H2881" t="str">
        <f>_xlfn.XLOOKUP(A2881,Fact_Events!$D$2:$D$20,Fact_Events!$A$2:$A$20, "")</f>
        <v/>
      </c>
      <c r="I2881">
        <f t="shared" si="357"/>
        <v>0</v>
      </c>
      <c r="J2881" t="str">
        <f>_xlfn.XLOOKUP(H2881, Fact_Events!$A$2:$A$20, Fact_Events!$F$2:$F$20, "")</f>
        <v/>
      </c>
      <c r="K2881" t="str">
        <f t="shared" si="358"/>
        <v>Low</v>
      </c>
      <c r="L2881">
        <f t="shared" si="359"/>
        <v>0.55000000000000004</v>
      </c>
      <c r="M2881">
        <f>_xlfn.XLOOKUP(B2881, Dim_Hotel!$A$2:$A$11, Dim_Hotel!$I$2:$I$11)
 + (IF(J2881="",0,J2881)
    * _xlfn.XLOOKUP(B2881, Dim_Hotel!$A$2:$A$11, Dim_Hotel!$J$2:$J$11))</f>
        <v>150</v>
      </c>
    </row>
    <row r="2882" spans="1:13" x14ac:dyDescent="0.25">
      <c r="A2882" s="1">
        <f t="shared" si="352"/>
        <v>46311</v>
      </c>
      <c r="B2882" t="str" cm="1">
        <f t="array" ref="B2882">INDEX(HotelList,MOD(ROW()-2,10)+1)</f>
        <v>H001</v>
      </c>
      <c r="C2882">
        <f>_xlfn.XLOOKUP(B2882,Dim_Hotel!$A$2:$A$11,Dim_Hotel!$F$2:$F$11)</f>
        <v>888</v>
      </c>
      <c r="D2882">
        <f t="shared" si="353"/>
        <v>488</v>
      </c>
      <c r="E2882">
        <f t="shared" si="354"/>
        <v>0.5495495495495496</v>
      </c>
      <c r="F2882">
        <f t="shared" si="355"/>
        <v>260</v>
      </c>
      <c r="G2882">
        <f t="shared" si="356"/>
        <v>142.88288288288288</v>
      </c>
      <c r="H2882" t="str">
        <f>_xlfn.XLOOKUP(A2882,Fact_Events!$D$2:$D$20,Fact_Events!$A$2:$A$20, "")</f>
        <v/>
      </c>
      <c r="I2882">
        <f t="shared" si="357"/>
        <v>0</v>
      </c>
      <c r="J2882" t="str">
        <f>_xlfn.XLOOKUP(H2882, Fact_Events!$A$2:$A$20, Fact_Events!$F$2:$F$20, "")</f>
        <v/>
      </c>
      <c r="K2882" t="str">
        <f t="shared" si="358"/>
        <v>Low</v>
      </c>
      <c r="L2882">
        <f t="shared" si="359"/>
        <v>0.55000000000000004</v>
      </c>
      <c r="M2882">
        <f>_xlfn.XLOOKUP(B2882, Dim_Hotel!$A$2:$A$11, Dim_Hotel!$I$2:$I$11)
 + (IF(J2882="",0,J2882)
    * _xlfn.XLOOKUP(B2882, Dim_Hotel!$A$2:$A$11, Dim_Hotel!$J$2:$J$11))</f>
        <v>260</v>
      </c>
    </row>
    <row r="2883" spans="1:13" x14ac:dyDescent="0.25">
      <c r="A2883" s="1">
        <f t="shared" ref="A2883:A2946" si="360">DATE(2026,1,1) + INT((ROW()-2)/10)</f>
        <v>46311</v>
      </c>
      <c r="B2883" t="str" cm="1">
        <f t="array" ref="B2883">INDEX(HotelList,MOD(ROW()-2,10)+1)</f>
        <v>H002</v>
      </c>
      <c r="C2883">
        <f>_xlfn.XLOOKUP(B2883,Dim_Hotel!$A$2:$A$11,Dim_Hotel!$F$2:$F$11)</f>
        <v>147</v>
      </c>
      <c r="D2883">
        <f t="shared" ref="D2883:D2946" si="361">ROUND(L2883 * C2883, 0)</f>
        <v>81</v>
      </c>
      <c r="E2883">
        <f t="shared" ref="E2883:E2946" si="362">D2883/C2883</f>
        <v>0.55102040816326525</v>
      </c>
      <c r="F2883">
        <f t="shared" ref="F2883:F2946" si="363">M2883</f>
        <v>175</v>
      </c>
      <c r="G2883">
        <f t="shared" ref="G2883:G2946" si="364">E2883*F2883</f>
        <v>96.428571428571416</v>
      </c>
      <c r="H2883" t="str">
        <f>_xlfn.XLOOKUP(A2883,Fact_Events!$D$2:$D$20,Fact_Events!$A$2:$A$20, "")</f>
        <v/>
      </c>
      <c r="I2883">
        <f t="shared" ref="I2883:I2946" si="365">IF(H2883="",0,1)</f>
        <v>0</v>
      </c>
      <c r="J2883" t="str">
        <f>_xlfn.XLOOKUP(H2883, Fact_Events!$A$2:$A$20, Fact_Events!$F$2:$F$20, "")</f>
        <v/>
      </c>
      <c r="K2883" t="str">
        <f t="shared" ref="K2883:K2946" si="366">IF(I2883=0,"Low",
   IF(J2883&gt;=9,"High","Medium"))</f>
        <v>Low</v>
      </c>
      <c r="L2883">
        <f t="shared" ref="L2883:L2946" si="367">MIN(1,
  0.55
  + (I2883 * 0.25)
  + (IF(J2883="",0,J2883) / 100)
)</f>
        <v>0.55000000000000004</v>
      </c>
      <c r="M2883">
        <f>_xlfn.XLOOKUP(B2883, Dim_Hotel!$A$2:$A$11, Dim_Hotel!$I$2:$I$11)
 + (IF(J2883="",0,J2883)
    * _xlfn.XLOOKUP(B2883, Dim_Hotel!$A$2:$A$11, Dim_Hotel!$J$2:$J$11))</f>
        <v>175</v>
      </c>
    </row>
    <row r="2884" spans="1:13" x14ac:dyDescent="0.25">
      <c r="A2884" s="1">
        <f t="shared" si="360"/>
        <v>46311</v>
      </c>
      <c r="B2884" t="str" cm="1">
        <f t="array" ref="B2884">INDEX(HotelList,MOD(ROW()-2,10)+1)</f>
        <v>H003</v>
      </c>
      <c r="C2884">
        <f>_xlfn.XLOOKUP(B2884,Dim_Hotel!$A$2:$A$11,Dim_Hotel!$F$2:$F$11)</f>
        <v>121</v>
      </c>
      <c r="D2884">
        <f t="shared" si="361"/>
        <v>67</v>
      </c>
      <c r="E2884">
        <f t="shared" si="362"/>
        <v>0.55371900826446285</v>
      </c>
      <c r="F2884">
        <f t="shared" si="363"/>
        <v>145</v>
      </c>
      <c r="G2884">
        <f t="shared" si="364"/>
        <v>80.289256198347118</v>
      </c>
      <c r="H2884" t="str">
        <f>_xlfn.XLOOKUP(A2884,Fact_Events!$D$2:$D$20,Fact_Events!$A$2:$A$20, "")</f>
        <v/>
      </c>
      <c r="I2884">
        <f t="shared" si="365"/>
        <v>0</v>
      </c>
      <c r="J2884" t="str">
        <f>_xlfn.XLOOKUP(H2884, Fact_Events!$A$2:$A$20, Fact_Events!$F$2:$F$20, "")</f>
        <v/>
      </c>
      <c r="K2884" t="str">
        <f t="shared" si="366"/>
        <v>Low</v>
      </c>
      <c r="L2884">
        <f t="shared" si="367"/>
        <v>0.55000000000000004</v>
      </c>
      <c r="M2884">
        <f>_xlfn.XLOOKUP(B2884, Dim_Hotel!$A$2:$A$11, Dim_Hotel!$I$2:$I$11)
 + (IF(J2884="",0,J2884)
    * _xlfn.XLOOKUP(B2884, Dim_Hotel!$A$2:$A$11, Dim_Hotel!$J$2:$J$11))</f>
        <v>145</v>
      </c>
    </row>
    <row r="2885" spans="1:13" x14ac:dyDescent="0.25">
      <c r="A2885" s="1">
        <f t="shared" si="360"/>
        <v>46311</v>
      </c>
      <c r="B2885" t="str" cm="1">
        <f t="array" ref="B2885">INDEX(HotelList,MOD(ROW()-2,10)+1)</f>
        <v>H004</v>
      </c>
      <c r="C2885">
        <f>_xlfn.XLOOKUP(B2885,Dim_Hotel!$A$2:$A$11,Dim_Hotel!$F$2:$F$11)</f>
        <v>108</v>
      </c>
      <c r="D2885">
        <f t="shared" si="361"/>
        <v>59</v>
      </c>
      <c r="E2885">
        <f t="shared" si="362"/>
        <v>0.54629629629629628</v>
      </c>
      <c r="F2885">
        <f t="shared" si="363"/>
        <v>135</v>
      </c>
      <c r="G2885">
        <f t="shared" si="364"/>
        <v>73.75</v>
      </c>
      <c r="H2885" t="str">
        <f>_xlfn.XLOOKUP(A2885,Fact_Events!$D$2:$D$20,Fact_Events!$A$2:$A$20, "")</f>
        <v/>
      </c>
      <c r="I2885">
        <f t="shared" si="365"/>
        <v>0</v>
      </c>
      <c r="J2885" t="str">
        <f>_xlfn.XLOOKUP(H2885, Fact_Events!$A$2:$A$20, Fact_Events!$F$2:$F$20, "")</f>
        <v/>
      </c>
      <c r="K2885" t="str">
        <f t="shared" si="366"/>
        <v>Low</v>
      </c>
      <c r="L2885">
        <f t="shared" si="367"/>
        <v>0.55000000000000004</v>
      </c>
      <c r="M2885">
        <f>_xlfn.XLOOKUP(B2885, Dim_Hotel!$A$2:$A$11, Dim_Hotel!$I$2:$I$11)
 + (IF(J2885="",0,J2885)
    * _xlfn.XLOOKUP(B2885, Dim_Hotel!$A$2:$A$11, Dim_Hotel!$J$2:$J$11))</f>
        <v>135</v>
      </c>
    </row>
    <row r="2886" spans="1:13" x14ac:dyDescent="0.25">
      <c r="A2886" s="1">
        <f t="shared" si="360"/>
        <v>46311</v>
      </c>
      <c r="B2886" t="str" cm="1">
        <f t="array" ref="B2886">INDEX(HotelList,MOD(ROW()-2,10)+1)</f>
        <v>H005</v>
      </c>
      <c r="C2886">
        <f>_xlfn.XLOOKUP(B2886,Dim_Hotel!$A$2:$A$11,Dim_Hotel!$F$2:$F$11)</f>
        <v>66</v>
      </c>
      <c r="D2886">
        <f t="shared" si="361"/>
        <v>36</v>
      </c>
      <c r="E2886">
        <f t="shared" si="362"/>
        <v>0.54545454545454541</v>
      </c>
      <c r="F2886">
        <f t="shared" si="363"/>
        <v>82</v>
      </c>
      <c r="G2886">
        <f t="shared" si="364"/>
        <v>44.727272727272727</v>
      </c>
      <c r="H2886" t="str">
        <f>_xlfn.XLOOKUP(A2886,Fact_Events!$D$2:$D$20,Fact_Events!$A$2:$A$20, "")</f>
        <v/>
      </c>
      <c r="I2886">
        <f t="shared" si="365"/>
        <v>0</v>
      </c>
      <c r="J2886" t="str">
        <f>_xlfn.XLOOKUP(H2886, Fact_Events!$A$2:$A$20, Fact_Events!$F$2:$F$20, "")</f>
        <v/>
      </c>
      <c r="K2886" t="str">
        <f t="shared" si="366"/>
        <v>Low</v>
      </c>
      <c r="L2886">
        <f t="shared" si="367"/>
        <v>0.55000000000000004</v>
      </c>
      <c r="M2886">
        <f>_xlfn.XLOOKUP(B2886, Dim_Hotel!$A$2:$A$11, Dim_Hotel!$I$2:$I$11)
 + (IF(J2886="",0,J2886)
    * _xlfn.XLOOKUP(B2886, Dim_Hotel!$A$2:$A$11, Dim_Hotel!$J$2:$J$11))</f>
        <v>82</v>
      </c>
    </row>
    <row r="2887" spans="1:13" x14ac:dyDescent="0.25">
      <c r="A2887" s="1">
        <f t="shared" si="360"/>
        <v>46311</v>
      </c>
      <c r="B2887" t="str" cm="1">
        <f t="array" ref="B2887">INDEX(HotelList,MOD(ROW()-2,10)+1)</f>
        <v>H006</v>
      </c>
      <c r="C2887">
        <f>_xlfn.XLOOKUP(B2887,Dim_Hotel!$A$2:$A$11,Dim_Hotel!$F$2:$F$11)</f>
        <v>311</v>
      </c>
      <c r="D2887">
        <f t="shared" si="361"/>
        <v>171</v>
      </c>
      <c r="E2887">
        <f t="shared" si="362"/>
        <v>0.54983922829581988</v>
      </c>
      <c r="F2887">
        <f t="shared" si="363"/>
        <v>190</v>
      </c>
      <c r="G2887">
        <f t="shared" si="364"/>
        <v>104.46945337620578</v>
      </c>
      <c r="H2887" t="str">
        <f>_xlfn.XLOOKUP(A2887,Fact_Events!$D$2:$D$20,Fact_Events!$A$2:$A$20, "")</f>
        <v/>
      </c>
      <c r="I2887">
        <f t="shared" si="365"/>
        <v>0</v>
      </c>
      <c r="J2887" t="str">
        <f>_xlfn.XLOOKUP(H2887, Fact_Events!$A$2:$A$20, Fact_Events!$F$2:$F$20, "")</f>
        <v/>
      </c>
      <c r="K2887" t="str">
        <f t="shared" si="366"/>
        <v>Low</v>
      </c>
      <c r="L2887">
        <f t="shared" si="367"/>
        <v>0.55000000000000004</v>
      </c>
      <c r="M2887">
        <f>_xlfn.XLOOKUP(B2887, Dim_Hotel!$A$2:$A$11, Dim_Hotel!$I$2:$I$11)
 + (IF(J2887="",0,J2887)
    * _xlfn.XLOOKUP(B2887, Dim_Hotel!$A$2:$A$11, Dim_Hotel!$J$2:$J$11))</f>
        <v>190</v>
      </c>
    </row>
    <row r="2888" spans="1:13" x14ac:dyDescent="0.25">
      <c r="A2888" s="1">
        <f t="shared" si="360"/>
        <v>46311</v>
      </c>
      <c r="B2888" t="str" cm="1">
        <f t="array" ref="B2888">INDEX(HotelList,MOD(ROW()-2,10)+1)</f>
        <v>H007</v>
      </c>
      <c r="C2888">
        <f>_xlfn.XLOOKUP(B2888,Dim_Hotel!$A$2:$A$11,Dim_Hotel!$F$2:$F$11)</f>
        <v>132</v>
      </c>
      <c r="D2888">
        <f t="shared" si="361"/>
        <v>73</v>
      </c>
      <c r="E2888">
        <f t="shared" si="362"/>
        <v>0.55303030303030298</v>
      </c>
      <c r="F2888">
        <f t="shared" si="363"/>
        <v>165</v>
      </c>
      <c r="G2888">
        <f t="shared" si="364"/>
        <v>91.249999999999986</v>
      </c>
      <c r="H2888" t="str">
        <f>_xlfn.XLOOKUP(A2888,Fact_Events!$D$2:$D$20,Fact_Events!$A$2:$A$20, "")</f>
        <v/>
      </c>
      <c r="I2888">
        <f t="shared" si="365"/>
        <v>0</v>
      </c>
      <c r="J2888" t="str">
        <f>_xlfn.XLOOKUP(H2888, Fact_Events!$A$2:$A$20, Fact_Events!$F$2:$F$20, "")</f>
        <v/>
      </c>
      <c r="K2888" t="str">
        <f t="shared" si="366"/>
        <v>Low</v>
      </c>
      <c r="L2888">
        <f t="shared" si="367"/>
        <v>0.55000000000000004</v>
      </c>
      <c r="M2888">
        <f>_xlfn.XLOOKUP(B2888, Dim_Hotel!$A$2:$A$11, Dim_Hotel!$I$2:$I$11)
 + (IF(J2888="",0,J2888)
    * _xlfn.XLOOKUP(B2888, Dim_Hotel!$A$2:$A$11, Dim_Hotel!$J$2:$J$11))</f>
        <v>165</v>
      </c>
    </row>
    <row r="2889" spans="1:13" x14ac:dyDescent="0.25">
      <c r="A2889" s="1">
        <f t="shared" si="360"/>
        <v>46311</v>
      </c>
      <c r="B2889" t="str" cm="1">
        <f t="array" ref="B2889">INDEX(HotelList,MOD(ROW()-2,10)+1)</f>
        <v>H008</v>
      </c>
      <c r="C2889">
        <f>_xlfn.XLOOKUP(B2889,Dim_Hotel!$A$2:$A$11,Dim_Hotel!$F$2:$F$11)</f>
        <v>103</v>
      </c>
      <c r="D2889">
        <f t="shared" si="361"/>
        <v>57</v>
      </c>
      <c r="E2889">
        <f t="shared" si="362"/>
        <v>0.55339805825242716</v>
      </c>
      <c r="F2889">
        <f t="shared" si="363"/>
        <v>140</v>
      </c>
      <c r="G2889">
        <f t="shared" si="364"/>
        <v>77.475728155339809</v>
      </c>
      <c r="H2889" t="str">
        <f>_xlfn.XLOOKUP(A2889,Fact_Events!$D$2:$D$20,Fact_Events!$A$2:$A$20, "")</f>
        <v/>
      </c>
      <c r="I2889">
        <f t="shared" si="365"/>
        <v>0</v>
      </c>
      <c r="J2889" t="str">
        <f>_xlfn.XLOOKUP(H2889, Fact_Events!$A$2:$A$20, Fact_Events!$F$2:$F$20, "")</f>
        <v/>
      </c>
      <c r="K2889" t="str">
        <f t="shared" si="366"/>
        <v>Low</v>
      </c>
      <c r="L2889">
        <f t="shared" si="367"/>
        <v>0.55000000000000004</v>
      </c>
      <c r="M2889">
        <f>_xlfn.XLOOKUP(B2889, Dim_Hotel!$A$2:$A$11, Dim_Hotel!$I$2:$I$11)
 + (IF(J2889="",0,J2889)
    * _xlfn.XLOOKUP(B2889, Dim_Hotel!$A$2:$A$11, Dim_Hotel!$J$2:$J$11))</f>
        <v>140</v>
      </c>
    </row>
    <row r="2890" spans="1:13" x14ac:dyDescent="0.25">
      <c r="A2890" s="1">
        <f t="shared" si="360"/>
        <v>46311</v>
      </c>
      <c r="B2890" t="str" cm="1">
        <f t="array" ref="B2890">INDEX(HotelList,MOD(ROW()-2,10)+1)</f>
        <v>H009</v>
      </c>
      <c r="C2890">
        <f>_xlfn.XLOOKUP(B2890,Dim_Hotel!$A$2:$A$11,Dim_Hotel!$F$2:$F$11)</f>
        <v>114</v>
      </c>
      <c r="D2890">
        <f t="shared" si="361"/>
        <v>63</v>
      </c>
      <c r="E2890">
        <f t="shared" si="362"/>
        <v>0.55263157894736847</v>
      </c>
      <c r="F2890">
        <f t="shared" si="363"/>
        <v>185</v>
      </c>
      <c r="G2890">
        <f t="shared" si="364"/>
        <v>102.23684210526316</v>
      </c>
      <c r="H2890" t="str">
        <f>_xlfn.XLOOKUP(A2890,Fact_Events!$D$2:$D$20,Fact_Events!$A$2:$A$20, "")</f>
        <v/>
      </c>
      <c r="I2890">
        <f t="shared" si="365"/>
        <v>0</v>
      </c>
      <c r="J2890" t="str">
        <f>_xlfn.XLOOKUP(H2890, Fact_Events!$A$2:$A$20, Fact_Events!$F$2:$F$20, "")</f>
        <v/>
      </c>
      <c r="K2890" t="str">
        <f t="shared" si="366"/>
        <v>Low</v>
      </c>
      <c r="L2890">
        <f t="shared" si="367"/>
        <v>0.55000000000000004</v>
      </c>
      <c r="M2890">
        <f>_xlfn.XLOOKUP(B2890, Dim_Hotel!$A$2:$A$11, Dim_Hotel!$I$2:$I$11)
 + (IF(J2890="",0,J2890)
    * _xlfn.XLOOKUP(B2890, Dim_Hotel!$A$2:$A$11, Dim_Hotel!$J$2:$J$11))</f>
        <v>185</v>
      </c>
    </row>
    <row r="2891" spans="1:13" x14ac:dyDescent="0.25">
      <c r="A2891" s="1">
        <f t="shared" si="360"/>
        <v>46311</v>
      </c>
      <c r="B2891" t="str" cm="1">
        <f t="array" ref="B2891">INDEX(HotelList,MOD(ROW()-2,10)+1)</f>
        <v>H010</v>
      </c>
      <c r="C2891">
        <f>_xlfn.XLOOKUP(B2891,Dim_Hotel!$A$2:$A$11,Dim_Hotel!$F$2:$F$11)</f>
        <v>89</v>
      </c>
      <c r="D2891">
        <f t="shared" si="361"/>
        <v>49</v>
      </c>
      <c r="E2891">
        <f t="shared" si="362"/>
        <v>0.550561797752809</v>
      </c>
      <c r="F2891">
        <f t="shared" si="363"/>
        <v>150</v>
      </c>
      <c r="G2891">
        <f t="shared" si="364"/>
        <v>82.584269662921344</v>
      </c>
      <c r="H2891" t="str">
        <f>_xlfn.XLOOKUP(A2891,Fact_Events!$D$2:$D$20,Fact_Events!$A$2:$A$20, "")</f>
        <v/>
      </c>
      <c r="I2891">
        <f t="shared" si="365"/>
        <v>0</v>
      </c>
      <c r="J2891" t="str">
        <f>_xlfn.XLOOKUP(H2891, Fact_Events!$A$2:$A$20, Fact_Events!$F$2:$F$20, "")</f>
        <v/>
      </c>
      <c r="K2891" t="str">
        <f t="shared" si="366"/>
        <v>Low</v>
      </c>
      <c r="L2891">
        <f t="shared" si="367"/>
        <v>0.55000000000000004</v>
      </c>
      <c r="M2891">
        <f>_xlfn.XLOOKUP(B2891, Dim_Hotel!$A$2:$A$11, Dim_Hotel!$I$2:$I$11)
 + (IF(J2891="",0,J2891)
    * _xlfn.XLOOKUP(B2891, Dim_Hotel!$A$2:$A$11, Dim_Hotel!$J$2:$J$11))</f>
        <v>150</v>
      </c>
    </row>
    <row r="2892" spans="1:13" x14ac:dyDescent="0.25">
      <c r="A2892" s="1">
        <f t="shared" si="360"/>
        <v>46312</v>
      </c>
      <c r="B2892" t="str" cm="1">
        <f t="array" ref="B2892">INDEX(HotelList,MOD(ROW()-2,10)+1)</f>
        <v>H001</v>
      </c>
      <c r="C2892">
        <f>_xlfn.XLOOKUP(B2892,Dim_Hotel!$A$2:$A$11,Dim_Hotel!$F$2:$F$11)</f>
        <v>888</v>
      </c>
      <c r="D2892">
        <f t="shared" si="361"/>
        <v>488</v>
      </c>
      <c r="E2892">
        <f t="shared" si="362"/>
        <v>0.5495495495495496</v>
      </c>
      <c r="F2892">
        <f t="shared" si="363"/>
        <v>260</v>
      </c>
      <c r="G2892">
        <f t="shared" si="364"/>
        <v>142.88288288288288</v>
      </c>
      <c r="H2892" t="str">
        <f>_xlfn.XLOOKUP(A2892,Fact_Events!$D$2:$D$20,Fact_Events!$A$2:$A$20, "")</f>
        <v/>
      </c>
      <c r="I2892">
        <f t="shared" si="365"/>
        <v>0</v>
      </c>
      <c r="J2892" t="str">
        <f>_xlfn.XLOOKUP(H2892, Fact_Events!$A$2:$A$20, Fact_Events!$F$2:$F$20, "")</f>
        <v/>
      </c>
      <c r="K2892" t="str">
        <f t="shared" si="366"/>
        <v>Low</v>
      </c>
      <c r="L2892">
        <f t="shared" si="367"/>
        <v>0.55000000000000004</v>
      </c>
      <c r="M2892">
        <f>_xlfn.XLOOKUP(B2892, Dim_Hotel!$A$2:$A$11, Dim_Hotel!$I$2:$I$11)
 + (IF(J2892="",0,J2892)
    * _xlfn.XLOOKUP(B2892, Dim_Hotel!$A$2:$A$11, Dim_Hotel!$J$2:$J$11))</f>
        <v>260</v>
      </c>
    </row>
    <row r="2893" spans="1:13" x14ac:dyDescent="0.25">
      <c r="A2893" s="1">
        <f t="shared" si="360"/>
        <v>46312</v>
      </c>
      <c r="B2893" t="str" cm="1">
        <f t="array" ref="B2893">INDEX(HotelList,MOD(ROW()-2,10)+1)</f>
        <v>H002</v>
      </c>
      <c r="C2893">
        <f>_xlfn.XLOOKUP(B2893,Dim_Hotel!$A$2:$A$11,Dim_Hotel!$F$2:$F$11)</f>
        <v>147</v>
      </c>
      <c r="D2893">
        <f t="shared" si="361"/>
        <v>81</v>
      </c>
      <c r="E2893">
        <f t="shared" si="362"/>
        <v>0.55102040816326525</v>
      </c>
      <c r="F2893">
        <f t="shared" si="363"/>
        <v>175</v>
      </c>
      <c r="G2893">
        <f t="shared" si="364"/>
        <v>96.428571428571416</v>
      </c>
      <c r="H2893" t="str">
        <f>_xlfn.XLOOKUP(A2893,Fact_Events!$D$2:$D$20,Fact_Events!$A$2:$A$20, "")</f>
        <v/>
      </c>
      <c r="I2893">
        <f t="shared" si="365"/>
        <v>0</v>
      </c>
      <c r="J2893" t="str">
        <f>_xlfn.XLOOKUP(H2893, Fact_Events!$A$2:$A$20, Fact_Events!$F$2:$F$20, "")</f>
        <v/>
      </c>
      <c r="K2893" t="str">
        <f t="shared" si="366"/>
        <v>Low</v>
      </c>
      <c r="L2893">
        <f t="shared" si="367"/>
        <v>0.55000000000000004</v>
      </c>
      <c r="M2893">
        <f>_xlfn.XLOOKUP(B2893, Dim_Hotel!$A$2:$A$11, Dim_Hotel!$I$2:$I$11)
 + (IF(J2893="",0,J2893)
    * _xlfn.XLOOKUP(B2893, Dim_Hotel!$A$2:$A$11, Dim_Hotel!$J$2:$J$11))</f>
        <v>175</v>
      </c>
    </row>
    <row r="2894" spans="1:13" x14ac:dyDescent="0.25">
      <c r="A2894" s="1">
        <f t="shared" si="360"/>
        <v>46312</v>
      </c>
      <c r="B2894" t="str" cm="1">
        <f t="array" ref="B2894">INDEX(HotelList,MOD(ROW()-2,10)+1)</f>
        <v>H003</v>
      </c>
      <c r="C2894">
        <f>_xlfn.XLOOKUP(B2894,Dim_Hotel!$A$2:$A$11,Dim_Hotel!$F$2:$F$11)</f>
        <v>121</v>
      </c>
      <c r="D2894">
        <f t="shared" si="361"/>
        <v>67</v>
      </c>
      <c r="E2894">
        <f t="shared" si="362"/>
        <v>0.55371900826446285</v>
      </c>
      <c r="F2894">
        <f t="shared" si="363"/>
        <v>145</v>
      </c>
      <c r="G2894">
        <f t="shared" si="364"/>
        <v>80.289256198347118</v>
      </c>
      <c r="H2894" t="str">
        <f>_xlfn.XLOOKUP(A2894,Fact_Events!$D$2:$D$20,Fact_Events!$A$2:$A$20, "")</f>
        <v/>
      </c>
      <c r="I2894">
        <f t="shared" si="365"/>
        <v>0</v>
      </c>
      <c r="J2894" t="str">
        <f>_xlfn.XLOOKUP(H2894, Fact_Events!$A$2:$A$20, Fact_Events!$F$2:$F$20, "")</f>
        <v/>
      </c>
      <c r="K2894" t="str">
        <f t="shared" si="366"/>
        <v>Low</v>
      </c>
      <c r="L2894">
        <f t="shared" si="367"/>
        <v>0.55000000000000004</v>
      </c>
      <c r="M2894">
        <f>_xlfn.XLOOKUP(B2894, Dim_Hotel!$A$2:$A$11, Dim_Hotel!$I$2:$I$11)
 + (IF(J2894="",0,J2894)
    * _xlfn.XLOOKUP(B2894, Dim_Hotel!$A$2:$A$11, Dim_Hotel!$J$2:$J$11))</f>
        <v>145</v>
      </c>
    </row>
    <row r="2895" spans="1:13" x14ac:dyDescent="0.25">
      <c r="A2895" s="1">
        <f t="shared" si="360"/>
        <v>46312</v>
      </c>
      <c r="B2895" t="str" cm="1">
        <f t="array" ref="B2895">INDEX(HotelList,MOD(ROW()-2,10)+1)</f>
        <v>H004</v>
      </c>
      <c r="C2895">
        <f>_xlfn.XLOOKUP(B2895,Dim_Hotel!$A$2:$A$11,Dim_Hotel!$F$2:$F$11)</f>
        <v>108</v>
      </c>
      <c r="D2895">
        <f t="shared" si="361"/>
        <v>59</v>
      </c>
      <c r="E2895">
        <f t="shared" si="362"/>
        <v>0.54629629629629628</v>
      </c>
      <c r="F2895">
        <f t="shared" si="363"/>
        <v>135</v>
      </c>
      <c r="G2895">
        <f t="shared" si="364"/>
        <v>73.75</v>
      </c>
      <c r="H2895" t="str">
        <f>_xlfn.XLOOKUP(A2895,Fact_Events!$D$2:$D$20,Fact_Events!$A$2:$A$20, "")</f>
        <v/>
      </c>
      <c r="I2895">
        <f t="shared" si="365"/>
        <v>0</v>
      </c>
      <c r="J2895" t="str">
        <f>_xlfn.XLOOKUP(H2895, Fact_Events!$A$2:$A$20, Fact_Events!$F$2:$F$20, "")</f>
        <v/>
      </c>
      <c r="K2895" t="str">
        <f t="shared" si="366"/>
        <v>Low</v>
      </c>
      <c r="L2895">
        <f t="shared" si="367"/>
        <v>0.55000000000000004</v>
      </c>
      <c r="M2895">
        <f>_xlfn.XLOOKUP(B2895, Dim_Hotel!$A$2:$A$11, Dim_Hotel!$I$2:$I$11)
 + (IF(J2895="",0,J2895)
    * _xlfn.XLOOKUP(B2895, Dim_Hotel!$A$2:$A$11, Dim_Hotel!$J$2:$J$11))</f>
        <v>135</v>
      </c>
    </row>
    <row r="2896" spans="1:13" x14ac:dyDescent="0.25">
      <c r="A2896" s="1">
        <f t="shared" si="360"/>
        <v>46312</v>
      </c>
      <c r="B2896" t="str" cm="1">
        <f t="array" ref="B2896">INDEX(HotelList,MOD(ROW()-2,10)+1)</f>
        <v>H005</v>
      </c>
      <c r="C2896">
        <f>_xlfn.XLOOKUP(B2896,Dim_Hotel!$A$2:$A$11,Dim_Hotel!$F$2:$F$11)</f>
        <v>66</v>
      </c>
      <c r="D2896">
        <f t="shared" si="361"/>
        <v>36</v>
      </c>
      <c r="E2896">
        <f t="shared" si="362"/>
        <v>0.54545454545454541</v>
      </c>
      <c r="F2896">
        <f t="shared" si="363"/>
        <v>82</v>
      </c>
      <c r="G2896">
        <f t="shared" si="364"/>
        <v>44.727272727272727</v>
      </c>
      <c r="H2896" t="str">
        <f>_xlfn.XLOOKUP(A2896,Fact_Events!$D$2:$D$20,Fact_Events!$A$2:$A$20, "")</f>
        <v/>
      </c>
      <c r="I2896">
        <f t="shared" si="365"/>
        <v>0</v>
      </c>
      <c r="J2896" t="str">
        <f>_xlfn.XLOOKUP(H2896, Fact_Events!$A$2:$A$20, Fact_Events!$F$2:$F$20, "")</f>
        <v/>
      </c>
      <c r="K2896" t="str">
        <f t="shared" si="366"/>
        <v>Low</v>
      </c>
      <c r="L2896">
        <f t="shared" si="367"/>
        <v>0.55000000000000004</v>
      </c>
      <c r="M2896">
        <f>_xlfn.XLOOKUP(B2896, Dim_Hotel!$A$2:$A$11, Dim_Hotel!$I$2:$I$11)
 + (IF(J2896="",0,J2896)
    * _xlfn.XLOOKUP(B2896, Dim_Hotel!$A$2:$A$11, Dim_Hotel!$J$2:$J$11))</f>
        <v>82</v>
      </c>
    </row>
    <row r="2897" spans="1:13" x14ac:dyDescent="0.25">
      <c r="A2897" s="1">
        <f t="shared" si="360"/>
        <v>46312</v>
      </c>
      <c r="B2897" t="str" cm="1">
        <f t="array" ref="B2897">INDEX(HotelList,MOD(ROW()-2,10)+1)</f>
        <v>H006</v>
      </c>
      <c r="C2897">
        <f>_xlfn.XLOOKUP(B2897,Dim_Hotel!$A$2:$A$11,Dim_Hotel!$F$2:$F$11)</f>
        <v>311</v>
      </c>
      <c r="D2897">
        <f t="shared" si="361"/>
        <v>171</v>
      </c>
      <c r="E2897">
        <f t="shared" si="362"/>
        <v>0.54983922829581988</v>
      </c>
      <c r="F2897">
        <f t="shared" si="363"/>
        <v>190</v>
      </c>
      <c r="G2897">
        <f t="shared" si="364"/>
        <v>104.46945337620578</v>
      </c>
      <c r="H2897" t="str">
        <f>_xlfn.XLOOKUP(A2897,Fact_Events!$D$2:$D$20,Fact_Events!$A$2:$A$20, "")</f>
        <v/>
      </c>
      <c r="I2897">
        <f t="shared" si="365"/>
        <v>0</v>
      </c>
      <c r="J2897" t="str">
        <f>_xlfn.XLOOKUP(H2897, Fact_Events!$A$2:$A$20, Fact_Events!$F$2:$F$20, "")</f>
        <v/>
      </c>
      <c r="K2897" t="str">
        <f t="shared" si="366"/>
        <v>Low</v>
      </c>
      <c r="L2897">
        <f t="shared" si="367"/>
        <v>0.55000000000000004</v>
      </c>
      <c r="M2897">
        <f>_xlfn.XLOOKUP(B2897, Dim_Hotel!$A$2:$A$11, Dim_Hotel!$I$2:$I$11)
 + (IF(J2897="",0,J2897)
    * _xlfn.XLOOKUP(B2897, Dim_Hotel!$A$2:$A$11, Dim_Hotel!$J$2:$J$11))</f>
        <v>190</v>
      </c>
    </row>
    <row r="2898" spans="1:13" x14ac:dyDescent="0.25">
      <c r="A2898" s="1">
        <f t="shared" si="360"/>
        <v>46312</v>
      </c>
      <c r="B2898" t="str" cm="1">
        <f t="array" ref="B2898">INDEX(HotelList,MOD(ROW()-2,10)+1)</f>
        <v>H007</v>
      </c>
      <c r="C2898">
        <f>_xlfn.XLOOKUP(B2898,Dim_Hotel!$A$2:$A$11,Dim_Hotel!$F$2:$F$11)</f>
        <v>132</v>
      </c>
      <c r="D2898">
        <f t="shared" si="361"/>
        <v>73</v>
      </c>
      <c r="E2898">
        <f t="shared" si="362"/>
        <v>0.55303030303030298</v>
      </c>
      <c r="F2898">
        <f t="shared" si="363"/>
        <v>165</v>
      </c>
      <c r="G2898">
        <f t="shared" si="364"/>
        <v>91.249999999999986</v>
      </c>
      <c r="H2898" t="str">
        <f>_xlfn.XLOOKUP(A2898,Fact_Events!$D$2:$D$20,Fact_Events!$A$2:$A$20, "")</f>
        <v/>
      </c>
      <c r="I2898">
        <f t="shared" si="365"/>
        <v>0</v>
      </c>
      <c r="J2898" t="str">
        <f>_xlfn.XLOOKUP(H2898, Fact_Events!$A$2:$A$20, Fact_Events!$F$2:$F$20, "")</f>
        <v/>
      </c>
      <c r="K2898" t="str">
        <f t="shared" si="366"/>
        <v>Low</v>
      </c>
      <c r="L2898">
        <f t="shared" si="367"/>
        <v>0.55000000000000004</v>
      </c>
      <c r="M2898">
        <f>_xlfn.XLOOKUP(B2898, Dim_Hotel!$A$2:$A$11, Dim_Hotel!$I$2:$I$11)
 + (IF(J2898="",0,J2898)
    * _xlfn.XLOOKUP(B2898, Dim_Hotel!$A$2:$A$11, Dim_Hotel!$J$2:$J$11))</f>
        <v>165</v>
      </c>
    </row>
    <row r="2899" spans="1:13" x14ac:dyDescent="0.25">
      <c r="A2899" s="1">
        <f t="shared" si="360"/>
        <v>46312</v>
      </c>
      <c r="B2899" t="str" cm="1">
        <f t="array" ref="B2899">INDEX(HotelList,MOD(ROW()-2,10)+1)</f>
        <v>H008</v>
      </c>
      <c r="C2899">
        <f>_xlfn.XLOOKUP(B2899,Dim_Hotel!$A$2:$A$11,Dim_Hotel!$F$2:$F$11)</f>
        <v>103</v>
      </c>
      <c r="D2899">
        <f t="shared" si="361"/>
        <v>57</v>
      </c>
      <c r="E2899">
        <f t="shared" si="362"/>
        <v>0.55339805825242716</v>
      </c>
      <c r="F2899">
        <f t="shared" si="363"/>
        <v>140</v>
      </c>
      <c r="G2899">
        <f t="shared" si="364"/>
        <v>77.475728155339809</v>
      </c>
      <c r="H2899" t="str">
        <f>_xlfn.XLOOKUP(A2899,Fact_Events!$D$2:$D$20,Fact_Events!$A$2:$A$20, "")</f>
        <v/>
      </c>
      <c r="I2899">
        <f t="shared" si="365"/>
        <v>0</v>
      </c>
      <c r="J2899" t="str">
        <f>_xlfn.XLOOKUP(H2899, Fact_Events!$A$2:$A$20, Fact_Events!$F$2:$F$20, "")</f>
        <v/>
      </c>
      <c r="K2899" t="str">
        <f t="shared" si="366"/>
        <v>Low</v>
      </c>
      <c r="L2899">
        <f t="shared" si="367"/>
        <v>0.55000000000000004</v>
      </c>
      <c r="M2899">
        <f>_xlfn.XLOOKUP(B2899, Dim_Hotel!$A$2:$A$11, Dim_Hotel!$I$2:$I$11)
 + (IF(J2899="",0,J2899)
    * _xlfn.XLOOKUP(B2899, Dim_Hotel!$A$2:$A$11, Dim_Hotel!$J$2:$J$11))</f>
        <v>140</v>
      </c>
    </row>
    <row r="2900" spans="1:13" x14ac:dyDescent="0.25">
      <c r="A2900" s="1">
        <f t="shared" si="360"/>
        <v>46312</v>
      </c>
      <c r="B2900" t="str" cm="1">
        <f t="array" ref="B2900">INDEX(HotelList,MOD(ROW()-2,10)+1)</f>
        <v>H009</v>
      </c>
      <c r="C2900">
        <f>_xlfn.XLOOKUP(B2900,Dim_Hotel!$A$2:$A$11,Dim_Hotel!$F$2:$F$11)</f>
        <v>114</v>
      </c>
      <c r="D2900">
        <f t="shared" si="361"/>
        <v>63</v>
      </c>
      <c r="E2900">
        <f t="shared" si="362"/>
        <v>0.55263157894736847</v>
      </c>
      <c r="F2900">
        <f t="shared" si="363"/>
        <v>185</v>
      </c>
      <c r="G2900">
        <f t="shared" si="364"/>
        <v>102.23684210526316</v>
      </c>
      <c r="H2900" t="str">
        <f>_xlfn.XLOOKUP(A2900,Fact_Events!$D$2:$D$20,Fact_Events!$A$2:$A$20, "")</f>
        <v/>
      </c>
      <c r="I2900">
        <f t="shared" si="365"/>
        <v>0</v>
      </c>
      <c r="J2900" t="str">
        <f>_xlfn.XLOOKUP(H2900, Fact_Events!$A$2:$A$20, Fact_Events!$F$2:$F$20, "")</f>
        <v/>
      </c>
      <c r="K2900" t="str">
        <f t="shared" si="366"/>
        <v>Low</v>
      </c>
      <c r="L2900">
        <f t="shared" si="367"/>
        <v>0.55000000000000004</v>
      </c>
      <c r="M2900">
        <f>_xlfn.XLOOKUP(B2900, Dim_Hotel!$A$2:$A$11, Dim_Hotel!$I$2:$I$11)
 + (IF(J2900="",0,J2900)
    * _xlfn.XLOOKUP(B2900, Dim_Hotel!$A$2:$A$11, Dim_Hotel!$J$2:$J$11))</f>
        <v>185</v>
      </c>
    </row>
    <row r="2901" spans="1:13" x14ac:dyDescent="0.25">
      <c r="A2901" s="1">
        <f t="shared" si="360"/>
        <v>46312</v>
      </c>
      <c r="B2901" t="str" cm="1">
        <f t="array" ref="B2901">INDEX(HotelList,MOD(ROW()-2,10)+1)</f>
        <v>H010</v>
      </c>
      <c r="C2901">
        <f>_xlfn.XLOOKUP(B2901,Dim_Hotel!$A$2:$A$11,Dim_Hotel!$F$2:$F$11)</f>
        <v>89</v>
      </c>
      <c r="D2901">
        <f t="shared" si="361"/>
        <v>49</v>
      </c>
      <c r="E2901">
        <f t="shared" si="362"/>
        <v>0.550561797752809</v>
      </c>
      <c r="F2901">
        <f t="shared" si="363"/>
        <v>150</v>
      </c>
      <c r="G2901">
        <f t="shared" si="364"/>
        <v>82.584269662921344</v>
      </c>
      <c r="H2901" t="str">
        <f>_xlfn.XLOOKUP(A2901,Fact_Events!$D$2:$D$20,Fact_Events!$A$2:$A$20, "")</f>
        <v/>
      </c>
      <c r="I2901">
        <f t="shared" si="365"/>
        <v>0</v>
      </c>
      <c r="J2901" t="str">
        <f>_xlfn.XLOOKUP(H2901, Fact_Events!$A$2:$A$20, Fact_Events!$F$2:$F$20, "")</f>
        <v/>
      </c>
      <c r="K2901" t="str">
        <f t="shared" si="366"/>
        <v>Low</v>
      </c>
      <c r="L2901">
        <f t="shared" si="367"/>
        <v>0.55000000000000004</v>
      </c>
      <c r="M2901">
        <f>_xlfn.XLOOKUP(B2901, Dim_Hotel!$A$2:$A$11, Dim_Hotel!$I$2:$I$11)
 + (IF(J2901="",0,J2901)
    * _xlfn.XLOOKUP(B2901, Dim_Hotel!$A$2:$A$11, Dim_Hotel!$J$2:$J$11))</f>
        <v>150</v>
      </c>
    </row>
    <row r="2902" spans="1:13" x14ac:dyDescent="0.25">
      <c r="A2902" s="1">
        <f t="shared" si="360"/>
        <v>46313</v>
      </c>
      <c r="B2902" t="str" cm="1">
        <f t="array" ref="B2902">INDEX(HotelList,MOD(ROW()-2,10)+1)</f>
        <v>H001</v>
      </c>
      <c r="C2902">
        <f>_xlfn.XLOOKUP(B2902,Dim_Hotel!$A$2:$A$11,Dim_Hotel!$F$2:$F$11)</f>
        <v>888</v>
      </c>
      <c r="D2902">
        <f t="shared" si="361"/>
        <v>488</v>
      </c>
      <c r="E2902">
        <f t="shared" si="362"/>
        <v>0.5495495495495496</v>
      </c>
      <c r="F2902">
        <f t="shared" si="363"/>
        <v>260</v>
      </c>
      <c r="G2902">
        <f t="shared" si="364"/>
        <v>142.88288288288288</v>
      </c>
      <c r="H2902" t="str">
        <f>_xlfn.XLOOKUP(A2902,Fact_Events!$D$2:$D$20,Fact_Events!$A$2:$A$20, "")</f>
        <v/>
      </c>
      <c r="I2902">
        <f t="shared" si="365"/>
        <v>0</v>
      </c>
      <c r="J2902" t="str">
        <f>_xlfn.XLOOKUP(H2902, Fact_Events!$A$2:$A$20, Fact_Events!$F$2:$F$20, "")</f>
        <v/>
      </c>
      <c r="K2902" t="str">
        <f t="shared" si="366"/>
        <v>Low</v>
      </c>
      <c r="L2902">
        <f t="shared" si="367"/>
        <v>0.55000000000000004</v>
      </c>
      <c r="M2902">
        <f>_xlfn.XLOOKUP(B2902, Dim_Hotel!$A$2:$A$11, Dim_Hotel!$I$2:$I$11)
 + (IF(J2902="",0,J2902)
    * _xlfn.XLOOKUP(B2902, Dim_Hotel!$A$2:$A$11, Dim_Hotel!$J$2:$J$11))</f>
        <v>260</v>
      </c>
    </row>
    <row r="2903" spans="1:13" x14ac:dyDescent="0.25">
      <c r="A2903" s="1">
        <f t="shared" si="360"/>
        <v>46313</v>
      </c>
      <c r="B2903" t="str" cm="1">
        <f t="array" ref="B2903">INDEX(HotelList,MOD(ROW()-2,10)+1)</f>
        <v>H002</v>
      </c>
      <c r="C2903">
        <f>_xlfn.XLOOKUP(B2903,Dim_Hotel!$A$2:$A$11,Dim_Hotel!$F$2:$F$11)</f>
        <v>147</v>
      </c>
      <c r="D2903">
        <f t="shared" si="361"/>
        <v>81</v>
      </c>
      <c r="E2903">
        <f t="shared" si="362"/>
        <v>0.55102040816326525</v>
      </c>
      <c r="F2903">
        <f t="shared" si="363"/>
        <v>175</v>
      </c>
      <c r="G2903">
        <f t="shared" si="364"/>
        <v>96.428571428571416</v>
      </c>
      <c r="H2903" t="str">
        <f>_xlfn.XLOOKUP(A2903,Fact_Events!$D$2:$D$20,Fact_Events!$A$2:$A$20, "")</f>
        <v/>
      </c>
      <c r="I2903">
        <f t="shared" si="365"/>
        <v>0</v>
      </c>
      <c r="J2903" t="str">
        <f>_xlfn.XLOOKUP(H2903, Fact_Events!$A$2:$A$20, Fact_Events!$F$2:$F$20, "")</f>
        <v/>
      </c>
      <c r="K2903" t="str">
        <f t="shared" si="366"/>
        <v>Low</v>
      </c>
      <c r="L2903">
        <f t="shared" si="367"/>
        <v>0.55000000000000004</v>
      </c>
      <c r="M2903">
        <f>_xlfn.XLOOKUP(B2903, Dim_Hotel!$A$2:$A$11, Dim_Hotel!$I$2:$I$11)
 + (IF(J2903="",0,J2903)
    * _xlfn.XLOOKUP(B2903, Dim_Hotel!$A$2:$A$11, Dim_Hotel!$J$2:$J$11))</f>
        <v>175</v>
      </c>
    </row>
    <row r="2904" spans="1:13" x14ac:dyDescent="0.25">
      <c r="A2904" s="1">
        <f t="shared" si="360"/>
        <v>46313</v>
      </c>
      <c r="B2904" t="str" cm="1">
        <f t="array" ref="B2904">INDEX(HotelList,MOD(ROW()-2,10)+1)</f>
        <v>H003</v>
      </c>
      <c r="C2904">
        <f>_xlfn.XLOOKUP(B2904,Dim_Hotel!$A$2:$A$11,Dim_Hotel!$F$2:$F$11)</f>
        <v>121</v>
      </c>
      <c r="D2904">
        <f t="shared" si="361"/>
        <v>67</v>
      </c>
      <c r="E2904">
        <f t="shared" si="362"/>
        <v>0.55371900826446285</v>
      </c>
      <c r="F2904">
        <f t="shared" si="363"/>
        <v>145</v>
      </c>
      <c r="G2904">
        <f t="shared" si="364"/>
        <v>80.289256198347118</v>
      </c>
      <c r="H2904" t="str">
        <f>_xlfn.XLOOKUP(A2904,Fact_Events!$D$2:$D$20,Fact_Events!$A$2:$A$20, "")</f>
        <v/>
      </c>
      <c r="I2904">
        <f t="shared" si="365"/>
        <v>0</v>
      </c>
      <c r="J2904" t="str">
        <f>_xlfn.XLOOKUP(H2904, Fact_Events!$A$2:$A$20, Fact_Events!$F$2:$F$20, "")</f>
        <v/>
      </c>
      <c r="K2904" t="str">
        <f t="shared" si="366"/>
        <v>Low</v>
      </c>
      <c r="L2904">
        <f t="shared" si="367"/>
        <v>0.55000000000000004</v>
      </c>
      <c r="M2904">
        <f>_xlfn.XLOOKUP(B2904, Dim_Hotel!$A$2:$A$11, Dim_Hotel!$I$2:$I$11)
 + (IF(J2904="",0,J2904)
    * _xlfn.XLOOKUP(B2904, Dim_Hotel!$A$2:$A$11, Dim_Hotel!$J$2:$J$11))</f>
        <v>145</v>
      </c>
    </row>
    <row r="2905" spans="1:13" x14ac:dyDescent="0.25">
      <c r="A2905" s="1">
        <f t="shared" si="360"/>
        <v>46313</v>
      </c>
      <c r="B2905" t="str" cm="1">
        <f t="array" ref="B2905">INDEX(HotelList,MOD(ROW()-2,10)+1)</f>
        <v>H004</v>
      </c>
      <c r="C2905">
        <f>_xlfn.XLOOKUP(B2905,Dim_Hotel!$A$2:$A$11,Dim_Hotel!$F$2:$F$11)</f>
        <v>108</v>
      </c>
      <c r="D2905">
        <f t="shared" si="361"/>
        <v>59</v>
      </c>
      <c r="E2905">
        <f t="shared" si="362"/>
        <v>0.54629629629629628</v>
      </c>
      <c r="F2905">
        <f t="shared" si="363"/>
        <v>135</v>
      </c>
      <c r="G2905">
        <f t="shared" si="364"/>
        <v>73.75</v>
      </c>
      <c r="H2905" t="str">
        <f>_xlfn.XLOOKUP(A2905,Fact_Events!$D$2:$D$20,Fact_Events!$A$2:$A$20, "")</f>
        <v/>
      </c>
      <c r="I2905">
        <f t="shared" si="365"/>
        <v>0</v>
      </c>
      <c r="J2905" t="str">
        <f>_xlfn.XLOOKUP(H2905, Fact_Events!$A$2:$A$20, Fact_Events!$F$2:$F$20, "")</f>
        <v/>
      </c>
      <c r="K2905" t="str">
        <f t="shared" si="366"/>
        <v>Low</v>
      </c>
      <c r="L2905">
        <f t="shared" si="367"/>
        <v>0.55000000000000004</v>
      </c>
      <c r="M2905">
        <f>_xlfn.XLOOKUP(B2905, Dim_Hotel!$A$2:$A$11, Dim_Hotel!$I$2:$I$11)
 + (IF(J2905="",0,J2905)
    * _xlfn.XLOOKUP(B2905, Dim_Hotel!$A$2:$A$11, Dim_Hotel!$J$2:$J$11))</f>
        <v>135</v>
      </c>
    </row>
    <row r="2906" spans="1:13" x14ac:dyDescent="0.25">
      <c r="A2906" s="1">
        <f t="shared" si="360"/>
        <v>46313</v>
      </c>
      <c r="B2906" t="str" cm="1">
        <f t="array" ref="B2906">INDEX(HotelList,MOD(ROW()-2,10)+1)</f>
        <v>H005</v>
      </c>
      <c r="C2906">
        <f>_xlfn.XLOOKUP(B2906,Dim_Hotel!$A$2:$A$11,Dim_Hotel!$F$2:$F$11)</f>
        <v>66</v>
      </c>
      <c r="D2906">
        <f t="shared" si="361"/>
        <v>36</v>
      </c>
      <c r="E2906">
        <f t="shared" si="362"/>
        <v>0.54545454545454541</v>
      </c>
      <c r="F2906">
        <f t="shared" si="363"/>
        <v>82</v>
      </c>
      <c r="G2906">
        <f t="shared" si="364"/>
        <v>44.727272727272727</v>
      </c>
      <c r="H2906" t="str">
        <f>_xlfn.XLOOKUP(A2906,Fact_Events!$D$2:$D$20,Fact_Events!$A$2:$A$20, "")</f>
        <v/>
      </c>
      <c r="I2906">
        <f t="shared" si="365"/>
        <v>0</v>
      </c>
      <c r="J2906" t="str">
        <f>_xlfn.XLOOKUP(H2906, Fact_Events!$A$2:$A$20, Fact_Events!$F$2:$F$20, "")</f>
        <v/>
      </c>
      <c r="K2906" t="str">
        <f t="shared" si="366"/>
        <v>Low</v>
      </c>
      <c r="L2906">
        <f t="shared" si="367"/>
        <v>0.55000000000000004</v>
      </c>
      <c r="M2906">
        <f>_xlfn.XLOOKUP(B2906, Dim_Hotel!$A$2:$A$11, Dim_Hotel!$I$2:$I$11)
 + (IF(J2906="",0,J2906)
    * _xlfn.XLOOKUP(B2906, Dim_Hotel!$A$2:$A$11, Dim_Hotel!$J$2:$J$11))</f>
        <v>82</v>
      </c>
    </row>
    <row r="2907" spans="1:13" x14ac:dyDescent="0.25">
      <c r="A2907" s="1">
        <f t="shared" si="360"/>
        <v>46313</v>
      </c>
      <c r="B2907" t="str" cm="1">
        <f t="array" ref="B2907">INDEX(HotelList,MOD(ROW()-2,10)+1)</f>
        <v>H006</v>
      </c>
      <c r="C2907">
        <f>_xlfn.XLOOKUP(B2907,Dim_Hotel!$A$2:$A$11,Dim_Hotel!$F$2:$F$11)</f>
        <v>311</v>
      </c>
      <c r="D2907">
        <f t="shared" si="361"/>
        <v>171</v>
      </c>
      <c r="E2907">
        <f t="shared" si="362"/>
        <v>0.54983922829581988</v>
      </c>
      <c r="F2907">
        <f t="shared" si="363"/>
        <v>190</v>
      </c>
      <c r="G2907">
        <f t="shared" si="364"/>
        <v>104.46945337620578</v>
      </c>
      <c r="H2907" t="str">
        <f>_xlfn.XLOOKUP(A2907,Fact_Events!$D$2:$D$20,Fact_Events!$A$2:$A$20, "")</f>
        <v/>
      </c>
      <c r="I2907">
        <f t="shared" si="365"/>
        <v>0</v>
      </c>
      <c r="J2907" t="str">
        <f>_xlfn.XLOOKUP(H2907, Fact_Events!$A$2:$A$20, Fact_Events!$F$2:$F$20, "")</f>
        <v/>
      </c>
      <c r="K2907" t="str">
        <f t="shared" si="366"/>
        <v>Low</v>
      </c>
      <c r="L2907">
        <f t="shared" si="367"/>
        <v>0.55000000000000004</v>
      </c>
      <c r="M2907">
        <f>_xlfn.XLOOKUP(B2907, Dim_Hotel!$A$2:$A$11, Dim_Hotel!$I$2:$I$11)
 + (IF(J2907="",0,J2907)
    * _xlfn.XLOOKUP(B2907, Dim_Hotel!$A$2:$A$11, Dim_Hotel!$J$2:$J$11))</f>
        <v>190</v>
      </c>
    </row>
    <row r="2908" spans="1:13" x14ac:dyDescent="0.25">
      <c r="A2908" s="1">
        <f t="shared" si="360"/>
        <v>46313</v>
      </c>
      <c r="B2908" t="str" cm="1">
        <f t="array" ref="B2908">INDEX(HotelList,MOD(ROW()-2,10)+1)</f>
        <v>H007</v>
      </c>
      <c r="C2908">
        <f>_xlfn.XLOOKUP(B2908,Dim_Hotel!$A$2:$A$11,Dim_Hotel!$F$2:$F$11)</f>
        <v>132</v>
      </c>
      <c r="D2908">
        <f t="shared" si="361"/>
        <v>73</v>
      </c>
      <c r="E2908">
        <f t="shared" si="362"/>
        <v>0.55303030303030298</v>
      </c>
      <c r="F2908">
        <f t="shared" si="363"/>
        <v>165</v>
      </c>
      <c r="G2908">
        <f t="shared" si="364"/>
        <v>91.249999999999986</v>
      </c>
      <c r="H2908" t="str">
        <f>_xlfn.XLOOKUP(A2908,Fact_Events!$D$2:$D$20,Fact_Events!$A$2:$A$20, "")</f>
        <v/>
      </c>
      <c r="I2908">
        <f t="shared" si="365"/>
        <v>0</v>
      </c>
      <c r="J2908" t="str">
        <f>_xlfn.XLOOKUP(H2908, Fact_Events!$A$2:$A$20, Fact_Events!$F$2:$F$20, "")</f>
        <v/>
      </c>
      <c r="K2908" t="str">
        <f t="shared" si="366"/>
        <v>Low</v>
      </c>
      <c r="L2908">
        <f t="shared" si="367"/>
        <v>0.55000000000000004</v>
      </c>
      <c r="M2908">
        <f>_xlfn.XLOOKUP(B2908, Dim_Hotel!$A$2:$A$11, Dim_Hotel!$I$2:$I$11)
 + (IF(J2908="",0,J2908)
    * _xlfn.XLOOKUP(B2908, Dim_Hotel!$A$2:$A$11, Dim_Hotel!$J$2:$J$11))</f>
        <v>165</v>
      </c>
    </row>
    <row r="2909" spans="1:13" x14ac:dyDescent="0.25">
      <c r="A2909" s="1">
        <f t="shared" si="360"/>
        <v>46313</v>
      </c>
      <c r="B2909" t="str" cm="1">
        <f t="array" ref="B2909">INDEX(HotelList,MOD(ROW()-2,10)+1)</f>
        <v>H008</v>
      </c>
      <c r="C2909">
        <f>_xlfn.XLOOKUP(B2909,Dim_Hotel!$A$2:$A$11,Dim_Hotel!$F$2:$F$11)</f>
        <v>103</v>
      </c>
      <c r="D2909">
        <f t="shared" si="361"/>
        <v>57</v>
      </c>
      <c r="E2909">
        <f t="shared" si="362"/>
        <v>0.55339805825242716</v>
      </c>
      <c r="F2909">
        <f t="shared" si="363"/>
        <v>140</v>
      </c>
      <c r="G2909">
        <f t="shared" si="364"/>
        <v>77.475728155339809</v>
      </c>
      <c r="H2909" t="str">
        <f>_xlfn.XLOOKUP(A2909,Fact_Events!$D$2:$D$20,Fact_Events!$A$2:$A$20, "")</f>
        <v/>
      </c>
      <c r="I2909">
        <f t="shared" si="365"/>
        <v>0</v>
      </c>
      <c r="J2909" t="str">
        <f>_xlfn.XLOOKUP(H2909, Fact_Events!$A$2:$A$20, Fact_Events!$F$2:$F$20, "")</f>
        <v/>
      </c>
      <c r="K2909" t="str">
        <f t="shared" si="366"/>
        <v>Low</v>
      </c>
      <c r="L2909">
        <f t="shared" si="367"/>
        <v>0.55000000000000004</v>
      </c>
      <c r="M2909">
        <f>_xlfn.XLOOKUP(B2909, Dim_Hotel!$A$2:$A$11, Dim_Hotel!$I$2:$I$11)
 + (IF(J2909="",0,J2909)
    * _xlfn.XLOOKUP(B2909, Dim_Hotel!$A$2:$A$11, Dim_Hotel!$J$2:$J$11))</f>
        <v>140</v>
      </c>
    </row>
    <row r="2910" spans="1:13" x14ac:dyDescent="0.25">
      <c r="A2910" s="1">
        <f t="shared" si="360"/>
        <v>46313</v>
      </c>
      <c r="B2910" t="str" cm="1">
        <f t="array" ref="B2910">INDEX(HotelList,MOD(ROW()-2,10)+1)</f>
        <v>H009</v>
      </c>
      <c r="C2910">
        <f>_xlfn.XLOOKUP(B2910,Dim_Hotel!$A$2:$A$11,Dim_Hotel!$F$2:$F$11)</f>
        <v>114</v>
      </c>
      <c r="D2910">
        <f t="shared" si="361"/>
        <v>63</v>
      </c>
      <c r="E2910">
        <f t="shared" si="362"/>
        <v>0.55263157894736847</v>
      </c>
      <c r="F2910">
        <f t="shared" si="363"/>
        <v>185</v>
      </c>
      <c r="G2910">
        <f t="shared" si="364"/>
        <v>102.23684210526316</v>
      </c>
      <c r="H2910" t="str">
        <f>_xlfn.XLOOKUP(A2910,Fact_Events!$D$2:$D$20,Fact_Events!$A$2:$A$20, "")</f>
        <v/>
      </c>
      <c r="I2910">
        <f t="shared" si="365"/>
        <v>0</v>
      </c>
      <c r="J2910" t="str">
        <f>_xlfn.XLOOKUP(H2910, Fact_Events!$A$2:$A$20, Fact_Events!$F$2:$F$20, "")</f>
        <v/>
      </c>
      <c r="K2910" t="str">
        <f t="shared" si="366"/>
        <v>Low</v>
      </c>
      <c r="L2910">
        <f t="shared" si="367"/>
        <v>0.55000000000000004</v>
      </c>
      <c r="M2910">
        <f>_xlfn.XLOOKUP(B2910, Dim_Hotel!$A$2:$A$11, Dim_Hotel!$I$2:$I$11)
 + (IF(J2910="",0,J2910)
    * _xlfn.XLOOKUP(B2910, Dim_Hotel!$A$2:$A$11, Dim_Hotel!$J$2:$J$11))</f>
        <v>185</v>
      </c>
    </row>
    <row r="2911" spans="1:13" x14ac:dyDescent="0.25">
      <c r="A2911" s="1">
        <f t="shared" si="360"/>
        <v>46313</v>
      </c>
      <c r="B2911" t="str" cm="1">
        <f t="array" ref="B2911">INDEX(HotelList,MOD(ROW()-2,10)+1)</f>
        <v>H010</v>
      </c>
      <c r="C2911">
        <f>_xlfn.XLOOKUP(B2911,Dim_Hotel!$A$2:$A$11,Dim_Hotel!$F$2:$F$11)</f>
        <v>89</v>
      </c>
      <c r="D2911">
        <f t="shared" si="361"/>
        <v>49</v>
      </c>
      <c r="E2911">
        <f t="shared" si="362"/>
        <v>0.550561797752809</v>
      </c>
      <c r="F2911">
        <f t="shared" si="363"/>
        <v>150</v>
      </c>
      <c r="G2911">
        <f t="shared" si="364"/>
        <v>82.584269662921344</v>
      </c>
      <c r="H2911" t="str">
        <f>_xlfn.XLOOKUP(A2911,Fact_Events!$D$2:$D$20,Fact_Events!$A$2:$A$20, "")</f>
        <v/>
      </c>
      <c r="I2911">
        <f t="shared" si="365"/>
        <v>0</v>
      </c>
      <c r="J2911" t="str">
        <f>_xlfn.XLOOKUP(H2911, Fact_Events!$A$2:$A$20, Fact_Events!$F$2:$F$20, "")</f>
        <v/>
      </c>
      <c r="K2911" t="str">
        <f t="shared" si="366"/>
        <v>Low</v>
      </c>
      <c r="L2911">
        <f t="shared" si="367"/>
        <v>0.55000000000000004</v>
      </c>
      <c r="M2911">
        <f>_xlfn.XLOOKUP(B2911, Dim_Hotel!$A$2:$A$11, Dim_Hotel!$I$2:$I$11)
 + (IF(J2911="",0,J2911)
    * _xlfn.XLOOKUP(B2911, Dim_Hotel!$A$2:$A$11, Dim_Hotel!$J$2:$J$11))</f>
        <v>150</v>
      </c>
    </row>
    <row r="2912" spans="1:13" x14ac:dyDescent="0.25">
      <c r="A2912" s="1">
        <f t="shared" si="360"/>
        <v>46314</v>
      </c>
      <c r="B2912" t="str" cm="1">
        <f t="array" ref="B2912">INDEX(HotelList,MOD(ROW()-2,10)+1)</f>
        <v>H001</v>
      </c>
      <c r="C2912">
        <f>_xlfn.XLOOKUP(B2912,Dim_Hotel!$A$2:$A$11,Dim_Hotel!$F$2:$F$11)</f>
        <v>888</v>
      </c>
      <c r="D2912">
        <f t="shared" si="361"/>
        <v>488</v>
      </c>
      <c r="E2912">
        <f t="shared" si="362"/>
        <v>0.5495495495495496</v>
      </c>
      <c r="F2912">
        <f t="shared" si="363"/>
        <v>260</v>
      </c>
      <c r="G2912">
        <f t="shared" si="364"/>
        <v>142.88288288288288</v>
      </c>
      <c r="H2912" t="str">
        <f>_xlfn.XLOOKUP(A2912,Fact_Events!$D$2:$D$20,Fact_Events!$A$2:$A$20, "")</f>
        <v/>
      </c>
      <c r="I2912">
        <f t="shared" si="365"/>
        <v>0</v>
      </c>
      <c r="J2912" t="str">
        <f>_xlfn.XLOOKUP(H2912, Fact_Events!$A$2:$A$20, Fact_Events!$F$2:$F$20, "")</f>
        <v/>
      </c>
      <c r="K2912" t="str">
        <f t="shared" si="366"/>
        <v>Low</v>
      </c>
      <c r="L2912">
        <f t="shared" si="367"/>
        <v>0.55000000000000004</v>
      </c>
      <c r="M2912">
        <f>_xlfn.XLOOKUP(B2912, Dim_Hotel!$A$2:$A$11, Dim_Hotel!$I$2:$I$11)
 + (IF(J2912="",0,J2912)
    * _xlfn.XLOOKUP(B2912, Dim_Hotel!$A$2:$A$11, Dim_Hotel!$J$2:$J$11))</f>
        <v>260</v>
      </c>
    </row>
    <row r="2913" spans="1:13" x14ac:dyDescent="0.25">
      <c r="A2913" s="1">
        <f t="shared" si="360"/>
        <v>46314</v>
      </c>
      <c r="B2913" t="str" cm="1">
        <f t="array" ref="B2913">INDEX(HotelList,MOD(ROW()-2,10)+1)</f>
        <v>H002</v>
      </c>
      <c r="C2913">
        <f>_xlfn.XLOOKUP(B2913,Dim_Hotel!$A$2:$A$11,Dim_Hotel!$F$2:$F$11)</f>
        <v>147</v>
      </c>
      <c r="D2913">
        <f t="shared" si="361"/>
        <v>81</v>
      </c>
      <c r="E2913">
        <f t="shared" si="362"/>
        <v>0.55102040816326525</v>
      </c>
      <c r="F2913">
        <f t="shared" si="363"/>
        <v>175</v>
      </c>
      <c r="G2913">
        <f t="shared" si="364"/>
        <v>96.428571428571416</v>
      </c>
      <c r="H2913" t="str">
        <f>_xlfn.XLOOKUP(A2913,Fact_Events!$D$2:$D$20,Fact_Events!$A$2:$A$20, "")</f>
        <v/>
      </c>
      <c r="I2913">
        <f t="shared" si="365"/>
        <v>0</v>
      </c>
      <c r="J2913" t="str">
        <f>_xlfn.XLOOKUP(H2913, Fact_Events!$A$2:$A$20, Fact_Events!$F$2:$F$20, "")</f>
        <v/>
      </c>
      <c r="K2913" t="str">
        <f t="shared" si="366"/>
        <v>Low</v>
      </c>
      <c r="L2913">
        <f t="shared" si="367"/>
        <v>0.55000000000000004</v>
      </c>
      <c r="M2913">
        <f>_xlfn.XLOOKUP(B2913, Dim_Hotel!$A$2:$A$11, Dim_Hotel!$I$2:$I$11)
 + (IF(J2913="",0,J2913)
    * _xlfn.XLOOKUP(B2913, Dim_Hotel!$A$2:$A$11, Dim_Hotel!$J$2:$J$11))</f>
        <v>175</v>
      </c>
    </row>
    <row r="2914" spans="1:13" x14ac:dyDescent="0.25">
      <c r="A2914" s="1">
        <f t="shared" si="360"/>
        <v>46314</v>
      </c>
      <c r="B2914" t="str" cm="1">
        <f t="array" ref="B2914">INDEX(HotelList,MOD(ROW()-2,10)+1)</f>
        <v>H003</v>
      </c>
      <c r="C2914">
        <f>_xlfn.XLOOKUP(B2914,Dim_Hotel!$A$2:$A$11,Dim_Hotel!$F$2:$F$11)</f>
        <v>121</v>
      </c>
      <c r="D2914">
        <f t="shared" si="361"/>
        <v>67</v>
      </c>
      <c r="E2914">
        <f t="shared" si="362"/>
        <v>0.55371900826446285</v>
      </c>
      <c r="F2914">
        <f t="shared" si="363"/>
        <v>145</v>
      </c>
      <c r="G2914">
        <f t="shared" si="364"/>
        <v>80.289256198347118</v>
      </c>
      <c r="H2914" t="str">
        <f>_xlfn.XLOOKUP(A2914,Fact_Events!$D$2:$D$20,Fact_Events!$A$2:$A$20, "")</f>
        <v/>
      </c>
      <c r="I2914">
        <f t="shared" si="365"/>
        <v>0</v>
      </c>
      <c r="J2914" t="str">
        <f>_xlfn.XLOOKUP(H2914, Fact_Events!$A$2:$A$20, Fact_Events!$F$2:$F$20, "")</f>
        <v/>
      </c>
      <c r="K2914" t="str">
        <f t="shared" si="366"/>
        <v>Low</v>
      </c>
      <c r="L2914">
        <f t="shared" si="367"/>
        <v>0.55000000000000004</v>
      </c>
      <c r="M2914">
        <f>_xlfn.XLOOKUP(B2914, Dim_Hotel!$A$2:$A$11, Dim_Hotel!$I$2:$I$11)
 + (IF(J2914="",0,J2914)
    * _xlfn.XLOOKUP(B2914, Dim_Hotel!$A$2:$A$11, Dim_Hotel!$J$2:$J$11))</f>
        <v>145</v>
      </c>
    </row>
    <row r="2915" spans="1:13" x14ac:dyDescent="0.25">
      <c r="A2915" s="1">
        <f t="shared" si="360"/>
        <v>46314</v>
      </c>
      <c r="B2915" t="str" cm="1">
        <f t="array" ref="B2915">INDEX(HotelList,MOD(ROW()-2,10)+1)</f>
        <v>H004</v>
      </c>
      <c r="C2915">
        <f>_xlfn.XLOOKUP(B2915,Dim_Hotel!$A$2:$A$11,Dim_Hotel!$F$2:$F$11)</f>
        <v>108</v>
      </c>
      <c r="D2915">
        <f t="shared" si="361"/>
        <v>59</v>
      </c>
      <c r="E2915">
        <f t="shared" si="362"/>
        <v>0.54629629629629628</v>
      </c>
      <c r="F2915">
        <f t="shared" si="363"/>
        <v>135</v>
      </c>
      <c r="G2915">
        <f t="shared" si="364"/>
        <v>73.75</v>
      </c>
      <c r="H2915" t="str">
        <f>_xlfn.XLOOKUP(A2915,Fact_Events!$D$2:$D$20,Fact_Events!$A$2:$A$20, "")</f>
        <v/>
      </c>
      <c r="I2915">
        <f t="shared" si="365"/>
        <v>0</v>
      </c>
      <c r="J2915" t="str">
        <f>_xlfn.XLOOKUP(H2915, Fact_Events!$A$2:$A$20, Fact_Events!$F$2:$F$20, "")</f>
        <v/>
      </c>
      <c r="K2915" t="str">
        <f t="shared" si="366"/>
        <v>Low</v>
      </c>
      <c r="L2915">
        <f t="shared" si="367"/>
        <v>0.55000000000000004</v>
      </c>
      <c r="M2915">
        <f>_xlfn.XLOOKUP(B2915, Dim_Hotel!$A$2:$A$11, Dim_Hotel!$I$2:$I$11)
 + (IF(J2915="",0,J2915)
    * _xlfn.XLOOKUP(B2915, Dim_Hotel!$A$2:$A$11, Dim_Hotel!$J$2:$J$11))</f>
        <v>135</v>
      </c>
    </row>
    <row r="2916" spans="1:13" x14ac:dyDescent="0.25">
      <c r="A2916" s="1">
        <f t="shared" si="360"/>
        <v>46314</v>
      </c>
      <c r="B2916" t="str" cm="1">
        <f t="array" ref="B2916">INDEX(HotelList,MOD(ROW()-2,10)+1)</f>
        <v>H005</v>
      </c>
      <c r="C2916">
        <f>_xlfn.XLOOKUP(B2916,Dim_Hotel!$A$2:$A$11,Dim_Hotel!$F$2:$F$11)</f>
        <v>66</v>
      </c>
      <c r="D2916">
        <f t="shared" si="361"/>
        <v>36</v>
      </c>
      <c r="E2916">
        <f t="shared" si="362"/>
        <v>0.54545454545454541</v>
      </c>
      <c r="F2916">
        <f t="shared" si="363"/>
        <v>82</v>
      </c>
      <c r="G2916">
        <f t="shared" si="364"/>
        <v>44.727272727272727</v>
      </c>
      <c r="H2916" t="str">
        <f>_xlfn.XLOOKUP(A2916,Fact_Events!$D$2:$D$20,Fact_Events!$A$2:$A$20, "")</f>
        <v/>
      </c>
      <c r="I2916">
        <f t="shared" si="365"/>
        <v>0</v>
      </c>
      <c r="J2916" t="str">
        <f>_xlfn.XLOOKUP(H2916, Fact_Events!$A$2:$A$20, Fact_Events!$F$2:$F$20, "")</f>
        <v/>
      </c>
      <c r="K2916" t="str">
        <f t="shared" si="366"/>
        <v>Low</v>
      </c>
      <c r="L2916">
        <f t="shared" si="367"/>
        <v>0.55000000000000004</v>
      </c>
      <c r="M2916">
        <f>_xlfn.XLOOKUP(B2916, Dim_Hotel!$A$2:$A$11, Dim_Hotel!$I$2:$I$11)
 + (IF(J2916="",0,J2916)
    * _xlfn.XLOOKUP(B2916, Dim_Hotel!$A$2:$A$11, Dim_Hotel!$J$2:$J$11))</f>
        <v>82</v>
      </c>
    </row>
    <row r="2917" spans="1:13" x14ac:dyDescent="0.25">
      <c r="A2917" s="1">
        <f t="shared" si="360"/>
        <v>46314</v>
      </c>
      <c r="B2917" t="str" cm="1">
        <f t="array" ref="B2917">INDEX(HotelList,MOD(ROW()-2,10)+1)</f>
        <v>H006</v>
      </c>
      <c r="C2917">
        <f>_xlfn.XLOOKUP(B2917,Dim_Hotel!$A$2:$A$11,Dim_Hotel!$F$2:$F$11)</f>
        <v>311</v>
      </c>
      <c r="D2917">
        <f t="shared" si="361"/>
        <v>171</v>
      </c>
      <c r="E2917">
        <f t="shared" si="362"/>
        <v>0.54983922829581988</v>
      </c>
      <c r="F2917">
        <f t="shared" si="363"/>
        <v>190</v>
      </c>
      <c r="G2917">
        <f t="shared" si="364"/>
        <v>104.46945337620578</v>
      </c>
      <c r="H2917" t="str">
        <f>_xlfn.XLOOKUP(A2917,Fact_Events!$D$2:$D$20,Fact_Events!$A$2:$A$20, "")</f>
        <v/>
      </c>
      <c r="I2917">
        <f t="shared" si="365"/>
        <v>0</v>
      </c>
      <c r="J2917" t="str">
        <f>_xlfn.XLOOKUP(H2917, Fact_Events!$A$2:$A$20, Fact_Events!$F$2:$F$20, "")</f>
        <v/>
      </c>
      <c r="K2917" t="str">
        <f t="shared" si="366"/>
        <v>Low</v>
      </c>
      <c r="L2917">
        <f t="shared" si="367"/>
        <v>0.55000000000000004</v>
      </c>
      <c r="M2917">
        <f>_xlfn.XLOOKUP(B2917, Dim_Hotel!$A$2:$A$11, Dim_Hotel!$I$2:$I$11)
 + (IF(J2917="",0,J2917)
    * _xlfn.XLOOKUP(B2917, Dim_Hotel!$A$2:$A$11, Dim_Hotel!$J$2:$J$11))</f>
        <v>190</v>
      </c>
    </row>
    <row r="2918" spans="1:13" x14ac:dyDescent="0.25">
      <c r="A2918" s="1">
        <f t="shared" si="360"/>
        <v>46314</v>
      </c>
      <c r="B2918" t="str" cm="1">
        <f t="array" ref="B2918">INDEX(HotelList,MOD(ROW()-2,10)+1)</f>
        <v>H007</v>
      </c>
      <c r="C2918">
        <f>_xlfn.XLOOKUP(B2918,Dim_Hotel!$A$2:$A$11,Dim_Hotel!$F$2:$F$11)</f>
        <v>132</v>
      </c>
      <c r="D2918">
        <f t="shared" si="361"/>
        <v>73</v>
      </c>
      <c r="E2918">
        <f t="shared" si="362"/>
        <v>0.55303030303030298</v>
      </c>
      <c r="F2918">
        <f t="shared" si="363"/>
        <v>165</v>
      </c>
      <c r="G2918">
        <f t="shared" si="364"/>
        <v>91.249999999999986</v>
      </c>
      <c r="H2918" t="str">
        <f>_xlfn.XLOOKUP(A2918,Fact_Events!$D$2:$D$20,Fact_Events!$A$2:$A$20, "")</f>
        <v/>
      </c>
      <c r="I2918">
        <f t="shared" si="365"/>
        <v>0</v>
      </c>
      <c r="J2918" t="str">
        <f>_xlfn.XLOOKUP(H2918, Fact_Events!$A$2:$A$20, Fact_Events!$F$2:$F$20, "")</f>
        <v/>
      </c>
      <c r="K2918" t="str">
        <f t="shared" si="366"/>
        <v>Low</v>
      </c>
      <c r="L2918">
        <f t="shared" si="367"/>
        <v>0.55000000000000004</v>
      </c>
      <c r="M2918">
        <f>_xlfn.XLOOKUP(B2918, Dim_Hotel!$A$2:$A$11, Dim_Hotel!$I$2:$I$11)
 + (IF(J2918="",0,J2918)
    * _xlfn.XLOOKUP(B2918, Dim_Hotel!$A$2:$A$11, Dim_Hotel!$J$2:$J$11))</f>
        <v>165</v>
      </c>
    </row>
    <row r="2919" spans="1:13" x14ac:dyDescent="0.25">
      <c r="A2919" s="1">
        <f t="shared" si="360"/>
        <v>46314</v>
      </c>
      <c r="B2919" t="str" cm="1">
        <f t="array" ref="B2919">INDEX(HotelList,MOD(ROW()-2,10)+1)</f>
        <v>H008</v>
      </c>
      <c r="C2919">
        <f>_xlfn.XLOOKUP(B2919,Dim_Hotel!$A$2:$A$11,Dim_Hotel!$F$2:$F$11)</f>
        <v>103</v>
      </c>
      <c r="D2919">
        <f t="shared" si="361"/>
        <v>57</v>
      </c>
      <c r="E2919">
        <f t="shared" si="362"/>
        <v>0.55339805825242716</v>
      </c>
      <c r="F2919">
        <f t="shared" si="363"/>
        <v>140</v>
      </c>
      <c r="G2919">
        <f t="shared" si="364"/>
        <v>77.475728155339809</v>
      </c>
      <c r="H2919" t="str">
        <f>_xlfn.XLOOKUP(A2919,Fact_Events!$D$2:$D$20,Fact_Events!$A$2:$A$20, "")</f>
        <v/>
      </c>
      <c r="I2919">
        <f t="shared" si="365"/>
        <v>0</v>
      </c>
      <c r="J2919" t="str">
        <f>_xlfn.XLOOKUP(H2919, Fact_Events!$A$2:$A$20, Fact_Events!$F$2:$F$20, "")</f>
        <v/>
      </c>
      <c r="K2919" t="str">
        <f t="shared" si="366"/>
        <v>Low</v>
      </c>
      <c r="L2919">
        <f t="shared" si="367"/>
        <v>0.55000000000000004</v>
      </c>
      <c r="M2919">
        <f>_xlfn.XLOOKUP(B2919, Dim_Hotel!$A$2:$A$11, Dim_Hotel!$I$2:$I$11)
 + (IF(J2919="",0,J2919)
    * _xlfn.XLOOKUP(B2919, Dim_Hotel!$A$2:$A$11, Dim_Hotel!$J$2:$J$11))</f>
        <v>140</v>
      </c>
    </row>
    <row r="2920" spans="1:13" x14ac:dyDescent="0.25">
      <c r="A2920" s="1">
        <f t="shared" si="360"/>
        <v>46314</v>
      </c>
      <c r="B2920" t="str" cm="1">
        <f t="array" ref="B2920">INDEX(HotelList,MOD(ROW()-2,10)+1)</f>
        <v>H009</v>
      </c>
      <c r="C2920">
        <f>_xlfn.XLOOKUP(B2920,Dim_Hotel!$A$2:$A$11,Dim_Hotel!$F$2:$F$11)</f>
        <v>114</v>
      </c>
      <c r="D2920">
        <f t="shared" si="361"/>
        <v>63</v>
      </c>
      <c r="E2920">
        <f t="shared" si="362"/>
        <v>0.55263157894736847</v>
      </c>
      <c r="F2920">
        <f t="shared" si="363"/>
        <v>185</v>
      </c>
      <c r="G2920">
        <f t="shared" si="364"/>
        <v>102.23684210526316</v>
      </c>
      <c r="H2920" t="str">
        <f>_xlfn.XLOOKUP(A2920,Fact_Events!$D$2:$D$20,Fact_Events!$A$2:$A$20, "")</f>
        <v/>
      </c>
      <c r="I2920">
        <f t="shared" si="365"/>
        <v>0</v>
      </c>
      <c r="J2920" t="str">
        <f>_xlfn.XLOOKUP(H2920, Fact_Events!$A$2:$A$20, Fact_Events!$F$2:$F$20, "")</f>
        <v/>
      </c>
      <c r="K2920" t="str">
        <f t="shared" si="366"/>
        <v>Low</v>
      </c>
      <c r="L2920">
        <f t="shared" si="367"/>
        <v>0.55000000000000004</v>
      </c>
      <c r="M2920">
        <f>_xlfn.XLOOKUP(B2920, Dim_Hotel!$A$2:$A$11, Dim_Hotel!$I$2:$I$11)
 + (IF(J2920="",0,J2920)
    * _xlfn.XLOOKUP(B2920, Dim_Hotel!$A$2:$A$11, Dim_Hotel!$J$2:$J$11))</f>
        <v>185</v>
      </c>
    </row>
    <row r="2921" spans="1:13" x14ac:dyDescent="0.25">
      <c r="A2921" s="1">
        <f t="shared" si="360"/>
        <v>46314</v>
      </c>
      <c r="B2921" t="str" cm="1">
        <f t="array" ref="B2921">INDEX(HotelList,MOD(ROW()-2,10)+1)</f>
        <v>H010</v>
      </c>
      <c r="C2921">
        <f>_xlfn.XLOOKUP(B2921,Dim_Hotel!$A$2:$A$11,Dim_Hotel!$F$2:$F$11)</f>
        <v>89</v>
      </c>
      <c r="D2921">
        <f t="shared" si="361"/>
        <v>49</v>
      </c>
      <c r="E2921">
        <f t="shared" si="362"/>
        <v>0.550561797752809</v>
      </c>
      <c r="F2921">
        <f t="shared" si="363"/>
        <v>150</v>
      </c>
      <c r="G2921">
        <f t="shared" si="364"/>
        <v>82.584269662921344</v>
      </c>
      <c r="H2921" t="str">
        <f>_xlfn.XLOOKUP(A2921,Fact_Events!$D$2:$D$20,Fact_Events!$A$2:$A$20, "")</f>
        <v/>
      </c>
      <c r="I2921">
        <f t="shared" si="365"/>
        <v>0</v>
      </c>
      <c r="J2921" t="str">
        <f>_xlfn.XLOOKUP(H2921, Fact_Events!$A$2:$A$20, Fact_Events!$F$2:$F$20, "")</f>
        <v/>
      </c>
      <c r="K2921" t="str">
        <f t="shared" si="366"/>
        <v>Low</v>
      </c>
      <c r="L2921">
        <f t="shared" si="367"/>
        <v>0.55000000000000004</v>
      </c>
      <c r="M2921">
        <f>_xlfn.XLOOKUP(B2921, Dim_Hotel!$A$2:$A$11, Dim_Hotel!$I$2:$I$11)
 + (IF(J2921="",0,J2921)
    * _xlfn.XLOOKUP(B2921, Dim_Hotel!$A$2:$A$11, Dim_Hotel!$J$2:$J$11))</f>
        <v>150</v>
      </c>
    </row>
    <row r="2922" spans="1:13" x14ac:dyDescent="0.25">
      <c r="A2922" s="1">
        <f t="shared" si="360"/>
        <v>46315</v>
      </c>
      <c r="B2922" t="str" cm="1">
        <f t="array" ref="B2922">INDEX(HotelList,MOD(ROW()-2,10)+1)</f>
        <v>H001</v>
      </c>
      <c r="C2922">
        <f>_xlfn.XLOOKUP(B2922,Dim_Hotel!$A$2:$A$11,Dim_Hotel!$F$2:$F$11)</f>
        <v>888</v>
      </c>
      <c r="D2922">
        <f t="shared" si="361"/>
        <v>488</v>
      </c>
      <c r="E2922">
        <f t="shared" si="362"/>
        <v>0.5495495495495496</v>
      </c>
      <c r="F2922">
        <f t="shared" si="363"/>
        <v>260</v>
      </c>
      <c r="G2922">
        <f t="shared" si="364"/>
        <v>142.88288288288288</v>
      </c>
      <c r="H2922" t="str">
        <f>_xlfn.XLOOKUP(A2922,Fact_Events!$D$2:$D$20,Fact_Events!$A$2:$A$20, "")</f>
        <v/>
      </c>
      <c r="I2922">
        <f t="shared" si="365"/>
        <v>0</v>
      </c>
      <c r="J2922" t="str">
        <f>_xlfn.XLOOKUP(H2922, Fact_Events!$A$2:$A$20, Fact_Events!$F$2:$F$20, "")</f>
        <v/>
      </c>
      <c r="K2922" t="str">
        <f t="shared" si="366"/>
        <v>Low</v>
      </c>
      <c r="L2922">
        <f t="shared" si="367"/>
        <v>0.55000000000000004</v>
      </c>
      <c r="M2922">
        <f>_xlfn.XLOOKUP(B2922, Dim_Hotel!$A$2:$A$11, Dim_Hotel!$I$2:$I$11)
 + (IF(J2922="",0,J2922)
    * _xlfn.XLOOKUP(B2922, Dim_Hotel!$A$2:$A$11, Dim_Hotel!$J$2:$J$11))</f>
        <v>260</v>
      </c>
    </row>
    <row r="2923" spans="1:13" x14ac:dyDescent="0.25">
      <c r="A2923" s="1">
        <f t="shared" si="360"/>
        <v>46315</v>
      </c>
      <c r="B2923" t="str" cm="1">
        <f t="array" ref="B2923">INDEX(HotelList,MOD(ROW()-2,10)+1)</f>
        <v>H002</v>
      </c>
      <c r="C2923">
        <f>_xlfn.XLOOKUP(B2923,Dim_Hotel!$A$2:$A$11,Dim_Hotel!$F$2:$F$11)</f>
        <v>147</v>
      </c>
      <c r="D2923">
        <f t="shared" si="361"/>
        <v>81</v>
      </c>
      <c r="E2923">
        <f t="shared" si="362"/>
        <v>0.55102040816326525</v>
      </c>
      <c r="F2923">
        <f t="shared" si="363"/>
        <v>175</v>
      </c>
      <c r="G2923">
        <f t="shared" si="364"/>
        <v>96.428571428571416</v>
      </c>
      <c r="H2923" t="str">
        <f>_xlfn.XLOOKUP(A2923,Fact_Events!$D$2:$D$20,Fact_Events!$A$2:$A$20, "")</f>
        <v/>
      </c>
      <c r="I2923">
        <f t="shared" si="365"/>
        <v>0</v>
      </c>
      <c r="J2923" t="str">
        <f>_xlfn.XLOOKUP(H2923, Fact_Events!$A$2:$A$20, Fact_Events!$F$2:$F$20, "")</f>
        <v/>
      </c>
      <c r="K2923" t="str">
        <f t="shared" si="366"/>
        <v>Low</v>
      </c>
      <c r="L2923">
        <f t="shared" si="367"/>
        <v>0.55000000000000004</v>
      </c>
      <c r="M2923">
        <f>_xlfn.XLOOKUP(B2923, Dim_Hotel!$A$2:$A$11, Dim_Hotel!$I$2:$I$11)
 + (IF(J2923="",0,J2923)
    * _xlfn.XLOOKUP(B2923, Dim_Hotel!$A$2:$A$11, Dim_Hotel!$J$2:$J$11))</f>
        <v>175</v>
      </c>
    </row>
    <row r="2924" spans="1:13" x14ac:dyDescent="0.25">
      <c r="A2924" s="1">
        <f t="shared" si="360"/>
        <v>46315</v>
      </c>
      <c r="B2924" t="str" cm="1">
        <f t="array" ref="B2924">INDEX(HotelList,MOD(ROW()-2,10)+1)</f>
        <v>H003</v>
      </c>
      <c r="C2924">
        <f>_xlfn.XLOOKUP(B2924,Dim_Hotel!$A$2:$A$11,Dim_Hotel!$F$2:$F$11)</f>
        <v>121</v>
      </c>
      <c r="D2924">
        <f t="shared" si="361"/>
        <v>67</v>
      </c>
      <c r="E2924">
        <f t="shared" si="362"/>
        <v>0.55371900826446285</v>
      </c>
      <c r="F2924">
        <f t="shared" si="363"/>
        <v>145</v>
      </c>
      <c r="G2924">
        <f t="shared" si="364"/>
        <v>80.289256198347118</v>
      </c>
      <c r="H2924" t="str">
        <f>_xlfn.XLOOKUP(A2924,Fact_Events!$D$2:$D$20,Fact_Events!$A$2:$A$20, "")</f>
        <v/>
      </c>
      <c r="I2924">
        <f t="shared" si="365"/>
        <v>0</v>
      </c>
      <c r="J2924" t="str">
        <f>_xlfn.XLOOKUP(H2924, Fact_Events!$A$2:$A$20, Fact_Events!$F$2:$F$20, "")</f>
        <v/>
      </c>
      <c r="K2924" t="str">
        <f t="shared" si="366"/>
        <v>Low</v>
      </c>
      <c r="L2924">
        <f t="shared" si="367"/>
        <v>0.55000000000000004</v>
      </c>
      <c r="M2924">
        <f>_xlfn.XLOOKUP(B2924, Dim_Hotel!$A$2:$A$11, Dim_Hotel!$I$2:$I$11)
 + (IF(J2924="",0,J2924)
    * _xlfn.XLOOKUP(B2924, Dim_Hotel!$A$2:$A$11, Dim_Hotel!$J$2:$J$11))</f>
        <v>145</v>
      </c>
    </row>
    <row r="2925" spans="1:13" x14ac:dyDescent="0.25">
      <c r="A2925" s="1">
        <f t="shared" si="360"/>
        <v>46315</v>
      </c>
      <c r="B2925" t="str" cm="1">
        <f t="array" ref="B2925">INDEX(HotelList,MOD(ROW()-2,10)+1)</f>
        <v>H004</v>
      </c>
      <c r="C2925">
        <f>_xlfn.XLOOKUP(B2925,Dim_Hotel!$A$2:$A$11,Dim_Hotel!$F$2:$F$11)</f>
        <v>108</v>
      </c>
      <c r="D2925">
        <f t="shared" si="361"/>
        <v>59</v>
      </c>
      <c r="E2925">
        <f t="shared" si="362"/>
        <v>0.54629629629629628</v>
      </c>
      <c r="F2925">
        <f t="shared" si="363"/>
        <v>135</v>
      </c>
      <c r="G2925">
        <f t="shared" si="364"/>
        <v>73.75</v>
      </c>
      <c r="H2925" t="str">
        <f>_xlfn.XLOOKUP(A2925,Fact_Events!$D$2:$D$20,Fact_Events!$A$2:$A$20, "")</f>
        <v/>
      </c>
      <c r="I2925">
        <f t="shared" si="365"/>
        <v>0</v>
      </c>
      <c r="J2925" t="str">
        <f>_xlfn.XLOOKUP(H2925, Fact_Events!$A$2:$A$20, Fact_Events!$F$2:$F$20, "")</f>
        <v/>
      </c>
      <c r="K2925" t="str">
        <f t="shared" si="366"/>
        <v>Low</v>
      </c>
      <c r="L2925">
        <f t="shared" si="367"/>
        <v>0.55000000000000004</v>
      </c>
      <c r="M2925">
        <f>_xlfn.XLOOKUP(B2925, Dim_Hotel!$A$2:$A$11, Dim_Hotel!$I$2:$I$11)
 + (IF(J2925="",0,J2925)
    * _xlfn.XLOOKUP(B2925, Dim_Hotel!$A$2:$A$11, Dim_Hotel!$J$2:$J$11))</f>
        <v>135</v>
      </c>
    </row>
    <row r="2926" spans="1:13" x14ac:dyDescent="0.25">
      <c r="A2926" s="1">
        <f t="shared" si="360"/>
        <v>46315</v>
      </c>
      <c r="B2926" t="str" cm="1">
        <f t="array" ref="B2926">INDEX(HotelList,MOD(ROW()-2,10)+1)</f>
        <v>H005</v>
      </c>
      <c r="C2926">
        <f>_xlfn.XLOOKUP(B2926,Dim_Hotel!$A$2:$A$11,Dim_Hotel!$F$2:$F$11)</f>
        <v>66</v>
      </c>
      <c r="D2926">
        <f t="shared" si="361"/>
        <v>36</v>
      </c>
      <c r="E2926">
        <f t="shared" si="362"/>
        <v>0.54545454545454541</v>
      </c>
      <c r="F2926">
        <f t="shared" si="363"/>
        <v>82</v>
      </c>
      <c r="G2926">
        <f t="shared" si="364"/>
        <v>44.727272727272727</v>
      </c>
      <c r="H2926" t="str">
        <f>_xlfn.XLOOKUP(A2926,Fact_Events!$D$2:$D$20,Fact_Events!$A$2:$A$20, "")</f>
        <v/>
      </c>
      <c r="I2926">
        <f t="shared" si="365"/>
        <v>0</v>
      </c>
      <c r="J2926" t="str">
        <f>_xlfn.XLOOKUP(H2926, Fact_Events!$A$2:$A$20, Fact_Events!$F$2:$F$20, "")</f>
        <v/>
      </c>
      <c r="K2926" t="str">
        <f t="shared" si="366"/>
        <v>Low</v>
      </c>
      <c r="L2926">
        <f t="shared" si="367"/>
        <v>0.55000000000000004</v>
      </c>
      <c r="M2926">
        <f>_xlfn.XLOOKUP(B2926, Dim_Hotel!$A$2:$A$11, Dim_Hotel!$I$2:$I$11)
 + (IF(J2926="",0,J2926)
    * _xlfn.XLOOKUP(B2926, Dim_Hotel!$A$2:$A$11, Dim_Hotel!$J$2:$J$11))</f>
        <v>82</v>
      </c>
    </row>
    <row r="2927" spans="1:13" x14ac:dyDescent="0.25">
      <c r="A2927" s="1">
        <f t="shared" si="360"/>
        <v>46315</v>
      </c>
      <c r="B2927" t="str" cm="1">
        <f t="array" ref="B2927">INDEX(HotelList,MOD(ROW()-2,10)+1)</f>
        <v>H006</v>
      </c>
      <c r="C2927">
        <f>_xlfn.XLOOKUP(B2927,Dim_Hotel!$A$2:$A$11,Dim_Hotel!$F$2:$F$11)</f>
        <v>311</v>
      </c>
      <c r="D2927">
        <f t="shared" si="361"/>
        <v>171</v>
      </c>
      <c r="E2927">
        <f t="shared" si="362"/>
        <v>0.54983922829581988</v>
      </c>
      <c r="F2927">
        <f t="shared" si="363"/>
        <v>190</v>
      </c>
      <c r="G2927">
        <f t="shared" si="364"/>
        <v>104.46945337620578</v>
      </c>
      <c r="H2927" t="str">
        <f>_xlfn.XLOOKUP(A2927,Fact_Events!$D$2:$D$20,Fact_Events!$A$2:$A$20, "")</f>
        <v/>
      </c>
      <c r="I2927">
        <f t="shared" si="365"/>
        <v>0</v>
      </c>
      <c r="J2927" t="str">
        <f>_xlfn.XLOOKUP(H2927, Fact_Events!$A$2:$A$20, Fact_Events!$F$2:$F$20, "")</f>
        <v/>
      </c>
      <c r="K2927" t="str">
        <f t="shared" si="366"/>
        <v>Low</v>
      </c>
      <c r="L2927">
        <f t="shared" si="367"/>
        <v>0.55000000000000004</v>
      </c>
      <c r="M2927">
        <f>_xlfn.XLOOKUP(B2927, Dim_Hotel!$A$2:$A$11, Dim_Hotel!$I$2:$I$11)
 + (IF(J2927="",0,J2927)
    * _xlfn.XLOOKUP(B2927, Dim_Hotel!$A$2:$A$11, Dim_Hotel!$J$2:$J$11))</f>
        <v>190</v>
      </c>
    </row>
    <row r="2928" spans="1:13" x14ac:dyDescent="0.25">
      <c r="A2928" s="1">
        <f t="shared" si="360"/>
        <v>46315</v>
      </c>
      <c r="B2928" t="str" cm="1">
        <f t="array" ref="B2928">INDEX(HotelList,MOD(ROW()-2,10)+1)</f>
        <v>H007</v>
      </c>
      <c r="C2928">
        <f>_xlfn.XLOOKUP(B2928,Dim_Hotel!$A$2:$A$11,Dim_Hotel!$F$2:$F$11)</f>
        <v>132</v>
      </c>
      <c r="D2928">
        <f t="shared" si="361"/>
        <v>73</v>
      </c>
      <c r="E2928">
        <f t="shared" si="362"/>
        <v>0.55303030303030298</v>
      </c>
      <c r="F2928">
        <f t="shared" si="363"/>
        <v>165</v>
      </c>
      <c r="G2928">
        <f t="shared" si="364"/>
        <v>91.249999999999986</v>
      </c>
      <c r="H2928" t="str">
        <f>_xlfn.XLOOKUP(A2928,Fact_Events!$D$2:$D$20,Fact_Events!$A$2:$A$20, "")</f>
        <v/>
      </c>
      <c r="I2928">
        <f t="shared" si="365"/>
        <v>0</v>
      </c>
      <c r="J2928" t="str">
        <f>_xlfn.XLOOKUP(H2928, Fact_Events!$A$2:$A$20, Fact_Events!$F$2:$F$20, "")</f>
        <v/>
      </c>
      <c r="K2928" t="str">
        <f t="shared" si="366"/>
        <v>Low</v>
      </c>
      <c r="L2928">
        <f t="shared" si="367"/>
        <v>0.55000000000000004</v>
      </c>
      <c r="M2928">
        <f>_xlfn.XLOOKUP(B2928, Dim_Hotel!$A$2:$A$11, Dim_Hotel!$I$2:$I$11)
 + (IF(J2928="",0,J2928)
    * _xlfn.XLOOKUP(B2928, Dim_Hotel!$A$2:$A$11, Dim_Hotel!$J$2:$J$11))</f>
        <v>165</v>
      </c>
    </row>
    <row r="2929" spans="1:13" x14ac:dyDescent="0.25">
      <c r="A2929" s="1">
        <f t="shared" si="360"/>
        <v>46315</v>
      </c>
      <c r="B2929" t="str" cm="1">
        <f t="array" ref="B2929">INDEX(HotelList,MOD(ROW()-2,10)+1)</f>
        <v>H008</v>
      </c>
      <c r="C2929">
        <f>_xlfn.XLOOKUP(B2929,Dim_Hotel!$A$2:$A$11,Dim_Hotel!$F$2:$F$11)</f>
        <v>103</v>
      </c>
      <c r="D2929">
        <f t="shared" si="361"/>
        <v>57</v>
      </c>
      <c r="E2929">
        <f t="shared" si="362"/>
        <v>0.55339805825242716</v>
      </c>
      <c r="F2929">
        <f t="shared" si="363"/>
        <v>140</v>
      </c>
      <c r="G2929">
        <f t="shared" si="364"/>
        <v>77.475728155339809</v>
      </c>
      <c r="H2929" t="str">
        <f>_xlfn.XLOOKUP(A2929,Fact_Events!$D$2:$D$20,Fact_Events!$A$2:$A$20, "")</f>
        <v/>
      </c>
      <c r="I2929">
        <f t="shared" si="365"/>
        <v>0</v>
      </c>
      <c r="J2929" t="str">
        <f>_xlfn.XLOOKUP(H2929, Fact_Events!$A$2:$A$20, Fact_Events!$F$2:$F$20, "")</f>
        <v/>
      </c>
      <c r="K2929" t="str">
        <f t="shared" si="366"/>
        <v>Low</v>
      </c>
      <c r="L2929">
        <f t="shared" si="367"/>
        <v>0.55000000000000004</v>
      </c>
      <c r="M2929">
        <f>_xlfn.XLOOKUP(B2929, Dim_Hotel!$A$2:$A$11, Dim_Hotel!$I$2:$I$11)
 + (IF(J2929="",0,J2929)
    * _xlfn.XLOOKUP(B2929, Dim_Hotel!$A$2:$A$11, Dim_Hotel!$J$2:$J$11))</f>
        <v>140</v>
      </c>
    </row>
    <row r="2930" spans="1:13" x14ac:dyDescent="0.25">
      <c r="A2930" s="1">
        <f t="shared" si="360"/>
        <v>46315</v>
      </c>
      <c r="B2930" t="str" cm="1">
        <f t="array" ref="B2930">INDEX(HotelList,MOD(ROW()-2,10)+1)</f>
        <v>H009</v>
      </c>
      <c r="C2930">
        <f>_xlfn.XLOOKUP(B2930,Dim_Hotel!$A$2:$A$11,Dim_Hotel!$F$2:$F$11)</f>
        <v>114</v>
      </c>
      <c r="D2930">
        <f t="shared" si="361"/>
        <v>63</v>
      </c>
      <c r="E2930">
        <f t="shared" si="362"/>
        <v>0.55263157894736847</v>
      </c>
      <c r="F2930">
        <f t="shared" si="363"/>
        <v>185</v>
      </c>
      <c r="G2930">
        <f t="shared" si="364"/>
        <v>102.23684210526316</v>
      </c>
      <c r="H2930" t="str">
        <f>_xlfn.XLOOKUP(A2930,Fact_Events!$D$2:$D$20,Fact_Events!$A$2:$A$20, "")</f>
        <v/>
      </c>
      <c r="I2930">
        <f t="shared" si="365"/>
        <v>0</v>
      </c>
      <c r="J2930" t="str">
        <f>_xlfn.XLOOKUP(H2930, Fact_Events!$A$2:$A$20, Fact_Events!$F$2:$F$20, "")</f>
        <v/>
      </c>
      <c r="K2930" t="str">
        <f t="shared" si="366"/>
        <v>Low</v>
      </c>
      <c r="L2930">
        <f t="shared" si="367"/>
        <v>0.55000000000000004</v>
      </c>
      <c r="M2930">
        <f>_xlfn.XLOOKUP(B2930, Dim_Hotel!$A$2:$A$11, Dim_Hotel!$I$2:$I$11)
 + (IF(J2930="",0,J2930)
    * _xlfn.XLOOKUP(B2930, Dim_Hotel!$A$2:$A$11, Dim_Hotel!$J$2:$J$11))</f>
        <v>185</v>
      </c>
    </row>
    <row r="2931" spans="1:13" x14ac:dyDescent="0.25">
      <c r="A2931" s="1">
        <f t="shared" si="360"/>
        <v>46315</v>
      </c>
      <c r="B2931" t="str" cm="1">
        <f t="array" ref="B2931">INDEX(HotelList,MOD(ROW()-2,10)+1)</f>
        <v>H010</v>
      </c>
      <c r="C2931">
        <f>_xlfn.XLOOKUP(B2931,Dim_Hotel!$A$2:$A$11,Dim_Hotel!$F$2:$F$11)</f>
        <v>89</v>
      </c>
      <c r="D2931">
        <f t="shared" si="361"/>
        <v>49</v>
      </c>
      <c r="E2931">
        <f t="shared" si="362"/>
        <v>0.550561797752809</v>
      </c>
      <c r="F2931">
        <f t="shared" si="363"/>
        <v>150</v>
      </c>
      <c r="G2931">
        <f t="shared" si="364"/>
        <v>82.584269662921344</v>
      </c>
      <c r="H2931" t="str">
        <f>_xlfn.XLOOKUP(A2931,Fact_Events!$D$2:$D$20,Fact_Events!$A$2:$A$20, "")</f>
        <v/>
      </c>
      <c r="I2931">
        <f t="shared" si="365"/>
        <v>0</v>
      </c>
      <c r="J2931" t="str">
        <f>_xlfn.XLOOKUP(H2931, Fact_Events!$A$2:$A$20, Fact_Events!$F$2:$F$20, "")</f>
        <v/>
      </c>
      <c r="K2931" t="str">
        <f t="shared" si="366"/>
        <v>Low</v>
      </c>
      <c r="L2931">
        <f t="shared" si="367"/>
        <v>0.55000000000000004</v>
      </c>
      <c r="M2931">
        <f>_xlfn.XLOOKUP(B2931, Dim_Hotel!$A$2:$A$11, Dim_Hotel!$I$2:$I$11)
 + (IF(J2931="",0,J2931)
    * _xlfn.XLOOKUP(B2931, Dim_Hotel!$A$2:$A$11, Dim_Hotel!$J$2:$J$11))</f>
        <v>150</v>
      </c>
    </row>
    <row r="2932" spans="1:13" x14ac:dyDescent="0.25">
      <c r="A2932" s="1">
        <f t="shared" si="360"/>
        <v>46316</v>
      </c>
      <c r="B2932" t="str" cm="1">
        <f t="array" ref="B2932">INDEX(HotelList,MOD(ROW()-2,10)+1)</f>
        <v>H001</v>
      </c>
      <c r="C2932">
        <f>_xlfn.XLOOKUP(B2932,Dim_Hotel!$A$2:$A$11,Dim_Hotel!$F$2:$F$11)</f>
        <v>888</v>
      </c>
      <c r="D2932">
        <f t="shared" si="361"/>
        <v>488</v>
      </c>
      <c r="E2932">
        <f t="shared" si="362"/>
        <v>0.5495495495495496</v>
      </c>
      <c r="F2932">
        <f t="shared" si="363"/>
        <v>260</v>
      </c>
      <c r="G2932">
        <f t="shared" si="364"/>
        <v>142.88288288288288</v>
      </c>
      <c r="H2932" t="str">
        <f>_xlfn.XLOOKUP(A2932,Fact_Events!$D$2:$D$20,Fact_Events!$A$2:$A$20, "")</f>
        <v/>
      </c>
      <c r="I2932">
        <f t="shared" si="365"/>
        <v>0</v>
      </c>
      <c r="J2932" t="str">
        <f>_xlfn.XLOOKUP(H2932, Fact_Events!$A$2:$A$20, Fact_Events!$F$2:$F$20, "")</f>
        <v/>
      </c>
      <c r="K2932" t="str">
        <f t="shared" si="366"/>
        <v>Low</v>
      </c>
      <c r="L2932">
        <f t="shared" si="367"/>
        <v>0.55000000000000004</v>
      </c>
      <c r="M2932">
        <f>_xlfn.XLOOKUP(B2932, Dim_Hotel!$A$2:$A$11, Dim_Hotel!$I$2:$I$11)
 + (IF(J2932="",0,J2932)
    * _xlfn.XLOOKUP(B2932, Dim_Hotel!$A$2:$A$11, Dim_Hotel!$J$2:$J$11))</f>
        <v>260</v>
      </c>
    </row>
    <row r="2933" spans="1:13" x14ac:dyDescent="0.25">
      <c r="A2933" s="1">
        <f t="shared" si="360"/>
        <v>46316</v>
      </c>
      <c r="B2933" t="str" cm="1">
        <f t="array" ref="B2933">INDEX(HotelList,MOD(ROW()-2,10)+1)</f>
        <v>H002</v>
      </c>
      <c r="C2933">
        <f>_xlfn.XLOOKUP(B2933,Dim_Hotel!$A$2:$A$11,Dim_Hotel!$F$2:$F$11)</f>
        <v>147</v>
      </c>
      <c r="D2933">
        <f t="shared" si="361"/>
        <v>81</v>
      </c>
      <c r="E2933">
        <f t="shared" si="362"/>
        <v>0.55102040816326525</v>
      </c>
      <c r="F2933">
        <f t="shared" si="363"/>
        <v>175</v>
      </c>
      <c r="G2933">
        <f t="shared" si="364"/>
        <v>96.428571428571416</v>
      </c>
      <c r="H2933" t="str">
        <f>_xlfn.XLOOKUP(A2933,Fact_Events!$D$2:$D$20,Fact_Events!$A$2:$A$20, "")</f>
        <v/>
      </c>
      <c r="I2933">
        <f t="shared" si="365"/>
        <v>0</v>
      </c>
      <c r="J2933" t="str">
        <f>_xlfn.XLOOKUP(H2933, Fact_Events!$A$2:$A$20, Fact_Events!$F$2:$F$20, "")</f>
        <v/>
      </c>
      <c r="K2933" t="str">
        <f t="shared" si="366"/>
        <v>Low</v>
      </c>
      <c r="L2933">
        <f t="shared" si="367"/>
        <v>0.55000000000000004</v>
      </c>
      <c r="M2933">
        <f>_xlfn.XLOOKUP(B2933, Dim_Hotel!$A$2:$A$11, Dim_Hotel!$I$2:$I$11)
 + (IF(J2933="",0,J2933)
    * _xlfn.XLOOKUP(B2933, Dim_Hotel!$A$2:$A$11, Dim_Hotel!$J$2:$J$11))</f>
        <v>175</v>
      </c>
    </row>
    <row r="2934" spans="1:13" x14ac:dyDescent="0.25">
      <c r="A2934" s="1">
        <f t="shared" si="360"/>
        <v>46316</v>
      </c>
      <c r="B2934" t="str" cm="1">
        <f t="array" ref="B2934">INDEX(HotelList,MOD(ROW()-2,10)+1)</f>
        <v>H003</v>
      </c>
      <c r="C2934">
        <f>_xlfn.XLOOKUP(B2934,Dim_Hotel!$A$2:$A$11,Dim_Hotel!$F$2:$F$11)</f>
        <v>121</v>
      </c>
      <c r="D2934">
        <f t="shared" si="361"/>
        <v>67</v>
      </c>
      <c r="E2934">
        <f t="shared" si="362"/>
        <v>0.55371900826446285</v>
      </c>
      <c r="F2934">
        <f t="shared" si="363"/>
        <v>145</v>
      </c>
      <c r="G2934">
        <f t="shared" si="364"/>
        <v>80.289256198347118</v>
      </c>
      <c r="H2934" t="str">
        <f>_xlfn.XLOOKUP(A2934,Fact_Events!$D$2:$D$20,Fact_Events!$A$2:$A$20, "")</f>
        <v/>
      </c>
      <c r="I2934">
        <f t="shared" si="365"/>
        <v>0</v>
      </c>
      <c r="J2934" t="str">
        <f>_xlfn.XLOOKUP(H2934, Fact_Events!$A$2:$A$20, Fact_Events!$F$2:$F$20, "")</f>
        <v/>
      </c>
      <c r="K2934" t="str">
        <f t="shared" si="366"/>
        <v>Low</v>
      </c>
      <c r="L2934">
        <f t="shared" si="367"/>
        <v>0.55000000000000004</v>
      </c>
      <c r="M2934">
        <f>_xlfn.XLOOKUP(B2934, Dim_Hotel!$A$2:$A$11, Dim_Hotel!$I$2:$I$11)
 + (IF(J2934="",0,J2934)
    * _xlfn.XLOOKUP(B2934, Dim_Hotel!$A$2:$A$11, Dim_Hotel!$J$2:$J$11))</f>
        <v>145</v>
      </c>
    </row>
    <row r="2935" spans="1:13" x14ac:dyDescent="0.25">
      <c r="A2935" s="1">
        <f t="shared" si="360"/>
        <v>46316</v>
      </c>
      <c r="B2935" t="str" cm="1">
        <f t="array" ref="B2935">INDEX(HotelList,MOD(ROW()-2,10)+1)</f>
        <v>H004</v>
      </c>
      <c r="C2935">
        <f>_xlfn.XLOOKUP(B2935,Dim_Hotel!$A$2:$A$11,Dim_Hotel!$F$2:$F$11)</f>
        <v>108</v>
      </c>
      <c r="D2935">
        <f t="shared" si="361"/>
        <v>59</v>
      </c>
      <c r="E2935">
        <f t="shared" si="362"/>
        <v>0.54629629629629628</v>
      </c>
      <c r="F2935">
        <f t="shared" si="363"/>
        <v>135</v>
      </c>
      <c r="G2935">
        <f t="shared" si="364"/>
        <v>73.75</v>
      </c>
      <c r="H2935" t="str">
        <f>_xlfn.XLOOKUP(A2935,Fact_Events!$D$2:$D$20,Fact_Events!$A$2:$A$20, "")</f>
        <v/>
      </c>
      <c r="I2935">
        <f t="shared" si="365"/>
        <v>0</v>
      </c>
      <c r="J2935" t="str">
        <f>_xlfn.XLOOKUP(H2935, Fact_Events!$A$2:$A$20, Fact_Events!$F$2:$F$20, "")</f>
        <v/>
      </c>
      <c r="K2935" t="str">
        <f t="shared" si="366"/>
        <v>Low</v>
      </c>
      <c r="L2935">
        <f t="shared" si="367"/>
        <v>0.55000000000000004</v>
      </c>
      <c r="M2935">
        <f>_xlfn.XLOOKUP(B2935, Dim_Hotel!$A$2:$A$11, Dim_Hotel!$I$2:$I$11)
 + (IF(J2935="",0,J2935)
    * _xlfn.XLOOKUP(B2935, Dim_Hotel!$A$2:$A$11, Dim_Hotel!$J$2:$J$11))</f>
        <v>135</v>
      </c>
    </row>
    <row r="2936" spans="1:13" x14ac:dyDescent="0.25">
      <c r="A2936" s="1">
        <f t="shared" si="360"/>
        <v>46316</v>
      </c>
      <c r="B2936" t="str" cm="1">
        <f t="array" ref="B2936">INDEX(HotelList,MOD(ROW()-2,10)+1)</f>
        <v>H005</v>
      </c>
      <c r="C2936">
        <f>_xlfn.XLOOKUP(B2936,Dim_Hotel!$A$2:$A$11,Dim_Hotel!$F$2:$F$11)</f>
        <v>66</v>
      </c>
      <c r="D2936">
        <f t="shared" si="361"/>
        <v>36</v>
      </c>
      <c r="E2936">
        <f t="shared" si="362"/>
        <v>0.54545454545454541</v>
      </c>
      <c r="F2936">
        <f t="shared" si="363"/>
        <v>82</v>
      </c>
      <c r="G2936">
        <f t="shared" si="364"/>
        <v>44.727272727272727</v>
      </c>
      <c r="H2936" t="str">
        <f>_xlfn.XLOOKUP(A2936,Fact_Events!$D$2:$D$20,Fact_Events!$A$2:$A$20, "")</f>
        <v/>
      </c>
      <c r="I2936">
        <f t="shared" si="365"/>
        <v>0</v>
      </c>
      <c r="J2936" t="str">
        <f>_xlfn.XLOOKUP(H2936, Fact_Events!$A$2:$A$20, Fact_Events!$F$2:$F$20, "")</f>
        <v/>
      </c>
      <c r="K2936" t="str">
        <f t="shared" si="366"/>
        <v>Low</v>
      </c>
      <c r="L2936">
        <f t="shared" si="367"/>
        <v>0.55000000000000004</v>
      </c>
      <c r="M2936">
        <f>_xlfn.XLOOKUP(B2936, Dim_Hotel!$A$2:$A$11, Dim_Hotel!$I$2:$I$11)
 + (IF(J2936="",0,J2936)
    * _xlfn.XLOOKUP(B2936, Dim_Hotel!$A$2:$A$11, Dim_Hotel!$J$2:$J$11))</f>
        <v>82</v>
      </c>
    </row>
    <row r="2937" spans="1:13" x14ac:dyDescent="0.25">
      <c r="A2937" s="1">
        <f t="shared" si="360"/>
        <v>46316</v>
      </c>
      <c r="B2937" t="str" cm="1">
        <f t="array" ref="B2937">INDEX(HotelList,MOD(ROW()-2,10)+1)</f>
        <v>H006</v>
      </c>
      <c r="C2937">
        <f>_xlfn.XLOOKUP(B2937,Dim_Hotel!$A$2:$A$11,Dim_Hotel!$F$2:$F$11)</f>
        <v>311</v>
      </c>
      <c r="D2937">
        <f t="shared" si="361"/>
        <v>171</v>
      </c>
      <c r="E2937">
        <f t="shared" si="362"/>
        <v>0.54983922829581988</v>
      </c>
      <c r="F2937">
        <f t="shared" si="363"/>
        <v>190</v>
      </c>
      <c r="G2937">
        <f t="shared" si="364"/>
        <v>104.46945337620578</v>
      </c>
      <c r="H2937" t="str">
        <f>_xlfn.XLOOKUP(A2937,Fact_Events!$D$2:$D$20,Fact_Events!$A$2:$A$20, "")</f>
        <v/>
      </c>
      <c r="I2937">
        <f t="shared" si="365"/>
        <v>0</v>
      </c>
      <c r="J2937" t="str">
        <f>_xlfn.XLOOKUP(H2937, Fact_Events!$A$2:$A$20, Fact_Events!$F$2:$F$20, "")</f>
        <v/>
      </c>
      <c r="K2937" t="str">
        <f t="shared" si="366"/>
        <v>Low</v>
      </c>
      <c r="L2937">
        <f t="shared" si="367"/>
        <v>0.55000000000000004</v>
      </c>
      <c r="M2937">
        <f>_xlfn.XLOOKUP(B2937, Dim_Hotel!$A$2:$A$11, Dim_Hotel!$I$2:$I$11)
 + (IF(J2937="",0,J2937)
    * _xlfn.XLOOKUP(B2937, Dim_Hotel!$A$2:$A$11, Dim_Hotel!$J$2:$J$11))</f>
        <v>190</v>
      </c>
    </row>
    <row r="2938" spans="1:13" x14ac:dyDescent="0.25">
      <c r="A2938" s="1">
        <f t="shared" si="360"/>
        <v>46316</v>
      </c>
      <c r="B2938" t="str" cm="1">
        <f t="array" ref="B2938">INDEX(HotelList,MOD(ROW()-2,10)+1)</f>
        <v>H007</v>
      </c>
      <c r="C2938">
        <f>_xlfn.XLOOKUP(B2938,Dim_Hotel!$A$2:$A$11,Dim_Hotel!$F$2:$F$11)</f>
        <v>132</v>
      </c>
      <c r="D2938">
        <f t="shared" si="361"/>
        <v>73</v>
      </c>
      <c r="E2938">
        <f t="shared" si="362"/>
        <v>0.55303030303030298</v>
      </c>
      <c r="F2938">
        <f t="shared" si="363"/>
        <v>165</v>
      </c>
      <c r="G2938">
        <f t="shared" si="364"/>
        <v>91.249999999999986</v>
      </c>
      <c r="H2938" t="str">
        <f>_xlfn.XLOOKUP(A2938,Fact_Events!$D$2:$D$20,Fact_Events!$A$2:$A$20, "")</f>
        <v/>
      </c>
      <c r="I2938">
        <f t="shared" si="365"/>
        <v>0</v>
      </c>
      <c r="J2938" t="str">
        <f>_xlfn.XLOOKUP(H2938, Fact_Events!$A$2:$A$20, Fact_Events!$F$2:$F$20, "")</f>
        <v/>
      </c>
      <c r="K2938" t="str">
        <f t="shared" si="366"/>
        <v>Low</v>
      </c>
      <c r="L2938">
        <f t="shared" si="367"/>
        <v>0.55000000000000004</v>
      </c>
      <c r="M2938">
        <f>_xlfn.XLOOKUP(B2938, Dim_Hotel!$A$2:$A$11, Dim_Hotel!$I$2:$I$11)
 + (IF(J2938="",0,J2938)
    * _xlfn.XLOOKUP(B2938, Dim_Hotel!$A$2:$A$11, Dim_Hotel!$J$2:$J$11))</f>
        <v>165</v>
      </c>
    </row>
    <row r="2939" spans="1:13" x14ac:dyDescent="0.25">
      <c r="A2939" s="1">
        <f t="shared" si="360"/>
        <v>46316</v>
      </c>
      <c r="B2939" t="str" cm="1">
        <f t="array" ref="B2939">INDEX(HotelList,MOD(ROW()-2,10)+1)</f>
        <v>H008</v>
      </c>
      <c r="C2939">
        <f>_xlfn.XLOOKUP(B2939,Dim_Hotel!$A$2:$A$11,Dim_Hotel!$F$2:$F$11)</f>
        <v>103</v>
      </c>
      <c r="D2939">
        <f t="shared" si="361"/>
        <v>57</v>
      </c>
      <c r="E2939">
        <f t="shared" si="362"/>
        <v>0.55339805825242716</v>
      </c>
      <c r="F2939">
        <f t="shared" si="363"/>
        <v>140</v>
      </c>
      <c r="G2939">
        <f t="shared" si="364"/>
        <v>77.475728155339809</v>
      </c>
      <c r="H2939" t="str">
        <f>_xlfn.XLOOKUP(A2939,Fact_Events!$D$2:$D$20,Fact_Events!$A$2:$A$20, "")</f>
        <v/>
      </c>
      <c r="I2939">
        <f t="shared" si="365"/>
        <v>0</v>
      </c>
      <c r="J2939" t="str">
        <f>_xlfn.XLOOKUP(H2939, Fact_Events!$A$2:$A$20, Fact_Events!$F$2:$F$20, "")</f>
        <v/>
      </c>
      <c r="K2939" t="str">
        <f t="shared" si="366"/>
        <v>Low</v>
      </c>
      <c r="L2939">
        <f t="shared" si="367"/>
        <v>0.55000000000000004</v>
      </c>
      <c r="M2939">
        <f>_xlfn.XLOOKUP(B2939, Dim_Hotel!$A$2:$A$11, Dim_Hotel!$I$2:$I$11)
 + (IF(J2939="",0,J2939)
    * _xlfn.XLOOKUP(B2939, Dim_Hotel!$A$2:$A$11, Dim_Hotel!$J$2:$J$11))</f>
        <v>140</v>
      </c>
    </row>
    <row r="2940" spans="1:13" x14ac:dyDescent="0.25">
      <c r="A2940" s="1">
        <f t="shared" si="360"/>
        <v>46316</v>
      </c>
      <c r="B2940" t="str" cm="1">
        <f t="array" ref="B2940">INDEX(HotelList,MOD(ROW()-2,10)+1)</f>
        <v>H009</v>
      </c>
      <c r="C2940">
        <f>_xlfn.XLOOKUP(B2940,Dim_Hotel!$A$2:$A$11,Dim_Hotel!$F$2:$F$11)</f>
        <v>114</v>
      </c>
      <c r="D2940">
        <f t="shared" si="361"/>
        <v>63</v>
      </c>
      <c r="E2940">
        <f t="shared" si="362"/>
        <v>0.55263157894736847</v>
      </c>
      <c r="F2940">
        <f t="shared" si="363"/>
        <v>185</v>
      </c>
      <c r="G2940">
        <f t="shared" si="364"/>
        <v>102.23684210526316</v>
      </c>
      <c r="H2940" t="str">
        <f>_xlfn.XLOOKUP(A2940,Fact_Events!$D$2:$D$20,Fact_Events!$A$2:$A$20, "")</f>
        <v/>
      </c>
      <c r="I2940">
        <f t="shared" si="365"/>
        <v>0</v>
      </c>
      <c r="J2940" t="str">
        <f>_xlfn.XLOOKUP(H2940, Fact_Events!$A$2:$A$20, Fact_Events!$F$2:$F$20, "")</f>
        <v/>
      </c>
      <c r="K2940" t="str">
        <f t="shared" si="366"/>
        <v>Low</v>
      </c>
      <c r="L2940">
        <f t="shared" si="367"/>
        <v>0.55000000000000004</v>
      </c>
      <c r="M2940">
        <f>_xlfn.XLOOKUP(B2940, Dim_Hotel!$A$2:$A$11, Dim_Hotel!$I$2:$I$11)
 + (IF(J2940="",0,J2940)
    * _xlfn.XLOOKUP(B2940, Dim_Hotel!$A$2:$A$11, Dim_Hotel!$J$2:$J$11))</f>
        <v>185</v>
      </c>
    </row>
    <row r="2941" spans="1:13" x14ac:dyDescent="0.25">
      <c r="A2941" s="1">
        <f t="shared" si="360"/>
        <v>46316</v>
      </c>
      <c r="B2941" t="str" cm="1">
        <f t="array" ref="B2941">INDEX(HotelList,MOD(ROW()-2,10)+1)</f>
        <v>H010</v>
      </c>
      <c r="C2941">
        <f>_xlfn.XLOOKUP(B2941,Dim_Hotel!$A$2:$A$11,Dim_Hotel!$F$2:$F$11)</f>
        <v>89</v>
      </c>
      <c r="D2941">
        <f t="shared" si="361"/>
        <v>49</v>
      </c>
      <c r="E2941">
        <f t="shared" si="362"/>
        <v>0.550561797752809</v>
      </c>
      <c r="F2941">
        <f t="shared" si="363"/>
        <v>150</v>
      </c>
      <c r="G2941">
        <f t="shared" si="364"/>
        <v>82.584269662921344</v>
      </c>
      <c r="H2941" t="str">
        <f>_xlfn.XLOOKUP(A2941,Fact_Events!$D$2:$D$20,Fact_Events!$A$2:$A$20, "")</f>
        <v/>
      </c>
      <c r="I2941">
        <f t="shared" si="365"/>
        <v>0</v>
      </c>
      <c r="J2941" t="str">
        <f>_xlfn.XLOOKUP(H2941, Fact_Events!$A$2:$A$20, Fact_Events!$F$2:$F$20, "")</f>
        <v/>
      </c>
      <c r="K2941" t="str">
        <f t="shared" si="366"/>
        <v>Low</v>
      </c>
      <c r="L2941">
        <f t="shared" si="367"/>
        <v>0.55000000000000004</v>
      </c>
      <c r="M2941">
        <f>_xlfn.XLOOKUP(B2941, Dim_Hotel!$A$2:$A$11, Dim_Hotel!$I$2:$I$11)
 + (IF(J2941="",0,J2941)
    * _xlfn.XLOOKUP(B2941, Dim_Hotel!$A$2:$A$11, Dim_Hotel!$J$2:$J$11))</f>
        <v>150</v>
      </c>
    </row>
    <row r="2942" spans="1:13" x14ac:dyDescent="0.25">
      <c r="A2942" s="1">
        <f t="shared" si="360"/>
        <v>46317</v>
      </c>
      <c r="B2942" t="str" cm="1">
        <f t="array" ref="B2942">INDEX(HotelList,MOD(ROW()-2,10)+1)</f>
        <v>H001</v>
      </c>
      <c r="C2942">
        <f>_xlfn.XLOOKUP(B2942,Dim_Hotel!$A$2:$A$11,Dim_Hotel!$F$2:$F$11)</f>
        <v>888</v>
      </c>
      <c r="D2942">
        <f t="shared" si="361"/>
        <v>488</v>
      </c>
      <c r="E2942">
        <f t="shared" si="362"/>
        <v>0.5495495495495496</v>
      </c>
      <c r="F2942">
        <f t="shared" si="363"/>
        <v>260</v>
      </c>
      <c r="G2942">
        <f t="shared" si="364"/>
        <v>142.88288288288288</v>
      </c>
      <c r="H2942" t="str">
        <f>_xlfn.XLOOKUP(A2942,Fact_Events!$D$2:$D$20,Fact_Events!$A$2:$A$20, "")</f>
        <v/>
      </c>
      <c r="I2942">
        <f t="shared" si="365"/>
        <v>0</v>
      </c>
      <c r="J2942" t="str">
        <f>_xlfn.XLOOKUP(H2942, Fact_Events!$A$2:$A$20, Fact_Events!$F$2:$F$20, "")</f>
        <v/>
      </c>
      <c r="K2942" t="str">
        <f t="shared" si="366"/>
        <v>Low</v>
      </c>
      <c r="L2942">
        <f t="shared" si="367"/>
        <v>0.55000000000000004</v>
      </c>
      <c r="M2942">
        <f>_xlfn.XLOOKUP(B2942, Dim_Hotel!$A$2:$A$11, Dim_Hotel!$I$2:$I$11)
 + (IF(J2942="",0,J2942)
    * _xlfn.XLOOKUP(B2942, Dim_Hotel!$A$2:$A$11, Dim_Hotel!$J$2:$J$11))</f>
        <v>260</v>
      </c>
    </row>
    <row r="2943" spans="1:13" x14ac:dyDescent="0.25">
      <c r="A2943" s="1">
        <f t="shared" si="360"/>
        <v>46317</v>
      </c>
      <c r="B2943" t="str" cm="1">
        <f t="array" ref="B2943">INDEX(HotelList,MOD(ROW()-2,10)+1)</f>
        <v>H002</v>
      </c>
      <c r="C2943">
        <f>_xlfn.XLOOKUP(B2943,Dim_Hotel!$A$2:$A$11,Dim_Hotel!$F$2:$F$11)</f>
        <v>147</v>
      </c>
      <c r="D2943">
        <f t="shared" si="361"/>
        <v>81</v>
      </c>
      <c r="E2943">
        <f t="shared" si="362"/>
        <v>0.55102040816326525</v>
      </c>
      <c r="F2943">
        <f t="shared" si="363"/>
        <v>175</v>
      </c>
      <c r="G2943">
        <f t="shared" si="364"/>
        <v>96.428571428571416</v>
      </c>
      <c r="H2943" t="str">
        <f>_xlfn.XLOOKUP(A2943,Fact_Events!$D$2:$D$20,Fact_Events!$A$2:$A$20, "")</f>
        <v/>
      </c>
      <c r="I2943">
        <f t="shared" si="365"/>
        <v>0</v>
      </c>
      <c r="J2943" t="str">
        <f>_xlfn.XLOOKUP(H2943, Fact_Events!$A$2:$A$20, Fact_Events!$F$2:$F$20, "")</f>
        <v/>
      </c>
      <c r="K2943" t="str">
        <f t="shared" si="366"/>
        <v>Low</v>
      </c>
      <c r="L2943">
        <f t="shared" si="367"/>
        <v>0.55000000000000004</v>
      </c>
      <c r="M2943">
        <f>_xlfn.XLOOKUP(B2943, Dim_Hotel!$A$2:$A$11, Dim_Hotel!$I$2:$I$11)
 + (IF(J2943="",0,J2943)
    * _xlfn.XLOOKUP(B2943, Dim_Hotel!$A$2:$A$11, Dim_Hotel!$J$2:$J$11))</f>
        <v>175</v>
      </c>
    </row>
    <row r="2944" spans="1:13" x14ac:dyDescent="0.25">
      <c r="A2944" s="1">
        <f t="shared" si="360"/>
        <v>46317</v>
      </c>
      <c r="B2944" t="str" cm="1">
        <f t="array" ref="B2944">INDEX(HotelList,MOD(ROW()-2,10)+1)</f>
        <v>H003</v>
      </c>
      <c r="C2944">
        <f>_xlfn.XLOOKUP(B2944,Dim_Hotel!$A$2:$A$11,Dim_Hotel!$F$2:$F$11)</f>
        <v>121</v>
      </c>
      <c r="D2944">
        <f t="shared" si="361"/>
        <v>67</v>
      </c>
      <c r="E2944">
        <f t="shared" si="362"/>
        <v>0.55371900826446285</v>
      </c>
      <c r="F2944">
        <f t="shared" si="363"/>
        <v>145</v>
      </c>
      <c r="G2944">
        <f t="shared" si="364"/>
        <v>80.289256198347118</v>
      </c>
      <c r="H2944" t="str">
        <f>_xlfn.XLOOKUP(A2944,Fact_Events!$D$2:$D$20,Fact_Events!$A$2:$A$20, "")</f>
        <v/>
      </c>
      <c r="I2944">
        <f t="shared" si="365"/>
        <v>0</v>
      </c>
      <c r="J2944" t="str">
        <f>_xlfn.XLOOKUP(H2944, Fact_Events!$A$2:$A$20, Fact_Events!$F$2:$F$20, "")</f>
        <v/>
      </c>
      <c r="K2944" t="str">
        <f t="shared" si="366"/>
        <v>Low</v>
      </c>
      <c r="L2944">
        <f t="shared" si="367"/>
        <v>0.55000000000000004</v>
      </c>
      <c r="M2944">
        <f>_xlfn.XLOOKUP(B2944, Dim_Hotel!$A$2:$A$11, Dim_Hotel!$I$2:$I$11)
 + (IF(J2944="",0,J2944)
    * _xlfn.XLOOKUP(B2944, Dim_Hotel!$A$2:$A$11, Dim_Hotel!$J$2:$J$11))</f>
        <v>145</v>
      </c>
    </row>
    <row r="2945" spans="1:13" x14ac:dyDescent="0.25">
      <c r="A2945" s="1">
        <f t="shared" si="360"/>
        <v>46317</v>
      </c>
      <c r="B2945" t="str" cm="1">
        <f t="array" ref="B2945">INDEX(HotelList,MOD(ROW()-2,10)+1)</f>
        <v>H004</v>
      </c>
      <c r="C2945">
        <f>_xlfn.XLOOKUP(B2945,Dim_Hotel!$A$2:$A$11,Dim_Hotel!$F$2:$F$11)</f>
        <v>108</v>
      </c>
      <c r="D2945">
        <f t="shared" si="361"/>
        <v>59</v>
      </c>
      <c r="E2945">
        <f t="shared" si="362"/>
        <v>0.54629629629629628</v>
      </c>
      <c r="F2945">
        <f t="shared" si="363"/>
        <v>135</v>
      </c>
      <c r="G2945">
        <f t="shared" si="364"/>
        <v>73.75</v>
      </c>
      <c r="H2945" t="str">
        <f>_xlfn.XLOOKUP(A2945,Fact_Events!$D$2:$D$20,Fact_Events!$A$2:$A$20, "")</f>
        <v/>
      </c>
      <c r="I2945">
        <f t="shared" si="365"/>
        <v>0</v>
      </c>
      <c r="J2945" t="str">
        <f>_xlfn.XLOOKUP(H2945, Fact_Events!$A$2:$A$20, Fact_Events!$F$2:$F$20, "")</f>
        <v/>
      </c>
      <c r="K2945" t="str">
        <f t="shared" si="366"/>
        <v>Low</v>
      </c>
      <c r="L2945">
        <f t="shared" si="367"/>
        <v>0.55000000000000004</v>
      </c>
      <c r="M2945">
        <f>_xlfn.XLOOKUP(B2945, Dim_Hotel!$A$2:$A$11, Dim_Hotel!$I$2:$I$11)
 + (IF(J2945="",0,J2945)
    * _xlfn.XLOOKUP(B2945, Dim_Hotel!$A$2:$A$11, Dim_Hotel!$J$2:$J$11))</f>
        <v>135</v>
      </c>
    </row>
    <row r="2946" spans="1:13" x14ac:dyDescent="0.25">
      <c r="A2946" s="1">
        <f t="shared" si="360"/>
        <v>46317</v>
      </c>
      <c r="B2946" t="str" cm="1">
        <f t="array" ref="B2946">INDEX(HotelList,MOD(ROW()-2,10)+1)</f>
        <v>H005</v>
      </c>
      <c r="C2946">
        <f>_xlfn.XLOOKUP(B2946,Dim_Hotel!$A$2:$A$11,Dim_Hotel!$F$2:$F$11)</f>
        <v>66</v>
      </c>
      <c r="D2946">
        <f t="shared" si="361"/>
        <v>36</v>
      </c>
      <c r="E2946">
        <f t="shared" si="362"/>
        <v>0.54545454545454541</v>
      </c>
      <c r="F2946">
        <f t="shared" si="363"/>
        <v>82</v>
      </c>
      <c r="G2946">
        <f t="shared" si="364"/>
        <v>44.727272727272727</v>
      </c>
      <c r="H2946" t="str">
        <f>_xlfn.XLOOKUP(A2946,Fact_Events!$D$2:$D$20,Fact_Events!$A$2:$A$20, "")</f>
        <v/>
      </c>
      <c r="I2946">
        <f t="shared" si="365"/>
        <v>0</v>
      </c>
      <c r="J2946" t="str">
        <f>_xlfn.XLOOKUP(H2946, Fact_Events!$A$2:$A$20, Fact_Events!$F$2:$F$20, "")</f>
        <v/>
      </c>
      <c r="K2946" t="str">
        <f t="shared" si="366"/>
        <v>Low</v>
      </c>
      <c r="L2946">
        <f t="shared" si="367"/>
        <v>0.55000000000000004</v>
      </c>
      <c r="M2946">
        <f>_xlfn.XLOOKUP(B2946, Dim_Hotel!$A$2:$A$11, Dim_Hotel!$I$2:$I$11)
 + (IF(J2946="",0,J2946)
    * _xlfn.XLOOKUP(B2946, Dim_Hotel!$A$2:$A$11, Dim_Hotel!$J$2:$J$11))</f>
        <v>82</v>
      </c>
    </row>
    <row r="2947" spans="1:13" x14ac:dyDescent="0.25">
      <c r="A2947" s="1">
        <f t="shared" ref="A2947:A3010" si="368">DATE(2026,1,1) + INT((ROW()-2)/10)</f>
        <v>46317</v>
      </c>
      <c r="B2947" t="str" cm="1">
        <f t="array" ref="B2947">INDEX(HotelList,MOD(ROW()-2,10)+1)</f>
        <v>H006</v>
      </c>
      <c r="C2947">
        <f>_xlfn.XLOOKUP(B2947,Dim_Hotel!$A$2:$A$11,Dim_Hotel!$F$2:$F$11)</f>
        <v>311</v>
      </c>
      <c r="D2947">
        <f t="shared" ref="D2947:D3010" si="369">ROUND(L2947 * C2947, 0)</f>
        <v>171</v>
      </c>
      <c r="E2947">
        <f t="shared" ref="E2947:E3010" si="370">D2947/C2947</f>
        <v>0.54983922829581988</v>
      </c>
      <c r="F2947">
        <f t="shared" ref="F2947:F3010" si="371">M2947</f>
        <v>190</v>
      </c>
      <c r="G2947">
        <f t="shared" ref="G2947:G3010" si="372">E2947*F2947</f>
        <v>104.46945337620578</v>
      </c>
      <c r="H2947" t="str">
        <f>_xlfn.XLOOKUP(A2947,Fact_Events!$D$2:$D$20,Fact_Events!$A$2:$A$20, "")</f>
        <v/>
      </c>
      <c r="I2947">
        <f t="shared" ref="I2947:I3010" si="373">IF(H2947="",0,1)</f>
        <v>0</v>
      </c>
      <c r="J2947" t="str">
        <f>_xlfn.XLOOKUP(H2947, Fact_Events!$A$2:$A$20, Fact_Events!$F$2:$F$20, "")</f>
        <v/>
      </c>
      <c r="K2947" t="str">
        <f t="shared" ref="K2947:K3010" si="374">IF(I2947=0,"Low",
   IF(J2947&gt;=9,"High","Medium"))</f>
        <v>Low</v>
      </c>
      <c r="L2947">
        <f t="shared" ref="L2947:L3010" si="375">MIN(1,
  0.55
  + (I2947 * 0.25)
  + (IF(J2947="",0,J2947) / 100)
)</f>
        <v>0.55000000000000004</v>
      </c>
      <c r="M2947">
        <f>_xlfn.XLOOKUP(B2947, Dim_Hotel!$A$2:$A$11, Dim_Hotel!$I$2:$I$11)
 + (IF(J2947="",0,J2947)
    * _xlfn.XLOOKUP(B2947, Dim_Hotel!$A$2:$A$11, Dim_Hotel!$J$2:$J$11))</f>
        <v>190</v>
      </c>
    </row>
    <row r="2948" spans="1:13" x14ac:dyDescent="0.25">
      <c r="A2948" s="1">
        <f t="shared" si="368"/>
        <v>46317</v>
      </c>
      <c r="B2948" t="str" cm="1">
        <f t="array" ref="B2948">INDEX(HotelList,MOD(ROW()-2,10)+1)</f>
        <v>H007</v>
      </c>
      <c r="C2948">
        <f>_xlfn.XLOOKUP(B2948,Dim_Hotel!$A$2:$A$11,Dim_Hotel!$F$2:$F$11)</f>
        <v>132</v>
      </c>
      <c r="D2948">
        <f t="shared" si="369"/>
        <v>73</v>
      </c>
      <c r="E2948">
        <f t="shared" si="370"/>
        <v>0.55303030303030298</v>
      </c>
      <c r="F2948">
        <f t="shared" si="371"/>
        <v>165</v>
      </c>
      <c r="G2948">
        <f t="shared" si="372"/>
        <v>91.249999999999986</v>
      </c>
      <c r="H2948" t="str">
        <f>_xlfn.XLOOKUP(A2948,Fact_Events!$D$2:$D$20,Fact_Events!$A$2:$A$20, "")</f>
        <v/>
      </c>
      <c r="I2948">
        <f t="shared" si="373"/>
        <v>0</v>
      </c>
      <c r="J2948" t="str">
        <f>_xlfn.XLOOKUP(H2948, Fact_Events!$A$2:$A$20, Fact_Events!$F$2:$F$20, "")</f>
        <v/>
      </c>
      <c r="K2948" t="str">
        <f t="shared" si="374"/>
        <v>Low</v>
      </c>
      <c r="L2948">
        <f t="shared" si="375"/>
        <v>0.55000000000000004</v>
      </c>
      <c r="M2948">
        <f>_xlfn.XLOOKUP(B2948, Dim_Hotel!$A$2:$A$11, Dim_Hotel!$I$2:$I$11)
 + (IF(J2948="",0,J2948)
    * _xlfn.XLOOKUP(B2948, Dim_Hotel!$A$2:$A$11, Dim_Hotel!$J$2:$J$11))</f>
        <v>165</v>
      </c>
    </row>
    <row r="2949" spans="1:13" x14ac:dyDescent="0.25">
      <c r="A2949" s="1">
        <f t="shared" si="368"/>
        <v>46317</v>
      </c>
      <c r="B2949" t="str" cm="1">
        <f t="array" ref="B2949">INDEX(HotelList,MOD(ROW()-2,10)+1)</f>
        <v>H008</v>
      </c>
      <c r="C2949">
        <f>_xlfn.XLOOKUP(B2949,Dim_Hotel!$A$2:$A$11,Dim_Hotel!$F$2:$F$11)</f>
        <v>103</v>
      </c>
      <c r="D2949">
        <f t="shared" si="369"/>
        <v>57</v>
      </c>
      <c r="E2949">
        <f t="shared" si="370"/>
        <v>0.55339805825242716</v>
      </c>
      <c r="F2949">
        <f t="shared" si="371"/>
        <v>140</v>
      </c>
      <c r="G2949">
        <f t="shared" si="372"/>
        <v>77.475728155339809</v>
      </c>
      <c r="H2949" t="str">
        <f>_xlfn.XLOOKUP(A2949,Fact_Events!$D$2:$D$20,Fact_Events!$A$2:$A$20, "")</f>
        <v/>
      </c>
      <c r="I2949">
        <f t="shared" si="373"/>
        <v>0</v>
      </c>
      <c r="J2949" t="str">
        <f>_xlfn.XLOOKUP(H2949, Fact_Events!$A$2:$A$20, Fact_Events!$F$2:$F$20, "")</f>
        <v/>
      </c>
      <c r="K2949" t="str">
        <f t="shared" si="374"/>
        <v>Low</v>
      </c>
      <c r="L2949">
        <f t="shared" si="375"/>
        <v>0.55000000000000004</v>
      </c>
      <c r="M2949">
        <f>_xlfn.XLOOKUP(B2949, Dim_Hotel!$A$2:$A$11, Dim_Hotel!$I$2:$I$11)
 + (IF(J2949="",0,J2949)
    * _xlfn.XLOOKUP(B2949, Dim_Hotel!$A$2:$A$11, Dim_Hotel!$J$2:$J$11))</f>
        <v>140</v>
      </c>
    </row>
    <row r="2950" spans="1:13" x14ac:dyDescent="0.25">
      <c r="A2950" s="1">
        <f t="shared" si="368"/>
        <v>46317</v>
      </c>
      <c r="B2950" t="str" cm="1">
        <f t="array" ref="B2950">INDEX(HotelList,MOD(ROW()-2,10)+1)</f>
        <v>H009</v>
      </c>
      <c r="C2950">
        <f>_xlfn.XLOOKUP(B2950,Dim_Hotel!$A$2:$A$11,Dim_Hotel!$F$2:$F$11)</f>
        <v>114</v>
      </c>
      <c r="D2950">
        <f t="shared" si="369"/>
        <v>63</v>
      </c>
      <c r="E2950">
        <f t="shared" si="370"/>
        <v>0.55263157894736847</v>
      </c>
      <c r="F2950">
        <f t="shared" si="371"/>
        <v>185</v>
      </c>
      <c r="G2950">
        <f t="shared" si="372"/>
        <v>102.23684210526316</v>
      </c>
      <c r="H2950" t="str">
        <f>_xlfn.XLOOKUP(A2950,Fact_Events!$D$2:$D$20,Fact_Events!$A$2:$A$20, "")</f>
        <v/>
      </c>
      <c r="I2950">
        <f t="shared" si="373"/>
        <v>0</v>
      </c>
      <c r="J2950" t="str">
        <f>_xlfn.XLOOKUP(H2950, Fact_Events!$A$2:$A$20, Fact_Events!$F$2:$F$20, "")</f>
        <v/>
      </c>
      <c r="K2950" t="str">
        <f t="shared" si="374"/>
        <v>Low</v>
      </c>
      <c r="L2950">
        <f t="shared" si="375"/>
        <v>0.55000000000000004</v>
      </c>
      <c r="M2950">
        <f>_xlfn.XLOOKUP(B2950, Dim_Hotel!$A$2:$A$11, Dim_Hotel!$I$2:$I$11)
 + (IF(J2950="",0,J2950)
    * _xlfn.XLOOKUP(B2950, Dim_Hotel!$A$2:$A$11, Dim_Hotel!$J$2:$J$11))</f>
        <v>185</v>
      </c>
    </row>
    <row r="2951" spans="1:13" x14ac:dyDescent="0.25">
      <c r="A2951" s="1">
        <f t="shared" si="368"/>
        <v>46317</v>
      </c>
      <c r="B2951" t="str" cm="1">
        <f t="array" ref="B2951">INDEX(HotelList,MOD(ROW()-2,10)+1)</f>
        <v>H010</v>
      </c>
      <c r="C2951">
        <f>_xlfn.XLOOKUP(B2951,Dim_Hotel!$A$2:$A$11,Dim_Hotel!$F$2:$F$11)</f>
        <v>89</v>
      </c>
      <c r="D2951">
        <f t="shared" si="369"/>
        <v>49</v>
      </c>
      <c r="E2951">
        <f t="shared" si="370"/>
        <v>0.550561797752809</v>
      </c>
      <c r="F2951">
        <f t="shared" si="371"/>
        <v>150</v>
      </c>
      <c r="G2951">
        <f t="shared" si="372"/>
        <v>82.584269662921344</v>
      </c>
      <c r="H2951" t="str">
        <f>_xlfn.XLOOKUP(A2951,Fact_Events!$D$2:$D$20,Fact_Events!$A$2:$A$20, "")</f>
        <v/>
      </c>
      <c r="I2951">
        <f t="shared" si="373"/>
        <v>0</v>
      </c>
      <c r="J2951" t="str">
        <f>_xlfn.XLOOKUP(H2951, Fact_Events!$A$2:$A$20, Fact_Events!$F$2:$F$20, "")</f>
        <v/>
      </c>
      <c r="K2951" t="str">
        <f t="shared" si="374"/>
        <v>Low</v>
      </c>
      <c r="L2951">
        <f t="shared" si="375"/>
        <v>0.55000000000000004</v>
      </c>
      <c r="M2951">
        <f>_xlfn.XLOOKUP(B2951, Dim_Hotel!$A$2:$A$11, Dim_Hotel!$I$2:$I$11)
 + (IF(J2951="",0,J2951)
    * _xlfn.XLOOKUP(B2951, Dim_Hotel!$A$2:$A$11, Dim_Hotel!$J$2:$J$11))</f>
        <v>150</v>
      </c>
    </row>
    <row r="2952" spans="1:13" x14ac:dyDescent="0.25">
      <c r="A2952" s="1">
        <f t="shared" si="368"/>
        <v>46318</v>
      </c>
      <c r="B2952" t="str" cm="1">
        <f t="array" ref="B2952">INDEX(HotelList,MOD(ROW()-2,10)+1)</f>
        <v>H001</v>
      </c>
      <c r="C2952">
        <f>_xlfn.XLOOKUP(B2952,Dim_Hotel!$A$2:$A$11,Dim_Hotel!$F$2:$F$11)</f>
        <v>888</v>
      </c>
      <c r="D2952">
        <f t="shared" si="369"/>
        <v>488</v>
      </c>
      <c r="E2952">
        <f t="shared" si="370"/>
        <v>0.5495495495495496</v>
      </c>
      <c r="F2952">
        <f t="shared" si="371"/>
        <v>260</v>
      </c>
      <c r="G2952">
        <f t="shared" si="372"/>
        <v>142.88288288288288</v>
      </c>
      <c r="H2952" t="str">
        <f>_xlfn.XLOOKUP(A2952,Fact_Events!$D$2:$D$20,Fact_Events!$A$2:$A$20, "")</f>
        <v/>
      </c>
      <c r="I2952">
        <f t="shared" si="373"/>
        <v>0</v>
      </c>
      <c r="J2952" t="str">
        <f>_xlfn.XLOOKUP(H2952, Fact_Events!$A$2:$A$20, Fact_Events!$F$2:$F$20, "")</f>
        <v/>
      </c>
      <c r="K2952" t="str">
        <f t="shared" si="374"/>
        <v>Low</v>
      </c>
      <c r="L2952">
        <f t="shared" si="375"/>
        <v>0.55000000000000004</v>
      </c>
      <c r="M2952">
        <f>_xlfn.XLOOKUP(B2952, Dim_Hotel!$A$2:$A$11, Dim_Hotel!$I$2:$I$11)
 + (IF(J2952="",0,J2952)
    * _xlfn.XLOOKUP(B2952, Dim_Hotel!$A$2:$A$11, Dim_Hotel!$J$2:$J$11))</f>
        <v>260</v>
      </c>
    </row>
    <row r="2953" spans="1:13" x14ac:dyDescent="0.25">
      <c r="A2953" s="1">
        <f t="shared" si="368"/>
        <v>46318</v>
      </c>
      <c r="B2953" t="str" cm="1">
        <f t="array" ref="B2953">INDEX(HotelList,MOD(ROW()-2,10)+1)</f>
        <v>H002</v>
      </c>
      <c r="C2953">
        <f>_xlfn.XLOOKUP(B2953,Dim_Hotel!$A$2:$A$11,Dim_Hotel!$F$2:$F$11)</f>
        <v>147</v>
      </c>
      <c r="D2953">
        <f t="shared" si="369"/>
        <v>81</v>
      </c>
      <c r="E2953">
        <f t="shared" si="370"/>
        <v>0.55102040816326525</v>
      </c>
      <c r="F2953">
        <f t="shared" si="371"/>
        <v>175</v>
      </c>
      <c r="G2953">
        <f t="shared" si="372"/>
        <v>96.428571428571416</v>
      </c>
      <c r="H2953" t="str">
        <f>_xlfn.XLOOKUP(A2953,Fact_Events!$D$2:$D$20,Fact_Events!$A$2:$A$20, "")</f>
        <v/>
      </c>
      <c r="I2953">
        <f t="shared" si="373"/>
        <v>0</v>
      </c>
      <c r="J2953" t="str">
        <f>_xlfn.XLOOKUP(H2953, Fact_Events!$A$2:$A$20, Fact_Events!$F$2:$F$20, "")</f>
        <v/>
      </c>
      <c r="K2953" t="str">
        <f t="shared" si="374"/>
        <v>Low</v>
      </c>
      <c r="L2953">
        <f t="shared" si="375"/>
        <v>0.55000000000000004</v>
      </c>
      <c r="M2953">
        <f>_xlfn.XLOOKUP(B2953, Dim_Hotel!$A$2:$A$11, Dim_Hotel!$I$2:$I$11)
 + (IF(J2953="",0,J2953)
    * _xlfn.XLOOKUP(B2953, Dim_Hotel!$A$2:$A$11, Dim_Hotel!$J$2:$J$11))</f>
        <v>175</v>
      </c>
    </row>
    <row r="2954" spans="1:13" x14ac:dyDescent="0.25">
      <c r="A2954" s="1">
        <f t="shared" si="368"/>
        <v>46318</v>
      </c>
      <c r="B2954" t="str" cm="1">
        <f t="array" ref="B2954">INDEX(HotelList,MOD(ROW()-2,10)+1)</f>
        <v>H003</v>
      </c>
      <c r="C2954">
        <f>_xlfn.XLOOKUP(B2954,Dim_Hotel!$A$2:$A$11,Dim_Hotel!$F$2:$F$11)</f>
        <v>121</v>
      </c>
      <c r="D2954">
        <f t="shared" si="369"/>
        <v>67</v>
      </c>
      <c r="E2954">
        <f t="shared" si="370"/>
        <v>0.55371900826446285</v>
      </c>
      <c r="F2954">
        <f t="shared" si="371"/>
        <v>145</v>
      </c>
      <c r="G2954">
        <f t="shared" si="372"/>
        <v>80.289256198347118</v>
      </c>
      <c r="H2954" t="str">
        <f>_xlfn.XLOOKUP(A2954,Fact_Events!$D$2:$D$20,Fact_Events!$A$2:$A$20, "")</f>
        <v/>
      </c>
      <c r="I2954">
        <f t="shared" si="373"/>
        <v>0</v>
      </c>
      <c r="J2954" t="str">
        <f>_xlfn.XLOOKUP(H2954, Fact_Events!$A$2:$A$20, Fact_Events!$F$2:$F$20, "")</f>
        <v/>
      </c>
      <c r="K2954" t="str">
        <f t="shared" si="374"/>
        <v>Low</v>
      </c>
      <c r="L2954">
        <f t="shared" si="375"/>
        <v>0.55000000000000004</v>
      </c>
      <c r="M2954">
        <f>_xlfn.XLOOKUP(B2954, Dim_Hotel!$A$2:$A$11, Dim_Hotel!$I$2:$I$11)
 + (IF(J2954="",0,J2954)
    * _xlfn.XLOOKUP(B2954, Dim_Hotel!$A$2:$A$11, Dim_Hotel!$J$2:$J$11))</f>
        <v>145</v>
      </c>
    </row>
    <row r="2955" spans="1:13" x14ac:dyDescent="0.25">
      <c r="A2955" s="1">
        <f t="shared" si="368"/>
        <v>46318</v>
      </c>
      <c r="B2955" t="str" cm="1">
        <f t="array" ref="B2955">INDEX(HotelList,MOD(ROW()-2,10)+1)</f>
        <v>H004</v>
      </c>
      <c r="C2955">
        <f>_xlfn.XLOOKUP(B2955,Dim_Hotel!$A$2:$A$11,Dim_Hotel!$F$2:$F$11)</f>
        <v>108</v>
      </c>
      <c r="D2955">
        <f t="shared" si="369"/>
        <v>59</v>
      </c>
      <c r="E2955">
        <f t="shared" si="370"/>
        <v>0.54629629629629628</v>
      </c>
      <c r="F2955">
        <f t="shared" si="371"/>
        <v>135</v>
      </c>
      <c r="G2955">
        <f t="shared" si="372"/>
        <v>73.75</v>
      </c>
      <c r="H2955" t="str">
        <f>_xlfn.XLOOKUP(A2955,Fact_Events!$D$2:$D$20,Fact_Events!$A$2:$A$20, "")</f>
        <v/>
      </c>
      <c r="I2955">
        <f t="shared" si="373"/>
        <v>0</v>
      </c>
      <c r="J2955" t="str">
        <f>_xlfn.XLOOKUP(H2955, Fact_Events!$A$2:$A$20, Fact_Events!$F$2:$F$20, "")</f>
        <v/>
      </c>
      <c r="K2955" t="str">
        <f t="shared" si="374"/>
        <v>Low</v>
      </c>
      <c r="L2955">
        <f t="shared" si="375"/>
        <v>0.55000000000000004</v>
      </c>
      <c r="M2955">
        <f>_xlfn.XLOOKUP(B2955, Dim_Hotel!$A$2:$A$11, Dim_Hotel!$I$2:$I$11)
 + (IF(J2955="",0,J2955)
    * _xlfn.XLOOKUP(B2955, Dim_Hotel!$A$2:$A$11, Dim_Hotel!$J$2:$J$11))</f>
        <v>135</v>
      </c>
    </row>
    <row r="2956" spans="1:13" x14ac:dyDescent="0.25">
      <c r="A2956" s="1">
        <f t="shared" si="368"/>
        <v>46318</v>
      </c>
      <c r="B2956" t="str" cm="1">
        <f t="array" ref="B2956">INDEX(HotelList,MOD(ROW()-2,10)+1)</f>
        <v>H005</v>
      </c>
      <c r="C2956">
        <f>_xlfn.XLOOKUP(B2956,Dim_Hotel!$A$2:$A$11,Dim_Hotel!$F$2:$F$11)</f>
        <v>66</v>
      </c>
      <c r="D2956">
        <f t="shared" si="369"/>
        <v>36</v>
      </c>
      <c r="E2956">
        <f t="shared" si="370"/>
        <v>0.54545454545454541</v>
      </c>
      <c r="F2956">
        <f t="shared" si="371"/>
        <v>82</v>
      </c>
      <c r="G2956">
        <f t="shared" si="372"/>
        <v>44.727272727272727</v>
      </c>
      <c r="H2956" t="str">
        <f>_xlfn.XLOOKUP(A2956,Fact_Events!$D$2:$D$20,Fact_Events!$A$2:$A$20, "")</f>
        <v/>
      </c>
      <c r="I2956">
        <f t="shared" si="373"/>
        <v>0</v>
      </c>
      <c r="J2956" t="str">
        <f>_xlfn.XLOOKUP(H2956, Fact_Events!$A$2:$A$20, Fact_Events!$F$2:$F$20, "")</f>
        <v/>
      </c>
      <c r="K2956" t="str">
        <f t="shared" si="374"/>
        <v>Low</v>
      </c>
      <c r="L2956">
        <f t="shared" si="375"/>
        <v>0.55000000000000004</v>
      </c>
      <c r="M2956">
        <f>_xlfn.XLOOKUP(B2956, Dim_Hotel!$A$2:$A$11, Dim_Hotel!$I$2:$I$11)
 + (IF(J2956="",0,J2956)
    * _xlfn.XLOOKUP(B2956, Dim_Hotel!$A$2:$A$11, Dim_Hotel!$J$2:$J$11))</f>
        <v>82</v>
      </c>
    </row>
    <row r="2957" spans="1:13" x14ac:dyDescent="0.25">
      <c r="A2957" s="1">
        <f t="shared" si="368"/>
        <v>46318</v>
      </c>
      <c r="B2957" t="str" cm="1">
        <f t="array" ref="B2957">INDEX(HotelList,MOD(ROW()-2,10)+1)</f>
        <v>H006</v>
      </c>
      <c r="C2957">
        <f>_xlfn.XLOOKUP(B2957,Dim_Hotel!$A$2:$A$11,Dim_Hotel!$F$2:$F$11)</f>
        <v>311</v>
      </c>
      <c r="D2957">
        <f t="shared" si="369"/>
        <v>171</v>
      </c>
      <c r="E2957">
        <f t="shared" si="370"/>
        <v>0.54983922829581988</v>
      </c>
      <c r="F2957">
        <f t="shared" si="371"/>
        <v>190</v>
      </c>
      <c r="G2957">
        <f t="shared" si="372"/>
        <v>104.46945337620578</v>
      </c>
      <c r="H2957" t="str">
        <f>_xlfn.XLOOKUP(A2957,Fact_Events!$D$2:$D$20,Fact_Events!$A$2:$A$20, "")</f>
        <v/>
      </c>
      <c r="I2957">
        <f t="shared" si="373"/>
        <v>0</v>
      </c>
      <c r="J2957" t="str">
        <f>_xlfn.XLOOKUP(H2957, Fact_Events!$A$2:$A$20, Fact_Events!$F$2:$F$20, "")</f>
        <v/>
      </c>
      <c r="K2957" t="str">
        <f t="shared" si="374"/>
        <v>Low</v>
      </c>
      <c r="L2957">
        <f t="shared" si="375"/>
        <v>0.55000000000000004</v>
      </c>
      <c r="M2957">
        <f>_xlfn.XLOOKUP(B2957, Dim_Hotel!$A$2:$A$11, Dim_Hotel!$I$2:$I$11)
 + (IF(J2957="",0,J2957)
    * _xlfn.XLOOKUP(B2957, Dim_Hotel!$A$2:$A$11, Dim_Hotel!$J$2:$J$11))</f>
        <v>190</v>
      </c>
    </row>
    <row r="2958" spans="1:13" x14ac:dyDescent="0.25">
      <c r="A2958" s="1">
        <f t="shared" si="368"/>
        <v>46318</v>
      </c>
      <c r="B2958" t="str" cm="1">
        <f t="array" ref="B2958">INDEX(HotelList,MOD(ROW()-2,10)+1)</f>
        <v>H007</v>
      </c>
      <c r="C2958">
        <f>_xlfn.XLOOKUP(B2958,Dim_Hotel!$A$2:$A$11,Dim_Hotel!$F$2:$F$11)</f>
        <v>132</v>
      </c>
      <c r="D2958">
        <f t="shared" si="369"/>
        <v>73</v>
      </c>
      <c r="E2958">
        <f t="shared" si="370"/>
        <v>0.55303030303030298</v>
      </c>
      <c r="F2958">
        <f t="shared" si="371"/>
        <v>165</v>
      </c>
      <c r="G2958">
        <f t="shared" si="372"/>
        <v>91.249999999999986</v>
      </c>
      <c r="H2958" t="str">
        <f>_xlfn.XLOOKUP(A2958,Fact_Events!$D$2:$D$20,Fact_Events!$A$2:$A$20, "")</f>
        <v/>
      </c>
      <c r="I2958">
        <f t="shared" si="373"/>
        <v>0</v>
      </c>
      <c r="J2958" t="str">
        <f>_xlfn.XLOOKUP(H2958, Fact_Events!$A$2:$A$20, Fact_Events!$F$2:$F$20, "")</f>
        <v/>
      </c>
      <c r="K2958" t="str">
        <f t="shared" si="374"/>
        <v>Low</v>
      </c>
      <c r="L2958">
        <f t="shared" si="375"/>
        <v>0.55000000000000004</v>
      </c>
      <c r="M2958">
        <f>_xlfn.XLOOKUP(B2958, Dim_Hotel!$A$2:$A$11, Dim_Hotel!$I$2:$I$11)
 + (IF(J2958="",0,J2958)
    * _xlfn.XLOOKUP(B2958, Dim_Hotel!$A$2:$A$11, Dim_Hotel!$J$2:$J$11))</f>
        <v>165</v>
      </c>
    </row>
    <row r="2959" spans="1:13" x14ac:dyDescent="0.25">
      <c r="A2959" s="1">
        <f t="shared" si="368"/>
        <v>46318</v>
      </c>
      <c r="B2959" t="str" cm="1">
        <f t="array" ref="B2959">INDEX(HotelList,MOD(ROW()-2,10)+1)</f>
        <v>H008</v>
      </c>
      <c r="C2959">
        <f>_xlfn.XLOOKUP(B2959,Dim_Hotel!$A$2:$A$11,Dim_Hotel!$F$2:$F$11)</f>
        <v>103</v>
      </c>
      <c r="D2959">
        <f t="shared" si="369"/>
        <v>57</v>
      </c>
      <c r="E2959">
        <f t="shared" si="370"/>
        <v>0.55339805825242716</v>
      </c>
      <c r="F2959">
        <f t="shared" si="371"/>
        <v>140</v>
      </c>
      <c r="G2959">
        <f t="shared" si="372"/>
        <v>77.475728155339809</v>
      </c>
      <c r="H2959" t="str">
        <f>_xlfn.XLOOKUP(A2959,Fact_Events!$D$2:$D$20,Fact_Events!$A$2:$A$20, "")</f>
        <v/>
      </c>
      <c r="I2959">
        <f t="shared" si="373"/>
        <v>0</v>
      </c>
      <c r="J2959" t="str">
        <f>_xlfn.XLOOKUP(H2959, Fact_Events!$A$2:$A$20, Fact_Events!$F$2:$F$20, "")</f>
        <v/>
      </c>
      <c r="K2959" t="str">
        <f t="shared" si="374"/>
        <v>Low</v>
      </c>
      <c r="L2959">
        <f t="shared" si="375"/>
        <v>0.55000000000000004</v>
      </c>
      <c r="M2959">
        <f>_xlfn.XLOOKUP(B2959, Dim_Hotel!$A$2:$A$11, Dim_Hotel!$I$2:$I$11)
 + (IF(J2959="",0,J2959)
    * _xlfn.XLOOKUP(B2959, Dim_Hotel!$A$2:$A$11, Dim_Hotel!$J$2:$J$11))</f>
        <v>140</v>
      </c>
    </row>
    <row r="2960" spans="1:13" x14ac:dyDescent="0.25">
      <c r="A2960" s="1">
        <f t="shared" si="368"/>
        <v>46318</v>
      </c>
      <c r="B2960" t="str" cm="1">
        <f t="array" ref="B2960">INDEX(HotelList,MOD(ROW()-2,10)+1)</f>
        <v>H009</v>
      </c>
      <c r="C2960">
        <f>_xlfn.XLOOKUP(B2960,Dim_Hotel!$A$2:$A$11,Dim_Hotel!$F$2:$F$11)</f>
        <v>114</v>
      </c>
      <c r="D2960">
        <f t="shared" si="369"/>
        <v>63</v>
      </c>
      <c r="E2960">
        <f t="shared" si="370"/>
        <v>0.55263157894736847</v>
      </c>
      <c r="F2960">
        <f t="shared" si="371"/>
        <v>185</v>
      </c>
      <c r="G2960">
        <f t="shared" si="372"/>
        <v>102.23684210526316</v>
      </c>
      <c r="H2960" t="str">
        <f>_xlfn.XLOOKUP(A2960,Fact_Events!$D$2:$D$20,Fact_Events!$A$2:$A$20, "")</f>
        <v/>
      </c>
      <c r="I2960">
        <f t="shared" si="373"/>
        <v>0</v>
      </c>
      <c r="J2960" t="str">
        <f>_xlfn.XLOOKUP(H2960, Fact_Events!$A$2:$A$20, Fact_Events!$F$2:$F$20, "")</f>
        <v/>
      </c>
      <c r="K2960" t="str">
        <f t="shared" si="374"/>
        <v>Low</v>
      </c>
      <c r="L2960">
        <f t="shared" si="375"/>
        <v>0.55000000000000004</v>
      </c>
      <c r="M2960">
        <f>_xlfn.XLOOKUP(B2960, Dim_Hotel!$A$2:$A$11, Dim_Hotel!$I$2:$I$11)
 + (IF(J2960="",0,J2960)
    * _xlfn.XLOOKUP(B2960, Dim_Hotel!$A$2:$A$11, Dim_Hotel!$J$2:$J$11))</f>
        <v>185</v>
      </c>
    </row>
    <row r="2961" spans="1:13" x14ac:dyDescent="0.25">
      <c r="A2961" s="1">
        <f t="shared" si="368"/>
        <v>46318</v>
      </c>
      <c r="B2961" t="str" cm="1">
        <f t="array" ref="B2961">INDEX(HotelList,MOD(ROW()-2,10)+1)</f>
        <v>H010</v>
      </c>
      <c r="C2961">
        <f>_xlfn.XLOOKUP(B2961,Dim_Hotel!$A$2:$A$11,Dim_Hotel!$F$2:$F$11)</f>
        <v>89</v>
      </c>
      <c r="D2961">
        <f t="shared" si="369"/>
        <v>49</v>
      </c>
      <c r="E2961">
        <f t="shared" si="370"/>
        <v>0.550561797752809</v>
      </c>
      <c r="F2961">
        <f t="shared" si="371"/>
        <v>150</v>
      </c>
      <c r="G2961">
        <f t="shared" si="372"/>
        <v>82.584269662921344</v>
      </c>
      <c r="H2961" t="str">
        <f>_xlfn.XLOOKUP(A2961,Fact_Events!$D$2:$D$20,Fact_Events!$A$2:$A$20, "")</f>
        <v/>
      </c>
      <c r="I2961">
        <f t="shared" si="373"/>
        <v>0</v>
      </c>
      <c r="J2961" t="str">
        <f>_xlfn.XLOOKUP(H2961, Fact_Events!$A$2:$A$20, Fact_Events!$F$2:$F$20, "")</f>
        <v/>
      </c>
      <c r="K2961" t="str">
        <f t="shared" si="374"/>
        <v>Low</v>
      </c>
      <c r="L2961">
        <f t="shared" si="375"/>
        <v>0.55000000000000004</v>
      </c>
      <c r="M2961">
        <f>_xlfn.XLOOKUP(B2961, Dim_Hotel!$A$2:$A$11, Dim_Hotel!$I$2:$I$11)
 + (IF(J2961="",0,J2961)
    * _xlfn.XLOOKUP(B2961, Dim_Hotel!$A$2:$A$11, Dim_Hotel!$J$2:$J$11))</f>
        <v>150</v>
      </c>
    </row>
    <row r="2962" spans="1:13" x14ac:dyDescent="0.25">
      <c r="A2962" s="1">
        <f t="shared" si="368"/>
        <v>46319</v>
      </c>
      <c r="B2962" t="str" cm="1">
        <f t="array" ref="B2962">INDEX(HotelList,MOD(ROW()-2,10)+1)</f>
        <v>H001</v>
      </c>
      <c r="C2962">
        <f>_xlfn.XLOOKUP(B2962,Dim_Hotel!$A$2:$A$11,Dim_Hotel!$F$2:$F$11)</f>
        <v>888</v>
      </c>
      <c r="D2962">
        <f t="shared" si="369"/>
        <v>488</v>
      </c>
      <c r="E2962">
        <f t="shared" si="370"/>
        <v>0.5495495495495496</v>
      </c>
      <c r="F2962">
        <f t="shared" si="371"/>
        <v>260</v>
      </c>
      <c r="G2962">
        <f t="shared" si="372"/>
        <v>142.88288288288288</v>
      </c>
      <c r="H2962" t="str">
        <f>_xlfn.XLOOKUP(A2962,Fact_Events!$D$2:$D$20,Fact_Events!$A$2:$A$20, "")</f>
        <v/>
      </c>
      <c r="I2962">
        <f t="shared" si="373"/>
        <v>0</v>
      </c>
      <c r="J2962" t="str">
        <f>_xlfn.XLOOKUP(H2962, Fact_Events!$A$2:$A$20, Fact_Events!$F$2:$F$20, "")</f>
        <v/>
      </c>
      <c r="K2962" t="str">
        <f t="shared" si="374"/>
        <v>Low</v>
      </c>
      <c r="L2962">
        <f t="shared" si="375"/>
        <v>0.55000000000000004</v>
      </c>
      <c r="M2962">
        <f>_xlfn.XLOOKUP(B2962, Dim_Hotel!$A$2:$A$11, Dim_Hotel!$I$2:$I$11)
 + (IF(J2962="",0,J2962)
    * _xlfn.XLOOKUP(B2962, Dim_Hotel!$A$2:$A$11, Dim_Hotel!$J$2:$J$11))</f>
        <v>260</v>
      </c>
    </row>
    <row r="2963" spans="1:13" x14ac:dyDescent="0.25">
      <c r="A2963" s="1">
        <f t="shared" si="368"/>
        <v>46319</v>
      </c>
      <c r="B2963" t="str" cm="1">
        <f t="array" ref="B2963">INDEX(HotelList,MOD(ROW()-2,10)+1)</f>
        <v>H002</v>
      </c>
      <c r="C2963">
        <f>_xlfn.XLOOKUP(B2963,Dim_Hotel!$A$2:$A$11,Dim_Hotel!$F$2:$F$11)</f>
        <v>147</v>
      </c>
      <c r="D2963">
        <f t="shared" si="369"/>
        <v>81</v>
      </c>
      <c r="E2963">
        <f t="shared" si="370"/>
        <v>0.55102040816326525</v>
      </c>
      <c r="F2963">
        <f t="shared" si="371"/>
        <v>175</v>
      </c>
      <c r="G2963">
        <f t="shared" si="372"/>
        <v>96.428571428571416</v>
      </c>
      <c r="H2963" t="str">
        <f>_xlfn.XLOOKUP(A2963,Fact_Events!$D$2:$D$20,Fact_Events!$A$2:$A$20, "")</f>
        <v/>
      </c>
      <c r="I2963">
        <f t="shared" si="373"/>
        <v>0</v>
      </c>
      <c r="J2963" t="str">
        <f>_xlfn.XLOOKUP(H2963, Fact_Events!$A$2:$A$20, Fact_Events!$F$2:$F$20, "")</f>
        <v/>
      </c>
      <c r="K2963" t="str">
        <f t="shared" si="374"/>
        <v>Low</v>
      </c>
      <c r="L2963">
        <f t="shared" si="375"/>
        <v>0.55000000000000004</v>
      </c>
      <c r="M2963">
        <f>_xlfn.XLOOKUP(B2963, Dim_Hotel!$A$2:$A$11, Dim_Hotel!$I$2:$I$11)
 + (IF(J2963="",0,J2963)
    * _xlfn.XLOOKUP(B2963, Dim_Hotel!$A$2:$A$11, Dim_Hotel!$J$2:$J$11))</f>
        <v>175</v>
      </c>
    </row>
    <row r="2964" spans="1:13" x14ac:dyDescent="0.25">
      <c r="A2964" s="1">
        <f t="shared" si="368"/>
        <v>46319</v>
      </c>
      <c r="B2964" t="str" cm="1">
        <f t="array" ref="B2964">INDEX(HotelList,MOD(ROW()-2,10)+1)</f>
        <v>H003</v>
      </c>
      <c r="C2964">
        <f>_xlfn.XLOOKUP(B2964,Dim_Hotel!$A$2:$A$11,Dim_Hotel!$F$2:$F$11)</f>
        <v>121</v>
      </c>
      <c r="D2964">
        <f t="shared" si="369"/>
        <v>67</v>
      </c>
      <c r="E2964">
        <f t="shared" si="370"/>
        <v>0.55371900826446285</v>
      </c>
      <c r="F2964">
        <f t="shared" si="371"/>
        <v>145</v>
      </c>
      <c r="G2964">
        <f t="shared" si="372"/>
        <v>80.289256198347118</v>
      </c>
      <c r="H2964" t="str">
        <f>_xlfn.XLOOKUP(A2964,Fact_Events!$D$2:$D$20,Fact_Events!$A$2:$A$20, "")</f>
        <v/>
      </c>
      <c r="I2964">
        <f t="shared" si="373"/>
        <v>0</v>
      </c>
      <c r="J2964" t="str">
        <f>_xlfn.XLOOKUP(H2964, Fact_Events!$A$2:$A$20, Fact_Events!$F$2:$F$20, "")</f>
        <v/>
      </c>
      <c r="K2964" t="str">
        <f t="shared" si="374"/>
        <v>Low</v>
      </c>
      <c r="L2964">
        <f t="shared" si="375"/>
        <v>0.55000000000000004</v>
      </c>
      <c r="M2964">
        <f>_xlfn.XLOOKUP(B2964, Dim_Hotel!$A$2:$A$11, Dim_Hotel!$I$2:$I$11)
 + (IF(J2964="",0,J2964)
    * _xlfn.XLOOKUP(B2964, Dim_Hotel!$A$2:$A$11, Dim_Hotel!$J$2:$J$11))</f>
        <v>145</v>
      </c>
    </row>
    <row r="2965" spans="1:13" x14ac:dyDescent="0.25">
      <c r="A2965" s="1">
        <f t="shared" si="368"/>
        <v>46319</v>
      </c>
      <c r="B2965" t="str" cm="1">
        <f t="array" ref="B2965">INDEX(HotelList,MOD(ROW()-2,10)+1)</f>
        <v>H004</v>
      </c>
      <c r="C2965">
        <f>_xlfn.XLOOKUP(B2965,Dim_Hotel!$A$2:$A$11,Dim_Hotel!$F$2:$F$11)</f>
        <v>108</v>
      </c>
      <c r="D2965">
        <f t="shared" si="369"/>
        <v>59</v>
      </c>
      <c r="E2965">
        <f t="shared" si="370"/>
        <v>0.54629629629629628</v>
      </c>
      <c r="F2965">
        <f t="shared" si="371"/>
        <v>135</v>
      </c>
      <c r="G2965">
        <f t="shared" si="372"/>
        <v>73.75</v>
      </c>
      <c r="H2965" t="str">
        <f>_xlfn.XLOOKUP(A2965,Fact_Events!$D$2:$D$20,Fact_Events!$A$2:$A$20, "")</f>
        <v/>
      </c>
      <c r="I2965">
        <f t="shared" si="373"/>
        <v>0</v>
      </c>
      <c r="J2965" t="str">
        <f>_xlfn.XLOOKUP(H2965, Fact_Events!$A$2:$A$20, Fact_Events!$F$2:$F$20, "")</f>
        <v/>
      </c>
      <c r="K2965" t="str">
        <f t="shared" si="374"/>
        <v>Low</v>
      </c>
      <c r="L2965">
        <f t="shared" si="375"/>
        <v>0.55000000000000004</v>
      </c>
      <c r="M2965">
        <f>_xlfn.XLOOKUP(B2965, Dim_Hotel!$A$2:$A$11, Dim_Hotel!$I$2:$I$11)
 + (IF(J2965="",0,J2965)
    * _xlfn.XLOOKUP(B2965, Dim_Hotel!$A$2:$A$11, Dim_Hotel!$J$2:$J$11))</f>
        <v>135</v>
      </c>
    </row>
    <row r="2966" spans="1:13" x14ac:dyDescent="0.25">
      <c r="A2966" s="1">
        <f t="shared" si="368"/>
        <v>46319</v>
      </c>
      <c r="B2966" t="str" cm="1">
        <f t="array" ref="B2966">INDEX(HotelList,MOD(ROW()-2,10)+1)</f>
        <v>H005</v>
      </c>
      <c r="C2966">
        <f>_xlfn.XLOOKUP(B2966,Dim_Hotel!$A$2:$A$11,Dim_Hotel!$F$2:$F$11)</f>
        <v>66</v>
      </c>
      <c r="D2966">
        <f t="shared" si="369"/>
        <v>36</v>
      </c>
      <c r="E2966">
        <f t="shared" si="370"/>
        <v>0.54545454545454541</v>
      </c>
      <c r="F2966">
        <f t="shared" si="371"/>
        <v>82</v>
      </c>
      <c r="G2966">
        <f t="shared" si="372"/>
        <v>44.727272727272727</v>
      </c>
      <c r="H2966" t="str">
        <f>_xlfn.XLOOKUP(A2966,Fact_Events!$D$2:$D$20,Fact_Events!$A$2:$A$20, "")</f>
        <v/>
      </c>
      <c r="I2966">
        <f t="shared" si="373"/>
        <v>0</v>
      </c>
      <c r="J2966" t="str">
        <f>_xlfn.XLOOKUP(H2966, Fact_Events!$A$2:$A$20, Fact_Events!$F$2:$F$20, "")</f>
        <v/>
      </c>
      <c r="K2966" t="str">
        <f t="shared" si="374"/>
        <v>Low</v>
      </c>
      <c r="L2966">
        <f t="shared" si="375"/>
        <v>0.55000000000000004</v>
      </c>
      <c r="M2966">
        <f>_xlfn.XLOOKUP(B2966, Dim_Hotel!$A$2:$A$11, Dim_Hotel!$I$2:$I$11)
 + (IF(J2966="",0,J2966)
    * _xlfn.XLOOKUP(B2966, Dim_Hotel!$A$2:$A$11, Dim_Hotel!$J$2:$J$11))</f>
        <v>82</v>
      </c>
    </row>
    <row r="2967" spans="1:13" x14ac:dyDescent="0.25">
      <c r="A2967" s="1">
        <f t="shared" si="368"/>
        <v>46319</v>
      </c>
      <c r="B2967" t="str" cm="1">
        <f t="array" ref="B2967">INDEX(HotelList,MOD(ROW()-2,10)+1)</f>
        <v>H006</v>
      </c>
      <c r="C2967">
        <f>_xlfn.XLOOKUP(B2967,Dim_Hotel!$A$2:$A$11,Dim_Hotel!$F$2:$F$11)</f>
        <v>311</v>
      </c>
      <c r="D2967">
        <f t="shared" si="369"/>
        <v>171</v>
      </c>
      <c r="E2967">
        <f t="shared" si="370"/>
        <v>0.54983922829581988</v>
      </c>
      <c r="F2967">
        <f t="shared" si="371"/>
        <v>190</v>
      </c>
      <c r="G2967">
        <f t="shared" si="372"/>
        <v>104.46945337620578</v>
      </c>
      <c r="H2967" t="str">
        <f>_xlfn.XLOOKUP(A2967,Fact_Events!$D$2:$D$20,Fact_Events!$A$2:$A$20, "")</f>
        <v/>
      </c>
      <c r="I2967">
        <f t="shared" si="373"/>
        <v>0</v>
      </c>
      <c r="J2967" t="str">
        <f>_xlfn.XLOOKUP(H2967, Fact_Events!$A$2:$A$20, Fact_Events!$F$2:$F$20, "")</f>
        <v/>
      </c>
      <c r="K2967" t="str">
        <f t="shared" si="374"/>
        <v>Low</v>
      </c>
      <c r="L2967">
        <f t="shared" si="375"/>
        <v>0.55000000000000004</v>
      </c>
      <c r="M2967">
        <f>_xlfn.XLOOKUP(B2967, Dim_Hotel!$A$2:$A$11, Dim_Hotel!$I$2:$I$11)
 + (IF(J2967="",0,J2967)
    * _xlfn.XLOOKUP(B2967, Dim_Hotel!$A$2:$A$11, Dim_Hotel!$J$2:$J$11))</f>
        <v>190</v>
      </c>
    </row>
    <row r="2968" spans="1:13" x14ac:dyDescent="0.25">
      <c r="A2968" s="1">
        <f t="shared" si="368"/>
        <v>46319</v>
      </c>
      <c r="B2968" t="str" cm="1">
        <f t="array" ref="B2968">INDEX(HotelList,MOD(ROW()-2,10)+1)</f>
        <v>H007</v>
      </c>
      <c r="C2968">
        <f>_xlfn.XLOOKUP(B2968,Dim_Hotel!$A$2:$A$11,Dim_Hotel!$F$2:$F$11)</f>
        <v>132</v>
      </c>
      <c r="D2968">
        <f t="shared" si="369"/>
        <v>73</v>
      </c>
      <c r="E2968">
        <f t="shared" si="370"/>
        <v>0.55303030303030298</v>
      </c>
      <c r="F2968">
        <f t="shared" si="371"/>
        <v>165</v>
      </c>
      <c r="G2968">
        <f t="shared" si="372"/>
        <v>91.249999999999986</v>
      </c>
      <c r="H2968" t="str">
        <f>_xlfn.XLOOKUP(A2968,Fact_Events!$D$2:$D$20,Fact_Events!$A$2:$A$20, "")</f>
        <v/>
      </c>
      <c r="I2968">
        <f t="shared" si="373"/>
        <v>0</v>
      </c>
      <c r="J2968" t="str">
        <f>_xlfn.XLOOKUP(H2968, Fact_Events!$A$2:$A$20, Fact_Events!$F$2:$F$20, "")</f>
        <v/>
      </c>
      <c r="K2968" t="str">
        <f t="shared" si="374"/>
        <v>Low</v>
      </c>
      <c r="L2968">
        <f t="shared" si="375"/>
        <v>0.55000000000000004</v>
      </c>
      <c r="M2968">
        <f>_xlfn.XLOOKUP(B2968, Dim_Hotel!$A$2:$A$11, Dim_Hotel!$I$2:$I$11)
 + (IF(J2968="",0,J2968)
    * _xlfn.XLOOKUP(B2968, Dim_Hotel!$A$2:$A$11, Dim_Hotel!$J$2:$J$11))</f>
        <v>165</v>
      </c>
    </row>
    <row r="2969" spans="1:13" x14ac:dyDescent="0.25">
      <c r="A2969" s="1">
        <f t="shared" si="368"/>
        <v>46319</v>
      </c>
      <c r="B2969" t="str" cm="1">
        <f t="array" ref="B2969">INDEX(HotelList,MOD(ROW()-2,10)+1)</f>
        <v>H008</v>
      </c>
      <c r="C2969">
        <f>_xlfn.XLOOKUP(B2969,Dim_Hotel!$A$2:$A$11,Dim_Hotel!$F$2:$F$11)</f>
        <v>103</v>
      </c>
      <c r="D2969">
        <f t="shared" si="369"/>
        <v>57</v>
      </c>
      <c r="E2969">
        <f t="shared" si="370"/>
        <v>0.55339805825242716</v>
      </c>
      <c r="F2969">
        <f t="shared" si="371"/>
        <v>140</v>
      </c>
      <c r="G2969">
        <f t="shared" si="372"/>
        <v>77.475728155339809</v>
      </c>
      <c r="H2969" t="str">
        <f>_xlfn.XLOOKUP(A2969,Fact_Events!$D$2:$D$20,Fact_Events!$A$2:$A$20, "")</f>
        <v/>
      </c>
      <c r="I2969">
        <f t="shared" si="373"/>
        <v>0</v>
      </c>
      <c r="J2969" t="str">
        <f>_xlfn.XLOOKUP(H2969, Fact_Events!$A$2:$A$20, Fact_Events!$F$2:$F$20, "")</f>
        <v/>
      </c>
      <c r="K2969" t="str">
        <f t="shared" si="374"/>
        <v>Low</v>
      </c>
      <c r="L2969">
        <f t="shared" si="375"/>
        <v>0.55000000000000004</v>
      </c>
      <c r="M2969">
        <f>_xlfn.XLOOKUP(B2969, Dim_Hotel!$A$2:$A$11, Dim_Hotel!$I$2:$I$11)
 + (IF(J2969="",0,J2969)
    * _xlfn.XLOOKUP(B2969, Dim_Hotel!$A$2:$A$11, Dim_Hotel!$J$2:$J$11))</f>
        <v>140</v>
      </c>
    </row>
    <row r="2970" spans="1:13" x14ac:dyDescent="0.25">
      <c r="A2970" s="1">
        <f t="shared" si="368"/>
        <v>46319</v>
      </c>
      <c r="B2970" t="str" cm="1">
        <f t="array" ref="B2970">INDEX(HotelList,MOD(ROW()-2,10)+1)</f>
        <v>H009</v>
      </c>
      <c r="C2970">
        <f>_xlfn.XLOOKUP(B2970,Dim_Hotel!$A$2:$A$11,Dim_Hotel!$F$2:$F$11)</f>
        <v>114</v>
      </c>
      <c r="D2970">
        <f t="shared" si="369"/>
        <v>63</v>
      </c>
      <c r="E2970">
        <f t="shared" si="370"/>
        <v>0.55263157894736847</v>
      </c>
      <c r="F2970">
        <f t="shared" si="371"/>
        <v>185</v>
      </c>
      <c r="G2970">
        <f t="shared" si="372"/>
        <v>102.23684210526316</v>
      </c>
      <c r="H2970" t="str">
        <f>_xlfn.XLOOKUP(A2970,Fact_Events!$D$2:$D$20,Fact_Events!$A$2:$A$20, "")</f>
        <v/>
      </c>
      <c r="I2970">
        <f t="shared" si="373"/>
        <v>0</v>
      </c>
      <c r="J2970" t="str">
        <f>_xlfn.XLOOKUP(H2970, Fact_Events!$A$2:$A$20, Fact_Events!$F$2:$F$20, "")</f>
        <v/>
      </c>
      <c r="K2970" t="str">
        <f t="shared" si="374"/>
        <v>Low</v>
      </c>
      <c r="L2970">
        <f t="shared" si="375"/>
        <v>0.55000000000000004</v>
      </c>
      <c r="M2970">
        <f>_xlfn.XLOOKUP(B2970, Dim_Hotel!$A$2:$A$11, Dim_Hotel!$I$2:$I$11)
 + (IF(J2970="",0,J2970)
    * _xlfn.XLOOKUP(B2970, Dim_Hotel!$A$2:$A$11, Dim_Hotel!$J$2:$J$11))</f>
        <v>185</v>
      </c>
    </row>
    <row r="2971" spans="1:13" x14ac:dyDescent="0.25">
      <c r="A2971" s="1">
        <f t="shared" si="368"/>
        <v>46319</v>
      </c>
      <c r="B2971" t="str" cm="1">
        <f t="array" ref="B2971">INDEX(HotelList,MOD(ROW()-2,10)+1)</f>
        <v>H010</v>
      </c>
      <c r="C2971">
        <f>_xlfn.XLOOKUP(B2971,Dim_Hotel!$A$2:$A$11,Dim_Hotel!$F$2:$F$11)</f>
        <v>89</v>
      </c>
      <c r="D2971">
        <f t="shared" si="369"/>
        <v>49</v>
      </c>
      <c r="E2971">
        <f t="shared" si="370"/>
        <v>0.550561797752809</v>
      </c>
      <c r="F2971">
        <f t="shared" si="371"/>
        <v>150</v>
      </c>
      <c r="G2971">
        <f t="shared" si="372"/>
        <v>82.584269662921344</v>
      </c>
      <c r="H2971" t="str">
        <f>_xlfn.XLOOKUP(A2971,Fact_Events!$D$2:$D$20,Fact_Events!$A$2:$A$20, "")</f>
        <v/>
      </c>
      <c r="I2971">
        <f t="shared" si="373"/>
        <v>0</v>
      </c>
      <c r="J2971" t="str">
        <f>_xlfn.XLOOKUP(H2971, Fact_Events!$A$2:$A$20, Fact_Events!$F$2:$F$20, "")</f>
        <v/>
      </c>
      <c r="K2971" t="str">
        <f t="shared" si="374"/>
        <v>Low</v>
      </c>
      <c r="L2971">
        <f t="shared" si="375"/>
        <v>0.55000000000000004</v>
      </c>
      <c r="M2971">
        <f>_xlfn.XLOOKUP(B2971, Dim_Hotel!$A$2:$A$11, Dim_Hotel!$I$2:$I$11)
 + (IF(J2971="",0,J2971)
    * _xlfn.XLOOKUP(B2971, Dim_Hotel!$A$2:$A$11, Dim_Hotel!$J$2:$J$11))</f>
        <v>150</v>
      </c>
    </row>
    <row r="2972" spans="1:13" x14ac:dyDescent="0.25">
      <c r="A2972" s="1">
        <f t="shared" si="368"/>
        <v>46320</v>
      </c>
      <c r="B2972" t="str" cm="1">
        <f t="array" ref="B2972">INDEX(HotelList,MOD(ROW()-2,10)+1)</f>
        <v>H001</v>
      </c>
      <c r="C2972">
        <f>_xlfn.XLOOKUP(B2972,Dim_Hotel!$A$2:$A$11,Dim_Hotel!$F$2:$F$11)</f>
        <v>888</v>
      </c>
      <c r="D2972">
        <f t="shared" si="369"/>
        <v>488</v>
      </c>
      <c r="E2972">
        <f t="shared" si="370"/>
        <v>0.5495495495495496</v>
      </c>
      <c r="F2972">
        <f t="shared" si="371"/>
        <v>260</v>
      </c>
      <c r="G2972">
        <f t="shared" si="372"/>
        <v>142.88288288288288</v>
      </c>
      <c r="H2972" t="str">
        <f>_xlfn.XLOOKUP(A2972,Fact_Events!$D$2:$D$20,Fact_Events!$A$2:$A$20, "")</f>
        <v/>
      </c>
      <c r="I2972">
        <f t="shared" si="373"/>
        <v>0</v>
      </c>
      <c r="J2972" t="str">
        <f>_xlfn.XLOOKUP(H2972, Fact_Events!$A$2:$A$20, Fact_Events!$F$2:$F$20, "")</f>
        <v/>
      </c>
      <c r="K2972" t="str">
        <f t="shared" si="374"/>
        <v>Low</v>
      </c>
      <c r="L2972">
        <f t="shared" si="375"/>
        <v>0.55000000000000004</v>
      </c>
      <c r="M2972">
        <f>_xlfn.XLOOKUP(B2972, Dim_Hotel!$A$2:$A$11, Dim_Hotel!$I$2:$I$11)
 + (IF(J2972="",0,J2972)
    * _xlfn.XLOOKUP(B2972, Dim_Hotel!$A$2:$A$11, Dim_Hotel!$J$2:$J$11))</f>
        <v>260</v>
      </c>
    </row>
    <row r="2973" spans="1:13" x14ac:dyDescent="0.25">
      <c r="A2973" s="1">
        <f t="shared" si="368"/>
        <v>46320</v>
      </c>
      <c r="B2973" t="str" cm="1">
        <f t="array" ref="B2973">INDEX(HotelList,MOD(ROW()-2,10)+1)</f>
        <v>H002</v>
      </c>
      <c r="C2973">
        <f>_xlfn.XLOOKUP(B2973,Dim_Hotel!$A$2:$A$11,Dim_Hotel!$F$2:$F$11)</f>
        <v>147</v>
      </c>
      <c r="D2973">
        <f t="shared" si="369"/>
        <v>81</v>
      </c>
      <c r="E2973">
        <f t="shared" si="370"/>
        <v>0.55102040816326525</v>
      </c>
      <c r="F2973">
        <f t="shared" si="371"/>
        <v>175</v>
      </c>
      <c r="G2973">
        <f t="shared" si="372"/>
        <v>96.428571428571416</v>
      </c>
      <c r="H2973" t="str">
        <f>_xlfn.XLOOKUP(A2973,Fact_Events!$D$2:$D$20,Fact_Events!$A$2:$A$20, "")</f>
        <v/>
      </c>
      <c r="I2973">
        <f t="shared" si="373"/>
        <v>0</v>
      </c>
      <c r="J2973" t="str">
        <f>_xlfn.XLOOKUP(H2973, Fact_Events!$A$2:$A$20, Fact_Events!$F$2:$F$20, "")</f>
        <v/>
      </c>
      <c r="K2973" t="str">
        <f t="shared" si="374"/>
        <v>Low</v>
      </c>
      <c r="L2973">
        <f t="shared" si="375"/>
        <v>0.55000000000000004</v>
      </c>
      <c r="M2973">
        <f>_xlfn.XLOOKUP(B2973, Dim_Hotel!$A$2:$A$11, Dim_Hotel!$I$2:$I$11)
 + (IF(J2973="",0,J2973)
    * _xlfn.XLOOKUP(B2973, Dim_Hotel!$A$2:$A$11, Dim_Hotel!$J$2:$J$11))</f>
        <v>175</v>
      </c>
    </row>
    <row r="2974" spans="1:13" x14ac:dyDescent="0.25">
      <c r="A2974" s="1">
        <f t="shared" si="368"/>
        <v>46320</v>
      </c>
      <c r="B2974" t="str" cm="1">
        <f t="array" ref="B2974">INDEX(HotelList,MOD(ROW()-2,10)+1)</f>
        <v>H003</v>
      </c>
      <c r="C2974">
        <f>_xlfn.XLOOKUP(B2974,Dim_Hotel!$A$2:$A$11,Dim_Hotel!$F$2:$F$11)</f>
        <v>121</v>
      </c>
      <c r="D2974">
        <f t="shared" si="369"/>
        <v>67</v>
      </c>
      <c r="E2974">
        <f t="shared" si="370"/>
        <v>0.55371900826446285</v>
      </c>
      <c r="F2974">
        <f t="shared" si="371"/>
        <v>145</v>
      </c>
      <c r="G2974">
        <f t="shared" si="372"/>
        <v>80.289256198347118</v>
      </c>
      <c r="H2974" t="str">
        <f>_xlfn.XLOOKUP(A2974,Fact_Events!$D$2:$D$20,Fact_Events!$A$2:$A$20, "")</f>
        <v/>
      </c>
      <c r="I2974">
        <f t="shared" si="373"/>
        <v>0</v>
      </c>
      <c r="J2974" t="str">
        <f>_xlfn.XLOOKUP(H2974, Fact_Events!$A$2:$A$20, Fact_Events!$F$2:$F$20, "")</f>
        <v/>
      </c>
      <c r="K2974" t="str">
        <f t="shared" si="374"/>
        <v>Low</v>
      </c>
      <c r="L2974">
        <f t="shared" si="375"/>
        <v>0.55000000000000004</v>
      </c>
      <c r="M2974">
        <f>_xlfn.XLOOKUP(B2974, Dim_Hotel!$A$2:$A$11, Dim_Hotel!$I$2:$I$11)
 + (IF(J2974="",0,J2974)
    * _xlfn.XLOOKUP(B2974, Dim_Hotel!$A$2:$A$11, Dim_Hotel!$J$2:$J$11))</f>
        <v>145</v>
      </c>
    </row>
    <row r="2975" spans="1:13" x14ac:dyDescent="0.25">
      <c r="A2975" s="1">
        <f t="shared" si="368"/>
        <v>46320</v>
      </c>
      <c r="B2975" t="str" cm="1">
        <f t="array" ref="B2975">INDEX(HotelList,MOD(ROW()-2,10)+1)</f>
        <v>H004</v>
      </c>
      <c r="C2975">
        <f>_xlfn.XLOOKUP(B2975,Dim_Hotel!$A$2:$A$11,Dim_Hotel!$F$2:$F$11)</f>
        <v>108</v>
      </c>
      <c r="D2975">
        <f t="shared" si="369"/>
        <v>59</v>
      </c>
      <c r="E2975">
        <f t="shared" si="370"/>
        <v>0.54629629629629628</v>
      </c>
      <c r="F2975">
        <f t="shared" si="371"/>
        <v>135</v>
      </c>
      <c r="G2975">
        <f t="shared" si="372"/>
        <v>73.75</v>
      </c>
      <c r="H2975" t="str">
        <f>_xlfn.XLOOKUP(A2975,Fact_Events!$D$2:$D$20,Fact_Events!$A$2:$A$20, "")</f>
        <v/>
      </c>
      <c r="I2975">
        <f t="shared" si="373"/>
        <v>0</v>
      </c>
      <c r="J2975" t="str">
        <f>_xlfn.XLOOKUP(H2975, Fact_Events!$A$2:$A$20, Fact_Events!$F$2:$F$20, "")</f>
        <v/>
      </c>
      <c r="K2975" t="str">
        <f t="shared" si="374"/>
        <v>Low</v>
      </c>
      <c r="L2975">
        <f t="shared" si="375"/>
        <v>0.55000000000000004</v>
      </c>
      <c r="M2975">
        <f>_xlfn.XLOOKUP(B2975, Dim_Hotel!$A$2:$A$11, Dim_Hotel!$I$2:$I$11)
 + (IF(J2975="",0,J2975)
    * _xlfn.XLOOKUP(B2975, Dim_Hotel!$A$2:$A$11, Dim_Hotel!$J$2:$J$11))</f>
        <v>135</v>
      </c>
    </row>
    <row r="2976" spans="1:13" x14ac:dyDescent="0.25">
      <c r="A2976" s="1">
        <f t="shared" si="368"/>
        <v>46320</v>
      </c>
      <c r="B2976" t="str" cm="1">
        <f t="array" ref="B2976">INDEX(HotelList,MOD(ROW()-2,10)+1)</f>
        <v>H005</v>
      </c>
      <c r="C2976">
        <f>_xlfn.XLOOKUP(B2976,Dim_Hotel!$A$2:$A$11,Dim_Hotel!$F$2:$F$11)</f>
        <v>66</v>
      </c>
      <c r="D2976">
        <f t="shared" si="369"/>
        <v>36</v>
      </c>
      <c r="E2976">
        <f t="shared" si="370"/>
        <v>0.54545454545454541</v>
      </c>
      <c r="F2976">
        <f t="shared" si="371"/>
        <v>82</v>
      </c>
      <c r="G2976">
        <f t="shared" si="372"/>
        <v>44.727272727272727</v>
      </c>
      <c r="H2976" t="str">
        <f>_xlfn.XLOOKUP(A2976,Fact_Events!$D$2:$D$20,Fact_Events!$A$2:$A$20, "")</f>
        <v/>
      </c>
      <c r="I2976">
        <f t="shared" si="373"/>
        <v>0</v>
      </c>
      <c r="J2976" t="str">
        <f>_xlfn.XLOOKUP(H2976, Fact_Events!$A$2:$A$20, Fact_Events!$F$2:$F$20, "")</f>
        <v/>
      </c>
      <c r="K2976" t="str">
        <f t="shared" si="374"/>
        <v>Low</v>
      </c>
      <c r="L2976">
        <f t="shared" si="375"/>
        <v>0.55000000000000004</v>
      </c>
      <c r="M2976">
        <f>_xlfn.XLOOKUP(B2976, Dim_Hotel!$A$2:$A$11, Dim_Hotel!$I$2:$I$11)
 + (IF(J2976="",0,J2976)
    * _xlfn.XLOOKUP(B2976, Dim_Hotel!$A$2:$A$11, Dim_Hotel!$J$2:$J$11))</f>
        <v>82</v>
      </c>
    </row>
    <row r="2977" spans="1:13" x14ac:dyDescent="0.25">
      <c r="A2977" s="1">
        <f t="shared" si="368"/>
        <v>46320</v>
      </c>
      <c r="B2977" t="str" cm="1">
        <f t="array" ref="B2977">INDEX(HotelList,MOD(ROW()-2,10)+1)</f>
        <v>H006</v>
      </c>
      <c r="C2977">
        <f>_xlfn.XLOOKUP(B2977,Dim_Hotel!$A$2:$A$11,Dim_Hotel!$F$2:$F$11)</f>
        <v>311</v>
      </c>
      <c r="D2977">
        <f t="shared" si="369"/>
        <v>171</v>
      </c>
      <c r="E2977">
        <f t="shared" si="370"/>
        <v>0.54983922829581988</v>
      </c>
      <c r="F2977">
        <f t="shared" si="371"/>
        <v>190</v>
      </c>
      <c r="G2977">
        <f t="shared" si="372"/>
        <v>104.46945337620578</v>
      </c>
      <c r="H2977" t="str">
        <f>_xlfn.XLOOKUP(A2977,Fact_Events!$D$2:$D$20,Fact_Events!$A$2:$A$20, "")</f>
        <v/>
      </c>
      <c r="I2977">
        <f t="shared" si="373"/>
        <v>0</v>
      </c>
      <c r="J2977" t="str">
        <f>_xlfn.XLOOKUP(H2977, Fact_Events!$A$2:$A$20, Fact_Events!$F$2:$F$20, "")</f>
        <v/>
      </c>
      <c r="K2977" t="str">
        <f t="shared" si="374"/>
        <v>Low</v>
      </c>
      <c r="L2977">
        <f t="shared" si="375"/>
        <v>0.55000000000000004</v>
      </c>
      <c r="M2977">
        <f>_xlfn.XLOOKUP(B2977, Dim_Hotel!$A$2:$A$11, Dim_Hotel!$I$2:$I$11)
 + (IF(J2977="",0,J2977)
    * _xlfn.XLOOKUP(B2977, Dim_Hotel!$A$2:$A$11, Dim_Hotel!$J$2:$J$11))</f>
        <v>190</v>
      </c>
    </row>
    <row r="2978" spans="1:13" x14ac:dyDescent="0.25">
      <c r="A2978" s="1">
        <f t="shared" si="368"/>
        <v>46320</v>
      </c>
      <c r="B2978" t="str" cm="1">
        <f t="array" ref="B2978">INDEX(HotelList,MOD(ROW()-2,10)+1)</f>
        <v>H007</v>
      </c>
      <c r="C2978">
        <f>_xlfn.XLOOKUP(B2978,Dim_Hotel!$A$2:$A$11,Dim_Hotel!$F$2:$F$11)</f>
        <v>132</v>
      </c>
      <c r="D2978">
        <f t="shared" si="369"/>
        <v>73</v>
      </c>
      <c r="E2978">
        <f t="shared" si="370"/>
        <v>0.55303030303030298</v>
      </c>
      <c r="F2978">
        <f t="shared" si="371"/>
        <v>165</v>
      </c>
      <c r="G2978">
        <f t="shared" si="372"/>
        <v>91.249999999999986</v>
      </c>
      <c r="H2978" t="str">
        <f>_xlfn.XLOOKUP(A2978,Fact_Events!$D$2:$D$20,Fact_Events!$A$2:$A$20, "")</f>
        <v/>
      </c>
      <c r="I2978">
        <f t="shared" si="373"/>
        <v>0</v>
      </c>
      <c r="J2978" t="str">
        <f>_xlfn.XLOOKUP(H2978, Fact_Events!$A$2:$A$20, Fact_Events!$F$2:$F$20, "")</f>
        <v/>
      </c>
      <c r="K2978" t="str">
        <f t="shared" si="374"/>
        <v>Low</v>
      </c>
      <c r="L2978">
        <f t="shared" si="375"/>
        <v>0.55000000000000004</v>
      </c>
      <c r="M2978">
        <f>_xlfn.XLOOKUP(B2978, Dim_Hotel!$A$2:$A$11, Dim_Hotel!$I$2:$I$11)
 + (IF(J2978="",0,J2978)
    * _xlfn.XLOOKUP(B2978, Dim_Hotel!$A$2:$A$11, Dim_Hotel!$J$2:$J$11))</f>
        <v>165</v>
      </c>
    </row>
    <row r="2979" spans="1:13" x14ac:dyDescent="0.25">
      <c r="A2979" s="1">
        <f t="shared" si="368"/>
        <v>46320</v>
      </c>
      <c r="B2979" t="str" cm="1">
        <f t="array" ref="B2979">INDEX(HotelList,MOD(ROW()-2,10)+1)</f>
        <v>H008</v>
      </c>
      <c r="C2979">
        <f>_xlfn.XLOOKUP(B2979,Dim_Hotel!$A$2:$A$11,Dim_Hotel!$F$2:$F$11)</f>
        <v>103</v>
      </c>
      <c r="D2979">
        <f t="shared" si="369"/>
        <v>57</v>
      </c>
      <c r="E2979">
        <f t="shared" si="370"/>
        <v>0.55339805825242716</v>
      </c>
      <c r="F2979">
        <f t="shared" si="371"/>
        <v>140</v>
      </c>
      <c r="G2979">
        <f t="shared" si="372"/>
        <v>77.475728155339809</v>
      </c>
      <c r="H2979" t="str">
        <f>_xlfn.XLOOKUP(A2979,Fact_Events!$D$2:$D$20,Fact_Events!$A$2:$A$20, "")</f>
        <v/>
      </c>
      <c r="I2979">
        <f t="shared" si="373"/>
        <v>0</v>
      </c>
      <c r="J2979" t="str">
        <f>_xlfn.XLOOKUP(H2979, Fact_Events!$A$2:$A$20, Fact_Events!$F$2:$F$20, "")</f>
        <v/>
      </c>
      <c r="K2979" t="str">
        <f t="shared" si="374"/>
        <v>Low</v>
      </c>
      <c r="L2979">
        <f t="shared" si="375"/>
        <v>0.55000000000000004</v>
      </c>
      <c r="M2979">
        <f>_xlfn.XLOOKUP(B2979, Dim_Hotel!$A$2:$A$11, Dim_Hotel!$I$2:$I$11)
 + (IF(J2979="",0,J2979)
    * _xlfn.XLOOKUP(B2979, Dim_Hotel!$A$2:$A$11, Dim_Hotel!$J$2:$J$11))</f>
        <v>140</v>
      </c>
    </row>
    <row r="2980" spans="1:13" x14ac:dyDescent="0.25">
      <c r="A2980" s="1">
        <f t="shared" si="368"/>
        <v>46320</v>
      </c>
      <c r="B2980" t="str" cm="1">
        <f t="array" ref="B2980">INDEX(HotelList,MOD(ROW()-2,10)+1)</f>
        <v>H009</v>
      </c>
      <c r="C2980">
        <f>_xlfn.XLOOKUP(B2980,Dim_Hotel!$A$2:$A$11,Dim_Hotel!$F$2:$F$11)</f>
        <v>114</v>
      </c>
      <c r="D2980">
        <f t="shared" si="369"/>
        <v>63</v>
      </c>
      <c r="E2980">
        <f t="shared" si="370"/>
        <v>0.55263157894736847</v>
      </c>
      <c r="F2980">
        <f t="shared" si="371"/>
        <v>185</v>
      </c>
      <c r="G2980">
        <f t="shared" si="372"/>
        <v>102.23684210526316</v>
      </c>
      <c r="H2980" t="str">
        <f>_xlfn.XLOOKUP(A2980,Fact_Events!$D$2:$D$20,Fact_Events!$A$2:$A$20, "")</f>
        <v/>
      </c>
      <c r="I2980">
        <f t="shared" si="373"/>
        <v>0</v>
      </c>
      <c r="J2980" t="str">
        <f>_xlfn.XLOOKUP(H2980, Fact_Events!$A$2:$A$20, Fact_Events!$F$2:$F$20, "")</f>
        <v/>
      </c>
      <c r="K2980" t="str">
        <f t="shared" si="374"/>
        <v>Low</v>
      </c>
      <c r="L2980">
        <f t="shared" si="375"/>
        <v>0.55000000000000004</v>
      </c>
      <c r="M2980">
        <f>_xlfn.XLOOKUP(B2980, Dim_Hotel!$A$2:$A$11, Dim_Hotel!$I$2:$I$11)
 + (IF(J2980="",0,J2980)
    * _xlfn.XLOOKUP(B2980, Dim_Hotel!$A$2:$A$11, Dim_Hotel!$J$2:$J$11))</f>
        <v>185</v>
      </c>
    </row>
    <row r="2981" spans="1:13" x14ac:dyDescent="0.25">
      <c r="A2981" s="1">
        <f t="shared" si="368"/>
        <v>46320</v>
      </c>
      <c r="B2981" t="str" cm="1">
        <f t="array" ref="B2981">INDEX(HotelList,MOD(ROW()-2,10)+1)</f>
        <v>H010</v>
      </c>
      <c r="C2981">
        <f>_xlfn.XLOOKUP(B2981,Dim_Hotel!$A$2:$A$11,Dim_Hotel!$F$2:$F$11)</f>
        <v>89</v>
      </c>
      <c r="D2981">
        <f t="shared" si="369"/>
        <v>49</v>
      </c>
      <c r="E2981">
        <f t="shared" si="370"/>
        <v>0.550561797752809</v>
      </c>
      <c r="F2981">
        <f t="shared" si="371"/>
        <v>150</v>
      </c>
      <c r="G2981">
        <f t="shared" si="372"/>
        <v>82.584269662921344</v>
      </c>
      <c r="H2981" t="str">
        <f>_xlfn.XLOOKUP(A2981,Fact_Events!$D$2:$D$20,Fact_Events!$A$2:$A$20, "")</f>
        <v/>
      </c>
      <c r="I2981">
        <f t="shared" si="373"/>
        <v>0</v>
      </c>
      <c r="J2981" t="str">
        <f>_xlfn.XLOOKUP(H2981, Fact_Events!$A$2:$A$20, Fact_Events!$F$2:$F$20, "")</f>
        <v/>
      </c>
      <c r="K2981" t="str">
        <f t="shared" si="374"/>
        <v>Low</v>
      </c>
      <c r="L2981">
        <f t="shared" si="375"/>
        <v>0.55000000000000004</v>
      </c>
      <c r="M2981">
        <f>_xlfn.XLOOKUP(B2981, Dim_Hotel!$A$2:$A$11, Dim_Hotel!$I$2:$I$11)
 + (IF(J2981="",0,J2981)
    * _xlfn.XLOOKUP(B2981, Dim_Hotel!$A$2:$A$11, Dim_Hotel!$J$2:$J$11))</f>
        <v>150</v>
      </c>
    </row>
    <row r="2982" spans="1:13" x14ac:dyDescent="0.25">
      <c r="A2982" s="1">
        <f t="shared" si="368"/>
        <v>46321</v>
      </c>
      <c r="B2982" t="str" cm="1">
        <f t="array" ref="B2982">INDEX(HotelList,MOD(ROW()-2,10)+1)</f>
        <v>H001</v>
      </c>
      <c r="C2982">
        <f>_xlfn.XLOOKUP(B2982,Dim_Hotel!$A$2:$A$11,Dim_Hotel!$F$2:$F$11)</f>
        <v>888</v>
      </c>
      <c r="D2982">
        <f t="shared" si="369"/>
        <v>488</v>
      </c>
      <c r="E2982">
        <f t="shared" si="370"/>
        <v>0.5495495495495496</v>
      </c>
      <c r="F2982">
        <f t="shared" si="371"/>
        <v>260</v>
      </c>
      <c r="G2982">
        <f t="shared" si="372"/>
        <v>142.88288288288288</v>
      </c>
      <c r="H2982" t="str">
        <f>_xlfn.XLOOKUP(A2982,Fact_Events!$D$2:$D$20,Fact_Events!$A$2:$A$20, "")</f>
        <v/>
      </c>
      <c r="I2982">
        <f t="shared" si="373"/>
        <v>0</v>
      </c>
      <c r="J2982" t="str">
        <f>_xlfn.XLOOKUP(H2982, Fact_Events!$A$2:$A$20, Fact_Events!$F$2:$F$20, "")</f>
        <v/>
      </c>
      <c r="K2982" t="str">
        <f t="shared" si="374"/>
        <v>Low</v>
      </c>
      <c r="L2982">
        <f t="shared" si="375"/>
        <v>0.55000000000000004</v>
      </c>
      <c r="M2982">
        <f>_xlfn.XLOOKUP(B2982, Dim_Hotel!$A$2:$A$11, Dim_Hotel!$I$2:$I$11)
 + (IF(J2982="",0,J2982)
    * _xlfn.XLOOKUP(B2982, Dim_Hotel!$A$2:$A$11, Dim_Hotel!$J$2:$J$11))</f>
        <v>260</v>
      </c>
    </row>
    <row r="2983" spans="1:13" x14ac:dyDescent="0.25">
      <c r="A2983" s="1">
        <f t="shared" si="368"/>
        <v>46321</v>
      </c>
      <c r="B2983" t="str" cm="1">
        <f t="array" ref="B2983">INDEX(HotelList,MOD(ROW()-2,10)+1)</f>
        <v>H002</v>
      </c>
      <c r="C2983">
        <f>_xlfn.XLOOKUP(B2983,Dim_Hotel!$A$2:$A$11,Dim_Hotel!$F$2:$F$11)</f>
        <v>147</v>
      </c>
      <c r="D2983">
        <f t="shared" si="369"/>
        <v>81</v>
      </c>
      <c r="E2983">
        <f t="shared" si="370"/>
        <v>0.55102040816326525</v>
      </c>
      <c r="F2983">
        <f t="shared" si="371"/>
        <v>175</v>
      </c>
      <c r="G2983">
        <f t="shared" si="372"/>
        <v>96.428571428571416</v>
      </c>
      <c r="H2983" t="str">
        <f>_xlfn.XLOOKUP(A2983,Fact_Events!$D$2:$D$20,Fact_Events!$A$2:$A$20, "")</f>
        <v/>
      </c>
      <c r="I2983">
        <f t="shared" si="373"/>
        <v>0</v>
      </c>
      <c r="J2983" t="str">
        <f>_xlfn.XLOOKUP(H2983, Fact_Events!$A$2:$A$20, Fact_Events!$F$2:$F$20, "")</f>
        <v/>
      </c>
      <c r="K2983" t="str">
        <f t="shared" si="374"/>
        <v>Low</v>
      </c>
      <c r="L2983">
        <f t="shared" si="375"/>
        <v>0.55000000000000004</v>
      </c>
      <c r="M2983">
        <f>_xlfn.XLOOKUP(B2983, Dim_Hotel!$A$2:$A$11, Dim_Hotel!$I$2:$I$11)
 + (IF(J2983="",0,J2983)
    * _xlfn.XLOOKUP(B2983, Dim_Hotel!$A$2:$A$11, Dim_Hotel!$J$2:$J$11))</f>
        <v>175</v>
      </c>
    </row>
    <row r="2984" spans="1:13" x14ac:dyDescent="0.25">
      <c r="A2984" s="1">
        <f t="shared" si="368"/>
        <v>46321</v>
      </c>
      <c r="B2984" t="str" cm="1">
        <f t="array" ref="B2984">INDEX(HotelList,MOD(ROW()-2,10)+1)</f>
        <v>H003</v>
      </c>
      <c r="C2984">
        <f>_xlfn.XLOOKUP(B2984,Dim_Hotel!$A$2:$A$11,Dim_Hotel!$F$2:$F$11)</f>
        <v>121</v>
      </c>
      <c r="D2984">
        <f t="shared" si="369"/>
        <v>67</v>
      </c>
      <c r="E2984">
        <f t="shared" si="370"/>
        <v>0.55371900826446285</v>
      </c>
      <c r="F2984">
        <f t="shared" si="371"/>
        <v>145</v>
      </c>
      <c r="G2984">
        <f t="shared" si="372"/>
        <v>80.289256198347118</v>
      </c>
      <c r="H2984" t="str">
        <f>_xlfn.XLOOKUP(A2984,Fact_Events!$D$2:$D$20,Fact_Events!$A$2:$A$20, "")</f>
        <v/>
      </c>
      <c r="I2984">
        <f t="shared" si="373"/>
        <v>0</v>
      </c>
      <c r="J2984" t="str">
        <f>_xlfn.XLOOKUP(H2984, Fact_Events!$A$2:$A$20, Fact_Events!$F$2:$F$20, "")</f>
        <v/>
      </c>
      <c r="K2984" t="str">
        <f t="shared" si="374"/>
        <v>Low</v>
      </c>
      <c r="L2984">
        <f t="shared" si="375"/>
        <v>0.55000000000000004</v>
      </c>
      <c r="M2984">
        <f>_xlfn.XLOOKUP(B2984, Dim_Hotel!$A$2:$A$11, Dim_Hotel!$I$2:$I$11)
 + (IF(J2984="",0,J2984)
    * _xlfn.XLOOKUP(B2984, Dim_Hotel!$A$2:$A$11, Dim_Hotel!$J$2:$J$11))</f>
        <v>145</v>
      </c>
    </row>
    <row r="2985" spans="1:13" x14ac:dyDescent="0.25">
      <c r="A2985" s="1">
        <f t="shared" si="368"/>
        <v>46321</v>
      </c>
      <c r="B2985" t="str" cm="1">
        <f t="array" ref="B2985">INDEX(HotelList,MOD(ROW()-2,10)+1)</f>
        <v>H004</v>
      </c>
      <c r="C2985">
        <f>_xlfn.XLOOKUP(B2985,Dim_Hotel!$A$2:$A$11,Dim_Hotel!$F$2:$F$11)</f>
        <v>108</v>
      </c>
      <c r="D2985">
        <f t="shared" si="369"/>
        <v>59</v>
      </c>
      <c r="E2985">
        <f t="shared" si="370"/>
        <v>0.54629629629629628</v>
      </c>
      <c r="F2985">
        <f t="shared" si="371"/>
        <v>135</v>
      </c>
      <c r="G2985">
        <f t="shared" si="372"/>
        <v>73.75</v>
      </c>
      <c r="H2985" t="str">
        <f>_xlfn.XLOOKUP(A2985,Fact_Events!$D$2:$D$20,Fact_Events!$A$2:$A$20, "")</f>
        <v/>
      </c>
      <c r="I2985">
        <f t="shared" si="373"/>
        <v>0</v>
      </c>
      <c r="J2985" t="str">
        <f>_xlfn.XLOOKUP(H2985, Fact_Events!$A$2:$A$20, Fact_Events!$F$2:$F$20, "")</f>
        <v/>
      </c>
      <c r="K2985" t="str">
        <f t="shared" si="374"/>
        <v>Low</v>
      </c>
      <c r="L2985">
        <f t="shared" si="375"/>
        <v>0.55000000000000004</v>
      </c>
      <c r="M2985">
        <f>_xlfn.XLOOKUP(B2985, Dim_Hotel!$A$2:$A$11, Dim_Hotel!$I$2:$I$11)
 + (IF(J2985="",0,J2985)
    * _xlfn.XLOOKUP(B2985, Dim_Hotel!$A$2:$A$11, Dim_Hotel!$J$2:$J$11))</f>
        <v>135</v>
      </c>
    </row>
    <row r="2986" spans="1:13" x14ac:dyDescent="0.25">
      <c r="A2986" s="1">
        <f t="shared" si="368"/>
        <v>46321</v>
      </c>
      <c r="B2986" t="str" cm="1">
        <f t="array" ref="B2986">INDEX(HotelList,MOD(ROW()-2,10)+1)</f>
        <v>H005</v>
      </c>
      <c r="C2986">
        <f>_xlfn.XLOOKUP(B2986,Dim_Hotel!$A$2:$A$11,Dim_Hotel!$F$2:$F$11)</f>
        <v>66</v>
      </c>
      <c r="D2986">
        <f t="shared" si="369"/>
        <v>36</v>
      </c>
      <c r="E2986">
        <f t="shared" si="370"/>
        <v>0.54545454545454541</v>
      </c>
      <c r="F2986">
        <f t="shared" si="371"/>
        <v>82</v>
      </c>
      <c r="G2986">
        <f t="shared" si="372"/>
        <v>44.727272727272727</v>
      </c>
      <c r="H2986" t="str">
        <f>_xlfn.XLOOKUP(A2986,Fact_Events!$D$2:$D$20,Fact_Events!$A$2:$A$20, "")</f>
        <v/>
      </c>
      <c r="I2986">
        <f t="shared" si="373"/>
        <v>0</v>
      </c>
      <c r="J2986" t="str">
        <f>_xlfn.XLOOKUP(H2986, Fact_Events!$A$2:$A$20, Fact_Events!$F$2:$F$20, "")</f>
        <v/>
      </c>
      <c r="K2986" t="str">
        <f t="shared" si="374"/>
        <v>Low</v>
      </c>
      <c r="L2986">
        <f t="shared" si="375"/>
        <v>0.55000000000000004</v>
      </c>
      <c r="M2986">
        <f>_xlfn.XLOOKUP(B2986, Dim_Hotel!$A$2:$A$11, Dim_Hotel!$I$2:$I$11)
 + (IF(J2986="",0,J2986)
    * _xlfn.XLOOKUP(B2986, Dim_Hotel!$A$2:$A$11, Dim_Hotel!$J$2:$J$11))</f>
        <v>82</v>
      </c>
    </row>
    <row r="2987" spans="1:13" x14ac:dyDescent="0.25">
      <c r="A2987" s="1">
        <f t="shared" si="368"/>
        <v>46321</v>
      </c>
      <c r="B2987" t="str" cm="1">
        <f t="array" ref="B2987">INDEX(HotelList,MOD(ROW()-2,10)+1)</f>
        <v>H006</v>
      </c>
      <c r="C2987">
        <f>_xlfn.XLOOKUP(B2987,Dim_Hotel!$A$2:$A$11,Dim_Hotel!$F$2:$F$11)</f>
        <v>311</v>
      </c>
      <c r="D2987">
        <f t="shared" si="369"/>
        <v>171</v>
      </c>
      <c r="E2987">
        <f t="shared" si="370"/>
        <v>0.54983922829581988</v>
      </c>
      <c r="F2987">
        <f t="shared" si="371"/>
        <v>190</v>
      </c>
      <c r="G2987">
        <f t="shared" si="372"/>
        <v>104.46945337620578</v>
      </c>
      <c r="H2987" t="str">
        <f>_xlfn.XLOOKUP(A2987,Fact_Events!$D$2:$D$20,Fact_Events!$A$2:$A$20, "")</f>
        <v/>
      </c>
      <c r="I2987">
        <f t="shared" si="373"/>
        <v>0</v>
      </c>
      <c r="J2987" t="str">
        <f>_xlfn.XLOOKUP(H2987, Fact_Events!$A$2:$A$20, Fact_Events!$F$2:$F$20, "")</f>
        <v/>
      </c>
      <c r="K2987" t="str">
        <f t="shared" si="374"/>
        <v>Low</v>
      </c>
      <c r="L2987">
        <f t="shared" si="375"/>
        <v>0.55000000000000004</v>
      </c>
      <c r="M2987">
        <f>_xlfn.XLOOKUP(B2987, Dim_Hotel!$A$2:$A$11, Dim_Hotel!$I$2:$I$11)
 + (IF(J2987="",0,J2987)
    * _xlfn.XLOOKUP(B2987, Dim_Hotel!$A$2:$A$11, Dim_Hotel!$J$2:$J$11))</f>
        <v>190</v>
      </c>
    </row>
    <row r="2988" spans="1:13" x14ac:dyDescent="0.25">
      <c r="A2988" s="1">
        <f t="shared" si="368"/>
        <v>46321</v>
      </c>
      <c r="B2988" t="str" cm="1">
        <f t="array" ref="B2988">INDEX(HotelList,MOD(ROW()-2,10)+1)</f>
        <v>H007</v>
      </c>
      <c r="C2988">
        <f>_xlfn.XLOOKUP(B2988,Dim_Hotel!$A$2:$A$11,Dim_Hotel!$F$2:$F$11)</f>
        <v>132</v>
      </c>
      <c r="D2988">
        <f t="shared" si="369"/>
        <v>73</v>
      </c>
      <c r="E2988">
        <f t="shared" si="370"/>
        <v>0.55303030303030298</v>
      </c>
      <c r="F2988">
        <f t="shared" si="371"/>
        <v>165</v>
      </c>
      <c r="G2988">
        <f t="shared" si="372"/>
        <v>91.249999999999986</v>
      </c>
      <c r="H2988" t="str">
        <f>_xlfn.XLOOKUP(A2988,Fact_Events!$D$2:$D$20,Fact_Events!$A$2:$A$20, "")</f>
        <v/>
      </c>
      <c r="I2988">
        <f t="shared" si="373"/>
        <v>0</v>
      </c>
      <c r="J2988" t="str">
        <f>_xlfn.XLOOKUP(H2988, Fact_Events!$A$2:$A$20, Fact_Events!$F$2:$F$20, "")</f>
        <v/>
      </c>
      <c r="K2988" t="str">
        <f t="shared" si="374"/>
        <v>Low</v>
      </c>
      <c r="L2988">
        <f t="shared" si="375"/>
        <v>0.55000000000000004</v>
      </c>
      <c r="M2988">
        <f>_xlfn.XLOOKUP(B2988, Dim_Hotel!$A$2:$A$11, Dim_Hotel!$I$2:$I$11)
 + (IF(J2988="",0,J2988)
    * _xlfn.XLOOKUP(B2988, Dim_Hotel!$A$2:$A$11, Dim_Hotel!$J$2:$J$11))</f>
        <v>165</v>
      </c>
    </row>
    <row r="2989" spans="1:13" x14ac:dyDescent="0.25">
      <c r="A2989" s="1">
        <f t="shared" si="368"/>
        <v>46321</v>
      </c>
      <c r="B2989" t="str" cm="1">
        <f t="array" ref="B2989">INDEX(HotelList,MOD(ROW()-2,10)+1)</f>
        <v>H008</v>
      </c>
      <c r="C2989">
        <f>_xlfn.XLOOKUP(B2989,Dim_Hotel!$A$2:$A$11,Dim_Hotel!$F$2:$F$11)</f>
        <v>103</v>
      </c>
      <c r="D2989">
        <f t="shared" si="369"/>
        <v>57</v>
      </c>
      <c r="E2989">
        <f t="shared" si="370"/>
        <v>0.55339805825242716</v>
      </c>
      <c r="F2989">
        <f t="shared" si="371"/>
        <v>140</v>
      </c>
      <c r="G2989">
        <f t="shared" si="372"/>
        <v>77.475728155339809</v>
      </c>
      <c r="H2989" t="str">
        <f>_xlfn.XLOOKUP(A2989,Fact_Events!$D$2:$D$20,Fact_Events!$A$2:$A$20, "")</f>
        <v/>
      </c>
      <c r="I2989">
        <f t="shared" si="373"/>
        <v>0</v>
      </c>
      <c r="J2989" t="str">
        <f>_xlfn.XLOOKUP(H2989, Fact_Events!$A$2:$A$20, Fact_Events!$F$2:$F$20, "")</f>
        <v/>
      </c>
      <c r="K2989" t="str">
        <f t="shared" si="374"/>
        <v>Low</v>
      </c>
      <c r="L2989">
        <f t="shared" si="375"/>
        <v>0.55000000000000004</v>
      </c>
      <c r="M2989">
        <f>_xlfn.XLOOKUP(B2989, Dim_Hotel!$A$2:$A$11, Dim_Hotel!$I$2:$I$11)
 + (IF(J2989="",0,J2989)
    * _xlfn.XLOOKUP(B2989, Dim_Hotel!$A$2:$A$11, Dim_Hotel!$J$2:$J$11))</f>
        <v>140</v>
      </c>
    </row>
    <row r="2990" spans="1:13" x14ac:dyDescent="0.25">
      <c r="A2990" s="1">
        <f t="shared" si="368"/>
        <v>46321</v>
      </c>
      <c r="B2990" t="str" cm="1">
        <f t="array" ref="B2990">INDEX(HotelList,MOD(ROW()-2,10)+1)</f>
        <v>H009</v>
      </c>
      <c r="C2990">
        <f>_xlfn.XLOOKUP(B2990,Dim_Hotel!$A$2:$A$11,Dim_Hotel!$F$2:$F$11)</f>
        <v>114</v>
      </c>
      <c r="D2990">
        <f t="shared" si="369"/>
        <v>63</v>
      </c>
      <c r="E2990">
        <f t="shared" si="370"/>
        <v>0.55263157894736847</v>
      </c>
      <c r="F2990">
        <f t="shared" si="371"/>
        <v>185</v>
      </c>
      <c r="G2990">
        <f t="shared" si="372"/>
        <v>102.23684210526316</v>
      </c>
      <c r="H2990" t="str">
        <f>_xlfn.XLOOKUP(A2990,Fact_Events!$D$2:$D$20,Fact_Events!$A$2:$A$20, "")</f>
        <v/>
      </c>
      <c r="I2990">
        <f t="shared" si="373"/>
        <v>0</v>
      </c>
      <c r="J2990" t="str">
        <f>_xlfn.XLOOKUP(H2990, Fact_Events!$A$2:$A$20, Fact_Events!$F$2:$F$20, "")</f>
        <v/>
      </c>
      <c r="K2990" t="str">
        <f t="shared" si="374"/>
        <v>Low</v>
      </c>
      <c r="L2990">
        <f t="shared" si="375"/>
        <v>0.55000000000000004</v>
      </c>
      <c r="M2990">
        <f>_xlfn.XLOOKUP(B2990, Dim_Hotel!$A$2:$A$11, Dim_Hotel!$I$2:$I$11)
 + (IF(J2990="",0,J2990)
    * _xlfn.XLOOKUP(B2990, Dim_Hotel!$A$2:$A$11, Dim_Hotel!$J$2:$J$11))</f>
        <v>185</v>
      </c>
    </row>
    <row r="2991" spans="1:13" x14ac:dyDescent="0.25">
      <c r="A2991" s="1">
        <f t="shared" si="368"/>
        <v>46321</v>
      </c>
      <c r="B2991" t="str" cm="1">
        <f t="array" ref="B2991">INDEX(HotelList,MOD(ROW()-2,10)+1)</f>
        <v>H010</v>
      </c>
      <c r="C2991">
        <f>_xlfn.XLOOKUP(B2991,Dim_Hotel!$A$2:$A$11,Dim_Hotel!$F$2:$F$11)</f>
        <v>89</v>
      </c>
      <c r="D2991">
        <f t="shared" si="369"/>
        <v>49</v>
      </c>
      <c r="E2991">
        <f t="shared" si="370"/>
        <v>0.550561797752809</v>
      </c>
      <c r="F2991">
        <f t="shared" si="371"/>
        <v>150</v>
      </c>
      <c r="G2991">
        <f t="shared" si="372"/>
        <v>82.584269662921344</v>
      </c>
      <c r="H2991" t="str">
        <f>_xlfn.XLOOKUP(A2991,Fact_Events!$D$2:$D$20,Fact_Events!$A$2:$A$20, "")</f>
        <v/>
      </c>
      <c r="I2991">
        <f t="shared" si="373"/>
        <v>0</v>
      </c>
      <c r="J2991" t="str">
        <f>_xlfn.XLOOKUP(H2991, Fact_Events!$A$2:$A$20, Fact_Events!$F$2:$F$20, "")</f>
        <v/>
      </c>
      <c r="K2991" t="str">
        <f t="shared" si="374"/>
        <v>Low</v>
      </c>
      <c r="L2991">
        <f t="shared" si="375"/>
        <v>0.55000000000000004</v>
      </c>
      <c r="M2991">
        <f>_xlfn.XLOOKUP(B2991, Dim_Hotel!$A$2:$A$11, Dim_Hotel!$I$2:$I$11)
 + (IF(J2991="",0,J2991)
    * _xlfn.XLOOKUP(B2991, Dim_Hotel!$A$2:$A$11, Dim_Hotel!$J$2:$J$11))</f>
        <v>150</v>
      </c>
    </row>
    <row r="2992" spans="1:13" x14ac:dyDescent="0.25">
      <c r="A2992" s="1">
        <f t="shared" si="368"/>
        <v>46322</v>
      </c>
      <c r="B2992" t="str" cm="1">
        <f t="array" ref="B2992">INDEX(HotelList,MOD(ROW()-2,10)+1)</f>
        <v>H001</v>
      </c>
      <c r="C2992">
        <f>_xlfn.XLOOKUP(B2992,Dim_Hotel!$A$2:$A$11,Dim_Hotel!$F$2:$F$11)</f>
        <v>888</v>
      </c>
      <c r="D2992">
        <f t="shared" si="369"/>
        <v>488</v>
      </c>
      <c r="E2992">
        <f t="shared" si="370"/>
        <v>0.5495495495495496</v>
      </c>
      <c r="F2992">
        <f t="shared" si="371"/>
        <v>260</v>
      </c>
      <c r="G2992">
        <f t="shared" si="372"/>
        <v>142.88288288288288</v>
      </c>
      <c r="H2992" t="str">
        <f>_xlfn.XLOOKUP(A2992,Fact_Events!$D$2:$D$20,Fact_Events!$A$2:$A$20, "")</f>
        <v/>
      </c>
      <c r="I2992">
        <f t="shared" si="373"/>
        <v>0</v>
      </c>
      <c r="J2992" t="str">
        <f>_xlfn.XLOOKUP(H2992, Fact_Events!$A$2:$A$20, Fact_Events!$F$2:$F$20, "")</f>
        <v/>
      </c>
      <c r="K2992" t="str">
        <f t="shared" si="374"/>
        <v>Low</v>
      </c>
      <c r="L2992">
        <f t="shared" si="375"/>
        <v>0.55000000000000004</v>
      </c>
      <c r="M2992">
        <f>_xlfn.XLOOKUP(B2992, Dim_Hotel!$A$2:$A$11, Dim_Hotel!$I$2:$I$11)
 + (IF(J2992="",0,J2992)
    * _xlfn.XLOOKUP(B2992, Dim_Hotel!$A$2:$A$11, Dim_Hotel!$J$2:$J$11))</f>
        <v>260</v>
      </c>
    </row>
    <row r="2993" spans="1:13" x14ac:dyDescent="0.25">
      <c r="A2993" s="1">
        <f t="shared" si="368"/>
        <v>46322</v>
      </c>
      <c r="B2993" t="str" cm="1">
        <f t="array" ref="B2993">INDEX(HotelList,MOD(ROW()-2,10)+1)</f>
        <v>H002</v>
      </c>
      <c r="C2993">
        <f>_xlfn.XLOOKUP(B2993,Dim_Hotel!$A$2:$A$11,Dim_Hotel!$F$2:$F$11)</f>
        <v>147</v>
      </c>
      <c r="D2993">
        <f t="shared" si="369"/>
        <v>81</v>
      </c>
      <c r="E2993">
        <f t="shared" si="370"/>
        <v>0.55102040816326525</v>
      </c>
      <c r="F2993">
        <f t="shared" si="371"/>
        <v>175</v>
      </c>
      <c r="G2993">
        <f t="shared" si="372"/>
        <v>96.428571428571416</v>
      </c>
      <c r="H2993" t="str">
        <f>_xlfn.XLOOKUP(A2993,Fact_Events!$D$2:$D$20,Fact_Events!$A$2:$A$20, "")</f>
        <v/>
      </c>
      <c r="I2993">
        <f t="shared" si="373"/>
        <v>0</v>
      </c>
      <c r="J2993" t="str">
        <f>_xlfn.XLOOKUP(H2993, Fact_Events!$A$2:$A$20, Fact_Events!$F$2:$F$20, "")</f>
        <v/>
      </c>
      <c r="K2993" t="str">
        <f t="shared" si="374"/>
        <v>Low</v>
      </c>
      <c r="L2993">
        <f t="shared" si="375"/>
        <v>0.55000000000000004</v>
      </c>
      <c r="M2993">
        <f>_xlfn.XLOOKUP(B2993, Dim_Hotel!$A$2:$A$11, Dim_Hotel!$I$2:$I$11)
 + (IF(J2993="",0,J2993)
    * _xlfn.XLOOKUP(B2993, Dim_Hotel!$A$2:$A$11, Dim_Hotel!$J$2:$J$11))</f>
        <v>175</v>
      </c>
    </row>
    <row r="2994" spans="1:13" x14ac:dyDescent="0.25">
      <c r="A2994" s="1">
        <f t="shared" si="368"/>
        <v>46322</v>
      </c>
      <c r="B2994" t="str" cm="1">
        <f t="array" ref="B2994">INDEX(HotelList,MOD(ROW()-2,10)+1)</f>
        <v>H003</v>
      </c>
      <c r="C2994">
        <f>_xlfn.XLOOKUP(B2994,Dim_Hotel!$A$2:$A$11,Dim_Hotel!$F$2:$F$11)</f>
        <v>121</v>
      </c>
      <c r="D2994">
        <f t="shared" si="369"/>
        <v>67</v>
      </c>
      <c r="E2994">
        <f t="shared" si="370"/>
        <v>0.55371900826446285</v>
      </c>
      <c r="F2994">
        <f t="shared" si="371"/>
        <v>145</v>
      </c>
      <c r="G2994">
        <f t="shared" si="372"/>
        <v>80.289256198347118</v>
      </c>
      <c r="H2994" t="str">
        <f>_xlfn.XLOOKUP(A2994,Fact_Events!$D$2:$D$20,Fact_Events!$A$2:$A$20, "")</f>
        <v/>
      </c>
      <c r="I2994">
        <f t="shared" si="373"/>
        <v>0</v>
      </c>
      <c r="J2994" t="str">
        <f>_xlfn.XLOOKUP(H2994, Fact_Events!$A$2:$A$20, Fact_Events!$F$2:$F$20, "")</f>
        <v/>
      </c>
      <c r="K2994" t="str">
        <f t="shared" si="374"/>
        <v>Low</v>
      </c>
      <c r="L2994">
        <f t="shared" si="375"/>
        <v>0.55000000000000004</v>
      </c>
      <c r="M2994">
        <f>_xlfn.XLOOKUP(B2994, Dim_Hotel!$A$2:$A$11, Dim_Hotel!$I$2:$I$11)
 + (IF(J2994="",0,J2994)
    * _xlfn.XLOOKUP(B2994, Dim_Hotel!$A$2:$A$11, Dim_Hotel!$J$2:$J$11))</f>
        <v>145</v>
      </c>
    </row>
    <row r="2995" spans="1:13" x14ac:dyDescent="0.25">
      <c r="A2995" s="1">
        <f t="shared" si="368"/>
        <v>46322</v>
      </c>
      <c r="B2995" t="str" cm="1">
        <f t="array" ref="B2995">INDEX(HotelList,MOD(ROW()-2,10)+1)</f>
        <v>H004</v>
      </c>
      <c r="C2995">
        <f>_xlfn.XLOOKUP(B2995,Dim_Hotel!$A$2:$A$11,Dim_Hotel!$F$2:$F$11)</f>
        <v>108</v>
      </c>
      <c r="D2995">
        <f t="shared" si="369"/>
        <v>59</v>
      </c>
      <c r="E2995">
        <f t="shared" si="370"/>
        <v>0.54629629629629628</v>
      </c>
      <c r="F2995">
        <f t="shared" si="371"/>
        <v>135</v>
      </c>
      <c r="G2995">
        <f t="shared" si="372"/>
        <v>73.75</v>
      </c>
      <c r="H2995" t="str">
        <f>_xlfn.XLOOKUP(A2995,Fact_Events!$D$2:$D$20,Fact_Events!$A$2:$A$20, "")</f>
        <v/>
      </c>
      <c r="I2995">
        <f t="shared" si="373"/>
        <v>0</v>
      </c>
      <c r="J2995" t="str">
        <f>_xlfn.XLOOKUP(H2995, Fact_Events!$A$2:$A$20, Fact_Events!$F$2:$F$20, "")</f>
        <v/>
      </c>
      <c r="K2995" t="str">
        <f t="shared" si="374"/>
        <v>Low</v>
      </c>
      <c r="L2995">
        <f t="shared" si="375"/>
        <v>0.55000000000000004</v>
      </c>
      <c r="M2995">
        <f>_xlfn.XLOOKUP(B2995, Dim_Hotel!$A$2:$A$11, Dim_Hotel!$I$2:$I$11)
 + (IF(J2995="",0,J2995)
    * _xlfn.XLOOKUP(B2995, Dim_Hotel!$A$2:$A$11, Dim_Hotel!$J$2:$J$11))</f>
        <v>135</v>
      </c>
    </row>
    <row r="2996" spans="1:13" x14ac:dyDescent="0.25">
      <c r="A2996" s="1">
        <f t="shared" si="368"/>
        <v>46322</v>
      </c>
      <c r="B2996" t="str" cm="1">
        <f t="array" ref="B2996">INDEX(HotelList,MOD(ROW()-2,10)+1)</f>
        <v>H005</v>
      </c>
      <c r="C2996">
        <f>_xlfn.XLOOKUP(B2996,Dim_Hotel!$A$2:$A$11,Dim_Hotel!$F$2:$F$11)</f>
        <v>66</v>
      </c>
      <c r="D2996">
        <f t="shared" si="369"/>
        <v>36</v>
      </c>
      <c r="E2996">
        <f t="shared" si="370"/>
        <v>0.54545454545454541</v>
      </c>
      <c r="F2996">
        <f t="shared" si="371"/>
        <v>82</v>
      </c>
      <c r="G2996">
        <f t="shared" si="372"/>
        <v>44.727272727272727</v>
      </c>
      <c r="H2996" t="str">
        <f>_xlfn.XLOOKUP(A2996,Fact_Events!$D$2:$D$20,Fact_Events!$A$2:$A$20, "")</f>
        <v/>
      </c>
      <c r="I2996">
        <f t="shared" si="373"/>
        <v>0</v>
      </c>
      <c r="J2996" t="str">
        <f>_xlfn.XLOOKUP(H2996, Fact_Events!$A$2:$A$20, Fact_Events!$F$2:$F$20, "")</f>
        <v/>
      </c>
      <c r="K2996" t="str">
        <f t="shared" si="374"/>
        <v>Low</v>
      </c>
      <c r="L2996">
        <f t="shared" si="375"/>
        <v>0.55000000000000004</v>
      </c>
      <c r="M2996">
        <f>_xlfn.XLOOKUP(B2996, Dim_Hotel!$A$2:$A$11, Dim_Hotel!$I$2:$I$11)
 + (IF(J2996="",0,J2996)
    * _xlfn.XLOOKUP(B2996, Dim_Hotel!$A$2:$A$11, Dim_Hotel!$J$2:$J$11))</f>
        <v>82</v>
      </c>
    </row>
    <row r="2997" spans="1:13" x14ac:dyDescent="0.25">
      <c r="A2997" s="1">
        <f t="shared" si="368"/>
        <v>46322</v>
      </c>
      <c r="B2997" t="str" cm="1">
        <f t="array" ref="B2997">INDEX(HotelList,MOD(ROW()-2,10)+1)</f>
        <v>H006</v>
      </c>
      <c r="C2997">
        <f>_xlfn.XLOOKUP(B2997,Dim_Hotel!$A$2:$A$11,Dim_Hotel!$F$2:$F$11)</f>
        <v>311</v>
      </c>
      <c r="D2997">
        <f t="shared" si="369"/>
        <v>171</v>
      </c>
      <c r="E2997">
        <f t="shared" si="370"/>
        <v>0.54983922829581988</v>
      </c>
      <c r="F2997">
        <f t="shared" si="371"/>
        <v>190</v>
      </c>
      <c r="G2997">
        <f t="shared" si="372"/>
        <v>104.46945337620578</v>
      </c>
      <c r="H2997" t="str">
        <f>_xlfn.XLOOKUP(A2997,Fact_Events!$D$2:$D$20,Fact_Events!$A$2:$A$20, "")</f>
        <v/>
      </c>
      <c r="I2997">
        <f t="shared" si="373"/>
        <v>0</v>
      </c>
      <c r="J2997" t="str">
        <f>_xlfn.XLOOKUP(H2997, Fact_Events!$A$2:$A$20, Fact_Events!$F$2:$F$20, "")</f>
        <v/>
      </c>
      <c r="K2997" t="str">
        <f t="shared" si="374"/>
        <v>Low</v>
      </c>
      <c r="L2997">
        <f t="shared" si="375"/>
        <v>0.55000000000000004</v>
      </c>
      <c r="M2997">
        <f>_xlfn.XLOOKUP(B2997, Dim_Hotel!$A$2:$A$11, Dim_Hotel!$I$2:$I$11)
 + (IF(J2997="",0,J2997)
    * _xlfn.XLOOKUP(B2997, Dim_Hotel!$A$2:$A$11, Dim_Hotel!$J$2:$J$11))</f>
        <v>190</v>
      </c>
    </row>
    <row r="2998" spans="1:13" x14ac:dyDescent="0.25">
      <c r="A2998" s="1">
        <f t="shared" si="368"/>
        <v>46322</v>
      </c>
      <c r="B2998" t="str" cm="1">
        <f t="array" ref="B2998">INDEX(HotelList,MOD(ROW()-2,10)+1)</f>
        <v>H007</v>
      </c>
      <c r="C2998">
        <f>_xlfn.XLOOKUP(B2998,Dim_Hotel!$A$2:$A$11,Dim_Hotel!$F$2:$F$11)</f>
        <v>132</v>
      </c>
      <c r="D2998">
        <f t="shared" si="369"/>
        <v>73</v>
      </c>
      <c r="E2998">
        <f t="shared" si="370"/>
        <v>0.55303030303030298</v>
      </c>
      <c r="F2998">
        <f t="shared" si="371"/>
        <v>165</v>
      </c>
      <c r="G2998">
        <f t="shared" si="372"/>
        <v>91.249999999999986</v>
      </c>
      <c r="H2998" t="str">
        <f>_xlfn.XLOOKUP(A2998,Fact_Events!$D$2:$D$20,Fact_Events!$A$2:$A$20, "")</f>
        <v/>
      </c>
      <c r="I2998">
        <f t="shared" si="373"/>
        <v>0</v>
      </c>
      <c r="J2998" t="str">
        <f>_xlfn.XLOOKUP(H2998, Fact_Events!$A$2:$A$20, Fact_Events!$F$2:$F$20, "")</f>
        <v/>
      </c>
      <c r="K2998" t="str">
        <f t="shared" si="374"/>
        <v>Low</v>
      </c>
      <c r="L2998">
        <f t="shared" si="375"/>
        <v>0.55000000000000004</v>
      </c>
      <c r="M2998">
        <f>_xlfn.XLOOKUP(B2998, Dim_Hotel!$A$2:$A$11, Dim_Hotel!$I$2:$I$11)
 + (IF(J2998="",0,J2998)
    * _xlfn.XLOOKUP(B2998, Dim_Hotel!$A$2:$A$11, Dim_Hotel!$J$2:$J$11))</f>
        <v>165</v>
      </c>
    </row>
    <row r="2999" spans="1:13" x14ac:dyDescent="0.25">
      <c r="A2999" s="1">
        <f t="shared" si="368"/>
        <v>46322</v>
      </c>
      <c r="B2999" t="str" cm="1">
        <f t="array" ref="B2999">INDEX(HotelList,MOD(ROW()-2,10)+1)</f>
        <v>H008</v>
      </c>
      <c r="C2999">
        <f>_xlfn.XLOOKUP(B2999,Dim_Hotel!$A$2:$A$11,Dim_Hotel!$F$2:$F$11)</f>
        <v>103</v>
      </c>
      <c r="D2999">
        <f t="shared" si="369"/>
        <v>57</v>
      </c>
      <c r="E2999">
        <f t="shared" si="370"/>
        <v>0.55339805825242716</v>
      </c>
      <c r="F2999">
        <f t="shared" si="371"/>
        <v>140</v>
      </c>
      <c r="G2999">
        <f t="shared" si="372"/>
        <v>77.475728155339809</v>
      </c>
      <c r="H2999" t="str">
        <f>_xlfn.XLOOKUP(A2999,Fact_Events!$D$2:$D$20,Fact_Events!$A$2:$A$20, "")</f>
        <v/>
      </c>
      <c r="I2999">
        <f t="shared" si="373"/>
        <v>0</v>
      </c>
      <c r="J2999" t="str">
        <f>_xlfn.XLOOKUP(H2999, Fact_Events!$A$2:$A$20, Fact_Events!$F$2:$F$20, "")</f>
        <v/>
      </c>
      <c r="K2999" t="str">
        <f t="shared" si="374"/>
        <v>Low</v>
      </c>
      <c r="L2999">
        <f t="shared" si="375"/>
        <v>0.55000000000000004</v>
      </c>
      <c r="M2999">
        <f>_xlfn.XLOOKUP(B2999, Dim_Hotel!$A$2:$A$11, Dim_Hotel!$I$2:$I$11)
 + (IF(J2999="",0,J2999)
    * _xlfn.XLOOKUP(B2999, Dim_Hotel!$A$2:$A$11, Dim_Hotel!$J$2:$J$11))</f>
        <v>140</v>
      </c>
    </row>
    <row r="3000" spans="1:13" x14ac:dyDescent="0.25">
      <c r="A3000" s="1">
        <f t="shared" si="368"/>
        <v>46322</v>
      </c>
      <c r="B3000" t="str" cm="1">
        <f t="array" ref="B3000">INDEX(HotelList,MOD(ROW()-2,10)+1)</f>
        <v>H009</v>
      </c>
      <c r="C3000">
        <f>_xlfn.XLOOKUP(B3000,Dim_Hotel!$A$2:$A$11,Dim_Hotel!$F$2:$F$11)</f>
        <v>114</v>
      </c>
      <c r="D3000">
        <f t="shared" si="369"/>
        <v>63</v>
      </c>
      <c r="E3000">
        <f t="shared" si="370"/>
        <v>0.55263157894736847</v>
      </c>
      <c r="F3000">
        <f t="shared" si="371"/>
        <v>185</v>
      </c>
      <c r="G3000">
        <f t="shared" si="372"/>
        <v>102.23684210526316</v>
      </c>
      <c r="H3000" t="str">
        <f>_xlfn.XLOOKUP(A3000,Fact_Events!$D$2:$D$20,Fact_Events!$A$2:$A$20, "")</f>
        <v/>
      </c>
      <c r="I3000">
        <f t="shared" si="373"/>
        <v>0</v>
      </c>
      <c r="J3000" t="str">
        <f>_xlfn.XLOOKUP(H3000, Fact_Events!$A$2:$A$20, Fact_Events!$F$2:$F$20, "")</f>
        <v/>
      </c>
      <c r="K3000" t="str">
        <f t="shared" si="374"/>
        <v>Low</v>
      </c>
      <c r="L3000">
        <f t="shared" si="375"/>
        <v>0.55000000000000004</v>
      </c>
      <c r="M3000">
        <f>_xlfn.XLOOKUP(B3000, Dim_Hotel!$A$2:$A$11, Dim_Hotel!$I$2:$I$11)
 + (IF(J3000="",0,J3000)
    * _xlfn.XLOOKUP(B3000, Dim_Hotel!$A$2:$A$11, Dim_Hotel!$J$2:$J$11))</f>
        <v>185</v>
      </c>
    </row>
    <row r="3001" spans="1:13" x14ac:dyDescent="0.25">
      <c r="A3001" s="1">
        <f t="shared" si="368"/>
        <v>46322</v>
      </c>
      <c r="B3001" t="str" cm="1">
        <f t="array" ref="B3001">INDEX(HotelList,MOD(ROW()-2,10)+1)</f>
        <v>H010</v>
      </c>
      <c r="C3001">
        <f>_xlfn.XLOOKUP(B3001,Dim_Hotel!$A$2:$A$11,Dim_Hotel!$F$2:$F$11)</f>
        <v>89</v>
      </c>
      <c r="D3001">
        <f t="shared" si="369"/>
        <v>49</v>
      </c>
      <c r="E3001">
        <f t="shared" si="370"/>
        <v>0.550561797752809</v>
      </c>
      <c r="F3001">
        <f t="shared" si="371"/>
        <v>150</v>
      </c>
      <c r="G3001">
        <f t="shared" si="372"/>
        <v>82.584269662921344</v>
      </c>
      <c r="H3001" t="str">
        <f>_xlfn.XLOOKUP(A3001,Fact_Events!$D$2:$D$20,Fact_Events!$A$2:$A$20, "")</f>
        <v/>
      </c>
      <c r="I3001">
        <f t="shared" si="373"/>
        <v>0</v>
      </c>
      <c r="J3001" t="str">
        <f>_xlfn.XLOOKUP(H3001, Fact_Events!$A$2:$A$20, Fact_Events!$F$2:$F$20, "")</f>
        <v/>
      </c>
      <c r="K3001" t="str">
        <f t="shared" si="374"/>
        <v>Low</v>
      </c>
      <c r="L3001">
        <f t="shared" si="375"/>
        <v>0.55000000000000004</v>
      </c>
      <c r="M3001">
        <f>_xlfn.XLOOKUP(B3001, Dim_Hotel!$A$2:$A$11, Dim_Hotel!$I$2:$I$11)
 + (IF(J3001="",0,J3001)
    * _xlfn.XLOOKUP(B3001, Dim_Hotel!$A$2:$A$11, Dim_Hotel!$J$2:$J$11))</f>
        <v>150</v>
      </c>
    </row>
    <row r="3002" spans="1:13" x14ac:dyDescent="0.25">
      <c r="A3002" s="1">
        <f t="shared" si="368"/>
        <v>46323</v>
      </c>
      <c r="B3002" t="str" cm="1">
        <f t="array" ref="B3002">INDEX(HotelList,MOD(ROW()-2,10)+1)</f>
        <v>H001</v>
      </c>
      <c r="C3002">
        <f>_xlfn.XLOOKUP(B3002,Dim_Hotel!$A$2:$A$11,Dim_Hotel!$F$2:$F$11)</f>
        <v>888</v>
      </c>
      <c r="D3002">
        <f t="shared" si="369"/>
        <v>488</v>
      </c>
      <c r="E3002">
        <f t="shared" si="370"/>
        <v>0.5495495495495496</v>
      </c>
      <c r="F3002">
        <f t="shared" si="371"/>
        <v>260</v>
      </c>
      <c r="G3002">
        <f t="shared" si="372"/>
        <v>142.88288288288288</v>
      </c>
      <c r="H3002" t="str">
        <f>_xlfn.XLOOKUP(A3002,Fact_Events!$D$2:$D$20,Fact_Events!$A$2:$A$20, "")</f>
        <v/>
      </c>
      <c r="I3002">
        <f t="shared" si="373"/>
        <v>0</v>
      </c>
      <c r="J3002" t="str">
        <f>_xlfn.XLOOKUP(H3002, Fact_Events!$A$2:$A$20, Fact_Events!$F$2:$F$20, "")</f>
        <v/>
      </c>
      <c r="K3002" t="str">
        <f t="shared" si="374"/>
        <v>Low</v>
      </c>
      <c r="L3002">
        <f t="shared" si="375"/>
        <v>0.55000000000000004</v>
      </c>
      <c r="M3002">
        <f>_xlfn.XLOOKUP(B3002, Dim_Hotel!$A$2:$A$11, Dim_Hotel!$I$2:$I$11)
 + (IF(J3002="",0,J3002)
    * _xlfn.XLOOKUP(B3002, Dim_Hotel!$A$2:$A$11, Dim_Hotel!$J$2:$J$11))</f>
        <v>260</v>
      </c>
    </row>
    <row r="3003" spans="1:13" x14ac:dyDescent="0.25">
      <c r="A3003" s="1">
        <f t="shared" si="368"/>
        <v>46323</v>
      </c>
      <c r="B3003" t="str" cm="1">
        <f t="array" ref="B3003">INDEX(HotelList,MOD(ROW()-2,10)+1)</f>
        <v>H002</v>
      </c>
      <c r="C3003">
        <f>_xlfn.XLOOKUP(B3003,Dim_Hotel!$A$2:$A$11,Dim_Hotel!$F$2:$F$11)</f>
        <v>147</v>
      </c>
      <c r="D3003">
        <f t="shared" si="369"/>
        <v>81</v>
      </c>
      <c r="E3003">
        <f t="shared" si="370"/>
        <v>0.55102040816326525</v>
      </c>
      <c r="F3003">
        <f t="shared" si="371"/>
        <v>175</v>
      </c>
      <c r="G3003">
        <f t="shared" si="372"/>
        <v>96.428571428571416</v>
      </c>
      <c r="H3003" t="str">
        <f>_xlfn.XLOOKUP(A3003,Fact_Events!$D$2:$D$20,Fact_Events!$A$2:$A$20, "")</f>
        <v/>
      </c>
      <c r="I3003">
        <f t="shared" si="373"/>
        <v>0</v>
      </c>
      <c r="J3003" t="str">
        <f>_xlfn.XLOOKUP(H3003, Fact_Events!$A$2:$A$20, Fact_Events!$F$2:$F$20, "")</f>
        <v/>
      </c>
      <c r="K3003" t="str">
        <f t="shared" si="374"/>
        <v>Low</v>
      </c>
      <c r="L3003">
        <f t="shared" si="375"/>
        <v>0.55000000000000004</v>
      </c>
      <c r="M3003">
        <f>_xlfn.XLOOKUP(B3003, Dim_Hotel!$A$2:$A$11, Dim_Hotel!$I$2:$I$11)
 + (IF(J3003="",0,J3003)
    * _xlfn.XLOOKUP(B3003, Dim_Hotel!$A$2:$A$11, Dim_Hotel!$J$2:$J$11))</f>
        <v>175</v>
      </c>
    </row>
    <row r="3004" spans="1:13" x14ac:dyDescent="0.25">
      <c r="A3004" s="1">
        <f t="shared" si="368"/>
        <v>46323</v>
      </c>
      <c r="B3004" t="str" cm="1">
        <f t="array" ref="B3004">INDEX(HotelList,MOD(ROW()-2,10)+1)</f>
        <v>H003</v>
      </c>
      <c r="C3004">
        <f>_xlfn.XLOOKUP(B3004,Dim_Hotel!$A$2:$A$11,Dim_Hotel!$F$2:$F$11)</f>
        <v>121</v>
      </c>
      <c r="D3004">
        <f t="shared" si="369"/>
        <v>67</v>
      </c>
      <c r="E3004">
        <f t="shared" si="370"/>
        <v>0.55371900826446285</v>
      </c>
      <c r="F3004">
        <f t="shared" si="371"/>
        <v>145</v>
      </c>
      <c r="G3004">
        <f t="shared" si="372"/>
        <v>80.289256198347118</v>
      </c>
      <c r="H3004" t="str">
        <f>_xlfn.XLOOKUP(A3004,Fact_Events!$D$2:$D$20,Fact_Events!$A$2:$A$20, "")</f>
        <v/>
      </c>
      <c r="I3004">
        <f t="shared" si="373"/>
        <v>0</v>
      </c>
      <c r="J3004" t="str">
        <f>_xlfn.XLOOKUP(H3004, Fact_Events!$A$2:$A$20, Fact_Events!$F$2:$F$20, "")</f>
        <v/>
      </c>
      <c r="K3004" t="str">
        <f t="shared" si="374"/>
        <v>Low</v>
      </c>
      <c r="L3004">
        <f t="shared" si="375"/>
        <v>0.55000000000000004</v>
      </c>
      <c r="M3004">
        <f>_xlfn.XLOOKUP(B3004, Dim_Hotel!$A$2:$A$11, Dim_Hotel!$I$2:$I$11)
 + (IF(J3004="",0,J3004)
    * _xlfn.XLOOKUP(B3004, Dim_Hotel!$A$2:$A$11, Dim_Hotel!$J$2:$J$11))</f>
        <v>145</v>
      </c>
    </row>
    <row r="3005" spans="1:13" x14ac:dyDescent="0.25">
      <c r="A3005" s="1">
        <f t="shared" si="368"/>
        <v>46323</v>
      </c>
      <c r="B3005" t="str" cm="1">
        <f t="array" ref="B3005">INDEX(HotelList,MOD(ROW()-2,10)+1)</f>
        <v>H004</v>
      </c>
      <c r="C3005">
        <f>_xlfn.XLOOKUP(B3005,Dim_Hotel!$A$2:$A$11,Dim_Hotel!$F$2:$F$11)</f>
        <v>108</v>
      </c>
      <c r="D3005">
        <f t="shared" si="369"/>
        <v>59</v>
      </c>
      <c r="E3005">
        <f t="shared" si="370"/>
        <v>0.54629629629629628</v>
      </c>
      <c r="F3005">
        <f t="shared" si="371"/>
        <v>135</v>
      </c>
      <c r="G3005">
        <f t="shared" si="372"/>
        <v>73.75</v>
      </c>
      <c r="H3005" t="str">
        <f>_xlfn.XLOOKUP(A3005,Fact_Events!$D$2:$D$20,Fact_Events!$A$2:$A$20, "")</f>
        <v/>
      </c>
      <c r="I3005">
        <f t="shared" si="373"/>
        <v>0</v>
      </c>
      <c r="J3005" t="str">
        <f>_xlfn.XLOOKUP(H3005, Fact_Events!$A$2:$A$20, Fact_Events!$F$2:$F$20, "")</f>
        <v/>
      </c>
      <c r="K3005" t="str">
        <f t="shared" si="374"/>
        <v>Low</v>
      </c>
      <c r="L3005">
        <f t="shared" si="375"/>
        <v>0.55000000000000004</v>
      </c>
      <c r="M3005">
        <f>_xlfn.XLOOKUP(B3005, Dim_Hotel!$A$2:$A$11, Dim_Hotel!$I$2:$I$11)
 + (IF(J3005="",0,J3005)
    * _xlfn.XLOOKUP(B3005, Dim_Hotel!$A$2:$A$11, Dim_Hotel!$J$2:$J$11))</f>
        <v>135</v>
      </c>
    </row>
    <row r="3006" spans="1:13" x14ac:dyDescent="0.25">
      <c r="A3006" s="1">
        <f t="shared" si="368"/>
        <v>46323</v>
      </c>
      <c r="B3006" t="str" cm="1">
        <f t="array" ref="B3006">INDEX(HotelList,MOD(ROW()-2,10)+1)</f>
        <v>H005</v>
      </c>
      <c r="C3006">
        <f>_xlfn.XLOOKUP(B3006,Dim_Hotel!$A$2:$A$11,Dim_Hotel!$F$2:$F$11)</f>
        <v>66</v>
      </c>
      <c r="D3006">
        <f t="shared" si="369"/>
        <v>36</v>
      </c>
      <c r="E3006">
        <f t="shared" si="370"/>
        <v>0.54545454545454541</v>
      </c>
      <c r="F3006">
        <f t="shared" si="371"/>
        <v>82</v>
      </c>
      <c r="G3006">
        <f t="shared" si="372"/>
        <v>44.727272727272727</v>
      </c>
      <c r="H3006" t="str">
        <f>_xlfn.XLOOKUP(A3006,Fact_Events!$D$2:$D$20,Fact_Events!$A$2:$A$20, "")</f>
        <v/>
      </c>
      <c r="I3006">
        <f t="shared" si="373"/>
        <v>0</v>
      </c>
      <c r="J3006" t="str">
        <f>_xlfn.XLOOKUP(H3006, Fact_Events!$A$2:$A$20, Fact_Events!$F$2:$F$20, "")</f>
        <v/>
      </c>
      <c r="K3006" t="str">
        <f t="shared" si="374"/>
        <v>Low</v>
      </c>
      <c r="L3006">
        <f t="shared" si="375"/>
        <v>0.55000000000000004</v>
      </c>
      <c r="M3006">
        <f>_xlfn.XLOOKUP(B3006, Dim_Hotel!$A$2:$A$11, Dim_Hotel!$I$2:$I$11)
 + (IF(J3006="",0,J3006)
    * _xlfn.XLOOKUP(B3006, Dim_Hotel!$A$2:$A$11, Dim_Hotel!$J$2:$J$11))</f>
        <v>82</v>
      </c>
    </row>
    <row r="3007" spans="1:13" x14ac:dyDescent="0.25">
      <c r="A3007" s="1">
        <f t="shared" si="368"/>
        <v>46323</v>
      </c>
      <c r="B3007" t="str" cm="1">
        <f t="array" ref="B3007">INDEX(HotelList,MOD(ROW()-2,10)+1)</f>
        <v>H006</v>
      </c>
      <c r="C3007">
        <f>_xlfn.XLOOKUP(B3007,Dim_Hotel!$A$2:$A$11,Dim_Hotel!$F$2:$F$11)</f>
        <v>311</v>
      </c>
      <c r="D3007">
        <f t="shared" si="369"/>
        <v>171</v>
      </c>
      <c r="E3007">
        <f t="shared" si="370"/>
        <v>0.54983922829581988</v>
      </c>
      <c r="F3007">
        <f t="shared" si="371"/>
        <v>190</v>
      </c>
      <c r="G3007">
        <f t="shared" si="372"/>
        <v>104.46945337620578</v>
      </c>
      <c r="H3007" t="str">
        <f>_xlfn.XLOOKUP(A3007,Fact_Events!$D$2:$D$20,Fact_Events!$A$2:$A$20, "")</f>
        <v/>
      </c>
      <c r="I3007">
        <f t="shared" si="373"/>
        <v>0</v>
      </c>
      <c r="J3007" t="str">
        <f>_xlfn.XLOOKUP(H3007, Fact_Events!$A$2:$A$20, Fact_Events!$F$2:$F$20, "")</f>
        <v/>
      </c>
      <c r="K3007" t="str">
        <f t="shared" si="374"/>
        <v>Low</v>
      </c>
      <c r="L3007">
        <f t="shared" si="375"/>
        <v>0.55000000000000004</v>
      </c>
      <c r="M3007">
        <f>_xlfn.XLOOKUP(B3007, Dim_Hotel!$A$2:$A$11, Dim_Hotel!$I$2:$I$11)
 + (IF(J3007="",0,J3007)
    * _xlfn.XLOOKUP(B3007, Dim_Hotel!$A$2:$A$11, Dim_Hotel!$J$2:$J$11))</f>
        <v>190</v>
      </c>
    </row>
    <row r="3008" spans="1:13" x14ac:dyDescent="0.25">
      <c r="A3008" s="1">
        <f t="shared" si="368"/>
        <v>46323</v>
      </c>
      <c r="B3008" t="str" cm="1">
        <f t="array" ref="B3008">INDEX(HotelList,MOD(ROW()-2,10)+1)</f>
        <v>H007</v>
      </c>
      <c r="C3008">
        <f>_xlfn.XLOOKUP(B3008,Dim_Hotel!$A$2:$A$11,Dim_Hotel!$F$2:$F$11)</f>
        <v>132</v>
      </c>
      <c r="D3008">
        <f t="shared" si="369"/>
        <v>73</v>
      </c>
      <c r="E3008">
        <f t="shared" si="370"/>
        <v>0.55303030303030298</v>
      </c>
      <c r="F3008">
        <f t="shared" si="371"/>
        <v>165</v>
      </c>
      <c r="G3008">
        <f t="shared" si="372"/>
        <v>91.249999999999986</v>
      </c>
      <c r="H3008" t="str">
        <f>_xlfn.XLOOKUP(A3008,Fact_Events!$D$2:$D$20,Fact_Events!$A$2:$A$20, "")</f>
        <v/>
      </c>
      <c r="I3008">
        <f t="shared" si="373"/>
        <v>0</v>
      </c>
      <c r="J3008" t="str">
        <f>_xlfn.XLOOKUP(H3008, Fact_Events!$A$2:$A$20, Fact_Events!$F$2:$F$20, "")</f>
        <v/>
      </c>
      <c r="K3008" t="str">
        <f t="shared" si="374"/>
        <v>Low</v>
      </c>
      <c r="L3008">
        <f t="shared" si="375"/>
        <v>0.55000000000000004</v>
      </c>
      <c r="M3008">
        <f>_xlfn.XLOOKUP(B3008, Dim_Hotel!$A$2:$A$11, Dim_Hotel!$I$2:$I$11)
 + (IF(J3008="",0,J3008)
    * _xlfn.XLOOKUP(B3008, Dim_Hotel!$A$2:$A$11, Dim_Hotel!$J$2:$J$11))</f>
        <v>165</v>
      </c>
    </row>
    <row r="3009" spans="1:13" x14ac:dyDescent="0.25">
      <c r="A3009" s="1">
        <f t="shared" si="368"/>
        <v>46323</v>
      </c>
      <c r="B3009" t="str" cm="1">
        <f t="array" ref="B3009">INDEX(HotelList,MOD(ROW()-2,10)+1)</f>
        <v>H008</v>
      </c>
      <c r="C3009">
        <f>_xlfn.XLOOKUP(B3009,Dim_Hotel!$A$2:$A$11,Dim_Hotel!$F$2:$F$11)</f>
        <v>103</v>
      </c>
      <c r="D3009">
        <f t="shared" si="369"/>
        <v>57</v>
      </c>
      <c r="E3009">
        <f t="shared" si="370"/>
        <v>0.55339805825242716</v>
      </c>
      <c r="F3009">
        <f t="shared" si="371"/>
        <v>140</v>
      </c>
      <c r="G3009">
        <f t="shared" si="372"/>
        <v>77.475728155339809</v>
      </c>
      <c r="H3009" t="str">
        <f>_xlfn.XLOOKUP(A3009,Fact_Events!$D$2:$D$20,Fact_Events!$A$2:$A$20, "")</f>
        <v/>
      </c>
      <c r="I3009">
        <f t="shared" si="373"/>
        <v>0</v>
      </c>
      <c r="J3009" t="str">
        <f>_xlfn.XLOOKUP(H3009, Fact_Events!$A$2:$A$20, Fact_Events!$F$2:$F$20, "")</f>
        <v/>
      </c>
      <c r="K3009" t="str">
        <f t="shared" si="374"/>
        <v>Low</v>
      </c>
      <c r="L3009">
        <f t="shared" si="375"/>
        <v>0.55000000000000004</v>
      </c>
      <c r="M3009">
        <f>_xlfn.XLOOKUP(B3009, Dim_Hotel!$A$2:$A$11, Dim_Hotel!$I$2:$I$11)
 + (IF(J3009="",0,J3009)
    * _xlfn.XLOOKUP(B3009, Dim_Hotel!$A$2:$A$11, Dim_Hotel!$J$2:$J$11))</f>
        <v>140</v>
      </c>
    </row>
    <row r="3010" spans="1:13" x14ac:dyDescent="0.25">
      <c r="A3010" s="1">
        <f t="shared" si="368"/>
        <v>46323</v>
      </c>
      <c r="B3010" t="str" cm="1">
        <f t="array" ref="B3010">INDEX(HotelList,MOD(ROW()-2,10)+1)</f>
        <v>H009</v>
      </c>
      <c r="C3010">
        <f>_xlfn.XLOOKUP(B3010,Dim_Hotel!$A$2:$A$11,Dim_Hotel!$F$2:$F$11)</f>
        <v>114</v>
      </c>
      <c r="D3010">
        <f t="shared" si="369"/>
        <v>63</v>
      </c>
      <c r="E3010">
        <f t="shared" si="370"/>
        <v>0.55263157894736847</v>
      </c>
      <c r="F3010">
        <f t="shared" si="371"/>
        <v>185</v>
      </c>
      <c r="G3010">
        <f t="shared" si="372"/>
        <v>102.23684210526316</v>
      </c>
      <c r="H3010" t="str">
        <f>_xlfn.XLOOKUP(A3010,Fact_Events!$D$2:$D$20,Fact_Events!$A$2:$A$20, "")</f>
        <v/>
      </c>
      <c r="I3010">
        <f t="shared" si="373"/>
        <v>0</v>
      </c>
      <c r="J3010" t="str">
        <f>_xlfn.XLOOKUP(H3010, Fact_Events!$A$2:$A$20, Fact_Events!$F$2:$F$20, "")</f>
        <v/>
      </c>
      <c r="K3010" t="str">
        <f t="shared" si="374"/>
        <v>Low</v>
      </c>
      <c r="L3010">
        <f t="shared" si="375"/>
        <v>0.55000000000000004</v>
      </c>
      <c r="M3010">
        <f>_xlfn.XLOOKUP(B3010, Dim_Hotel!$A$2:$A$11, Dim_Hotel!$I$2:$I$11)
 + (IF(J3010="",0,J3010)
    * _xlfn.XLOOKUP(B3010, Dim_Hotel!$A$2:$A$11, Dim_Hotel!$J$2:$J$11))</f>
        <v>185</v>
      </c>
    </row>
    <row r="3011" spans="1:13" x14ac:dyDescent="0.25">
      <c r="A3011" s="1">
        <f t="shared" ref="A3011:A3074" si="376">DATE(2026,1,1) + INT((ROW()-2)/10)</f>
        <v>46323</v>
      </c>
      <c r="B3011" t="str" cm="1">
        <f t="array" ref="B3011">INDEX(HotelList,MOD(ROW()-2,10)+1)</f>
        <v>H010</v>
      </c>
      <c r="C3011">
        <f>_xlfn.XLOOKUP(B3011,Dim_Hotel!$A$2:$A$11,Dim_Hotel!$F$2:$F$11)</f>
        <v>89</v>
      </c>
      <c r="D3011">
        <f t="shared" ref="D3011:D3074" si="377">ROUND(L3011 * C3011, 0)</f>
        <v>49</v>
      </c>
      <c r="E3011">
        <f t="shared" ref="E3011:E3074" si="378">D3011/C3011</f>
        <v>0.550561797752809</v>
      </c>
      <c r="F3011">
        <f t="shared" ref="F3011:F3074" si="379">M3011</f>
        <v>150</v>
      </c>
      <c r="G3011">
        <f t="shared" ref="G3011:G3074" si="380">E3011*F3011</f>
        <v>82.584269662921344</v>
      </c>
      <c r="H3011" t="str">
        <f>_xlfn.XLOOKUP(A3011,Fact_Events!$D$2:$D$20,Fact_Events!$A$2:$A$20, "")</f>
        <v/>
      </c>
      <c r="I3011">
        <f t="shared" ref="I3011:I3074" si="381">IF(H3011="",0,1)</f>
        <v>0</v>
      </c>
      <c r="J3011" t="str">
        <f>_xlfn.XLOOKUP(H3011, Fact_Events!$A$2:$A$20, Fact_Events!$F$2:$F$20, "")</f>
        <v/>
      </c>
      <c r="K3011" t="str">
        <f t="shared" ref="K3011:K3074" si="382">IF(I3011=0,"Low",
   IF(J3011&gt;=9,"High","Medium"))</f>
        <v>Low</v>
      </c>
      <c r="L3011">
        <f t="shared" ref="L3011:L3074" si="383">MIN(1,
  0.55
  + (I3011 * 0.25)
  + (IF(J3011="",0,J3011) / 100)
)</f>
        <v>0.55000000000000004</v>
      </c>
      <c r="M3011">
        <f>_xlfn.XLOOKUP(B3011, Dim_Hotel!$A$2:$A$11, Dim_Hotel!$I$2:$I$11)
 + (IF(J3011="",0,J3011)
    * _xlfn.XLOOKUP(B3011, Dim_Hotel!$A$2:$A$11, Dim_Hotel!$J$2:$J$11))</f>
        <v>150</v>
      </c>
    </row>
    <row r="3012" spans="1:13" x14ac:dyDescent="0.25">
      <c r="A3012" s="1">
        <f t="shared" si="376"/>
        <v>46324</v>
      </c>
      <c r="B3012" t="str" cm="1">
        <f t="array" ref="B3012">INDEX(HotelList,MOD(ROW()-2,10)+1)</f>
        <v>H001</v>
      </c>
      <c r="C3012">
        <f>_xlfn.XLOOKUP(B3012,Dim_Hotel!$A$2:$A$11,Dim_Hotel!$F$2:$F$11)</f>
        <v>888</v>
      </c>
      <c r="D3012">
        <f t="shared" si="377"/>
        <v>488</v>
      </c>
      <c r="E3012">
        <f t="shared" si="378"/>
        <v>0.5495495495495496</v>
      </c>
      <c r="F3012">
        <f t="shared" si="379"/>
        <v>260</v>
      </c>
      <c r="G3012">
        <f t="shared" si="380"/>
        <v>142.88288288288288</v>
      </c>
      <c r="H3012" t="str">
        <f>_xlfn.XLOOKUP(A3012,Fact_Events!$D$2:$D$20,Fact_Events!$A$2:$A$20, "")</f>
        <v/>
      </c>
      <c r="I3012">
        <f t="shared" si="381"/>
        <v>0</v>
      </c>
      <c r="J3012" t="str">
        <f>_xlfn.XLOOKUP(H3012, Fact_Events!$A$2:$A$20, Fact_Events!$F$2:$F$20, "")</f>
        <v/>
      </c>
      <c r="K3012" t="str">
        <f t="shared" si="382"/>
        <v>Low</v>
      </c>
      <c r="L3012">
        <f t="shared" si="383"/>
        <v>0.55000000000000004</v>
      </c>
      <c r="M3012">
        <f>_xlfn.XLOOKUP(B3012, Dim_Hotel!$A$2:$A$11, Dim_Hotel!$I$2:$I$11)
 + (IF(J3012="",0,J3012)
    * _xlfn.XLOOKUP(B3012, Dim_Hotel!$A$2:$A$11, Dim_Hotel!$J$2:$J$11))</f>
        <v>260</v>
      </c>
    </row>
    <row r="3013" spans="1:13" x14ac:dyDescent="0.25">
      <c r="A3013" s="1">
        <f t="shared" si="376"/>
        <v>46324</v>
      </c>
      <c r="B3013" t="str" cm="1">
        <f t="array" ref="B3013">INDEX(HotelList,MOD(ROW()-2,10)+1)</f>
        <v>H002</v>
      </c>
      <c r="C3013">
        <f>_xlfn.XLOOKUP(B3013,Dim_Hotel!$A$2:$A$11,Dim_Hotel!$F$2:$F$11)</f>
        <v>147</v>
      </c>
      <c r="D3013">
        <f t="shared" si="377"/>
        <v>81</v>
      </c>
      <c r="E3013">
        <f t="shared" si="378"/>
        <v>0.55102040816326525</v>
      </c>
      <c r="F3013">
        <f t="shared" si="379"/>
        <v>175</v>
      </c>
      <c r="G3013">
        <f t="shared" si="380"/>
        <v>96.428571428571416</v>
      </c>
      <c r="H3013" t="str">
        <f>_xlfn.XLOOKUP(A3013,Fact_Events!$D$2:$D$20,Fact_Events!$A$2:$A$20, "")</f>
        <v/>
      </c>
      <c r="I3013">
        <f t="shared" si="381"/>
        <v>0</v>
      </c>
      <c r="J3013" t="str">
        <f>_xlfn.XLOOKUP(H3013, Fact_Events!$A$2:$A$20, Fact_Events!$F$2:$F$20, "")</f>
        <v/>
      </c>
      <c r="K3013" t="str">
        <f t="shared" si="382"/>
        <v>Low</v>
      </c>
      <c r="L3013">
        <f t="shared" si="383"/>
        <v>0.55000000000000004</v>
      </c>
      <c r="M3013">
        <f>_xlfn.XLOOKUP(B3013, Dim_Hotel!$A$2:$A$11, Dim_Hotel!$I$2:$I$11)
 + (IF(J3013="",0,J3013)
    * _xlfn.XLOOKUP(B3013, Dim_Hotel!$A$2:$A$11, Dim_Hotel!$J$2:$J$11))</f>
        <v>175</v>
      </c>
    </row>
    <row r="3014" spans="1:13" x14ac:dyDescent="0.25">
      <c r="A3014" s="1">
        <f t="shared" si="376"/>
        <v>46324</v>
      </c>
      <c r="B3014" t="str" cm="1">
        <f t="array" ref="B3014">INDEX(HotelList,MOD(ROW()-2,10)+1)</f>
        <v>H003</v>
      </c>
      <c r="C3014">
        <f>_xlfn.XLOOKUP(B3014,Dim_Hotel!$A$2:$A$11,Dim_Hotel!$F$2:$F$11)</f>
        <v>121</v>
      </c>
      <c r="D3014">
        <f t="shared" si="377"/>
        <v>67</v>
      </c>
      <c r="E3014">
        <f t="shared" si="378"/>
        <v>0.55371900826446285</v>
      </c>
      <c r="F3014">
        <f t="shared" si="379"/>
        <v>145</v>
      </c>
      <c r="G3014">
        <f t="shared" si="380"/>
        <v>80.289256198347118</v>
      </c>
      <c r="H3014" t="str">
        <f>_xlfn.XLOOKUP(A3014,Fact_Events!$D$2:$D$20,Fact_Events!$A$2:$A$20, "")</f>
        <v/>
      </c>
      <c r="I3014">
        <f t="shared" si="381"/>
        <v>0</v>
      </c>
      <c r="J3014" t="str">
        <f>_xlfn.XLOOKUP(H3014, Fact_Events!$A$2:$A$20, Fact_Events!$F$2:$F$20, "")</f>
        <v/>
      </c>
      <c r="K3014" t="str">
        <f t="shared" si="382"/>
        <v>Low</v>
      </c>
      <c r="L3014">
        <f t="shared" si="383"/>
        <v>0.55000000000000004</v>
      </c>
      <c r="M3014">
        <f>_xlfn.XLOOKUP(B3014, Dim_Hotel!$A$2:$A$11, Dim_Hotel!$I$2:$I$11)
 + (IF(J3014="",0,J3014)
    * _xlfn.XLOOKUP(B3014, Dim_Hotel!$A$2:$A$11, Dim_Hotel!$J$2:$J$11))</f>
        <v>145</v>
      </c>
    </row>
    <row r="3015" spans="1:13" x14ac:dyDescent="0.25">
      <c r="A3015" s="1">
        <f t="shared" si="376"/>
        <v>46324</v>
      </c>
      <c r="B3015" t="str" cm="1">
        <f t="array" ref="B3015">INDEX(HotelList,MOD(ROW()-2,10)+1)</f>
        <v>H004</v>
      </c>
      <c r="C3015">
        <f>_xlfn.XLOOKUP(B3015,Dim_Hotel!$A$2:$A$11,Dim_Hotel!$F$2:$F$11)</f>
        <v>108</v>
      </c>
      <c r="D3015">
        <f t="shared" si="377"/>
        <v>59</v>
      </c>
      <c r="E3015">
        <f t="shared" si="378"/>
        <v>0.54629629629629628</v>
      </c>
      <c r="F3015">
        <f t="shared" si="379"/>
        <v>135</v>
      </c>
      <c r="G3015">
        <f t="shared" si="380"/>
        <v>73.75</v>
      </c>
      <c r="H3015" t="str">
        <f>_xlfn.XLOOKUP(A3015,Fact_Events!$D$2:$D$20,Fact_Events!$A$2:$A$20, "")</f>
        <v/>
      </c>
      <c r="I3015">
        <f t="shared" si="381"/>
        <v>0</v>
      </c>
      <c r="J3015" t="str">
        <f>_xlfn.XLOOKUP(H3015, Fact_Events!$A$2:$A$20, Fact_Events!$F$2:$F$20, "")</f>
        <v/>
      </c>
      <c r="K3015" t="str">
        <f t="shared" si="382"/>
        <v>Low</v>
      </c>
      <c r="L3015">
        <f t="shared" si="383"/>
        <v>0.55000000000000004</v>
      </c>
      <c r="M3015">
        <f>_xlfn.XLOOKUP(B3015, Dim_Hotel!$A$2:$A$11, Dim_Hotel!$I$2:$I$11)
 + (IF(J3015="",0,J3015)
    * _xlfn.XLOOKUP(B3015, Dim_Hotel!$A$2:$A$11, Dim_Hotel!$J$2:$J$11))</f>
        <v>135</v>
      </c>
    </row>
    <row r="3016" spans="1:13" x14ac:dyDescent="0.25">
      <c r="A3016" s="1">
        <f t="shared" si="376"/>
        <v>46324</v>
      </c>
      <c r="B3016" t="str" cm="1">
        <f t="array" ref="B3016">INDEX(HotelList,MOD(ROW()-2,10)+1)</f>
        <v>H005</v>
      </c>
      <c r="C3016">
        <f>_xlfn.XLOOKUP(B3016,Dim_Hotel!$A$2:$A$11,Dim_Hotel!$F$2:$F$11)</f>
        <v>66</v>
      </c>
      <c r="D3016">
        <f t="shared" si="377"/>
        <v>36</v>
      </c>
      <c r="E3016">
        <f t="shared" si="378"/>
        <v>0.54545454545454541</v>
      </c>
      <c r="F3016">
        <f t="shared" si="379"/>
        <v>82</v>
      </c>
      <c r="G3016">
        <f t="shared" si="380"/>
        <v>44.727272727272727</v>
      </c>
      <c r="H3016" t="str">
        <f>_xlfn.XLOOKUP(A3016,Fact_Events!$D$2:$D$20,Fact_Events!$A$2:$A$20, "")</f>
        <v/>
      </c>
      <c r="I3016">
        <f t="shared" si="381"/>
        <v>0</v>
      </c>
      <c r="J3016" t="str">
        <f>_xlfn.XLOOKUP(H3016, Fact_Events!$A$2:$A$20, Fact_Events!$F$2:$F$20, "")</f>
        <v/>
      </c>
      <c r="K3016" t="str">
        <f t="shared" si="382"/>
        <v>Low</v>
      </c>
      <c r="L3016">
        <f t="shared" si="383"/>
        <v>0.55000000000000004</v>
      </c>
      <c r="M3016">
        <f>_xlfn.XLOOKUP(B3016, Dim_Hotel!$A$2:$A$11, Dim_Hotel!$I$2:$I$11)
 + (IF(J3016="",0,J3016)
    * _xlfn.XLOOKUP(B3016, Dim_Hotel!$A$2:$A$11, Dim_Hotel!$J$2:$J$11))</f>
        <v>82</v>
      </c>
    </row>
    <row r="3017" spans="1:13" x14ac:dyDescent="0.25">
      <c r="A3017" s="1">
        <f t="shared" si="376"/>
        <v>46324</v>
      </c>
      <c r="B3017" t="str" cm="1">
        <f t="array" ref="B3017">INDEX(HotelList,MOD(ROW()-2,10)+1)</f>
        <v>H006</v>
      </c>
      <c r="C3017">
        <f>_xlfn.XLOOKUP(B3017,Dim_Hotel!$A$2:$A$11,Dim_Hotel!$F$2:$F$11)</f>
        <v>311</v>
      </c>
      <c r="D3017">
        <f t="shared" si="377"/>
        <v>171</v>
      </c>
      <c r="E3017">
        <f t="shared" si="378"/>
        <v>0.54983922829581988</v>
      </c>
      <c r="F3017">
        <f t="shared" si="379"/>
        <v>190</v>
      </c>
      <c r="G3017">
        <f t="shared" si="380"/>
        <v>104.46945337620578</v>
      </c>
      <c r="H3017" t="str">
        <f>_xlfn.XLOOKUP(A3017,Fact_Events!$D$2:$D$20,Fact_Events!$A$2:$A$20, "")</f>
        <v/>
      </c>
      <c r="I3017">
        <f t="shared" si="381"/>
        <v>0</v>
      </c>
      <c r="J3017" t="str">
        <f>_xlfn.XLOOKUP(H3017, Fact_Events!$A$2:$A$20, Fact_Events!$F$2:$F$20, "")</f>
        <v/>
      </c>
      <c r="K3017" t="str">
        <f t="shared" si="382"/>
        <v>Low</v>
      </c>
      <c r="L3017">
        <f t="shared" si="383"/>
        <v>0.55000000000000004</v>
      </c>
      <c r="M3017">
        <f>_xlfn.XLOOKUP(B3017, Dim_Hotel!$A$2:$A$11, Dim_Hotel!$I$2:$I$11)
 + (IF(J3017="",0,J3017)
    * _xlfn.XLOOKUP(B3017, Dim_Hotel!$A$2:$A$11, Dim_Hotel!$J$2:$J$11))</f>
        <v>190</v>
      </c>
    </row>
    <row r="3018" spans="1:13" x14ac:dyDescent="0.25">
      <c r="A3018" s="1">
        <f t="shared" si="376"/>
        <v>46324</v>
      </c>
      <c r="B3018" t="str" cm="1">
        <f t="array" ref="B3018">INDEX(HotelList,MOD(ROW()-2,10)+1)</f>
        <v>H007</v>
      </c>
      <c r="C3018">
        <f>_xlfn.XLOOKUP(B3018,Dim_Hotel!$A$2:$A$11,Dim_Hotel!$F$2:$F$11)</f>
        <v>132</v>
      </c>
      <c r="D3018">
        <f t="shared" si="377"/>
        <v>73</v>
      </c>
      <c r="E3018">
        <f t="shared" si="378"/>
        <v>0.55303030303030298</v>
      </c>
      <c r="F3018">
        <f t="shared" si="379"/>
        <v>165</v>
      </c>
      <c r="G3018">
        <f t="shared" si="380"/>
        <v>91.249999999999986</v>
      </c>
      <c r="H3018" t="str">
        <f>_xlfn.XLOOKUP(A3018,Fact_Events!$D$2:$D$20,Fact_Events!$A$2:$A$20, "")</f>
        <v/>
      </c>
      <c r="I3018">
        <f t="shared" si="381"/>
        <v>0</v>
      </c>
      <c r="J3018" t="str">
        <f>_xlfn.XLOOKUP(H3018, Fact_Events!$A$2:$A$20, Fact_Events!$F$2:$F$20, "")</f>
        <v/>
      </c>
      <c r="K3018" t="str">
        <f t="shared" si="382"/>
        <v>Low</v>
      </c>
      <c r="L3018">
        <f t="shared" si="383"/>
        <v>0.55000000000000004</v>
      </c>
      <c r="M3018">
        <f>_xlfn.XLOOKUP(B3018, Dim_Hotel!$A$2:$A$11, Dim_Hotel!$I$2:$I$11)
 + (IF(J3018="",0,J3018)
    * _xlfn.XLOOKUP(B3018, Dim_Hotel!$A$2:$A$11, Dim_Hotel!$J$2:$J$11))</f>
        <v>165</v>
      </c>
    </row>
    <row r="3019" spans="1:13" x14ac:dyDescent="0.25">
      <c r="A3019" s="1">
        <f t="shared" si="376"/>
        <v>46324</v>
      </c>
      <c r="B3019" t="str" cm="1">
        <f t="array" ref="B3019">INDEX(HotelList,MOD(ROW()-2,10)+1)</f>
        <v>H008</v>
      </c>
      <c r="C3019">
        <f>_xlfn.XLOOKUP(B3019,Dim_Hotel!$A$2:$A$11,Dim_Hotel!$F$2:$F$11)</f>
        <v>103</v>
      </c>
      <c r="D3019">
        <f t="shared" si="377"/>
        <v>57</v>
      </c>
      <c r="E3019">
        <f t="shared" si="378"/>
        <v>0.55339805825242716</v>
      </c>
      <c r="F3019">
        <f t="shared" si="379"/>
        <v>140</v>
      </c>
      <c r="G3019">
        <f t="shared" si="380"/>
        <v>77.475728155339809</v>
      </c>
      <c r="H3019" t="str">
        <f>_xlfn.XLOOKUP(A3019,Fact_Events!$D$2:$D$20,Fact_Events!$A$2:$A$20, "")</f>
        <v/>
      </c>
      <c r="I3019">
        <f t="shared" si="381"/>
        <v>0</v>
      </c>
      <c r="J3019" t="str">
        <f>_xlfn.XLOOKUP(H3019, Fact_Events!$A$2:$A$20, Fact_Events!$F$2:$F$20, "")</f>
        <v/>
      </c>
      <c r="K3019" t="str">
        <f t="shared" si="382"/>
        <v>Low</v>
      </c>
      <c r="L3019">
        <f t="shared" si="383"/>
        <v>0.55000000000000004</v>
      </c>
      <c r="M3019">
        <f>_xlfn.XLOOKUP(B3019, Dim_Hotel!$A$2:$A$11, Dim_Hotel!$I$2:$I$11)
 + (IF(J3019="",0,J3019)
    * _xlfn.XLOOKUP(B3019, Dim_Hotel!$A$2:$A$11, Dim_Hotel!$J$2:$J$11))</f>
        <v>140</v>
      </c>
    </row>
    <row r="3020" spans="1:13" x14ac:dyDescent="0.25">
      <c r="A3020" s="1">
        <f t="shared" si="376"/>
        <v>46324</v>
      </c>
      <c r="B3020" t="str" cm="1">
        <f t="array" ref="B3020">INDEX(HotelList,MOD(ROW()-2,10)+1)</f>
        <v>H009</v>
      </c>
      <c r="C3020">
        <f>_xlfn.XLOOKUP(B3020,Dim_Hotel!$A$2:$A$11,Dim_Hotel!$F$2:$F$11)</f>
        <v>114</v>
      </c>
      <c r="D3020">
        <f t="shared" si="377"/>
        <v>63</v>
      </c>
      <c r="E3020">
        <f t="shared" si="378"/>
        <v>0.55263157894736847</v>
      </c>
      <c r="F3020">
        <f t="shared" si="379"/>
        <v>185</v>
      </c>
      <c r="G3020">
        <f t="shared" si="380"/>
        <v>102.23684210526316</v>
      </c>
      <c r="H3020" t="str">
        <f>_xlfn.XLOOKUP(A3020,Fact_Events!$D$2:$D$20,Fact_Events!$A$2:$A$20, "")</f>
        <v/>
      </c>
      <c r="I3020">
        <f t="shared" si="381"/>
        <v>0</v>
      </c>
      <c r="J3020" t="str">
        <f>_xlfn.XLOOKUP(H3020, Fact_Events!$A$2:$A$20, Fact_Events!$F$2:$F$20, "")</f>
        <v/>
      </c>
      <c r="K3020" t="str">
        <f t="shared" si="382"/>
        <v>Low</v>
      </c>
      <c r="L3020">
        <f t="shared" si="383"/>
        <v>0.55000000000000004</v>
      </c>
      <c r="M3020">
        <f>_xlfn.XLOOKUP(B3020, Dim_Hotel!$A$2:$A$11, Dim_Hotel!$I$2:$I$11)
 + (IF(J3020="",0,J3020)
    * _xlfn.XLOOKUP(B3020, Dim_Hotel!$A$2:$A$11, Dim_Hotel!$J$2:$J$11))</f>
        <v>185</v>
      </c>
    </row>
    <row r="3021" spans="1:13" x14ac:dyDescent="0.25">
      <c r="A3021" s="1">
        <f t="shared" si="376"/>
        <v>46324</v>
      </c>
      <c r="B3021" t="str" cm="1">
        <f t="array" ref="B3021">INDEX(HotelList,MOD(ROW()-2,10)+1)</f>
        <v>H010</v>
      </c>
      <c r="C3021">
        <f>_xlfn.XLOOKUP(B3021,Dim_Hotel!$A$2:$A$11,Dim_Hotel!$F$2:$F$11)</f>
        <v>89</v>
      </c>
      <c r="D3021">
        <f t="shared" si="377"/>
        <v>49</v>
      </c>
      <c r="E3021">
        <f t="shared" si="378"/>
        <v>0.550561797752809</v>
      </c>
      <c r="F3021">
        <f t="shared" si="379"/>
        <v>150</v>
      </c>
      <c r="G3021">
        <f t="shared" si="380"/>
        <v>82.584269662921344</v>
      </c>
      <c r="H3021" t="str">
        <f>_xlfn.XLOOKUP(A3021,Fact_Events!$D$2:$D$20,Fact_Events!$A$2:$A$20, "")</f>
        <v/>
      </c>
      <c r="I3021">
        <f t="shared" si="381"/>
        <v>0</v>
      </c>
      <c r="J3021" t="str">
        <f>_xlfn.XLOOKUP(H3021, Fact_Events!$A$2:$A$20, Fact_Events!$F$2:$F$20, "")</f>
        <v/>
      </c>
      <c r="K3021" t="str">
        <f t="shared" si="382"/>
        <v>Low</v>
      </c>
      <c r="L3021">
        <f t="shared" si="383"/>
        <v>0.55000000000000004</v>
      </c>
      <c r="M3021">
        <f>_xlfn.XLOOKUP(B3021, Dim_Hotel!$A$2:$A$11, Dim_Hotel!$I$2:$I$11)
 + (IF(J3021="",0,J3021)
    * _xlfn.XLOOKUP(B3021, Dim_Hotel!$A$2:$A$11, Dim_Hotel!$J$2:$J$11))</f>
        <v>150</v>
      </c>
    </row>
    <row r="3022" spans="1:13" x14ac:dyDescent="0.25">
      <c r="A3022" s="1">
        <f t="shared" si="376"/>
        <v>46325</v>
      </c>
      <c r="B3022" t="str" cm="1">
        <f t="array" ref="B3022">INDEX(HotelList,MOD(ROW()-2,10)+1)</f>
        <v>H001</v>
      </c>
      <c r="C3022">
        <f>_xlfn.XLOOKUP(B3022,Dim_Hotel!$A$2:$A$11,Dim_Hotel!$F$2:$F$11)</f>
        <v>888</v>
      </c>
      <c r="D3022">
        <f t="shared" si="377"/>
        <v>488</v>
      </c>
      <c r="E3022">
        <f t="shared" si="378"/>
        <v>0.5495495495495496</v>
      </c>
      <c r="F3022">
        <f t="shared" si="379"/>
        <v>260</v>
      </c>
      <c r="G3022">
        <f t="shared" si="380"/>
        <v>142.88288288288288</v>
      </c>
      <c r="H3022" t="str">
        <f>_xlfn.XLOOKUP(A3022,Fact_Events!$D$2:$D$20,Fact_Events!$A$2:$A$20, "")</f>
        <v/>
      </c>
      <c r="I3022">
        <f t="shared" si="381"/>
        <v>0</v>
      </c>
      <c r="J3022" t="str">
        <f>_xlfn.XLOOKUP(H3022, Fact_Events!$A$2:$A$20, Fact_Events!$F$2:$F$20, "")</f>
        <v/>
      </c>
      <c r="K3022" t="str">
        <f t="shared" si="382"/>
        <v>Low</v>
      </c>
      <c r="L3022">
        <f t="shared" si="383"/>
        <v>0.55000000000000004</v>
      </c>
      <c r="M3022">
        <f>_xlfn.XLOOKUP(B3022, Dim_Hotel!$A$2:$A$11, Dim_Hotel!$I$2:$I$11)
 + (IF(J3022="",0,J3022)
    * _xlfn.XLOOKUP(B3022, Dim_Hotel!$A$2:$A$11, Dim_Hotel!$J$2:$J$11))</f>
        <v>260</v>
      </c>
    </row>
    <row r="3023" spans="1:13" x14ac:dyDescent="0.25">
      <c r="A3023" s="1">
        <f t="shared" si="376"/>
        <v>46325</v>
      </c>
      <c r="B3023" t="str" cm="1">
        <f t="array" ref="B3023">INDEX(HotelList,MOD(ROW()-2,10)+1)</f>
        <v>H002</v>
      </c>
      <c r="C3023">
        <f>_xlfn.XLOOKUP(B3023,Dim_Hotel!$A$2:$A$11,Dim_Hotel!$F$2:$F$11)</f>
        <v>147</v>
      </c>
      <c r="D3023">
        <f t="shared" si="377"/>
        <v>81</v>
      </c>
      <c r="E3023">
        <f t="shared" si="378"/>
        <v>0.55102040816326525</v>
      </c>
      <c r="F3023">
        <f t="shared" si="379"/>
        <v>175</v>
      </c>
      <c r="G3023">
        <f t="shared" si="380"/>
        <v>96.428571428571416</v>
      </c>
      <c r="H3023" t="str">
        <f>_xlfn.XLOOKUP(A3023,Fact_Events!$D$2:$D$20,Fact_Events!$A$2:$A$20, "")</f>
        <v/>
      </c>
      <c r="I3023">
        <f t="shared" si="381"/>
        <v>0</v>
      </c>
      <c r="J3023" t="str">
        <f>_xlfn.XLOOKUP(H3023, Fact_Events!$A$2:$A$20, Fact_Events!$F$2:$F$20, "")</f>
        <v/>
      </c>
      <c r="K3023" t="str">
        <f t="shared" si="382"/>
        <v>Low</v>
      </c>
      <c r="L3023">
        <f t="shared" si="383"/>
        <v>0.55000000000000004</v>
      </c>
      <c r="M3023">
        <f>_xlfn.XLOOKUP(B3023, Dim_Hotel!$A$2:$A$11, Dim_Hotel!$I$2:$I$11)
 + (IF(J3023="",0,J3023)
    * _xlfn.XLOOKUP(B3023, Dim_Hotel!$A$2:$A$11, Dim_Hotel!$J$2:$J$11))</f>
        <v>175</v>
      </c>
    </row>
    <row r="3024" spans="1:13" x14ac:dyDescent="0.25">
      <c r="A3024" s="1">
        <f t="shared" si="376"/>
        <v>46325</v>
      </c>
      <c r="B3024" t="str" cm="1">
        <f t="array" ref="B3024">INDEX(HotelList,MOD(ROW()-2,10)+1)</f>
        <v>H003</v>
      </c>
      <c r="C3024">
        <f>_xlfn.XLOOKUP(B3024,Dim_Hotel!$A$2:$A$11,Dim_Hotel!$F$2:$F$11)</f>
        <v>121</v>
      </c>
      <c r="D3024">
        <f t="shared" si="377"/>
        <v>67</v>
      </c>
      <c r="E3024">
        <f t="shared" si="378"/>
        <v>0.55371900826446285</v>
      </c>
      <c r="F3024">
        <f t="shared" si="379"/>
        <v>145</v>
      </c>
      <c r="G3024">
        <f t="shared" si="380"/>
        <v>80.289256198347118</v>
      </c>
      <c r="H3024" t="str">
        <f>_xlfn.XLOOKUP(A3024,Fact_Events!$D$2:$D$20,Fact_Events!$A$2:$A$20, "")</f>
        <v/>
      </c>
      <c r="I3024">
        <f t="shared" si="381"/>
        <v>0</v>
      </c>
      <c r="J3024" t="str">
        <f>_xlfn.XLOOKUP(H3024, Fact_Events!$A$2:$A$20, Fact_Events!$F$2:$F$20, "")</f>
        <v/>
      </c>
      <c r="K3024" t="str">
        <f t="shared" si="382"/>
        <v>Low</v>
      </c>
      <c r="L3024">
        <f t="shared" si="383"/>
        <v>0.55000000000000004</v>
      </c>
      <c r="M3024">
        <f>_xlfn.XLOOKUP(B3024, Dim_Hotel!$A$2:$A$11, Dim_Hotel!$I$2:$I$11)
 + (IF(J3024="",0,J3024)
    * _xlfn.XLOOKUP(B3024, Dim_Hotel!$A$2:$A$11, Dim_Hotel!$J$2:$J$11))</f>
        <v>145</v>
      </c>
    </row>
    <row r="3025" spans="1:13" x14ac:dyDescent="0.25">
      <c r="A3025" s="1">
        <f t="shared" si="376"/>
        <v>46325</v>
      </c>
      <c r="B3025" t="str" cm="1">
        <f t="array" ref="B3025">INDEX(HotelList,MOD(ROW()-2,10)+1)</f>
        <v>H004</v>
      </c>
      <c r="C3025">
        <f>_xlfn.XLOOKUP(B3025,Dim_Hotel!$A$2:$A$11,Dim_Hotel!$F$2:$F$11)</f>
        <v>108</v>
      </c>
      <c r="D3025">
        <f t="shared" si="377"/>
        <v>59</v>
      </c>
      <c r="E3025">
        <f t="shared" si="378"/>
        <v>0.54629629629629628</v>
      </c>
      <c r="F3025">
        <f t="shared" si="379"/>
        <v>135</v>
      </c>
      <c r="G3025">
        <f t="shared" si="380"/>
        <v>73.75</v>
      </c>
      <c r="H3025" t="str">
        <f>_xlfn.XLOOKUP(A3025,Fact_Events!$D$2:$D$20,Fact_Events!$A$2:$A$20, "")</f>
        <v/>
      </c>
      <c r="I3025">
        <f t="shared" si="381"/>
        <v>0</v>
      </c>
      <c r="J3025" t="str">
        <f>_xlfn.XLOOKUP(H3025, Fact_Events!$A$2:$A$20, Fact_Events!$F$2:$F$20, "")</f>
        <v/>
      </c>
      <c r="K3025" t="str">
        <f t="shared" si="382"/>
        <v>Low</v>
      </c>
      <c r="L3025">
        <f t="shared" si="383"/>
        <v>0.55000000000000004</v>
      </c>
      <c r="M3025">
        <f>_xlfn.XLOOKUP(B3025, Dim_Hotel!$A$2:$A$11, Dim_Hotel!$I$2:$I$11)
 + (IF(J3025="",0,J3025)
    * _xlfn.XLOOKUP(B3025, Dim_Hotel!$A$2:$A$11, Dim_Hotel!$J$2:$J$11))</f>
        <v>135</v>
      </c>
    </row>
    <row r="3026" spans="1:13" x14ac:dyDescent="0.25">
      <c r="A3026" s="1">
        <f t="shared" si="376"/>
        <v>46325</v>
      </c>
      <c r="B3026" t="str" cm="1">
        <f t="array" ref="B3026">INDEX(HotelList,MOD(ROW()-2,10)+1)</f>
        <v>H005</v>
      </c>
      <c r="C3026">
        <f>_xlfn.XLOOKUP(B3026,Dim_Hotel!$A$2:$A$11,Dim_Hotel!$F$2:$F$11)</f>
        <v>66</v>
      </c>
      <c r="D3026">
        <f t="shared" si="377"/>
        <v>36</v>
      </c>
      <c r="E3026">
        <f t="shared" si="378"/>
        <v>0.54545454545454541</v>
      </c>
      <c r="F3026">
        <f t="shared" si="379"/>
        <v>82</v>
      </c>
      <c r="G3026">
        <f t="shared" si="380"/>
        <v>44.727272727272727</v>
      </c>
      <c r="H3026" t="str">
        <f>_xlfn.XLOOKUP(A3026,Fact_Events!$D$2:$D$20,Fact_Events!$A$2:$A$20, "")</f>
        <v/>
      </c>
      <c r="I3026">
        <f t="shared" si="381"/>
        <v>0</v>
      </c>
      <c r="J3026" t="str">
        <f>_xlfn.XLOOKUP(H3026, Fact_Events!$A$2:$A$20, Fact_Events!$F$2:$F$20, "")</f>
        <v/>
      </c>
      <c r="K3026" t="str">
        <f t="shared" si="382"/>
        <v>Low</v>
      </c>
      <c r="L3026">
        <f t="shared" si="383"/>
        <v>0.55000000000000004</v>
      </c>
      <c r="M3026">
        <f>_xlfn.XLOOKUP(B3026, Dim_Hotel!$A$2:$A$11, Dim_Hotel!$I$2:$I$11)
 + (IF(J3026="",0,J3026)
    * _xlfn.XLOOKUP(B3026, Dim_Hotel!$A$2:$A$11, Dim_Hotel!$J$2:$J$11))</f>
        <v>82</v>
      </c>
    </row>
    <row r="3027" spans="1:13" x14ac:dyDescent="0.25">
      <c r="A3027" s="1">
        <f t="shared" si="376"/>
        <v>46325</v>
      </c>
      <c r="B3027" t="str" cm="1">
        <f t="array" ref="B3027">INDEX(HotelList,MOD(ROW()-2,10)+1)</f>
        <v>H006</v>
      </c>
      <c r="C3027">
        <f>_xlfn.XLOOKUP(B3027,Dim_Hotel!$A$2:$A$11,Dim_Hotel!$F$2:$F$11)</f>
        <v>311</v>
      </c>
      <c r="D3027">
        <f t="shared" si="377"/>
        <v>171</v>
      </c>
      <c r="E3027">
        <f t="shared" si="378"/>
        <v>0.54983922829581988</v>
      </c>
      <c r="F3027">
        <f t="shared" si="379"/>
        <v>190</v>
      </c>
      <c r="G3027">
        <f t="shared" si="380"/>
        <v>104.46945337620578</v>
      </c>
      <c r="H3027" t="str">
        <f>_xlfn.XLOOKUP(A3027,Fact_Events!$D$2:$D$20,Fact_Events!$A$2:$A$20, "")</f>
        <v/>
      </c>
      <c r="I3027">
        <f t="shared" si="381"/>
        <v>0</v>
      </c>
      <c r="J3027" t="str">
        <f>_xlfn.XLOOKUP(H3027, Fact_Events!$A$2:$A$20, Fact_Events!$F$2:$F$20, "")</f>
        <v/>
      </c>
      <c r="K3027" t="str">
        <f t="shared" si="382"/>
        <v>Low</v>
      </c>
      <c r="L3027">
        <f t="shared" si="383"/>
        <v>0.55000000000000004</v>
      </c>
      <c r="M3027">
        <f>_xlfn.XLOOKUP(B3027, Dim_Hotel!$A$2:$A$11, Dim_Hotel!$I$2:$I$11)
 + (IF(J3027="",0,J3027)
    * _xlfn.XLOOKUP(B3027, Dim_Hotel!$A$2:$A$11, Dim_Hotel!$J$2:$J$11))</f>
        <v>190</v>
      </c>
    </row>
    <row r="3028" spans="1:13" x14ac:dyDescent="0.25">
      <c r="A3028" s="1">
        <f t="shared" si="376"/>
        <v>46325</v>
      </c>
      <c r="B3028" t="str" cm="1">
        <f t="array" ref="B3028">INDEX(HotelList,MOD(ROW()-2,10)+1)</f>
        <v>H007</v>
      </c>
      <c r="C3028">
        <f>_xlfn.XLOOKUP(B3028,Dim_Hotel!$A$2:$A$11,Dim_Hotel!$F$2:$F$11)</f>
        <v>132</v>
      </c>
      <c r="D3028">
        <f t="shared" si="377"/>
        <v>73</v>
      </c>
      <c r="E3028">
        <f t="shared" si="378"/>
        <v>0.55303030303030298</v>
      </c>
      <c r="F3028">
        <f t="shared" si="379"/>
        <v>165</v>
      </c>
      <c r="G3028">
        <f t="shared" si="380"/>
        <v>91.249999999999986</v>
      </c>
      <c r="H3028" t="str">
        <f>_xlfn.XLOOKUP(A3028,Fact_Events!$D$2:$D$20,Fact_Events!$A$2:$A$20, "")</f>
        <v/>
      </c>
      <c r="I3028">
        <f t="shared" si="381"/>
        <v>0</v>
      </c>
      <c r="J3028" t="str">
        <f>_xlfn.XLOOKUP(H3028, Fact_Events!$A$2:$A$20, Fact_Events!$F$2:$F$20, "")</f>
        <v/>
      </c>
      <c r="K3028" t="str">
        <f t="shared" si="382"/>
        <v>Low</v>
      </c>
      <c r="L3028">
        <f t="shared" si="383"/>
        <v>0.55000000000000004</v>
      </c>
      <c r="M3028">
        <f>_xlfn.XLOOKUP(B3028, Dim_Hotel!$A$2:$A$11, Dim_Hotel!$I$2:$I$11)
 + (IF(J3028="",0,J3028)
    * _xlfn.XLOOKUP(B3028, Dim_Hotel!$A$2:$A$11, Dim_Hotel!$J$2:$J$11))</f>
        <v>165</v>
      </c>
    </row>
    <row r="3029" spans="1:13" x14ac:dyDescent="0.25">
      <c r="A3029" s="1">
        <f t="shared" si="376"/>
        <v>46325</v>
      </c>
      <c r="B3029" t="str" cm="1">
        <f t="array" ref="B3029">INDEX(HotelList,MOD(ROW()-2,10)+1)</f>
        <v>H008</v>
      </c>
      <c r="C3029">
        <f>_xlfn.XLOOKUP(B3029,Dim_Hotel!$A$2:$A$11,Dim_Hotel!$F$2:$F$11)</f>
        <v>103</v>
      </c>
      <c r="D3029">
        <f t="shared" si="377"/>
        <v>57</v>
      </c>
      <c r="E3029">
        <f t="shared" si="378"/>
        <v>0.55339805825242716</v>
      </c>
      <c r="F3029">
        <f t="shared" si="379"/>
        <v>140</v>
      </c>
      <c r="G3029">
        <f t="shared" si="380"/>
        <v>77.475728155339809</v>
      </c>
      <c r="H3029" t="str">
        <f>_xlfn.XLOOKUP(A3029,Fact_Events!$D$2:$D$20,Fact_Events!$A$2:$A$20, "")</f>
        <v/>
      </c>
      <c r="I3029">
        <f t="shared" si="381"/>
        <v>0</v>
      </c>
      <c r="J3029" t="str">
        <f>_xlfn.XLOOKUP(H3029, Fact_Events!$A$2:$A$20, Fact_Events!$F$2:$F$20, "")</f>
        <v/>
      </c>
      <c r="K3029" t="str">
        <f t="shared" si="382"/>
        <v>Low</v>
      </c>
      <c r="L3029">
        <f t="shared" si="383"/>
        <v>0.55000000000000004</v>
      </c>
      <c r="M3029">
        <f>_xlfn.XLOOKUP(B3029, Dim_Hotel!$A$2:$A$11, Dim_Hotel!$I$2:$I$11)
 + (IF(J3029="",0,J3029)
    * _xlfn.XLOOKUP(B3029, Dim_Hotel!$A$2:$A$11, Dim_Hotel!$J$2:$J$11))</f>
        <v>140</v>
      </c>
    </row>
    <row r="3030" spans="1:13" x14ac:dyDescent="0.25">
      <c r="A3030" s="1">
        <f t="shared" si="376"/>
        <v>46325</v>
      </c>
      <c r="B3030" t="str" cm="1">
        <f t="array" ref="B3030">INDEX(HotelList,MOD(ROW()-2,10)+1)</f>
        <v>H009</v>
      </c>
      <c r="C3030">
        <f>_xlfn.XLOOKUP(B3030,Dim_Hotel!$A$2:$A$11,Dim_Hotel!$F$2:$F$11)</f>
        <v>114</v>
      </c>
      <c r="D3030">
        <f t="shared" si="377"/>
        <v>63</v>
      </c>
      <c r="E3030">
        <f t="shared" si="378"/>
        <v>0.55263157894736847</v>
      </c>
      <c r="F3030">
        <f t="shared" si="379"/>
        <v>185</v>
      </c>
      <c r="G3030">
        <f t="shared" si="380"/>
        <v>102.23684210526316</v>
      </c>
      <c r="H3030" t="str">
        <f>_xlfn.XLOOKUP(A3030,Fact_Events!$D$2:$D$20,Fact_Events!$A$2:$A$20, "")</f>
        <v/>
      </c>
      <c r="I3030">
        <f t="shared" si="381"/>
        <v>0</v>
      </c>
      <c r="J3030" t="str">
        <f>_xlfn.XLOOKUP(H3030, Fact_Events!$A$2:$A$20, Fact_Events!$F$2:$F$20, "")</f>
        <v/>
      </c>
      <c r="K3030" t="str">
        <f t="shared" si="382"/>
        <v>Low</v>
      </c>
      <c r="L3030">
        <f t="shared" si="383"/>
        <v>0.55000000000000004</v>
      </c>
      <c r="M3030">
        <f>_xlfn.XLOOKUP(B3030, Dim_Hotel!$A$2:$A$11, Dim_Hotel!$I$2:$I$11)
 + (IF(J3030="",0,J3030)
    * _xlfn.XLOOKUP(B3030, Dim_Hotel!$A$2:$A$11, Dim_Hotel!$J$2:$J$11))</f>
        <v>185</v>
      </c>
    </row>
    <row r="3031" spans="1:13" x14ac:dyDescent="0.25">
      <c r="A3031" s="1">
        <f t="shared" si="376"/>
        <v>46325</v>
      </c>
      <c r="B3031" t="str" cm="1">
        <f t="array" ref="B3031">INDEX(HotelList,MOD(ROW()-2,10)+1)</f>
        <v>H010</v>
      </c>
      <c r="C3031">
        <f>_xlfn.XLOOKUP(B3031,Dim_Hotel!$A$2:$A$11,Dim_Hotel!$F$2:$F$11)</f>
        <v>89</v>
      </c>
      <c r="D3031">
        <f t="shared" si="377"/>
        <v>49</v>
      </c>
      <c r="E3031">
        <f t="shared" si="378"/>
        <v>0.550561797752809</v>
      </c>
      <c r="F3031">
        <f t="shared" si="379"/>
        <v>150</v>
      </c>
      <c r="G3031">
        <f t="shared" si="380"/>
        <v>82.584269662921344</v>
      </c>
      <c r="H3031" t="str">
        <f>_xlfn.XLOOKUP(A3031,Fact_Events!$D$2:$D$20,Fact_Events!$A$2:$A$20, "")</f>
        <v/>
      </c>
      <c r="I3031">
        <f t="shared" si="381"/>
        <v>0</v>
      </c>
      <c r="J3031" t="str">
        <f>_xlfn.XLOOKUP(H3031, Fact_Events!$A$2:$A$20, Fact_Events!$F$2:$F$20, "")</f>
        <v/>
      </c>
      <c r="K3031" t="str">
        <f t="shared" si="382"/>
        <v>Low</v>
      </c>
      <c r="L3031">
        <f t="shared" si="383"/>
        <v>0.55000000000000004</v>
      </c>
      <c r="M3031">
        <f>_xlfn.XLOOKUP(B3031, Dim_Hotel!$A$2:$A$11, Dim_Hotel!$I$2:$I$11)
 + (IF(J3031="",0,J3031)
    * _xlfn.XLOOKUP(B3031, Dim_Hotel!$A$2:$A$11, Dim_Hotel!$J$2:$J$11))</f>
        <v>150</v>
      </c>
    </row>
    <row r="3032" spans="1:13" x14ac:dyDescent="0.25">
      <c r="A3032" s="1">
        <f t="shared" si="376"/>
        <v>46326</v>
      </c>
      <c r="B3032" t="str" cm="1">
        <f t="array" ref="B3032">INDEX(HotelList,MOD(ROW()-2,10)+1)</f>
        <v>H001</v>
      </c>
      <c r="C3032">
        <f>_xlfn.XLOOKUP(B3032,Dim_Hotel!$A$2:$A$11,Dim_Hotel!$F$2:$F$11)</f>
        <v>888</v>
      </c>
      <c r="D3032">
        <f t="shared" si="377"/>
        <v>488</v>
      </c>
      <c r="E3032">
        <f t="shared" si="378"/>
        <v>0.5495495495495496</v>
      </c>
      <c r="F3032">
        <f t="shared" si="379"/>
        <v>260</v>
      </c>
      <c r="G3032">
        <f t="shared" si="380"/>
        <v>142.88288288288288</v>
      </c>
      <c r="H3032" t="str">
        <f>_xlfn.XLOOKUP(A3032,Fact_Events!$D$2:$D$20,Fact_Events!$A$2:$A$20, "")</f>
        <v/>
      </c>
      <c r="I3032">
        <f t="shared" si="381"/>
        <v>0</v>
      </c>
      <c r="J3032" t="str">
        <f>_xlfn.XLOOKUP(H3032, Fact_Events!$A$2:$A$20, Fact_Events!$F$2:$F$20, "")</f>
        <v/>
      </c>
      <c r="K3032" t="str">
        <f t="shared" si="382"/>
        <v>Low</v>
      </c>
      <c r="L3032">
        <f t="shared" si="383"/>
        <v>0.55000000000000004</v>
      </c>
      <c r="M3032">
        <f>_xlfn.XLOOKUP(B3032, Dim_Hotel!$A$2:$A$11, Dim_Hotel!$I$2:$I$11)
 + (IF(J3032="",0,J3032)
    * _xlfn.XLOOKUP(B3032, Dim_Hotel!$A$2:$A$11, Dim_Hotel!$J$2:$J$11))</f>
        <v>260</v>
      </c>
    </row>
    <row r="3033" spans="1:13" x14ac:dyDescent="0.25">
      <c r="A3033" s="1">
        <f t="shared" si="376"/>
        <v>46326</v>
      </c>
      <c r="B3033" t="str" cm="1">
        <f t="array" ref="B3033">INDEX(HotelList,MOD(ROW()-2,10)+1)</f>
        <v>H002</v>
      </c>
      <c r="C3033">
        <f>_xlfn.XLOOKUP(B3033,Dim_Hotel!$A$2:$A$11,Dim_Hotel!$F$2:$F$11)</f>
        <v>147</v>
      </c>
      <c r="D3033">
        <f t="shared" si="377"/>
        <v>81</v>
      </c>
      <c r="E3033">
        <f t="shared" si="378"/>
        <v>0.55102040816326525</v>
      </c>
      <c r="F3033">
        <f t="shared" si="379"/>
        <v>175</v>
      </c>
      <c r="G3033">
        <f t="shared" si="380"/>
        <v>96.428571428571416</v>
      </c>
      <c r="H3033" t="str">
        <f>_xlfn.XLOOKUP(A3033,Fact_Events!$D$2:$D$20,Fact_Events!$A$2:$A$20, "")</f>
        <v/>
      </c>
      <c r="I3033">
        <f t="shared" si="381"/>
        <v>0</v>
      </c>
      <c r="J3033" t="str">
        <f>_xlfn.XLOOKUP(H3033, Fact_Events!$A$2:$A$20, Fact_Events!$F$2:$F$20, "")</f>
        <v/>
      </c>
      <c r="K3033" t="str">
        <f t="shared" si="382"/>
        <v>Low</v>
      </c>
      <c r="L3033">
        <f t="shared" si="383"/>
        <v>0.55000000000000004</v>
      </c>
      <c r="M3033">
        <f>_xlfn.XLOOKUP(B3033, Dim_Hotel!$A$2:$A$11, Dim_Hotel!$I$2:$I$11)
 + (IF(J3033="",0,J3033)
    * _xlfn.XLOOKUP(B3033, Dim_Hotel!$A$2:$A$11, Dim_Hotel!$J$2:$J$11))</f>
        <v>175</v>
      </c>
    </row>
    <row r="3034" spans="1:13" x14ac:dyDescent="0.25">
      <c r="A3034" s="1">
        <f t="shared" si="376"/>
        <v>46326</v>
      </c>
      <c r="B3034" t="str" cm="1">
        <f t="array" ref="B3034">INDEX(HotelList,MOD(ROW()-2,10)+1)</f>
        <v>H003</v>
      </c>
      <c r="C3034">
        <f>_xlfn.XLOOKUP(B3034,Dim_Hotel!$A$2:$A$11,Dim_Hotel!$F$2:$F$11)</f>
        <v>121</v>
      </c>
      <c r="D3034">
        <f t="shared" si="377"/>
        <v>67</v>
      </c>
      <c r="E3034">
        <f t="shared" si="378"/>
        <v>0.55371900826446285</v>
      </c>
      <c r="F3034">
        <f t="shared" si="379"/>
        <v>145</v>
      </c>
      <c r="G3034">
        <f t="shared" si="380"/>
        <v>80.289256198347118</v>
      </c>
      <c r="H3034" t="str">
        <f>_xlfn.XLOOKUP(A3034,Fact_Events!$D$2:$D$20,Fact_Events!$A$2:$A$20, "")</f>
        <v/>
      </c>
      <c r="I3034">
        <f t="shared" si="381"/>
        <v>0</v>
      </c>
      <c r="J3034" t="str">
        <f>_xlfn.XLOOKUP(H3034, Fact_Events!$A$2:$A$20, Fact_Events!$F$2:$F$20, "")</f>
        <v/>
      </c>
      <c r="K3034" t="str">
        <f t="shared" si="382"/>
        <v>Low</v>
      </c>
      <c r="L3034">
        <f t="shared" si="383"/>
        <v>0.55000000000000004</v>
      </c>
      <c r="M3034">
        <f>_xlfn.XLOOKUP(B3034, Dim_Hotel!$A$2:$A$11, Dim_Hotel!$I$2:$I$11)
 + (IF(J3034="",0,J3034)
    * _xlfn.XLOOKUP(B3034, Dim_Hotel!$A$2:$A$11, Dim_Hotel!$J$2:$J$11))</f>
        <v>145</v>
      </c>
    </row>
    <row r="3035" spans="1:13" x14ac:dyDescent="0.25">
      <c r="A3035" s="1">
        <f t="shared" si="376"/>
        <v>46326</v>
      </c>
      <c r="B3035" t="str" cm="1">
        <f t="array" ref="B3035">INDEX(HotelList,MOD(ROW()-2,10)+1)</f>
        <v>H004</v>
      </c>
      <c r="C3035">
        <f>_xlfn.XLOOKUP(B3035,Dim_Hotel!$A$2:$A$11,Dim_Hotel!$F$2:$F$11)</f>
        <v>108</v>
      </c>
      <c r="D3035">
        <f t="shared" si="377"/>
        <v>59</v>
      </c>
      <c r="E3035">
        <f t="shared" si="378"/>
        <v>0.54629629629629628</v>
      </c>
      <c r="F3035">
        <f t="shared" si="379"/>
        <v>135</v>
      </c>
      <c r="G3035">
        <f t="shared" si="380"/>
        <v>73.75</v>
      </c>
      <c r="H3035" t="str">
        <f>_xlfn.XLOOKUP(A3035,Fact_Events!$D$2:$D$20,Fact_Events!$A$2:$A$20, "")</f>
        <v/>
      </c>
      <c r="I3035">
        <f t="shared" si="381"/>
        <v>0</v>
      </c>
      <c r="J3035" t="str">
        <f>_xlfn.XLOOKUP(H3035, Fact_Events!$A$2:$A$20, Fact_Events!$F$2:$F$20, "")</f>
        <v/>
      </c>
      <c r="K3035" t="str">
        <f t="shared" si="382"/>
        <v>Low</v>
      </c>
      <c r="L3035">
        <f t="shared" si="383"/>
        <v>0.55000000000000004</v>
      </c>
      <c r="M3035">
        <f>_xlfn.XLOOKUP(B3035, Dim_Hotel!$A$2:$A$11, Dim_Hotel!$I$2:$I$11)
 + (IF(J3035="",0,J3035)
    * _xlfn.XLOOKUP(B3035, Dim_Hotel!$A$2:$A$11, Dim_Hotel!$J$2:$J$11))</f>
        <v>135</v>
      </c>
    </row>
    <row r="3036" spans="1:13" x14ac:dyDescent="0.25">
      <c r="A3036" s="1">
        <f t="shared" si="376"/>
        <v>46326</v>
      </c>
      <c r="B3036" t="str" cm="1">
        <f t="array" ref="B3036">INDEX(HotelList,MOD(ROW()-2,10)+1)</f>
        <v>H005</v>
      </c>
      <c r="C3036">
        <f>_xlfn.XLOOKUP(B3036,Dim_Hotel!$A$2:$A$11,Dim_Hotel!$F$2:$F$11)</f>
        <v>66</v>
      </c>
      <c r="D3036">
        <f t="shared" si="377"/>
        <v>36</v>
      </c>
      <c r="E3036">
        <f t="shared" si="378"/>
        <v>0.54545454545454541</v>
      </c>
      <c r="F3036">
        <f t="shared" si="379"/>
        <v>82</v>
      </c>
      <c r="G3036">
        <f t="shared" si="380"/>
        <v>44.727272727272727</v>
      </c>
      <c r="H3036" t="str">
        <f>_xlfn.XLOOKUP(A3036,Fact_Events!$D$2:$D$20,Fact_Events!$A$2:$A$20, "")</f>
        <v/>
      </c>
      <c r="I3036">
        <f t="shared" si="381"/>
        <v>0</v>
      </c>
      <c r="J3036" t="str">
        <f>_xlfn.XLOOKUP(H3036, Fact_Events!$A$2:$A$20, Fact_Events!$F$2:$F$20, "")</f>
        <v/>
      </c>
      <c r="K3036" t="str">
        <f t="shared" si="382"/>
        <v>Low</v>
      </c>
      <c r="L3036">
        <f t="shared" si="383"/>
        <v>0.55000000000000004</v>
      </c>
      <c r="M3036">
        <f>_xlfn.XLOOKUP(B3036, Dim_Hotel!$A$2:$A$11, Dim_Hotel!$I$2:$I$11)
 + (IF(J3036="",0,J3036)
    * _xlfn.XLOOKUP(B3036, Dim_Hotel!$A$2:$A$11, Dim_Hotel!$J$2:$J$11))</f>
        <v>82</v>
      </c>
    </row>
    <row r="3037" spans="1:13" x14ac:dyDescent="0.25">
      <c r="A3037" s="1">
        <f t="shared" si="376"/>
        <v>46326</v>
      </c>
      <c r="B3037" t="str" cm="1">
        <f t="array" ref="B3037">INDEX(HotelList,MOD(ROW()-2,10)+1)</f>
        <v>H006</v>
      </c>
      <c r="C3037">
        <f>_xlfn.XLOOKUP(B3037,Dim_Hotel!$A$2:$A$11,Dim_Hotel!$F$2:$F$11)</f>
        <v>311</v>
      </c>
      <c r="D3037">
        <f t="shared" si="377"/>
        <v>171</v>
      </c>
      <c r="E3037">
        <f t="shared" si="378"/>
        <v>0.54983922829581988</v>
      </c>
      <c r="F3037">
        <f t="shared" si="379"/>
        <v>190</v>
      </c>
      <c r="G3037">
        <f t="shared" si="380"/>
        <v>104.46945337620578</v>
      </c>
      <c r="H3037" t="str">
        <f>_xlfn.XLOOKUP(A3037,Fact_Events!$D$2:$D$20,Fact_Events!$A$2:$A$20, "")</f>
        <v/>
      </c>
      <c r="I3037">
        <f t="shared" si="381"/>
        <v>0</v>
      </c>
      <c r="J3037" t="str">
        <f>_xlfn.XLOOKUP(H3037, Fact_Events!$A$2:$A$20, Fact_Events!$F$2:$F$20, "")</f>
        <v/>
      </c>
      <c r="K3037" t="str">
        <f t="shared" si="382"/>
        <v>Low</v>
      </c>
      <c r="L3037">
        <f t="shared" si="383"/>
        <v>0.55000000000000004</v>
      </c>
      <c r="M3037">
        <f>_xlfn.XLOOKUP(B3037, Dim_Hotel!$A$2:$A$11, Dim_Hotel!$I$2:$I$11)
 + (IF(J3037="",0,J3037)
    * _xlfn.XLOOKUP(B3037, Dim_Hotel!$A$2:$A$11, Dim_Hotel!$J$2:$J$11))</f>
        <v>190</v>
      </c>
    </row>
    <row r="3038" spans="1:13" x14ac:dyDescent="0.25">
      <c r="A3038" s="1">
        <f t="shared" si="376"/>
        <v>46326</v>
      </c>
      <c r="B3038" t="str" cm="1">
        <f t="array" ref="B3038">INDEX(HotelList,MOD(ROW()-2,10)+1)</f>
        <v>H007</v>
      </c>
      <c r="C3038">
        <f>_xlfn.XLOOKUP(B3038,Dim_Hotel!$A$2:$A$11,Dim_Hotel!$F$2:$F$11)</f>
        <v>132</v>
      </c>
      <c r="D3038">
        <f t="shared" si="377"/>
        <v>73</v>
      </c>
      <c r="E3038">
        <f t="shared" si="378"/>
        <v>0.55303030303030298</v>
      </c>
      <c r="F3038">
        <f t="shared" si="379"/>
        <v>165</v>
      </c>
      <c r="G3038">
        <f t="shared" si="380"/>
        <v>91.249999999999986</v>
      </c>
      <c r="H3038" t="str">
        <f>_xlfn.XLOOKUP(A3038,Fact_Events!$D$2:$D$20,Fact_Events!$A$2:$A$20, "")</f>
        <v/>
      </c>
      <c r="I3038">
        <f t="shared" si="381"/>
        <v>0</v>
      </c>
      <c r="J3038" t="str">
        <f>_xlfn.XLOOKUP(H3038, Fact_Events!$A$2:$A$20, Fact_Events!$F$2:$F$20, "")</f>
        <v/>
      </c>
      <c r="K3038" t="str">
        <f t="shared" si="382"/>
        <v>Low</v>
      </c>
      <c r="L3038">
        <f t="shared" si="383"/>
        <v>0.55000000000000004</v>
      </c>
      <c r="M3038">
        <f>_xlfn.XLOOKUP(B3038, Dim_Hotel!$A$2:$A$11, Dim_Hotel!$I$2:$I$11)
 + (IF(J3038="",0,J3038)
    * _xlfn.XLOOKUP(B3038, Dim_Hotel!$A$2:$A$11, Dim_Hotel!$J$2:$J$11))</f>
        <v>165</v>
      </c>
    </row>
    <row r="3039" spans="1:13" x14ac:dyDescent="0.25">
      <c r="A3039" s="1">
        <f t="shared" si="376"/>
        <v>46326</v>
      </c>
      <c r="B3039" t="str" cm="1">
        <f t="array" ref="B3039">INDEX(HotelList,MOD(ROW()-2,10)+1)</f>
        <v>H008</v>
      </c>
      <c r="C3039">
        <f>_xlfn.XLOOKUP(B3039,Dim_Hotel!$A$2:$A$11,Dim_Hotel!$F$2:$F$11)</f>
        <v>103</v>
      </c>
      <c r="D3039">
        <f t="shared" si="377"/>
        <v>57</v>
      </c>
      <c r="E3039">
        <f t="shared" si="378"/>
        <v>0.55339805825242716</v>
      </c>
      <c r="F3039">
        <f t="shared" si="379"/>
        <v>140</v>
      </c>
      <c r="G3039">
        <f t="shared" si="380"/>
        <v>77.475728155339809</v>
      </c>
      <c r="H3039" t="str">
        <f>_xlfn.XLOOKUP(A3039,Fact_Events!$D$2:$D$20,Fact_Events!$A$2:$A$20, "")</f>
        <v/>
      </c>
      <c r="I3039">
        <f t="shared" si="381"/>
        <v>0</v>
      </c>
      <c r="J3039" t="str">
        <f>_xlfn.XLOOKUP(H3039, Fact_Events!$A$2:$A$20, Fact_Events!$F$2:$F$20, "")</f>
        <v/>
      </c>
      <c r="K3039" t="str">
        <f t="shared" si="382"/>
        <v>Low</v>
      </c>
      <c r="L3039">
        <f t="shared" si="383"/>
        <v>0.55000000000000004</v>
      </c>
      <c r="M3039">
        <f>_xlfn.XLOOKUP(B3039, Dim_Hotel!$A$2:$A$11, Dim_Hotel!$I$2:$I$11)
 + (IF(J3039="",0,J3039)
    * _xlfn.XLOOKUP(B3039, Dim_Hotel!$A$2:$A$11, Dim_Hotel!$J$2:$J$11))</f>
        <v>140</v>
      </c>
    </row>
    <row r="3040" spans="1:13" x14ac:dyDescent="0.25">
      <c r="A3040" s="1">
        <f t="shared" si="376"/>
        <v>46326</v>
      </c>
      <c r="B3040" t="str" cm="1">
        <f t="array" ref="B3040">INDEX(HotelList,MOD(ROW()-2,10)+1)</f>
        <v>H009</v>
      </c>
      <c r="C3040">
        <f>_xlfn.XLOOKUP(B3040,Dim_Hotel!$A$2:$A$11,Dim_Hotel!$F$2:$F$11)</f>
        <v>114</v>
      </c>
      <c r="D3040">
        <f t="shared" si="377"/>
        <v>63</v>
      </c>
      <c r="E3040">
        <f t="shared" si="378"/>
        <v>0.55263157894736847</v>
      </c>
      <c r="F3040">
        <f t="shared" si="379"/>
        <v>185</v>
      </c>
      <c r="G3040">
        <f t="shared" si="380"/>
        <v>102.23684210526316</v>
      </c>
      <c r="H3040" t="str">
        <f>_xlfn.XLOOKUP(A3040,Fact_Events!$D$2:$D$20,Fact_Events!$A$2:$A$20, "")</f>
        <v/>
      </c>
      <c r="I3040">
        <f t="shared" si="381"/>
        <v>0</v>
      </c>
      <c r="J3040" t="str">
        <f>_xlfn.XLOOKUP(H3040, Fact_Events!$A$2:$A$20, Fact_Events!$F$2:$F$20, "")</f>
        <v/>
      </c>
      <c r="K3040" t="str">
        <f t="shared" si="382"/>
        <v>Low</v>
      </c>
      <c r="L3040">
        <f t="shared" si="383"/>
        <v>0.55000000000000004</v>
      </c>
      <c r="M3040">
        <f>_xlfn.XLOOKUP(B3040, Dim_Hotel!$A$2:$A$11, Dim_Hotel!$I$2:$I$11)
 + (IF(J3040="",0,J3040)
    * _xlfn.XLOOKUP(B3040, Dim_Hotel!$A$2:$A$11, Dim_Hotel!$J$2:$J$11))</f>
        <v>185</v>
      </c>
    </row>
    <row r="3041" spans="1:13" x14ac:dyDescent="0.25">
      <c r="A3041" s="1">
        <f t="shared" si="376"/>
        <v>46326</v>
      </c>
      <c r="B3041" t="str" cm="1">
        <f t="array" ref="B3041">INDEX(HotelList,MOD(ROW()-2,10)+1)</f>
        <v>H010</v>
      </c>
      <c r="C3041">
        <f>_xlfn.XLOOKUP(B3041,Dim_Hotel!$A$2:$A$11,Dim_Hotel!$F$2:$F$11)</f>
        <v>89</v>
      </c>
      <c r="D3041">
        <f t="shared" si="377"/>
        <v>49</v>
      </c>
      <c r="E3041">
        <f t="shared" si="378"/>
        <v>0.550561797752809</v>
      </c>
      <c r="F3041">
        <f t="shared" si="379"/>
        <v>150</v>
      </c>
      <c r="G3041">
        <f t="shared" si="380"/>
        <v>82.584269662921344</v>
      </c>
      <c r="H3041" t="str">
        <f>_xlfn.XLOOKUP(A3041,Fact_Events!$D$2:$D$20,Fact_Events!$A$2:$A$20, "")</f>
        <v/>
      </c>
      <c r="I3041">
        <f t="shared" si="381"/>
        <v>0</v>
      </c>
      <c r="J3041" t="str">
        <f>_xlfn.XLOOKUP(H3041, Fact_Events!$A$2:$A$20, Fact_Events!$F$2:$F$20, "")</f>
        <v/>
      </c>
      <c r="K3041" t="str">
        <f t="shared" si="382"/>
        <v>Low</v>
      </c>
      <c r="L3041">
        <f t="shared" si="383"/>
        <v>0.55000000000000004</v>
      </c>
      <c r="M3041">
        <f>_xlfn.XLOOKUP(B3041, Dim_Hotel!$A$2:$A$11, Dim_Hotel!$I$2:$I$11)
 + (IF(J3041="",0,J3041)
    * _xlfn.XLOOKUP(B3041, Dim_Hotel!$A$2:$A$11, Dim_Hotel!$J$2:$J$11))</f>
        <v>150</v>
      </c>
    </row>
    <row r="3042" spans="1:13" x14ac:dyDescent="0.25">
      <c r="A3042" s="1">
        <f t="shared" si="376"/>
        <v>46327</v>
      </c>
      <c r="B3042" t="str" cm="1">
        <f t="array" ref="B3042">INDEX(HotelList,MOD(ROW()-2,10)+1)</f>
        <v>H001</v>
      </c>
      <c r="C3042">
        <f>_xlfn.XLOOKUP(B3042,Dim_Hotel!$A$2:$A$11,Dim_Hotel!$F$2:$F$11)</f>
        <v>888</v>
      </c>
      <c r="D3042">
        <f t="shared" si="377"/>
        <v>488</v>
      </c>
      <c r="E3042">
        <f t="shared" si="378"/>
        <v>0.5495495495495496</v>
      </c>
      <c r="F3042">
        <f t="shared" si="379"/>
        <v>260</v>
      </c>
      <c r="G3042">
        <f t="shared" si="380"/>
        <v>142.88288288288288</v>
      </c>
      <c r="H3042" t="str">
        <f>_xlfn.XLOOKUP(A3042,Fact_Events!$D$2:$D$20,Fact_Events!$A$2:$A$20, "")</f>
        <v/>
      </c>
      <c r="I3042">
        <f t="shared" si="381"/>
        <v>0</v>
      </c>
      <c r="J3042" t="str">
        <f>_xlfn.XLOOKUP(H3042, Fact_Events!$A$2:$A$20, Fact_Events!$F$2:$F$20, "")</f>
        <v/>
      </c>
      <c r="K3042" t="str">
        <f t="shared" si="382"/>
        <v>Low</v>
      </c>
      <c r="L3042">
        <f t="shared" si="383"/>
        <v>0.55000000000000004</v>
      </c>
      <c r="M3042">
        <f>_xlfn.XLOOKUP(B3042, Dim_Hotel!$A$2:$A$11, Dim_Hotel!$I$2:$I$11)
 + (IF(J3042="",0,J3042)
    * _xlfn.XLOOKUP(B3042, Dim_Hotel!$A$2:$A$11, Dim_Hotel!$J$2:$J$11))</f>
        <v>260</v>
      </c>
    </row>
    <row r="3043" spans="1:13" x14ac:dyDescent="0.25">
      <c r="A3043" s="1">
        <f t="shared" si="376"/>
        <v>46327</v>
      </c>
      <c r="B3043" t="str" cm="1">
        <f t="array" ref="B3043">INDEX(HotelList,MOD(ROW()-2,10)+1)</f>
        <v>H002</v>
      </c>
      <c r="C3043">
        <f>_xlfn.XLOOKUP(B3043,Dim_Hotel!$A$2:$A$11,Dim_Hotel!$F$2:$F$11)</f>
        <v>147</v>
      </c>
      <c r="D3043">
        <f t="shared" si="377"/>
        <v>81</v>
      </c>
      <c r="E3043">
        <f t="shared" si="378"/>
        <v>0.55102040816326525</v>
      </c>
      <c r="F3043">
        <f t="shared" si="379"/>
        <v>175</v>
      </c>
      <c r="G3043">
        <f t="shared" si="380"/>
        <v>96.428571428571416</v>
      </c>
      <c r="H3043" t="str">
        <f>_xlfn.XLOOKUP(A3043,Fact_Events!$D$2:$D$20,Fact_Events!$A$2:$A$20, "")</f>
        <v/>
      </c>
      <c r="I3043">
        <f t="shared" si="381"/>
        <v>0</v>
      </c>
      <c r="J3043" t="str">
        <f>_xlfn.XLOOKUP(H3043, Fact_Events!$A$2:$A$20, Fact_Events!$F$2:$F$20, "")</f>
        <v/>
      </c>
      <c r="K3043" t="str">
        <f t="shared" si="382"/>
        <v>Low</v>
      </c>
      <c r="L3043">
        <f t="shared" si="383"/>
        <v>0.55000000000000004</v>
      </c>
      <c r="M3043">
        <f>_xlfn.XLOOKUP(B3043, Dim_Hotel!$A$2:$A$11, Dim_Hotel!$I$2:$I$11)
 + (IF(J3043="",0,J3043)
    * _xlfn.XLOOKUP(B3043, Dim_Hotel!$A$2:$A$11, Dim_Hotel!$J$2:$J$11))</f>
        <v>175</v>
      </c>
    </row>
    <row r="3044" spans="1:13" x14ac:dyDescent="0.25">
      <c r="A3044" s="1">
        <f t="shared" si="376"/>
        <v>46327</v>
      </c>
      <c r="B3044" t="str" cm="1">
        <f t="array" ref="B3044">INDEX(HotelList,MOD(ROW()-2,10)+1)</f>
        <v>H003</v>
      </c>
      <c r="C3044">
        <f>_xlfn.XLOOKUP(B3044,Dim_Hotel!$A$2:$A$11,Dim_Hotel!$F$2:$F$11)</f>
        <v>121</v>
      </c>
      <c r="D3044">
        <f t="shared" si="377"/>
        <v>67</v>
      </c>
      <c r="E3044">
        <f t="shared" si="378"/>
        <v>0.55371900826446285</v>
      </c>
      <c r="F3044">
        <f t="shared" si="379"/>
        <v>145</v>
      </c>
      <c r="G3044">
        <f t="shared" si="380"/>
        <v>80.289256198347118</v>
      </c>
      <c r="H3044" t="str">
        <f>_xlfn.XLOOKUP(A3044,Fact_Events!$D$2:$D$20,Fact_Events!$A$2:$A$20, "")</f>
        <v/>
      </c>
      <c r="I3044">
        <f t="shared" si="381"/>
        <v>0</v>
      </c>
      <c r="J3044" t="str">
        <f>_xlfn.XLOOKUP(H3044, Fact_Events!$A$2:$A$20, Fact_Events!$F$2:$F$20, "")</f>
        <v/>
      </c>
      <c r="K3044" t="str">
        <f t="shared" si="382"/>
        <v>Low</v>
      </c>
      <c r="L3044">
        <f t="shared" si="383"/>
        <v>0.55000000000000004</v>
      </c>
      <c r="M3044">
        <f>_xlfn.XLOOKUP(B3044, Dim_Hotel!$A$2:$A$11, Dim_Hotel!$I$2:$I$11)
 + (IF(J3044="",0,J3044)
    * _xlfn.XLOOKUP(B3044, Dim_Hotel!$A$2:$A$11, Dim_Hotel!$J$2:$J$11))</f>
        <v>145</v>
      </c>
    </row>
    <row r="3045" spans="1:13" x14ac:dyDescent="0.25">
      <c r="A3045" s="1">
        <f t="shared" si="376"/>
        <v>46327</v>
      </c>
      <c r="B3045" t="str" cm="1">
        <f t="array" ref="B3045">INDEX(HotelList,MOD(ROW()-2,10)+1)</f>
        <v>H004</v>
      </c>
      <c r="C3045">
        <f>_xlfn.XLOOKUP(B3045,Dim_Hotel!$A$2:$A$11,Dim_Hotel!$F$2:$F$11)</f>
        <v>108</v>
      </c>
      <c r="D3045">
        <f t="shared" si="377"/>
        <v>59</v>
      </c>
      <c r="E3045">
        <f t="shared" si="378"/>
        <v>0.54629629629629628</v>
      </c>
      <c r="F3045">
        <f t="shared" si="379"/>
        <v>135</v>
      </c>
      <c r="G3045">
        <f t="shared" si="380"/>
        <v>73.75</v>
      </c>
      <c r="H3045" t="str">
        <f>_xlfn.XLOOKUP(A3045,Fact_Events!$D$2:$D$20,Fact_Events!$A$2:$A$20, "")</f>
        <v/>
      </c>
      <c r="I3045">
        <f t="shared" si="381"/>
        <v>0</v>
      </c>
      <c r="J3045" t="str">
        <f>_xlfn.XLOOKUP(H3045, Fact_Events!$A$2:$A$20, Fact_Events!$F$2:$F$20, "")</f>
        <v/>
      </c>
      <c r="K3045" t="str">
        <f t="shared" si="382"/>
        <v>Low</v>
      </c>
      <c r="L3045">
        <f t="shared" si="383"/>
        <v>0.55000000000000004</v>
      </c>
      <c r="M3045">
        <f>_xlfn.XLOOKUP(B3045, Dim_Hotel!$A$2:$A$11, Dim_Hotel!$I$2:$I$11)
 + (IF(J3045="",0,J3045)
    * _xlfn.XLOOKUP(B3045, Dim_Hotel!$A$2:$A$11, Dim_Hotel!$J$2:$J$11))</f>
        <v>135</v>
      </c>
    </row>
    <row r="3046" spans="1:13" x14ac:dyDescent="0.25">
      <c r="A3046" s="1">
        <f t="shared" si="376"/>
        <v>46327</v>
      </c>
      <c r="B3046" t="str" cm="1">
        <f t="array" ref="B3046">INDEX(HotelList,MOD(ROW()-2,10)+1)</f>
        <v>H005</v>
      </c>
      <c r="C3046">
        <f>_xlfn.XLOOKUP(B3046,Dim_Hotel!$A$2:$A$11,Dim_Hotel!$F$2:$F$11)</f>
        <v>66</v>
      </c>
      <c r="D3046">
        <f t="shared" si="377"/>
        <v>36</v>
      </c>
      <c r="E3046">
        <f t="shared" si="378"/>
        <v>0.54545454545454541</v>
      </c>
      <c r="F3046">
        <f t="shared" si="379"/>
        <v>82</v>
      </c>
      <c r="G3046">
        <f t="shared" si="380"/>
        <v>44.727272727272727</v>
      </c>
      <c r="H3046" t="str">
        <f>_xlfn.XLOOKUP(A3046,Fact_Events!$D$2:$D$20,Fact_Events!$A$2:$A$20, "")</f>
        <v/>
      </c>
      <c r="I3046">
        <f t="shared" si="381"/>
        <v>0</v>
      </c>
      <c r="J3046" t="str">
        <f>_xlfn.XLOOKUP(H3046, Fact_Events!$A$2:$A$20, Fact_Events!$F$2:$F$20, "")</f>
        <v/>
      </c>
      <c r="K3046" t="str">
        <f t="shared" si="382"/>
        <v>Low</v>
      </c>
      <c r="L3046">
        <f t="shared" si="383"/>
        <v>0.55000000000000004</v>
      </c>
      <c r="M3046">
        <f>_xlfn.XLOOKUP(B3046, Dim_Hotel!$A$2:$A$11, Dim_Hotel!$I$2:$I$11)
 + (IF(J3046="",0,J3046)
    * _xlfn.XLOOKUP(B3046, Dim_Hotel!$A$2:$A$11, Dim_Hotel!$J$2:$J$11))</f>
        <v>82</v>
      </c>
    </row>
    <row r="3047" spans="1:13" x14ac:dyDescent="0.25">
      <c r="A3047" s="1">
        <f t="shared" si="376"/>
        <v>46327</v>
      </c>
      <c r="B3047" t="str" cm="1">
        <f t="array" ref="B3047">INDEX(HotelList,MOD(ROW()-2,10)+1)</f>
        <v>H006</v>
      </c>
      <c r="C3047">
        <f>_xlfn.XLOOKUP(B3047,Dim_Hotel!$A$2:$A$11,Dim_Hotel!$F$2:$F$11)</f>
        <v>311</v>
      </c>
      <c r="D3047">
        <f t="shared" si="377"/>
        <v>171</v>
      </c>
      <c r="E3047">
        <f t="shared" si="378"/>
        <v>0.54983922829581988</v>
      </c>
      <c r="F3047">
        <f t="shared" si="379"/>
        <v>190</v>
      </c>
      <c r="G3047">
        <f t="shared" si="380"/>
        <v>104.46945337620578</v>
      </c>
      <c r="H3047" t="str">
        <f>_xlfn.XLOOKUP(A3047,Fact_Events!$D$2:$D$20,Fact_Events!$A$2:$A$20, "")</f>
        <v/>
      </c>
      <c r="I3047">
        <f t="shared" si="381"/>
        <v>0</v>
      </c>
      <c r="J3047" t="str">
        <f>_xlfn.XLOOKUP(H3047, Fact_Events!$A$2:$A$20, Fact_Events!$F$2:$F$20, "")</f>
        <v/>
      </c>
      <c r="K3047" t="str">
        <f t="shared" si="382"/>
        <v>Low</v>
      </c>
      <c r="L3047">
        <f t="shared" si="383"/>
        <v>0.55000000000000004</v>
      </c>
      <c r="M3047">
        <f>_xlfn.XLOOKUP(B3047, Dim_Hotel!$A$2:$A$11, Dim_Hotel!$I$2:$I$11)
 + (IF(J3047="",0,J3047)
    * _xlfn.XLOOKUP(B3047, Dim_Hotel!$A$2:$A$11, Dim_Hotel!$J$2:$J$11))</f>
        <v>190</v>
      </c>
    </row>
    <row r="3048" spans="1:13" x14ac:dyDescent="0.25">
      <c r="A3048" s="1">
        <f t="shared" si="376"/>
        <v>46327</v>
      </c>
      <c r="B3048" t="str" cm="1">
        <f t="array" ref="B3048">INDEX(HotelList,MOD(ROW()-2,10)+1)</f>
        <v>H007</v>
      </c>
      <c r="C3048">
        <f>_xlfn.XLOOKUP(B3048,Dim_Hotel!$A$2:$A$11,Dim_Hotel!$F$2:$F$11)</f>
        <v>132</v>
      </c>
      <c r="D3048">
        <f t="shared" si="377"/>
        <v>73</v>
      </c>
      <c r="E3048">
        <f t="shared" si="378"/>
        <v>0.55303030303030298</v>
      </c>
      <c r="F3048">
        <f t="shared" si="379"/>
        <v>165</v>
      </c>
      <c r="G3048">
        <f t="shared" si="380"/>
        <v>91.249999999999986</v>
      </c>
      <c r="H3048" t="str">
        <f>_xlfn.XLOOKUP(A3048,Fact_Events!$D$2:$D$20,Fact_Events!$A$2:$A$20, "")</f>
        <v/>
      </c>
      <c r="I3048">
        <f t="shared" si="381"/>
        <v>0</v>
      </c>
      <c r="J3048" t="str">
        <f>_xlfn.XLOOKUP(H3048, Fact_Events!$A$2:$A$20, Fact_Events!$F$2:$F$20, "")</f>
        <v/>
      </c>
      <c r="K3048" t="str">
        <f t="shared" si="382"/>
        <v>Low</v>
      </c>
      <c r="L3048">
        <f t="shared" si="383"/>
        <v>0.55000000000000004</v>
      </c>
      <c r="M3048">
        <f>_xlfn.XLOOKUP(B3048, Dim_Hotel!$A$2:$A$11, Dim_Hotel!$I$2:$I$11)
 + (IF(J3048="",0,J3048)
    * _xlfn.XLOOKUP(B3048, Dim_Hotel!$A$2:$A$11, Dim_Hotel!$J$2:$J$11))</f>
        <v>165</v>
      </c>
    </row>
    <row r="3049" spans="1:13" x14ac:dyDescent="0.25">
      <c r="A3049" s="1">
        <f t="shared" si="376"/>
        <v>46327</v>
      </c>
      <c r="B3049" t="str" cm="1">
        <f t="array" ref="B3049">INDEX(HotelList,MOD(ROW()-2,10)+1)</f>
        <v>H008</v>
      </c>
      <c r="C3049">
        <f>_xlfn.XLOOKUP(B3049,Dim_Hotel!$A$2:$A$11,Dim_Hotel!$F$2:$F$11)</f>
        <v>103</v>
      </c>
      <c r="D3049">
        <f t="shared" si="377"/>
        <v>57</v>
      </c>
      <c r="E3049">
        <f t="shared" si="378"/>
        <v>0.55339805825242716</v>
      </c>
      <c r="F3049">
        <f t="shared" si="379"/>
        <v>140</v>
      </c>
      <c r="G3049">
        <f t="shared" si="380"/>
        <v>77.475728155339809</v>
      </c>
      <c r="H3049" t="str">
        <f>_xlfn.XLOOKUP(A3049,Fact_Events!$D$2:$D$20,Fact_Events!$A$2:$A$20, "")</f>
        <v/>
      </c>
      <c r="I3049">
        <f t="shared" si="381"/>
        <v>0</v>
      </c>
      <c r="J3049" t="str">
        <f>_xlfn.XLOOKUP(H3049, Fact_Events!$A$2:$A$20, Fact_Events!$F$2:$F$20, "")</f>
        <v/>
      </c>
      <c r="K3049" t="str">
        <f t="shared" si="382"/>
        <v>Low</v>
      </c>
      <c r="L3049">
        <f t="shared" si="383"/>
        <v>0.55000000000000004</v>
      </c>
      <c r="M3049">
        <f>_xlfn.XLOOKUP(B3049, Dim_Hotel!$A$2:$A$11, Dim_Hotel!$I$2:$I$11)
 + (IF(J3049="",0,J3049)
    * _xlfn.XLOOKUP(B3049, Dim_Hotel!$A$2:$A$11, Dim_Hotel!$J$2:$J$11))</f>
        <v>140</v>
      </c>
    </row>
    <row r="3050" spans="1:13" x14ac:dyDescent="0.25">
      <c r="A3050" s="1">
        <f t="shared" si="376"/>
        <v>46327</v>
      </c>
      <c r="B3050" t="str" cm="1">
        <f t="array" ref="B3050">INDEX(HotelList,MOD(ROW()-2,10)+1)</f>
        <v>H009</v>
      </c>
      <c r="C3050">
        <f>_xlfn.XLOOKUP(B3050,Dim_Hotel!$A$2:$A$11,Dim_Hotel!$F$2:$F$11)</f>
        <v>114</v>
      </c>
      <c r="D3050">
        <f t="shared" si="377"/>
        <v>63</v>
      </c>
      <c r="E3050">
        <f t="shared" si="378"/>
        <v>0.55263157894736847</v>
      </c>
      <c r="F3050">
        <f t="shared" si="379"/>
        <v>185</v>
      </c>
      <c r="G3050">
        <f t="shared" si="380"/>
        <v>102.23684210526316</v>
      </c>
      <c r="H3050" t="str">
        <f>_xlfn.XLOOKUP(A3050,Fact_Events!$D$2:$D$20,Fact_Events!$A$2:$A$20, "")</f>
        <v/>
      </c>
      <c r="I3050">
        <f t="shared" si="381"/>
        <v>0</v>
      </c>
      <c r="J3050" t="str">
        <f>_xlfn.XLOOKUP(H3050, Fact_Events!$A$2:$A$20, Fact_Events!$F$2:$F$20, "")</f>
        <v/>
      </c>
      <c r="K3050" t="str">
        <f t="shared" si="382"/>
        <v>Low</v>
      </c>
      <c r="L3050">
        <f t="shared" si="383"/>
        <v>0.55000000000000004</v>
      </c>
      <c r="M3050">
        <f>_xlfn.XLOOKUP(B3050, Dim_Hotel!$A$2:$A$11, Dim_Hotel!$I$2:$I$11)
 + (IF(J3050="",0,J3050)
    * _xlfn.XLOOKUP(B3050, Dim_Hotel!$A$2:$A$11, Dim_Hotel!$J$2:$J$11))</f>
        <v>185</v>
      </c>
    </row>
    <row r="3051" spans="1:13" x14ac:dyDescent="0.25">
      <c r="A3051" s="1">
        <f t="shared" si="376"/>
        <v>46327</v>
      </c>
      <c r="B3051" t="str" cm="1">
        <f t="array" ref="B3051">INDEX(HotelList,MOD(ROW()-2,10)+1)</f>
        <v>H010</v>
      </c>
      <c r="C3051">
        <f>_xlfn.XLOOKUP(B3051,Dim_Hotel!$A$2:$A$11,Dim_Hotel!$F$2:$F$11)</f>
        <v>89</v>
      </c>
      <c r="D3051">
        <f t="shared" si="377"/>
        <v>49</v>
      </c>
      <c r="E3051">
        <f t="shared" si="378"/>
        <v>0.550561797752809</v>
      </c>
      <c r="F3051">
        <f t="shared" si="379"/>
        <v>150</v>
      </c>
      <c r="G3051">
        <f t="shared" si="380"/>
        <v>82.584269662921344</v>
      </c>
      <c r="H3051" t="str">
        <f>_xlfn.XLOOKUP(A3051,Fact_Events!$D$2:$D$20,Fact_Events!$A$2:$A$20, "")</f>
        <v/>
      </c>
      <c r="I3051">
        <f t="shared" si="381"/>
        <v>0</v>
      </c>
      <c r="J3051" t="str">
        <f>_xlfn.XLOOKUP(H3051, Fact_Events!$A$2:$A$20, Fact_Events!$F$2:$F$20, "")</f>
        <v/>
      </c>
      <c r="K3051" t="str">
        <f t="shared" si="382"/>
        <v>Low</v>
      </c>
      <c r="L3051">
        <f t="shared" si="383"/>
        <v>0.55000000000000004</v>
      </c>
      <c r="M3051">
        <f>_xlfn.XLOOKUP(B3051, Dim_Hotel!$A$2:$A$11, Dim_Hotel!$I$2:$I$11)
 + (IF(J3051="",0,J3051)
    * _xlfn.XLOOKUP(B3051, Dim_Hotel!$A$2:$A$11, Dim_Hotel!$J$2:$J$11))</f>
        <v>150</v>
      </c>
    </row>
    <row r="3052" spans="1:13" x14ac:dyDescent="0.25">
      <c r="A3052" s="1">
        <f t="shared" si="376"/>
        <v>46328</v>
      </c>
      <c r="B3052" t="str" cm="1">
        <f t="array" ref="B3052">INDEX(HotelList,MOD(ROW()-2,10)+1)</f>
        <v>H001</v>
      </c>
      <c r="C3052">
        <f>_xlfn.XLOOKUP(B3052,Dim_Hotel!$A$2:$A$11,Dim_Hotel!$F$2:$F$11)</f>
        <v>888</v>
      </c>
      <c r="D3052">
        <f t="shared" si="377"/>
        <v>488</v>
      </c>
      <c r="E3052">
        <f t="shared" si="378"/>
        <v>0.5495495495495496</v>
      </c>
      <c r="F3052">
        <f t="shared" si="379"/>
        <v>260</v>
      </c>
      <c r="G3052">
        <f t="shared" si="380"/>
        <v>142.88288288288288</v>
      </c>
      <c r="H3052" t="str">
        <f>_xlfn.XLOOKUP(A3052,Fact_Events!$D$2:$D$20,Fact_Events!$A$2:$A$20, "")</f>
        <v/>
      </c>
      <c r="I3052">
        <f t="shared" si="381"/>
        <v>0</v>
      </c>
      <c r="J3052" t="str">
        <f>_xlfn.XLOOKUP(H3052, Fact_Events!$A$2:$A$20, Fact_Events!$F$2:$F$20, "")</f>
        <v/>
      </c>
      <c r="K3052" t="str">
        <f t="shared" si="382"/>
        <v>Low</v>
      </c>
      <c r="L3052">
        <f t="shared" si="383"/>
        <v>0.55000000000000004</v>
      </c>
      <c r="M3052">
        <f>_xlfn.XLOOKUP(B3052, Dim_Hotel!$A$2:$A$11, Dim_Hotel!$I$2:$I$11)
 + (IF(J3052="",0,J3052)
    * _xlfn.XLOOKUP(B3052, Dim_Hotel!$A$2:$A$11, Dim_Hotel!$J$2:$J$11))</f>
        <v>260</v>
      </c>
    </row>
    <row r="3053" spans="1:13" x14ac:dyDescent="0.25">
      <c r="A3053" s="1">
        <f t="shared" si="376"/>
        <v>46328</v>
      </c>
      <c r="B3053" t="str" cm="1">
        <f t="array" ref="B3053">INDEX(HotelList,MOD(ROW()-2,10)+1)</f>
        <v>H002</v>
      </c>
      <c r="C3053">
        <f>_xlfn.XLOOKUP(B3053,Dim_Hotel!$A$2:$A$11,Dim_Hotel!$F$2:$F$11)</f>
        <v>147</v>
      </c>
      <c r="D3053">
        <f t="shared" si="377"/>
        <v>81</v>
      </c>
      <c r="E3053">
        <f t="shared" si="378"/>
        <v>0.55102040816326525</v>
      </c>
      <c r="F3053">
        <f t="shared" si="379"/>
        <v>175</v>
      </c>
      <c r="G3053">
        <f t="shared" si="380"/>
        <v>96.428571428571416</v>
      </c>
      <c r="H3053" t="str">
        <f>_xlfn.XLOOKUP(A3053,Fact_Events!$D$2:$D$20,Fact_Events!$A$2:$A$20, "")</f>
        <v/>
      </c>
      <c r="I3053">
        <f t="shared" si="381"/>
        <v>0</v>
      </c>
      <c r="J3053" t="str">
        <f>_xlfn.XLOOKUP(H3053, Fact_Events!$A$2:$A$20, Fact_Events!$F$2:$F$20, "")</f>
        <v/>
      </c>
      <c r="K3053" t="str">
        <f t="shared" si="382"/>
        <v>Low</v>
      </c>
      <c r="L3053">
        <f t="shared" si="383"/>
        <v>0.55000000000000004</v>
      </c>
      <c r="M3053">
        <f>_xlfn.XLOOKUP(B3053, Dim_Hotel!$A$2:$A$11, Dim_Hotel!$I$2:$I$11)
 + (IF(J3053="",0,J3053)
    * _xlfn.XLOOKUP(B3053, Dim_Hotel!$A$2:$A$11, Dim_Hotel!$J$2:$J$11))</f>
        <v>175</v>
      </c>
    </row>
    <row r="3054" spans="1:13" x14ac:dyDescent="0.25">
      <c r="A3054" s="1">
        <f t="shared" si="376"/>
        <v>46328</v>
      </c>
      <c r="B3054" t="str" cm="1">
        <f t="array" ref="B3054">INDEX(HotelList,MOD(ROW()-2,10)+1)</f>
        <v>H003</v>
      </c>
      <c r="C3054">
        <f>_xlfn.XLOOKUP(B3054,Dim_Hotel!$A$2:$A$11,Dim_Hotel!$F$2:$F$11)</f>
        <v>121</v>
      </c>
      <c r="D3054">
        <f t="shared" si="377"/>
        <v>67</v>
      </c>
      <c r="E3054">
        <f t="shared" si="378"/>
        <v>0.55371900826446285</v>
      </c>
      <c r="F3054">
        <f t="shared" si="379"/>
        <v>145</v>
      </c>
      <c r="G3054">
        <f t="shared" si="380"/>
        <v>80.289256198347118</v>
      </c>
      <c r="H3054" t="str">
        <f>_xlfn.XLOOKUP(A3054,Fact_Events!$D$2:$D$20,Fact_Events!$A$2:$A$20, "")</f>
        <v/>
      </c>
      <c r="I3054">
        <f t="shared" si="381"/>
        <v>0</v>
      </c>
      <c r="J3054" t="str">
        <f>_xlfn.XLOOKUP(H3054, Fact_Events!$A$2:$A$20, Fact_Events!$F$2:$F$20, "")</f>
        <v/>
      </c>
      <c r="K3054" t="str">
        <f t="shared" si="382"/>
        <v>Low</v>
      </c>
      <c r="L3054">
        <f t="shared" si="383"/>
        <v>0.55000000000000004</v>
      </c>
      <c r="M3054">
        <f>_xlfn.XLOOKUP(B3054, Dim_Hotel!$A$2:$A$11, Dim_Hotel!$I$2:$I$11)
 + (IF(J3054="",0,J3054)
    * _xlfn.XLOOKUP(B3054, Dim_Hotel!$A$2:$A$11, Dim_Hotel!$J$2:$J$11))</f>
        <v>145</v>
      </c>
    </row>
    <row r="3055" spans="1:13" x14ac:dyDescent="0.25">
      <c r="A3055" s="1">
        <f t="shared" si="376"/>
        <v>46328</v>
      </c>
      <c r="B3055" t="str" cm="1">
        <f t="array" ref="B3055">INDEX(HotelList,MOD(ROW()-2,10)+1)</f>
        <v>H004</v>
      </c>
      <c r="C3055">
        <f>_xlfn.XLOOKUP(B3055,Dim_Hotel!$A$2:$A$11,Dim_Hotel!$F$2:$F$11)</f>
        <v>108</v>
      </c>
      <c r="D3055">
        <f t="shared" si="377"/>
        <v>59</v>
      </c>
      <c r="E3055">
        <f t="shared" si="378"/>
        <v>0.54629629629629628</v>
      </c>
      <c r="F3055">
        <f t="shared" si="379"/>
        <v>135</v>
      </c>
      <c r="G3055">
        <f t="shared" si="380"/>
        <v>73.75</v>
      </c>
      <c r="H3055" t="str">
        <f>_xlfn.XLOOKUP(A3055,Fact_Events!$D$2:$D$20,Fact_Events!$A$2:$A$20, "")</f>
        <v/>
      </c>
      <c r="I3055">
        <f t="shared" si="381"/>
        <v>0</v>
      </c>
      <c r="J3055" t="str">
        <f>_xlfn.XLOOKUP(H3055, Fact_Events!$A$2:$A$20, Fact_Events!$F$2:$F$20, "")</f>
        <v/>
      </c>
      <c r="K3055" t="str">
        <f t="shared" si="382"/>
        <v>Low</v>
      </c>
      <c r="L3055">
        <f t="shared" si="383"/>
        <v>0.55000000000000004</v>
      </c>
      <c r="M3055">
        <f>_xlfn.XLOOKUP(B3055, Dim_Hotel!$A$2:$A$11, Dim_Hotel!$I$2:$I$11)
 + (IF(J3055="",0,J3055)
    * _xlfn.XLOOKUP(B3055, Dim_Hotel!$A$2:$A$11, Dim_Hotel!$J$2:$J$11))</f>
        <v>135</v>
      </c>
    </row>
    <row r="3056" spans="1:13" x14ac:dyDescent="0.25">
      <c r="A3056" s="1">
        <f t="shared" si="376"/>
        <v>46328</v>
      </c>
      <c r="B3056" t="str" cm="1">
        <f t="array" ref="B3056">INDEX(HotelList,MOD(ROW()-2,10)+1)</f>
        <v>H005</v>
      </c>
      <c r="C3056">
        <f>_xlfn.XLOOKUP(B3056,Dim_Hotel!$A$2:$A$11,Dim_Hotel!$F$2:$F$11)</f>
        <v>66</v>
      </c>
      <c r="D3056">
        <f t="shared" si="377"/>
        <v>36</v>
      </c>
      <c r="E3056">
        <f t="shared" si="378"/>
        <v>0.54545454545454541</v>
      </c>
      <c r="F3056">
        <f t="shared" si="379"/>
        <v>82</v>
      </c>
      <c r="G3056">
        <f t="shared" si="380"/>
        <v>44.727272727272727</v>
      </c>
      <c r="H3056" t="str">
        <f>_xlfn.XLOOKUP(A3056,Fact_Events!$D$2:$D$20,Fact_Events!$A$2:$A$20, "")</f>
        <v/>
      </c>
      <c r="I3056">
        <f t="shared" si="381"/>
        <v>0</v>
      </c>
      <c r="J3056" t="str">
        <f>_xlfn.XLOOKUP(H3056, Fact_Events!$A$2:$A$20, Fact_Events!$F$2:$F$20, "")</f>
        <v/>
      </c>
      <c r="K3056" t="str">
        <f t="shared" si="382"/>
        <v>Low</v>
      </c>
      <c r="L3056">
        <f t="shared" si="383"/>
        <v>0.55000000000000004</v>
      </c>
      <c r="M3056">
        <f>_xlfn.XLOOKUP(B3056, Dim_Hotel!$A$2:$A$11, Dim_Hotel!$I$2:$I$11)
 + (IF(J3056="",0,J3056)
    * _xlfn.XLOOKUP(B3056, Dim_Hotel!$A$2:$A$11, Dim_Hotel!$J$2:$J$11))</f>
        <v>82</v>
      </c>
    </row>
    <row r="3057" spans="1:13" x14ac:dyDescent="0.25">
      <c r="A3057" s="1">
        <f t="shared" si="376"/>
        <v>46328</v>
      </c>
      <c r="B3057" t="str" cm="1">
        <f t="array" ref="B3057">INDEX(HotelList,MOD(ROW()-2,10)+1)</f>
        <v>H006</v>
      </c>
      <c r="C3057">
        <f>_xlfn.XLOOKUP(B3057,Dim_Hotel!$A$2:$A$11,Dim_Hotel!$F$2:$F$11)</f>
        <v>311</v>
      </c>
      <c r="D3057">
        <f t="shared" si="377"/>
        <v>171</v>
      </c>
      <c r="E3057">
        <f t="shared" si="378"/>
        <v>0.54983922829581988</v>
      </c>
      <c r="F3057">
        <f t="shared" si="379"/>
        <v>190</v>
      </c>
      <c r="G3057">
        <f t="shared" si="380"/>
        <v>104.46945337620578</v>
      </c>
      <c r="H3057" t="str">
        <f>_xlfn.XLOOKUP(A3057,Fact_Events!$D$2:$D$20,Fact_Events!$A$2:$A$20, "")</f>
        <v/>
      </c>
      <c r="I3057">
        <f t="shared" si="381"/>
        <v>0</v>
      </c>
      <c r="J3057" t="str">
        <f>_xlfn.XLOOKUP(H3057, Fact_Events!$A$2:$A$20, Fact_Events!$F$2:$F$20, "")</f>
        <v/>
      </c>
      <c r="K3057" t="str">
        <f t="shared" si="382"/>
        <v>Low</v>
      </c>
      <c r="L3057">
        <f t="shared" si="383"/>
        <v>0.55000000000000004</v>
      </c>
      <c r="M3057">
        <f>_xlfn.XLOOKUP(B3057, Dim_Hotel!$A$2:$A$11, Dim_Hotel!$I$2:$I$11)
 + (IF(J3057="",0,J3057)
    * _xlfn.XLOOKUP(B3057, Dim_Hotel!$A$2:$A$11, Dim_Hotel!$J$2:$J$11))</f>
        <v>190</v>
      </c>
    </row>
    <row r="3058" spans="1:13" x14ac:dyDescent="0.25">
      <c r="A3058" s="1">
        <f t="shared" si="376"/>
        <v>46328</v>
      </c>
      <c r="B3058" t="str" cm="1">
        <f t="array" ref="B3058">INDEX(HotelList,MOD(ROW()-2,10)+1)</f>
        <v>H007</v>
      </c>
      <c r="C3058">
        <f>_xlfn.XLOOKUP(B3058,Dim_Hotel!$A$2:$A$11,Dim_Hotel!$F$2:$F$11)</f>
        <v>132</v>
      </c>
      <c r="D3058">
        <f t="shared" si="377"/>
        <v>73</v>
      </c>
      <c r="E3058">
        <f t="shared" si="378"/>
        <v>0.55303030303030298</v>
      </c>
      <c r="F3058">
        <f t="shared" si="379"/>
        <v>165</v>
      </c>
      <c r="G3058">
        <f t="shared" si="380"/>
        <v>91.249999999999986</v>
      </c>
      <c r="H3058" t="str">
        <f>_xlfn.XLOOKUP(A3058,Fact_Events!$D$2:$D$20,Fact_Events!$A$2:$A$20, "")</f>
        <v/>
      </c>
      <c r="I3058">
        <f t="shared" si="381"/>
        <v>0</v>
      </c>
      <c r="J3058" t="str">
        <f>_xlfn.XLOOKUP(H3058, Fact_Events!$A$2:$A$20, Fact_Events!$F$2:$F$20, "")</f>
        <v/>
      </c>
      <c r="K3058" t="str">
        <f t="shared" si="382"/>
        <v>Low</v>
      </c>
      <c r="L3058">
        <f t="shared" si="383"/>
        <v>0.55000000000000004</v>
      </c>
      <c r="M3058">
        <f>_xlfn.XLOOKUP(B3058, Dim_Hotel!$A$2:$A$11, Dim_Hotel!$I$2:$I$11)
 + (IF(J3058="",0,J3058)
    * _xlfn.XLOOKUP(B3058, Dim_Hotel!$A$2:$A$11, Dim_Hotel!$J$2:$J$11))</f>
        <v>165</v>
      </c>
    </row>
    <row r="3059" spans="1:13" x14ac:dyDescent="0.25">
      <c r="A3059" s="1">
        <f t="shared" si="376"/>
        <v>46328</v>
      </c>
      <c r="B3059" t="str" cm="1">
        <f t="array" ref="B3059">INDEX(HotelList,MOD(ROW()-2,10)+1)</f>
        <v>H008</v>
      </c>
      <c r="C3059">
        <f>_xlfn.XLOOKUP(B3059,Dim_Hotel!$A$2:$A$11,Dim_Hotel!$F$2:$F$11)</f>
        <v>103</v>
      </c>
      <c r="D3059">
        <f t="shared" si="377"/>
        <v>57</v>
      </c>
      <c r="E3059">
        <f t="shared" si="378"/>
        <v>0.55339805825242716</v>
      </c>
      <c r="F3059">
        <f t="shared" si="379"/>
        <v>140</v>
      </c>
      <c r="G3059">
        <f t="shared" si="380"/>
        <v>77.475728155339809</v>
      </c>
      <c r="H3059" t="str">
        <f>_xlfn.XLOOKUP(A3059,Fact_Events!$D$2:$D$20,Fact_Events!$A$2:$A$20, "")</f>
        <v/>
      </c>
      <c r="I3059">
        <f t="shared" si="381"/>
        <v>0</v>
      </c>
      <c r="J3059" t="str">
        <f>_xlfn.XLOOKUP(H3059, Fact_Events!$A$2:$A$20, Fact_Events!$F$2:$F$20, "")</f>
        <v/>
      </c>
      <c r="K3059" t="str">
        <f t="shared" si="382"/>
        <v>Low</v>
      </c>
      <c r="L3059">
        <f t="shared" si="383"/>
        <v>0.55000000000000004</v>
      </c>
      <c r="M3059">
        <f>_xlfn.XLOOKUP(B3059, Dim_Hotel!$A$2:$A$11, Dim_Hotel!$I$2:$I$11)
 + (IF(J3059="",0,J3059)
    * _xlfn.XLOOKUP(B3059, Dim_Hotel!$A$2:$A$11, Dim_Hotel!$J$2:$J$11))</f>
        <v>140</v>
      </c>
    </row>
    <row r="3060" spans="1:13" x14ac:dyDescent="0.25">
      <c r="A3060" s="1">
        <f t="shared" si="376"/>
        <v>46328</v>
      </c>
      <c r="B3060" t="str" cm="1">
        <f t="array" ref="B3060">INDEX(HotelList,MOD(ROW()-2,10)+1)</f>
        <v>H009</v>
      </c>
      <c r="C3060">
        <f>_xlfn.XLOOKUP(B3060,Dim_Hotel!$A$2:$A$11,Dim_Hotel!$F$2:$F$11)</f>
        <v>114</v>
      </c>
      <c r="D3060">
        <f t="shared" si="377"/>
        <v>63</v>
      </c>
      <c r="E3060">
        <f t="shared" si="378"/>
        <v>0.55263157894736847</v>
      </c>
      <c r="F3060">
        <f t="shared" si="379"/>
        <v>185</v>
      </c>
      <c r="G3060">
        <f t="shared" si="380"/>
        <v>102.23684210526316</v>
      </c>
      <c r="H3060" t="str">
        <f>_xlfn.XLOOKUP(A3060,Fact_Events!$D$2:$D$20,Fact_Events!$A$2:$A$20, "")</f>
        <v/>
      </c>
      <c r="I3060">
        <f t="shared" si="381"/>
        <v>0</v>
      </c>
      <c r="J3060" t="str">
        <f>_xlfn.XLOOKUP(H3060, Fact_Events!$A$2:$A$20, Fact_Events!$F$2:$F$20, "")</f>
        <v/>
      </c>
      <c r="K3060" t="str">
        <f t="shared" si="382"/>
        <v>Low</v>
      </c>
      <c r="L3060">
        <f t="shared" si="383"/>
        <v>0.55000000000000004</v>
      </c>
      <c r="M3060">
        <f>_xlfn.XLOOKUP(B3060, Dim_Hotel!$A$2:$A$11, Dim_Hotel!$I$2:$I$11)
 + (IF(J3060="",0,J3060)
    * _xlfn.XLOOKUP(B3060, Dim_Hotel!$A$2:$A$11, Dim_Hotel!$J$2:$J$11))</f>
        <v>185</v>
      </c>
    </row>
    <row r="3061" spans="1:13" x14ac:dyDescent="0.25">
      <c r="A3061" s="1">
        <f t="shared" si="376"/>
        <v>46328</v>
      </c>
      <c r="B3061" t="str" cm="1">
        <f t="array" ref="B3061">INDEX(HotelList,MOD(ROW()-2,10)+1)</f>
        <v>H010</v>
      </c>
      <c r="C3061">
        <f>_xlfn.XLOOKUP(B3061,Dim_Hotel!$A$2:$A$11,Dim_Hotel!$F$2:$F$11)</f>
        <v>89</v>
      </c>
      <c r="D3061">
        <f t="shared" si="377"/>
        <v>49</v>
      </c>
      <c r="E3061">
        <f t="shared" si="378"/>
        <v>0.550561797752809</v>
      </c>
      <c r="F3061">
        <f t="shared" si="379"/>
        <v>150</v>
      </c>
      <c r="G3061">
        <f t="shared" si="380"/>
        <v>82.584269662921344</v>
      </c>
      <c r="H3061" t="str">
        <f>_xlfn.XLOOKUP(A3061,Fact_Events!$D$2:$D$20,Fact_Events!$A$2:$A$20, "")</f>
        <v/>
      </c>
      <c r="I3061">
        <f t="shared" si="381"/>
        <v>0</v>
      </c>
      <c r="J3061" t="str">
        <f>_xlfn.XLOOKUP(H3061, Fact_Events!$A$2:$A$20, Fact_Events!$F$2:$F$20, "")</f>
        <v/>
      </c>
      <c r="K3061" t="str">
        <f t="shared" si="382"/>
        <v>Low</v>
      </c>
      <c r="L3061">
        <f t="shared" si="383"/>
        <v>0.55000000000000004</v>
      </c>
      <c r="M3061">
        <f>_xlfn.XLOOKUP(B3061, Dim_Hotel!$A$2:$A$11, Dim_Hotel!$I$2:$I$11)
 + (IF(J3061="",0,J3061)
    * _xlfn.XLOOKUP(B3061, Dim_Hotel!$A$2:$A$11, Dim_Hotel!$J$2:$J$11))</f>
        <v>150</v>
      </c>
    </row>
    <row r="3062" spans="1:13" x14ac:dyDescent="0.25">
      <c r="A3062" s="1">
        <f t="shared" si="376"/>
        <v>46329</v>
      </c>
      <c r="B3062" t="str" cm="1">
        <f t="array" ref="B3062">INDEX(HotelList,MOD(ROW()-2,10)+1)</f>
        <v>H001</v>
      </c>
      <c r="C3062">
        <f>_xlfn.XLOOKUP(B3062,Dim_Hotel!$A$2:$A$11,Dim_Hotel!$F$2:$F$11)</f>
        <v>888</v>
      </c>
      <c r="D3062">
        <f t="shared" si="377"/>
        <v>488</v>
      </c>
      <c r="E3062">
        <f t="shared" si="378"/>
        <v>0.5495495495495496</v>
      </c>
      <c r="F3062">
        <f t="shared" si="379"/>
        <v>260</v>
      </c>
      <c r="G3062">
        <f t="shared" si="380"/>
        <v>142.88288288288288</v>
      </c>
      <c r="H3062" t="str">
        <f>_xlfn.XLOOKUP(A3062,Fact_Events!$D$2:$D$20,Fact_Events!$A$2:$A$20, "")</f>
        <v/>
      </c>
      <c r="I3062">
        <f t="shared" si="381"/>
        <v>0</v>
      </c>
      <c r="J3062" t="str">
        <f>_xlfn.XLOOKUP(H3062, Fact_Events!$A$2:$A$20, Fact_Events!$F$2:$F$20, "")</f>
        <v/>
      </c>
      <c r="K3062" t="str">
        <f t="shared" si="382"/>
        <v>Low</v>
      </c>
      <c r="L3062">
        <f t="shared" si="383"/>
        <v>0.55000000000000004</v>
      </c>
      <c r="M3062">
        <f>_xlfn.XLOOKUP(B3062, Dim_Hotel!$A$2:$A$11, Dim_Hotel!$I$2:$I$11)
 + (IF(J3062="",0,J3062)
    * _xlfn.XLOOKUP(B3062, Dim_Hotel!$A$2:$A$11, Dim_Hotel!$J$2:$J$11))</f>
        <v>260</v>
      </c>
    </row>
    <row r="3063" spans="1:13" x14ac:dyDescent="0.25">
      <c r="A3063" s="1">
        <f t="shared" si="376"/>
        <v>46329</v>
      </c>
      <c r="B3063" t="str" cm="1">
        <f t="array" ref="B3063">INDEX(HotelList,MOD(ROW()-2,10)+1)</f>
        <v>H002</v>
      </c>
      <c r="C3063">
        <f>_xlfn.XLOOKUP(B3063,Dim_Hotel!$A$2:$A$11,Dim_Hotel!$F$2:$F$11)</f>
        <v>147</v>
      </c>
      <c r="D3063">
        <f t="shared" si="377"/>
        <v>81</v>
      </c>
      <c r="E3063">
        <f t="shared" si="378"/>
        <v>0.55102040816326525</v>
      </c>
      <c r="F3063">
        <f t="shared" si="379"/>
        <v>175</v>
      </c>
      <c r="G3063">
        <f t="shared" si="380"/>
        <v>96.428571428571416</v>
      </c>
      <c r="H3063" t="str">
        <f>_xlfn.XLOOKUP(A3063,Fact_Events!$D$2:$D$20,Fact_Events!$A$2:$A$20, "")</f>
        <v/>
      </c>
      <c r="I3063">
        <f t="shared" si="381"/>
        <v>0</v>
      </c>
      <c r="J3063" t="str">
        <f>_xlfn.XLOOKUP(H3063, Fact_Events!$A$2:$A$20, Fact_Events!$F$2:$F$20, "")</f>
        <v/>
      </c>
      <c r="K3063" t="str">
        <f t="shared" si="382"/>
        <v>Low</v>
      </c>
      <c r="L3063">
        <f t="shared" si="383"/>
        <v>0.55000000000000004</v>
      </c>
      <c r="M3063">
        <f>_xlfn.XLOOKUP(B3063, Dim_Hotel!$A$2:$A$11, Dim_Hotel!$I$2:$I$11)
 + (IF(J3063="",0,J3063)
    * _xlfn.XLOOKUP(B3063, Dim_Hotel!$A$2:$A$11, Dim_Hotel!$J$2:$J$11))</f>
        <v>175</v>
      </c>
    </row>
    <row r="3064" spans="1:13" x14ac:dyDescent="0.25">
      <c r="A3064" s="1">
        <f t="shared" si="376"/>
        <v>46329</v>
      </c>
      <c r="B3064" t="str" cm="1">
        <f t="array" ref="B3064">INDEX(HotelList,MOD(ROW()-2,10)+1)</f>
        <v>H003</v>
      </c>
      <c r="C3064">
        <f>_xlfn.XLOOKUP(B3064,Dim_Hotel!$A$2:$A$11,Dim_Hotel!$F$2:$F$11)</f>
        <v>121</v>
      </c>
      <c r="D3064">
        <f t="shared" si="377"/>
        <v>67</v>
      </c>
      <c r="E3064">
        <f t="shared" si="378"/>
        <v>0.55371900826446285</v>
      </c>
      <c r="F3064">
        <f t="shared" si="379"/>
        <v>145</v>
      </c>
      <c r="G3064">
        <f t="shared" si="380"/>
        <v>80.289256198347118</v>
      </c>
      <c r="H3064" t="str">
        <f>_xlfn.XLOOKUP(A3064,Fact_Events!$D$2:$D$20,Fact_Events!$A$2:$A$20, "")</f>
        <v/>
      </c>
      <c r="I3064">
        <f t="shared" si="381"/>
        <v>0</v>
      </c>
      <c r="J3064" t="str">
        <f>_xlfn.XLOOKUP(H3064, Fact_Events!$A$2:$A$20, Fact_Events!$F$2:$F$20, "")</f>
        <v/>
      </c>
      <c r="K3064" t="str">
        <f t="shared" si="382"/>
        <v>Low</v>
      </c>
      <c r="L3064">
        <f t="shared" si="383"/>
        <v>0.55000000000000004</v>
      </c>
      <c r="M3064">
        <f>_xlfn.XLOOKUP(B3064, Dim_Hotel!$A$2:$A$11, Dim_Hotel!$I$2:$I$11)
 + (IF(J3064="",0,J3064)
    * _xlfn.XLOOKUP(B3064, Dim_Hotel!$A$2:$A$11, Dim_Hotel!$J$2:$J$11))</f>
        <v>145</v>
      </c>
    </row>
    <row r="3065" spans="1:13" x14ac:dyDescent="0.25">
      <c r="A3065" s="1">
        <f t="shared" si="376"/>
        <v>46329</v>
      </c>
      <c r="B3065" t="str" cm="1">
        <f t="array" ref="B3065">INDEX(HotelList,MOD(ROW()-2,10)+1)</f>
        <v>H004</v>
      </c>
      <c r="C3065">
        <f>_xlfn.XLOOKUP(B3065,Dim_Hotel!$A$2:$A$11,Dim_Hotel!$F$2:$F$11)</f>
        <v>108</v>
      </c>
      <c r="D3065">
        <f t="shared" si="377"/>
        <v>59</v>
      </c>
      <c r="E3065">
        <f t="shared" si="378"/>
        <v>0.54629629629629628</v>
      </c>
      <c r="F3065">
        <f t="shared" si="379"/>
        <v>135</v>
      </c>
      <c r="G3065">
        <f t="shared" si="380"/>
        <v>73.75</v>
      </c>
      <c r="H3065" t="str">
        <f>_xlfn.XLOOKUP(A3065,Fact_Events!$D$2:$D$20,Fact_Events!$A$2:$A$20, "")</f>
        <v/>
      </c>
      <c r="I3065">
        <f t="shared" si="381"/>
        <v>0</v>
      </c>
      <c r="J3065" t="str">
        <f>_xlfn.XLOOKUP(H3065, Fact_Events!$A$2:$A$20, Fact_Events!$F$2:$F$20, "")</f>
        <v/>
      </c>
      <c r="K3065" t="str">
        <f t="shared" si="382"/>
        <v>Low</v>
      </c>
      <c r="L3065">
        <f t="shared" si="383"/>
        <v>0.55000000000000004</v>
      </c>
      <c r="M3065">
        <f>_xlfn.XLOOKUP(B3065, Dim_Hotel!$A$2:$A$11, Dim_Hotel!$I$2:$I$11)
 + (IF(J3065="",0,J3065)
    * _xlfn.XLOOKUP(B3065, Dim_Hotel!$A$2:$A$11, Dim_Hotel!$J$2:$J$11))</f>
        <v>135</v>
      </c>
    </row>
    <row r="3066" spans="1:13" x14ac:dyDescent="0.25">
      <c r="A3066" s="1">
        <f t="shared" si="376"/>
        <v>46329</v>
      </c>
      <c r="B3066" t="str" cm="1">
        <f t="array" ref="B3066">INDEX(HotelList,MOD(ROW()-2,10)+1)</f>
        <v>H005</v>
      </c>
      <c r="C3066">
        <f>_xlfn.XLOOKUP(B3066,Dim_Hotel!$A$2:$A$11,Dim_Hotel!$F$2:$F$11)</f>
        <v>66</v>
      </c>
      <c r="D3066">
        <f t="shared" si="377"/>
        <v>36</v>
      </c>
      <c r="E3066">
        <f t="shared" si="378"/>
        <v>0.54545454545454541</v>
      </c>
      <c r="F3066">
        <f t="shared" si="379"/>
        <v>82</v>
      </c>
      <c r="G3066">
        <f t="shared" si="380"/>
        <v>44.727272727272727</v>
      </c>
      <c r="H3066" t="str">
        <f>_xlfn.XLOOKUP(A3066,Fact_Events!$D$2:$D$20,Fact_Events!$A$2:$A$20, "")</f>
        <v/>
      </c>
      <c r="I3066">
        <f t="shared" si="381"/>
        <v>0</v>
      </c>
      <c r="J3066" t="str">
        <f>_xlfn.XLOOKUP(H3066, Fact_Events!$A$2:$A$20, Fact_Events!$F$2:$F$20, "")</f>
        <v/>
      </c>
      <c r="K3066" t="str">
        <f t="shared" si="382"/>
        <v>Low</v>
      </c>
      <c r="L3066">
        <f t="shared" si="383"/>
        <v>0.55000000000000004</v>
      </c>
      <c r="M3066">
        <f>_xlfn.XLOOKUP(B3066, Dim_Hotel!$A$2:$A$11, Dim_Hotel!$I$2:$I$11)
 + (IF(J3066="",0,J3066)
    * _xlfn.XLOOKUP(B3066, Dim_Hotel!$A$2:$A$11, Dim_Hotel!$J$2:$J$11))</f>
        <v>82</v>
      </c>
    </row>
    <row r="3067" spans="1:13" x14ac:dyDescent="0.25">
      <c r="A3067" s="1">
        <f t="shared" si="376"/>
        <v>46329</v>
      </c>
      <c r="B3067" t="str" cm="1">
        <f t="array" ref="B3067">INDEX(HotelList,MOD(ROW()-2,10)+1)</f>
        <v>H006</v>
      </c>
      <c r="C3067">
        <f>_xlfn.XLOOKUP(B3067,Dim_Hotel!$A$2:$A$11,Dim_Hotel!$F$2:$F$11)</f>
        <v>311</v>
      </c>
      <c r="D3067">
        <f t="shared" si="377"/>
        <v>171</v>
      </c>
      <c r="E3067">
        <f t="shared" si="378"/>
        <v>0.54983922829581988</v>
      </c>
      <c r="F3067">
        <f t="shared" si="379"/>
        <v>190</v>
      </c>
      <c r="G3067">
        <f t="shared" si="380"/>
        <v>104.46945337620578</v>
      </c>
      <c r="H3067" t="str">
        <f>_xlfn.XLOOKUP(A3067,Fact_Events!$D$2:$D$20,Fact_Events!$A$2:$A$20, "")</f>
        <v/>
      </c>
      <c r="I3067">
        <f t="shared" si="381"/>
        <v>0</v>
      </c>
      <c r="J3067" t="str">
        <f>_xlfn.XLOOKUP(H3067, Fact_Events!$A$2:$A$20, Fact_Events!$F$2:$F$20, "")</f>
        <v/>
      </c>
      <c r="K3067" t="str">
        <f t="shared" si="382"/>
        <v>Low</v>
      </c>
      <c r="L3067">
        <f t="shared" si="383"/>
        <v>0.55000000000000004</v>
      </c>
      <c r="M3067">
        <f>_xlfn.XLOOKUP(B3067, Dim_Hotel!$A$2:$A$11, Dim_Hotel!$I$2:$I$11)
 + (IF(J3067="",0,J3067)
    * _xlfn.XLOOKUP(B3067, Dim_Hotel!$A$2:$A$11, Dim_Hotel!$J$2:$J$11))</f>
        <v>190</v>
      </c>
    </row>
    <row r="3068" spans="1:13" x14ac:dyDescent="0.25">
      <c r="A3068" s="1">
        <f t="shared" si="376"/>
        <v>46329</v>
      </c>
      <c r="B3068" t="str" cm="1">
        <f t="array" ref="B3068">INDEX(HotelList,MOD(ROW()-2,10)+1)</f>
        <v>H007</v>
      </c>
      <c r="C3068">
        <f>_xlfn.XLOOKUP(B3068,Dim_Hotel!$A$2:$A$11,Dim_Hotel!$F$2:$F$11)</f>
        <v>132</v>
      </c>
      <c r="D3068">
        <f t="shared" si="377"/>
        <v>73</v>
      </c>
      <c r="E3068">
        <f t="shared" si="378"/>
        <v>0.55303030303030298</v>
      </c>
      <c r="F3068">
        <f t="shared" si="379"/>
        <v>165</v>
      </c>
      <c r="G3068">
        <f t="shared" si="380"/>
        <v>91.249999999999986</v>
      </c>
      <c r="H3068" t="str">
        <f>_xlfn.XLOOKUP(A3068,Fact_Events!$D$2:$D$20,Fact_Events!$A$2:$A$20, "")</f>
        <v/>
      </c>
      <c r="I3068">
        <f t="shared" si="381"/>
        <v>0</v>
      </c>
      <c r="J3068" t="str">
        <f>_xlfn.XLOOKUP(H3068, Fact_Events!$A$2:$A$20, Fact_Events!$F$2:$F$20, "")</f>
        <v/>
      </c>
      <c r="K3068" t="str">
        <f t="shared" si="382"/>
        <v>Low</v>
      </c>
      <c r="L3068">
        <f t="shared" si="383"/>
        <v>0.55000000000000004</v>
      </c>
      <c r="M3068">
        <f>_xlfn.XLOOKUP(B3068, Dim_Hotel!$A$2:$A$11, Dim_Hotel!$I$2:$I$11)
 + (IF(J3068="",0,J3068)
    * _xlfn.XLOOKUP(B3068, Dim_Hotel!$A$2:$A$11, Dim_Hotel!$J$2:$J$11))</f>
        <v>165</v>
      </c>
    </row>
    <row r="3069" spans="1:13" x14ac:dyDescent="0.25">
      <c r="A3069" s="1">
        <f t="shared" si="376"/>
        <v>46329</v>
      </c>
      <c r="B3069" t="str" cm="1">
        <f t="array" ref="B3069">INDEX(HotelList,MOD(ROW()-2,10)+1)</f>
        <v>H008</v>
      </c>
      <c r="C3069">
        <f>_xlfn.XLOOKUP(B3069,Dim_Hotel!$A$2:$A$11,Dim_Hotel!$F$2:$F$11)</f>
        <v>103</v>
      </c>
      <c r="D3069">
        <f t="shared" si="377"/>
        <v>57</v>
      </c>
      <c r="E3069">
        <f t="shared" si="378"/>
        <v>0.55339805825242716</v>
      </c>
      <c r="F3069">
        <f t="shared" si="379"/>
        <v>140</v>
      </c>
      <c r="G3069">
        <f t="shared" si="380"/>
        <v>77.475728155339809</v>
      </c>
      <c r="H3069" t="str">
        <f>_xlfn.XLOOKUP(A3069,Fact_Events!$D$2:$D$20,Fact_Events!$A$2:$A$20, "")</f>
        <v/>
      </c>
      <c r="I3069">
        <f t="shared" si="381"/>
        <v>0</v>
      </c>
      <c r="J3069" t="str">
        <f>_xlfn.XLOOKUP(H3069, Fact_Events!$A$2:$A$20, Fact_Events!$F$2:$F$20, "")</f>
        <v/>
      </c>
      <c r="K3069" t="str">
        <f t="shared" si="382"/>
        <v>Low</v>
      </c>
      <c r="L3069">
        <f t="shared" si="383"/>
        <v>0.55000000000000004</v>
      </c>
      <c r="M3069">
        <f>_xlfn.XLOOKUP(B3069, Dim_Hotel!$A$2:$A$11, Dim_Hotel!$I$2:$I$11)
 + (IF(J3069="",0,J3069)
    * _xlfn.XLOOKUP(B3069, Dim_Hotel!$A$2:$A$11, Dim_Hotel!$J$2:$J$11))</f>
        <v>140</v>
      </c>
    </row>
    <row r="3070" spans="1:13" x14ac:dyDescent="0.25">
      <c r="A3070" s="1">
        <f t="shared" si="376"/>
        <v>46329</v>
      </c>
      <c r="B3070" t="str" cm="1">
        <f t="array" ref="B3070">INDEX(HotelList,MOD(ROW()-2,10)+1)</f>
        <v>H009</v>
      </c>
      <c r="C3070">
        <f>_xlfn.XLOOKUP(B3070,Dim_Hotel!$A$2:$A$11,Dim_Hotel!$F$2:$F$11)</f>
        <v>114</v>
      </c>
      <c r="D3070">
        <f t="shared" si="377"/>
        <v>63</v>
      </c>
      <c r="E3070">
        <f t="shared" si="378"/>
        <v>0.55263157894736847</v>
      </c>
      <c r="F3070">
        <f t="shared" si="379"/>
        <v>185</v>
      </c>
      <c r="G3070">
        <f t="shared" si="380"/>
        <v>102.23684210526316</v>
      </c>
      <c r="H3070" t="str">
        <f>_xlfn.XLOOKUP(A3070,Fact_Events!$D$2:$D$20,Fact_Events!$A$2:$A$20, "")</f>
        <v/>
      </c>
      <c r="I3070">
        <f t="shared" si="381"/>
        <v>0</v>
      </c>
      <c r="J3070" t="str">
        <f>_xlfn.XLOOKUP(H3070, Fact_Events!$A$2:$A$20, Fact_Events!$F$2:$F$20, "")</f>
        <v/>
      </c>
      <c r="K3070" t="str">
        <f t="shared" si="382"/>
        <v>Low</v>
      </c>
      <c r="L3070">
        <f t="shared" si="383"/>
        <v>0.55000000000000004</v>
      </c>
      <c r="M3070">
        <f>_xlfn.XLOOKUP(B3070, Dim_Hotel!$A$2:$A$11, Dim_Hotel!$I$2:$I$11)
 + (IF(J3070="",0,J3070)
    * _xlfn.XLOOKUP(B3070, Dim_Hotel!$A$2:$A$11, Dim_Hotel!$J$2:$J$11))</f>
        <v>185</v>
      </c>
    </row>
    <row r="3071" spans="1:13" x14ac:dyDescent="0.25">
      <c r="A3071" s="1">
        <f t="shared" si="376"/>
        <v>46329</v>
      </c>
      <c r="B3071" t="str" cm="1">
        <f t="array" ref="B3071">INDEX(HotelList,MOD(ROW()-2,10)+1)</f>
        <v>H010</v>
      </c>
      <c r="C3071">
        <f>_xlfn.XLOOKUP(B3071,Dim_Hotel!$A$2:$A$11,Dim_Hotel!$F$2:$F$11)</f>
        <v>89</v>
      </c>
      <c r="D3071">
        <f t="shared" si="377"/>
        <v>49</v>
      </c>
      <c r="E3071">
        <f t="shared" si="378"/>
        <v>0.550561797752809</v>
      </c>
      <c r="F3071">
        <f t="shared" si="379"/>
        <v>150</v>
      </c>
      <c r="G3071">
        <f t="shared" si="380"/>
        <v>82.584269662921344</v>
      </c>
      <c r="H3071" t="str">
        <f>_xlfn.XLOOKUP(A3071,Fact_Events!$D$2:$D$20,Fact_Events!$A$2:$A$20, "")</f>
        <v/>
      </c>
      <c r="I3071">
        <f t="shared" si="381"/>
        <v>0</v>
      </c>
      <c r="J3071" t="str">
        <f>_xlfn.XLOOKUP(H3071, Fact_Events!$A$2:$A$20, Fact_Events!$F$2:$F$20, "")</f>
        <v/>
      </c>
      <c r="K3071" t="str">
        <f t="shared" si="382"/>
        <v>Low</v>
      </c>
      <c r="L3071">
        <f t="shared" si="383"/>
        <v>0.55000000000000004</v>
      </c>
      <c r="M3071">
        <f>_xlfn.XLOOKUP(B3071, Dim_Hotel!$A$2:$A$11, Dim_Hotel!$I$2:$I$11)
 + (IF(J3071="",0,J3071)
    * _xlfn.XLOOKUP(B3071, Dim_Hotel!$A$2:$A$11, Dim_Hotel!$J$2:$J$11))</f>
        <v>150</v>
      </c>
    </row>
    <row r="3072" spans="1:13" x14ac:dyDescent="0.25">
      <c r="A3072" s="1">
        <f t="shared" si="376"/>
        <v>46330</v>
      </c>
      <c r="B3072" t="str" cm="1">
        <f t="array" ref="B3072">INDEX(HotelList,MOD(ROW()-2,10)+1)</f>
        <v>H001</v>
      </c>
      <c r="C3072">
        <f>_xlfn.XLOOKUP(B3072,Dim_Hotel!$A$2:$A$11,Dim_Hotel!$F$2:$F$11)</f>
        <v>888</v>
      </c>
      <c r="D3072">
        <f t="shared" si="377"/>
        <v>488</v>
      </c>
      <c r="E3072">
        <f t="shared" si="378"/>
        <v>0.5495495495495496</v>
      </c>
      <c r="F3072">
        <f t="shared" si="379"/>
        <v>260</v>
      </c>
      <c r="G3072">
        <f t="shared" si="380"/>
        <v>142.88288288288288</v>
      </c>
      <c r="H3072" t="str">
        <f>_xlfn.XLOOKUP(A3072,Fact_Events!$D$2:$D$20,Fact_Events!$A$2:$A$20, "")</f>
        <v/>
      </c>
      <c r="I3072">
        <f t="shared" si="381"/>
        <v>0</v>
      </c>
      <c r="J3072" t="str">
        <f>_xlfn.XLOOKUP(H3072, Fact_Events!$A$2:$A$20, Fact_Events!$F$2:$F$20, "")</f>
        <v/>
      </c>
      <c r="K3072" t="str">
        <f t="shared" si="382"/>
        <v>Low</v>
      </c>
      <c r="L3072">
        <f t="shared" si="383"/>
        <v>0.55000000000000004</v>
      </c>
      <c r="M3072">
        <f>_xlfn.XLOOKUP(B3072, Dim_Hotel!$A$2:$A$11, Dim_Hotel!$I$2:$I$11)
 + (IF(J3072="",0,J3072)
    * _xlfn.XLOOKUP(B3072, Dim_Hotel!$A$2:$A$11, Dim_Hotel!$J$2:$J$11))</f>
        <v>260</v>
      </c>
    </row>
    <row r="3073" spans="1:13" x14ac:dyDescent="0.25">
      <c r="A3073" s="1">
        <f t="shared" si="376"/>
        <v>46330</v>
      </c>
      <c r="B3073" t="str" cm="1">
        <f t="array" ref="B3073">INDEX(HotelList,MOD(ROW()-2,10)+1)</f>
        <v>H002</v>
      </c>
      <c r="C3073">
        <f>_xlfn.XLOOKUP(B3073,Dim_Hotel!$A$2:$A$11,Dim_Hotel!$F$2:$F$11)</f>
        <v>147</v>
      </c>
      <c r="D3073">
        <f t="shared" si="377"/>
        <v>81</v>
      </c>
      <c r="E3073">
        <f t="shared" si="378"/>
        <v>0.55102040816326525</v>
      </c>
      <c r="F3073">
        <f t="shared" si="379"/>
        <v>175</v>
      </c>
      <c r="G3073">
        <f t="shared" si="380"/>
        <v>96.428571428571416</v>
      </c>
      <c r="H3073" t="str">
        <f>_xlfn.XLOOKUP(A3073,Fact_Events!$D$2:$D$20,Fact_Events!$A$2:$A$20, "")</f>
        <v/>
      </c>
      <c r="I3073">
        <f t="shared" si="381"/>
        <v>0</v>
      </c>
      <c r="J3073" t="str">
        <f>_xlfn.XLOOKUP(H3073, Fact_Events!$A$2:$A$20, Fact_Events!$F$2:$F$20, "")</f>
        <v/>
      </c>
      <c r="K3073" t="str">
        <f t="shared" si="382"/>
        <v>Low</v>
      </c>
      <c r="L3073">
        <f t="shared" si="383"/>
        <v>0.55000000000000004</v>
      </c>
      <c r="M3073">
        <f>_xlfn.XLOOKUP(B3073, Dim_Hotel!$A$2:$A$11, Dim_Hotel!$I$2:$I$11)
 + (IF(J3073="",0,J3073)
    * _xlfn.XLOOKUP(B3073, Dim_Hotel!$A$2:$A$11, Dim_Hotel!$J$2:$J$11))</f>
        <v>175</v>
      </c>
    </row>
    <row r="3074" spans="1:13" x14ac:dyDescent="0.25">
      <c r="A3074" s="1">
        <f t="shared" si="376"/>
        <v>46330</v>
      </c>
      <c r="B3074" t="str" cm="1">
        <f t="array" ref="B3074">INDEX(HotelList,MOD(ROW()-2,10)+1)</f>
        <v>H003</v>
      </c>
      <c r="C3074">
        <f>_xlfn.XLOOKUP(B3074,Dim_Hotel!$A$2:$A$11,Dim_Hotel!$F$2:$F$11)</f>
        <v>121</v>
      </c>
      <c r="D3074">
        <f t="shared" si="377"/>
        <v>67</v>
      </c>
      <c r="E3074">
        <f t="shared" si="378"/>
        <v>0.55371900826446285</v>
      </c>
      <c r="F3074">
        <f t="shared" si="379"/>
        <v>145</v>
      </c>
      <c r="G3074">
        <f t="shared" si="380"/>
        <v>80.289256198347118</v>
      </c>
      <c r="H3074" t="str">
        <f>_xlfn.XLOOKUP(A3074,Fact_Events!$D$2:$D$20,Fact_Events!$A$2:$A$20, "")</f>
        <v/>
      </c>
      <c r="I3074">
        <f t="shared" si="381"/>
        <v>0</v>
      </c>
      <c r="J3074" t="str">
        <f>_xlfn.XLOOKUP(H3074, Fact_Events!$A$2:$A$20, Fact_Events!$F$2:$F$20, "")</f>
        <v/>
      </c>
      <c r="K3074" t="str">
        <f t="shared" si="382"/>
        <v>Low</v>
      </c>
      <c r="L3074">
        <f t="shared" si="383"/>
        <v>0.55000000000000004</v>
      </c>
      <c r="M3074">
        <f>_xlfn.XLOOKUP(B3074, Dim_Hotel!$A$2:$A$11, Dim_Hotel!$I$2:$I$11)
 + (IF(J3074="",0,J3074)
    * _xlfn.XLOOKUP(B3074, Dim_Hotel!$A$2:$A$11, Dim_Hotel!$J$2:$J$11))</f>
        <v>145</v>
      </c>
    </row>
    <row r="3075" spans="1:13" x14ac:dyDescent="0.25">
      <c r="A3075" s="1">
        <f t="shared" ref="A3075:A3138" si="384">DATE(2026,1,1) + INT((ROW()-2)/10)</f>
        <v>46330</v>
      </c>
      <c r="B3075" t="str" cm="1">
        <f t="array" ref="B3075">INDEX(HotelList,MOD(ROW()-2,10)+1)</f>
        <v>H004</v>
      </c>
      <c r="C3075">
        <f>_xlfn.XLOOKUP(B3075,Dim_Hotel!$A$2:$A$11,Dim_Hotel!$F$2:$F$11)</f>
        <v>108</v>
      </c>
      <c r="D3075">
        <f t="shared" ref="D3075:D3138" si="385">ROUND(L3075 * C3075, 0)</f>
        <v>59</v>
      </c>
      <c r="E3075">
        <f t="shared" ref="E3075:E3138" si="386">D3075/C3075</f>
        <v>0.54629629629629628</v>
      </c>
      <c r="F3075">
        <f t="shared" ref="F3075:F3138" si="387">M3075</f>
        <v>135</v>
      </c>
      <c r="G3075">
        <f t="shared" ref="G3075:G3138" si="388">E3075*F3075</f>
        <v>73.75</v>
      </c>
      <c r="H3075" t="str">
        <f>_xlfn.XLOOKUP(A3075,Fact_Events!$D$2:$D$20,Fact_Events!$A$2:$A$20, "")</f>
        <v/>
      </c>
      <c r="I3075">
        <f t="shared" ref="I3075:I3138" si="389">IF(H3075="",0,1)</f>
        <v>0</v>
      </c>
      <c r="J3075" t="str">
        <f>_xlfn.XLOOKUP(H3075, Fact_Events!$A$2:$A$20, Fact_Events!$F$2:$F$20, "")</f>
        <v/>
      </c>
      <c r="K3075" t="str">
        <f t="shared" ref="K3075:K3138" si="390">IF(I3075=0,"Low",
   IF(J3075&gt;=9,"High","Medium"))</f>
        <v>Low</v>
      </c>
      <c r="L3075">
        <f t="shared" ref="L3075:L3138" si="391">MIN(1,
  0.55
  + (I3075 * 0.25)
  + (IF(J3075="",0,J3075) / 100)
)</f>
        <v>0.55000000000000004</v>
      </c>
      <c r="M3075">
        <f>_xlfn.XLOOKUP(B3075, Dim_Hotel!$A$2:$A$11, Dim_Hotel!$I$2:$I$11)
 + (IF(J3075="",0,J3075)
    * _xlfn.XLOOKUP(B3075, Dim_Hotel!$A$2:$A$11, Dim_Hotel!$J$2:$J$11))</f>
        <v>135</v>
      </c>
    </row>
    <row r="3076" spans="1:13" x14ac:dyDescent="0.25">
      <c r="A3076" s="1">
        <f t="shared" si="384"/>
        <v>46330</v>
      </c>
      <c r="B3076" t="str" cm="1">
        <f t="array" ref="B3076">INDEX(HotelList,MOD(ROW()-2,10)+1)</f>
        <v>H005</v>
      </c>
      <c r="C3076">
        <f>_xlfn.XLOOKUP(B3076,Dim_Hotel!$A$2:$A$11,Dim_Hotel!$F$2:$F$11)</f>
        <v>66</v>
      </c>
      <c r="D3076">
        <f t="shared" si="385"/>
        <v>36</v>
      </c>
      <c r="E3076">
        <f t="shared" si="386"/>
        <v>0.54545454545454541</v>
      </c>
      <c r="F3076">
        <f t="shared" si="387"/>
        <v>82</v>
      </c>
      <c r="G3076">
        <f t="shared" si="388"/>
        <v>44.727272727272727</v>
      </c>
      <c r="H3076" t="str">
        <f>_xlfn.XLOOKUP(A3076,Fact_Events!$D$2:$D$20,Fact_Events!$A$2:$A$20, "")</f>
        <v/>
      </c>
      <c r="I3076">
        <f t="shared" si="389"/>
        <v>0</v>
      </c>
      <c r="J3076" t="str">
        <f>_xlfn.XLOOKUP(H3076, Fact_Events!$A$2:$A$20, Fact_Events!$F$2:$F$20, "")</f>
        <v/>
      </c>
      <c r="K3076" t="str">
        <f t="shared" si="390"/>
        <v>Low</v>
      </c>
      <c r="L3076">
        <f t="shared" si="391"/>
        <v>0.55000000000000004</v>
      </c>
      <c r="M3076">
        <f>_xlfn.XLOOKUP(B3076, Dim_Hotel!$A$2:$A$11, Dim_Hotel!$I$2:$I$11)
 + (IF(J3076="",0,J3076)
    * _xlfn.XLOOKUP(B3076, Dim_Hotel!$A$2:$A$11, Dim_Hotel!$J$2:$J$11))</f>
        <v>82</v>
      </c>
    </row>
    <row r="3077" spans="1:13" x14ac:dyDescent="0.25">
      <c r="A3077" s="1">
        <f t="shared" si="384"/>
        <v>46330</v>
      </c>
      <c r="B3077" t="str" cm="1">
        <f t="array" ref="B3077">INDEX(HotelList,MOD(ROW()-2,10)+1)</f>
        <v>H006</v>
      </c>
      <c r="C3077">
        <f>_xlfn.XLOOKUP(B3077,Dim_Hotel!$A$2:$A$11,Dim_Hotel!$F$2:$F$11)</f>
        <v>311</v>
      </c>
      <c r="D3077">
        <f t="shared" si="385"/>
        <v>171</v>
      </c>
      <c r="E3077">
        <f t="shared" si="386"/>
        <v>0.54983922829581988</v>
      </c>
      <c r="F3077">
        <f t="shared" si="387"/>
        <v>190</v>
      </c>
      <c r="G3077">
        <f t="shared" si="388"/>
        <v>104.46945337620578</v>
      </c>
      <c r="H3077" t="str">
        <f>_xlfn.XLOOKUP(A3077,Fact_Events!$D$2:$D$20,Fact_Events!$A$2:$A$20, "")</f>
        <v/>
      </c>
      <c r="I3077">
        <f t="shared" si="389"/>
        <v>0</v>
      </c>
      <c r="J3077" t="str">
        <f>_xlfn.XLOOKUP(H3077, Fact_Events!$A$2:$A$20, Fact_Events!$F$2:$F$20, "")</f>
        <v/>
      </c>
      <c r="K3077" t="str">
        <f t="shared" si="390"/>
        <v>Low</v>
      </c>
      <c r="L3077">
        <f t="shared" si="391"/>
        <v>0.55000000000000004</v>
      </c>
      <c r="M3077">
        <f>_xlfn.XLOOKUP(B3077, Dim_Hotel!$A$2:$A$11, Dim_Hotel!$I$2:$I$11)
 + (IF(J3077="",0,J3077)
    * _xlfn.XLOOKUP(B3077, Dim_Hotel!$A$2:$A$11, Dim_Hotel!$J$2:$J$11))</f>
        <v>190</v>
      </c>
    </row>
    <row r="3078" spans="1:13" x14ac:dyDescent="0.25">
      <c r="A3078" s="1">
        <f t="shared" si="384"/>
        <v>46330</v>
      </c>
      <c r="B3078" t="str" cm="1">
        <f t="array" ref="B3078">INDEX(HotelList,MOD(ROW()-2,10)+1)</f>
        <v>H007</v>
      </c>
      <c r="C3078">
        <f>_xlfn.XLOOKUP(B3078,Dim_Hotel!$A$2:$A$11,Dim_Hotel!$F$2:$F$11)</f>
        <v>132</v>
      </c>
      <c r="D3078">
        <f t="shared" si="385"/>
        <v>73</v>
      </c>
      <c r="E3078">
        <f t="shared" si="386"/>
        <v>0.55303030303030298</v>
      </c>
      <c r="F3078">
        <f t="shared" si="387"/>
        <v>165</v>
      </c>
      <c r="G3078">
        <f t="shared" si="388"/>
        <v>91.249999999999986</v>
      </c>
      <c r="H3078" t="str">
        <f>_xlfn.XLOOKUP(A3078,Fact_Events!$D$2:$D$20,Fact_Events!$A$2:$A$20, "")</f>
        <v/>
      </c>
      <c r="I3078">
        <f t="shared" si="389"/>
        <v>0</v>
      </c>
      <c r="J3078" t="str">
        <f>_xlfn.XLOOKUP(H3078, Fact_Events!$A$2:$A$20, Fact_Events!$F$2:$F$20, "")</f>
        <v/>
      </c>
      <c r="K3078" t="str">
        <f t="shared" si="390"/>
        <v>Low</v>
      </c>
      <c r="L3078">
        <f t="shared" si="391"/>
        <v>0.55000000000000004</v>
      </c>
      <c r="M3078">
        <f>_xlfn.XLOOKUP(B3078, Dim_Hotel!$A$2:$A$11, Dim_Hotel!$I$2:$I$11)
 + (IF(J3078="",0,J3078)
    * _xlfn.XLOOKUP(B3078, Dim_Hotel!$A$2:$A$11, Dim_Hotel!$J$2:$J$11))</f>
        <v>165</v>
      </c>
    </row>
    <row r="3079" spans="1:13" x14ac:dyDescent="0.25">
      <c r="A3079" s="1">
        <f t="shared" si="384"/>
        <v>46330</v>
      </c>
      <c r="B3079" t="str" cm="1">
        <f t="array" ref="B3079">INDEX(HotelList,MOD(ROW()-2,10)+1)</f>
        <v>H008</v>
      </c>
      <c r="C3079">
        <f>_xlfn.XLOOKUP(B3079,Dim_Hotel!$A$2:$A$11,Dim_Hotel!$F$2:$F$11)</f>
        <v>103</v>
      </c>
      <c r="D3079">
        <f t="shared" si="385"/>
        <v>57</v>
      </c>
      <c r="E3079">
        <f t="shared" si="386"/>
        <v>0.55339805825242716</v>
      </c>
      <c r="F3079">
        <f t="shared" si="387"/>
        <v>140</v>
      </c>
      <c r="G3079">
        <f t="shared" si="388"/>
        <v>77.475728155339809</v>
      </c>
      <c r="H3079" t="str">
        <f>_xlfn.XLOOKUP(A3079,Fact_Events!$D$2:$D$20,Fact_Events!$A$2:$A$20, "")</f>
        <v/>
      </c>
      <c r="I3079">
        <f t="shared" si="389"/>
        <v>0</v>
      </c>
      <c r="J3079" t="str">
        <f>_xlfn.XLOOKUP(H3079, Fact_Events!$A$2:$A$20, Fact_Events!$F$2:$F$20, "")</f>
        <v/>
      </c>
      <c r="K3079" t="str">
        <f t="shared" si="390"/>
        <v>Low</v>
      </c>
      <c r="L3079">
        <f t="shared" si="391"/>
        <v>0.55000000000000004</v>
      </c>
      <c r="M3079">
        <f>_xlfn.XLOOKUP(B3079, Dim_Hotel!$A$2:$A$11, Dim_Hotel!$I$2:$I$11)
 + (IF(J3079="",0,J3079)
    * _xlfn.XLOOKUP(B3079, Dim_Hotel!$A$2:$A$11, Dim_Hotel!$J$2:$J$11))</f>
        <v>140</v>
      </c>
    </row>
    <row r="3080" spans="1:13" x14ac:dyDescent="0.25">
      <c r="A3080" s="1">
        <f t="shared" si="384"/>
        <v>46330</v>
      </c>
      <c r="B3080" t="str" cm="1">
        <f t="array" ref="B3080">INDEX(HotelList,MOD(ROW()-2,10)+1)</f>
        <v>H009</v>
      </c>
      <c r="C3080">
        <f>_xlfn.XLOOKUP(B3080,Dim_Hotel!$A$2:$A$11,Dim_Hotel!$F$2:$F$11)</f>
        <v>114</v>
      </c>
      <c r="D3080">
        <f t="shared" si="385"/>
        <v>63</v>
      </c>
      <c r="E3080">
        <f t="shared" si="386"/>
        <v>0.55263157894736847</v>
      </c>
      <c r="F3080">
        <f t="shared" si="387"/>
        <v>185</v>
      </c>
      <c r="G3080">
        <f t="shared" si="388"/>
        <v>102.23684210526316</v>
      </c>
      <c r="H3080" t="str">
        <f>_xlfn.XLOOKUP(A3080,Fact_Events!$D$2:$D$20,Fact_Events!$A$2:$A$20, "")</f>
        <v/>
      </c>
      <c r="I3080">
        <f t="shared" si="389"/>
        <v>0</v>
      </c>
      <c r="J3080" t="str">
        <f>_xlfn.XLOOKUP(H3080, Fact_Events!$A$2:$A$20, Fact_Events!$F$2:$F$20, "")</f>
        <v/>
      </c>
      <c r="K3080" t="str">
        <f t="shared" si="390"/>
        <v>Low</v>
      </c>
      <c r="L3080">
        <f t="shared" si="391"/>
        <v>0.55000000000000004</v>
      </c>
      <c r="M3080">
        <f>_xlfn.XLOOKUP(B3080, Dim_Hotel!$A$2:$A$11, Dim_Hotel!$I$2:$I$11)
 + (IF(J3080="",0,J3080)
    * _xlfn.XLOOKUP(B3080, Dim_Hotel!$A$2:$A$11, Dim_Hotel!$J$2:$J$11))</f>
        <v>185</v>
      </c>
    </row>
    <row r="3081" spans="1:13" x14ac:dyDescent="0.25">
      <c r="A3081" s="1">
        <f t="shared" si="384"/>
        <v>46330</v>
      </c>
      <c r="B3081" t="str" cm="1">
        <f t="array" ref="B3081">INDEX(HotelList,MOD(ROW()-2,10)+1)</f>
        <v>H010</v>
      </c>
      <c r="C3081">
        <f>_xlfn.XLOOKUP(B3081,Dim_Hotel!$A$2:$A$11,Dim_Hotel!$F$2:$F$11)</f>
        <v>89</v>
      </c>
      <c r="D3081">
        <f t="shared" si="385"/>
        <v>49</v>
      </c>
      <c r="E3081">
        <f t="shared" si="386"/>
        <v>0.550561797752809</v>
      </c>
      <c r="F3081">
        <f t="shared" si="387"/>
        <v>150</v>
      </c>
      <c r="G3081">
        <f t="shared" si="388"/>
        <v>82.584269662921344</v>
      </c>
      <c r="H3081" t="str">
        <f>_xlfn.XLOOKUP(A3081,Fact_Events!$D$2:$D$20,Fact_Events!$A$2:$A$20, "")</f>
        <v/>
      </c>
      <c r="I3081">
        <f t="shared" si="389"/>
        <v>0</v>
      </c>
      <c r="J3081" t="str">
        <f>_xlfn.XLOOKUP(H3081, Fact_Events!$A$2:$A$20, Fact_Events!$F$2:$F$20, "")</f>
        <v/>
      </c>
      <c r="K3081" t="str">
        <f t="shared" si="390"/>
        <v>Low</v>
      </c>
      <c r="L3081">
        <f t="shared" si="391"/>
        <v>0.55000000000000004</v>
      </c>
      <c r="M3081">
        <f>_xlfn.XLOOKUP(B3081, Dim_Hotel!$A$2:$A$11, Dim_Hotel!$I$2:$I$11)
 + (IF(J3081="",0,J3081)
    * _xlfn.XLOOKUP(B3081, Dim_Hotel!$A$2:$A$11, Dim_Hotel!$J$2:$J$11))</f>
        <v>150</v>
      </c>
    </row>
    <row r="3082" spans="1:13" x14ac:dyDescent="0.25">
      <c r="A3082" s="1">
        <f t="shared" si="384"/>
        <v>46331</v>
      </c>
      <c r="B3082" t="str" cm="1">
        <f t="array" ref="B3082">INDEX(HotelList,MOD(ROW()-2,10)+1)</f>
        <v>H001</v>
      </c>
      <c r="C3082">
        <f>_xlfn.XLOOKUP(B3082,Dim_Hotel!$A$2:$A$11,Dim_Hotel!$F$2:$F$11)</f>
        <v>888</v>
      </c>
      <c r="D3082">
        <f t="shared" si="385"/>
        <v>488</v>
      </c>
      <c r="E3082">
        <f t="shared" si="386"/>
        <v>0.5495495495495496</v>
      </c>
      <c r="F3082">
        <f t="shared" si="387"/>
        <v>260</v>
      </c>
      <c r="G3082">
        <f t="shared" si="388"/>
        <v>142.88288288288288</v>
      </c>
      <c r="H3082" t="str">
        <f>_xlfn.XLOOKUP(A3082,Fact_Events!$D$2:$D$20,Fact_Events!$A$2:$A$20, "")</f>
        <v/>
      </c>
      <c r="I3082">
        <f t="shared" si="389"/>
        <v>0</v>
      </c>
      <c r="J3082" t="str">
        <f>_xlfn.XLOOKUP(H3082, Fact_Events!$A$2:$A$20, Fact_Events!$F$2:$F$20, "")</f>
        <v/>
      </c>
      <c r="K3082" t="str">
        <f t="shared" si="390"/>
        <v>Low</v>
      </c>
      <c r="L3082">
        <f t="shared" si="391"/>
        <v>0.55000000000000004</v>
      </c>
      <c r="M3082">
        <f>_xlfn.XLOOKUP(B3082, Dim_Hotel!$A$2:$A$11, Dim_Hotel!$I$2:$I$11)
 + (IF(J3082="",0,J3082)
    * _xlfn.XLOOKUP(B3082, Dim_Hotel!$A$2:$A$11, Dim_Hotel!$J$2:$J$11))</f>
        <v>260</v>
      </c>
    </row>
    <row r="3083" spans="1:13" x14ac:dyDescent="0.25">
      <c r="A3083" s="1">
        <f t="shared" si="384"/>
        <v>46331</v>
      </c>
      <c r="B3083" t="str" cm="1">
        <f t="array" ref="B3083">INDEX(HotelList,MOD(ROW()-2,10)+1)</f>
        <v>H002</v>
      </c>
      <c r="C3083">
        <f>_xlfn.XLOOKUP(B3083,Dim_Hotel!$A$2:$A$11,Dim_Hotel!$F$2:$F$11)</f>
        <v>147</v>
      </c>
      <c r="D3083">
        <f t="shared" si="385"/>
        <v>81</v>
      </c>
      <c r="E3083">
        <f t="shared" si="386"/>
        <v>0.55102040816326525</v>
      </c>
      <c r="F3083">
        <f t="shared" si="387"/>
        <v>175</v>
      </c>
      <c r="G3083">
        <f t="shared" si="388"/>
        <v>96.428571428571416</v>
      </c>
      <c r="H3083" t="str">
        <f>_xlfn.XLOOKUP(A3083,Fact_Events!$D$2:$D$20,Fact_Events!$A$2:$A$20, "")</f>
        <v/>
      </c>
      <c r="I3083">
        <f t="shared" si="389"/>
        <v>0</v>
      </c>
      <c r="J3083" t="str">
        <f>_xlfn.XLOOKUP(H3083, Fact_Events!$A$2:$A$20, Fact_Events!$F$2:$F$20, "")</f>
        <v/>
      </c>
      <c r="K3083" t="str">
        <f t="shared" si="390"/>
        <v>Low</v>
      </c>
      <c r="L3083">
        <f t="shared" si="391"/>
        <v>0.55000000000000004</v>
      </c>
      <c r="M3083">
        <f>_xlfn.XLOOKUP(B3083, Dim_Hotel!$A$2:$A$11, Dim_Hotel!$I$2:$I$11)
 + (IF(J3083="",0,J3083)
    * _xlfn.XLOOKUP(B3083, Dim_Hotel!$A$2:$A$11, Dim_Hotel!$J$2:$J$11))</f>
        <v>175</v>
      </c>
    </row>
    <row r="3084" spans="1:13" x14ac:dyDescent="0.25">
      <c r="A3084" s="1">
        <f t="shared" si="384"/>
        <v>46331</v>
      </c>
      <c r="B3084" t="str" cm="1">
        <f t="array" ref="B3084">INDEX(HotelList,MOD(ROW()-2,10)+1)</f>
        <v>H003</v>
      </c>
      <c r="C3084">
        <f>_xlfn.XLOOKUP(B3084,Dim_Hotel!$A$2:$A$11,Dim_Hotel!$F$2:$F$11)</f>
        <v>121</v>
      </c>
      <c r="D3084">
        <f t="shared" si="385"/>
        <v>67</v>
      </c>
      <c r="E3084">
        <f t="shared" si="386"/>
        <v>0.55371900826446285</v>
      </c>
      <c r="F3084">
        <f t="shared" si="387"/>
        <v>145</v>
      </c>
      <c r="G3084">
        <f t="shared" si="388"/>
        <v>80.289256198347118</v>
      </c>
      <c r="H3084" t="str">
        <f>_xlfn.XLOOKUP(A3084,Fact_Events!$D$2:$D$20,Fact_Events!$A$2:$A$20, "")</f>
        <v/>
      </c>
      <c r="I3084">
        <f t="shared" si="389"/>
        <v>0</v>
      </c>
      <c r="J3084" t="str">
        <f>_xlfn.XLOOKUP(H3084, Fact_Events!$A$2:$A$20, Fact_Events!$F$2:$F$20, "")</f>
        <v/>
      </c>
      <c r="K3084" t="str">
        <f t="shared" si="390"/>
        <v>Low</v>
      </c>
      <c r="L3084">
        <f t="shared" si="391"/>
        <v>0.55000000000000004</v>
      </c>
      <c r="M3084">
        <f>_xlfn.XLOOKUP(B3084, Dim_Hotel!$A$2:$A$11, Dim_Hotel!$I$2:$I$11)
 + (IF(J3084="",0,J3084)
    * _xlfn.XLOOKUP(B3084, Dim_Hotel!$A$2:$A$11, Dim_Hotel!$J$2:$J$11))</f>
        <v>145</v>
      </c>
    </row>
    <row r="3085" spans="1:13" x14ac:dyDescent="0.25">
      <c r="A3085" s="1">
        <f t="shared" si="384"/>
        <v>46331</v>
      </c>
      <c r="B3085" t="str" cm="1">
        <f t="array" ref="B3085">INDEX(HotelList,MOD(ROW()-2,10)+1)</f>
        <v>H004</v>
      </c>
      <c r="C3085">
        <f>_xlfn.XLOOKUP(B3085,Dim_Hotel!$A$2:$A$11,Dim_Hotel!$F$2:$F$11)</f>
        <v>108</v>
      </c>
      <c r="D3085">
        <f t="shared" si="385"/>
        <v>59</v>
      </c>
      <c r="E3085">
        <f t="shared" si="386"/>
        <v>0.54629629629629628</v>
      </c>
      <c r="F3085">
        <f t="shared" si="387"/>
        <v>135</v>
      </c>
      <c r="G3085">
        <f t="shared" si="388"/>
        <v>73.75</v>
      </c>
      <c r="H3085" t="str">
        <f>_xlfn.XLOOKUP(A3085,Fact_Events!$D$2:$D$20,Fact_Events!$A$2:$A$20, "")</f>
        <v/>
      </c>
      <c r="I3085">
        <f t="shared" si="389"/>
        <v>0</v>
      </c>
      <c r="J3085" t="str">
        <f>_xlfn.XLOOKUP(H3085, Fact_Events!$A$2:$A$20, Fact_Events!$F$2:$F$20, "")</f>
        <v/>
      </c>
      <c r="K3085" t="str">
        <f t="shared" si="390"/>
        <v>Low</v>
      </c>
      <c r="L3085">
        <f t="shared" si="391"/>
        <v>0.55000000000000004</v>
      </c>
      <c r="M3085">
        <f>_xlfn.XLOOKUP(B3085, Dim_Hotel!$A$2:$A$11, Dim_Hotel!$I$2:$I$11)
 + (IF(J3085="",0,J3085)
    * _xlfn.XLOOKUP(B3085, Dim_Hotel!$A$2:$A$11, Dim_Hotel!$J$2:$J$11))</f>
        <v>135</v>
      </c>
    </row>
    <row r="3086" spans="1:13" x14ac:dyDescent="0.25">
      <c r="A3086" s="1">
        <f t="shared" si="384"/>
        <v>46331</v>
      </c>
      <c r="B3086" t="str" cm="1">
        <f t="array" ref="B3086">INDEX(HotelList,MOD(ROW()-2,10)+1)</f>
        <v>H005</v>
      </c>
      <c r="C3086">
        <f>_xlfn.XLOOKUP(B3086,Dim_Hotel!$A$2:$A$11,Dim_Hotel!$F$2:$F$11)</f>
        <v>66</v>
      </c>
      <c r="D3086">
        <f t="shared" si="385"/>
        <v>36</v>
      </c>
      <c r="E3086">
        <f t="shared" si="386"/>
        <v>0.54545454545454541</v>
      </c>
      <c r="F3086">
        <f t="shared" si="387"/>
        <v>82</v>
      </c>
      <c r="G3086">
        <f t="shared" si="388"/>
        <v>44.727272727272727</v>
      </c>
      <c r="H3086" t="str">
        <f>_xlfn.XLOOKUP(A3086,Fact_Events!$D$2:$D$20,Fact_Events!$A$2:$A$20, "")</f>
        <v/>
      </c>
      <c r="I3086">
        <f t="shared" si="389"/>
        <v>0</v>
      </c>
      <c r="J3086" t="str">
        <f>_xlfn.XLOOKUP(H3086, Fact_Events!$A$2:$A$20, Fact_Events!$F$2:$F$20, "")</f>
        <v/>
      </c>
      <c r="K3086" t="str">
        <f t="shared" si="390"/>
        <v>Low</v>
      </c>
      <c r="L3086">
        <f t="shared" si="391"/>
        <v>0.55000000000000004</v>
      </c>
      <c r="M3086">
        <f>_xlfn.XLOOKUP(B3086, Dim_Hotel!$A$2:$A$11, Dim_Hotel!$I$2:$I$11)
 + (IF(J3086="",0,J3086)
    * _xlfn.XLOOKUP(B3086, Dim_Hotel!$A$2:$A$11, Dim_Hotel!$J$2:$J$11))</f>
        <v>82</v>
      </c>
    </row>
    <row r="3087" spans="1:13" x14ac:dyDescent="0.25">
      <c r="A3087" s="1">
        <f t="shared" si="384"/>
        <v>46331</v>
      </c>
      <c r="B3087" t="str" cm="1">
        <f t="array" ref="B3087">INDEX(HotelList,MOD(ROW()-2,10)+1)</f>
        <v>H006</v>
      </c>
      <c r="C3087">
        <f>_xlfn.XLOOKUP(B3087,Dim_Hotel!$A$2:$A$11,Dim_Hotel!$F$2:$F$11)</f>
        <v>311</v>
      </c>
      <c r="D3087">
        <f t="shared" si="385"/>
        <v>171</v>
      </c>
      <c r="E3087">
        <f t="shared" si="386"/>
        <v>0.54983922829581988</v>
      </c>
      <c r="F3087">
        <f t="shared" si="387"/>
        <v>190</v>
      </c>
      <c r="G3087">
        <f t="shared" si="388"/>
        <v>104.46945337620578</v>
      </c>
      <c r="H3087" t="str">
        <f>_xlfn.XLOOKUP(A3087,Fact_Events!$D$2:$D$20,Fact_Events!$A$2:$A$20, "")</f>
        <v/>
      </c>
      <c r="I3087">
        <f t="shared" si="389"/>
        <v>0</v>
      </c>
      <c r="J3087" t="str">
        <f>_xlfn.XLOOKUP(H3087, Fact_Events!$A$2:$A$20, Fact_Events!$F$2:$F$20, "")</f>
        <v/>
      </c>
      <c r="K3087" t="str">
        <f t="shared" si="390"/>
        <v>Low</v>
      </c>
      <c r="L3087">
        <f t="shared" si="391"/>
        <v>0.55000000000000004</v>
      </c>
      <c r="M3087">
        <f>_xlfn.XLOOKUP(B3087, Dim_Hotel!$A$2:$A$11, Dim_Hotel!$I$2:$I$11)
 + (IF(J3087="",0,J3087)
    * _xlfn.XLOOKUP(B3087, Dim_Hotel!$A$2:$A$11, Dim_Hotel!$J$2:$J$11))</f>
        <v>190</v>
      </c>
    </row>
    <row r="3088" spans="1:13" x14ac:dyDescent="0.25">
      <c r="A3088" s="1">
        <f t="shared" si="384"/>
        <v>46331</v>
      </c>
      <c r="B3088" t="str" cm="1">
        <f t="array" ref="B3088">INDEX(HotelList,MOD(ROW()-2,10)+1)</f>
        <v>H007</v>
      </c>
      <c r="C3088">
        <f>_xlfn.XLOOKUP(B3088,Dim_Hotel!$A$2:$A$11,Dim_Hotel!$F$2:$F$11)</f>
        <v>132</v>
      </c>
      <c r="D3088">
        <f t="shared" si="385"/>
        <v>73</v>
      </c>
      <c r="E3088">
        <f t="shared" si="386"/>
        <v>0.55303030303030298</v>
      </c>
      <c r="F3088">
        <f t="shared" si="387"/>
        <v>165</v>
      </c>
      <c r="G3088">
        <f t="shared" si="388"/>
        <v>91.249999999999986</v>
      </c>
      <c r="H3088" t="str">
        <f>_xlfn.XLOOKUP(A3088,Fact_Events!$D$2:$D$20,Fact_Events!$A$2:$A$20, "")</f>
        <v/>
      </c>
      <c r="I3088">
        <f t="shared" si="389"/>
        <v>0</v>
      </c>
      <c r="J3088" t="str">
        <f>_xlfn.XLOOKUP(H3088, Fact_Events!$A$2:$A$20, Fact_Events!$F$2:$F$20, "")</f>
        <v/>
      </c>
      <c r="K3088" t="str">
        <f t="shared" si="390"/>
        <v>Low</v>
      </c>
      <c r="L3088">
        <f t="shared" si="391"/>
        <v>0.55000000000000004</v>
      </c>
      <c r="M3088">
        <f>_xlfn.XLOOKUP(B3088, Dim_Hotel!$A$2:$A$11, Dim_Hotel!$I$2:$I$11)
 + (IF(J3088="",0,J3088)
    * _xlfn.XLOOKUP(B3088, Dim_Hotel!$A$2:$A$11, Dim_Hotel!$J$2:$J$11))</f>
        <v>165</v>
      </c>
    </row>
    <row r="3089" spans="1:13" x14ac:dyDescent="0.25">
      <c r="A3089" s="1">
        <f t="shared" si="384"/>
        <v>46331</v>
      </c>
      <c r="B3089" t="str" cm="1">
        <f t="array" ref="B3089">INDEX(HotelList,MOD(ROW()-2,10)+1)</f>
        <v>H008</v>
      </c>
      <c r="C3089">
        <f>_xlfn.XLOOKUP(B3089,Dim_Hotel!$A$2:$A$11,Dim_Hotel!$F$2:$F$11)</f>
        <v>103</v>
      </c>
      <c r="D3089">
        <f t="shared" si="385"/>
        <v>57</v>
      </c>
      <c r="E3089">
        <f t="shared" si="386"/>
        <v>0.55339805825242716</v>
      </c>
      <c r="F3089">
        <f t="shared" si="387"/>
        <v>140</v>
      </c>
      <c r="G3089">
        <f t="shared" si="388"/>
        <v>77.475728155339809</v>
      </c>
      <c r="H3089" t="str">
        <f>_xlfn.XLOOKUP(A3089,Fact_Events!$D$2:$D$20,Fact_Events!$A$2:$A$20, "")</f>
        <v/>
      </c>
      <c r="I3089">
        <f t="shared" si="389"/>
        <v>0</v>
      </c>
      <c r="J3089" t="str">
        <f>_xlfn.XLOOKUP(H3089, Fact_Events!$A$2:$A$20, Fact_Events!$F$2:$F$20, "")</f>
        <v/>
      </c>
      <c r="K3089" t="str">
        <f t="shared" si="390"/>
        <v>Low</v>
      </c>
      <c r="L3089">
        <f t="shared" si="391"/>
        <v>0.55000000000000004</v>
      </c>
      <c r="M3089">
        <f>_xlfn.XLOOKUP(B3089, Dim_Hotel!$A$2:$A$11, Dim_Hotel!$I$2:$I$11)
 + (IF(J3089="",0,J3089)
    * _xlfn.XLOOKUP(B3089, Dim_Hotel!$A$2:$A$11, Dim_Hotel!$J$2:$J$11))</f>
        <v>140</v>
      </c>
    </row>
    <row r="3090" spans="1:13" x14ac:dyDescent="0.25">
      <c r="A3090" s="1">
        <f t="shared" si="384"/>
        <v>46331</v>
      </c>
      <c r="B3090" t="str" cm="1">
        <f t="array" ref="B3090">INDEX(HotelList,MOD(ROW()-2,10)+1)</f>
        <v>H009</v>
      </c>
      <c r="C3090">
        <f>_xlfn.XLOOKUP(B3090,Dim_Hotel!$A$2:$A$11,Dim_Hotel!$F$2:$F$11)</f>
        <v>114</v>
      </c>
      <c r="D3090">
        <f t="shared" si="385"/>
        <v>63</v>
      </c>
      <c r="E3090">
        <f t="shared" si="386"/>
        <v>0.55263157894736847</v>
      </c>
      <c r="F3090">
        <f t="shared" si="387"/>
        <v>185</v>
      </c>
      <c r="G3090">
        <f t="shared" si="388"/>
        <v>102.23684210526316</v>
      </c>
      <c r="H3090" t="str">
        <f>_xlfn.XLOOKUP(A3090,Fact_Events!$D$2:$D$20,Fact_Events!$A$2:$A$20, "")</f>
        <v/>
      </c>
      <c r="I3090">
        <f t="shared" si="389"/>
        <v>0</v>
      </c>
      <c r="J3090" t="str">
        <f>_xlfn.XLOOKUP(H3090, Fact_Events!$A$2:$A$20, Fact_Events!$F$2:$F$20, "")</f>
        <v/>
      </c>
      <c r="K3090" t="str">
        <f t="shared" si="390"/>
        <v>Low</v>
      </c>
      <c r="L3090">
        <f t="shared" si="391"/>
        <v>0.55000000000000004</v>
      </c>
      <c r="M3090">
        <f>_xlfn.XLOOKUP(B3090, Dim_Hotel!$A$2:$A$11, Dim_Hotel!$I$2:$I$11)
 + (IF(J3090="",0,J3090)
    * _xlfn.XLOOKUP(B3090, Dim_Hotel!$A$2:$A$11, Dim_Hotel!$J$2:$J$11))</f>
        <v>185</v>
      </c>
    </row>
    <row r="3091" spans="1:13" x14ac:dyDescent="0.25">
      <c r="A3091" s="1">
        <f t="shared" si="384"/>
        <v>46331</v>
      </c>
      <c r="B3091" t="str" cm="1">
        <f t="array" ref="B3091">INDEX(HotelList,MOD(ROW()-2,10)+1)</f>
        <v>H010</v>
      </c>
      <c r="C3091">
        <f>_xlfn.XLOOKUP(B3091,Dim_Hotel!$A$2:$A$11,Dim_Hotel!$F$2:$F$11)</f>
        <v>89</v>
      </c>
      <c r="D3091">
        <f t="shared" si="385"/>
        <v>49</v>
      </c>
      <c r="E3091">
        <f t="shared" si="386"/>
        <v>0.550561797752809</v>
      </c>
      <c r="F3091">
        <f t="shared" si="387"/>
        <v>150</v>
      </c>
      <c r="G3091">
        <f t="shared" si="388"/>
        <v>82.584269662921344</v>
      </c>
      <c r="H3091" t="str">
        <f>_xlfn.XLOOKUP(A3091,Fact_Events!$D$2:$D$20,Fact_Events!$A$2:$A$20, "")</f>
        <v/>
      </c>
      <c r="I3091">
        <f t="shared" si="389"/>
        <v>0</v>
      </c>
      <c r="J3091" t="str">
        <f>_xlfn.XLOOKUP(H3091, Fact_Events!$A$2:$A$20, Fact_Events!$F$2:$F$20, "")</f>
        <v/>
      </c>
      <c r="K3091" t="str">
        <f t="shared" si="390"/>
        <v>Low</v>
      </c>
      <c r="L3091">
        <f t="shared" si="391"/>
        <v>0.55000000000000004</v>
      </c>
      <c r="M3091">
        <f>_xlfn.XLOOKUP(B3091, Dim_Hotel!$A$2:$A$11, Dim_Hotel!$I$2:$I$11)
 + (IF(J3091="",0,J3091)
    * _xlfn.XLOOKUP(B3091, Dim_Hotel!$A$2:$A$11, Dim_Hotel!$J$2:$J$11))</f>
        <v>150</v>
      </c>
    </row>
    <row r="3092" spans="1:13" x14ac:dyDescent="0.25">
      <c r="A3092" s="1">
        <f t="shared" si="384"/>
        <v>46332</v>
      </c>
      <c r="B3092" t="str" cm="1">
        <f t="array" ref="B3092">INDEX(HotelList,MOD(ROW()-2,10)+1)</f>
        <v>H001</v>
      </c>
      <c r="C3092">
        <f>_xlfn.XLOOKUP(B3092,Dim_Hotel!$A$2:$A$11,Dim_Hotel!$F$2:$F$11)</f>
        <v>888</v>
      </c>
      <c r="D3092">
        <f t="shared" si="385"/>
        <v>488</v>
      </c>
      <c r="E3092">
        <f t="shared" si="386"/>
        <v>0.5495495495495496</v>
      </c>
      <c r="F3092">
        <f t="shared" si="387"/>
        <v>260</v>
      </c>
      <c r="G3092">
        <f t="shared" si="388"/>
        <v>142.88288288288288</v>
      </c>
      <c r="H3092" t="str">
        <f>_xlfn.XLOOKUP(A3092,Fact_Events!$D$2:$D$20,Fact_Events!$A$2:$A$20, "")</f>
        <v/>
      </c>
      <c r="I3092">
        <f t="shared" si="389"/>
        <v>0</v>
      </c>
      <c r="J3092" t="str">
        <f>_xlfn.XLOOKUP(H3092, Fact_Events!$A$2:$A$20, Fact_Events!$F$2:$F$20, "")</f>
        <v/>
      </c>
      <c r="K3092" t="str">
        <f t="shared" si="390"/>
        <v>Low</v>
      </c>
      <c r="L3092">
        <f t="shared" si="391"/>
        <v>0.55000000000000004</v>
      </c>
      <c r="M3092">
        <f>_xlfn.XLOOKUP(B3092, Dim_Hotel!$A$2:$A$11, Dim_Hotel!$I$2:$I$11)
 + (IF(J3092="",0,J3092)
    * _xlfn.XLOOKUP(B3092, Dim_Hotel!$A$2:$A$11, Dim_Hotel!$J$2:$J$11))</f>
        <v>260</v>
      </c>
    </row>
    <row r="3093" spans="1:13" x14ac:dyDescent="0.25">
      <c r="A3093" s="1">
        <f t="shared" si="384"/>
        <v>46332</v>
      </c>
      <c r="B3093" t="str" cm="1">
        <f t="array" ref="B3093">INDEX(HotelList,MOD(ROW()-2,10)+1)</f>
        <v>H002</v>
      </c>
      <c r="C3093">
        <f>_xlfn.XLOOKUP(B3093,Dim_Hotel!$A$2:$A$11,Dim_Hotel!$F$2:$F$11)</f>
        <v>147</v>
      </c>
      <c r="D3093">
        <f t="shared" si="385"/>
        <v>81</v>
      </c>
      <c r="E3093">
        <f t="shared" si="386"/>
        <v>0.55102040816326525</v>
      </c>
      <c r="F3093">
        <f t="shared" si="387"/>
        <v>175</v>
      </c>
      <c r="G3093">
        <f t="shared" si="388"/>
        <v>96.428571428571416</v>
      </c>
      <c r="H3093" t="str">
        <f>_xlfn.XLOOKUP(A3093,Fact_Events!$D$2:$D$20,Fact_Events!$A$2:$A$20, "")</f>
        <v/>
      </c>
      <c r="I3093">
        <f t="shared" si="389"/>
        <v>0</v>
      </c>
      <c r="J3093" t="str">
        <f>_xlfn.XLOOKUP(H3093, Fact_Events!$A$2:$A$20, Fact_Events!$F$2:$F$20, "")</f>
        <v/>
      </c>
      <c r="K3093" t="str">
        <f t="shared" si="390"/>
        <v>Low</v>
      </c>
      <c r="L3093">
        <f t="shared" si="391"/>
        <v>0.55000000000000004</v>
      </c>
      <c r="M3093">
        <f>_xlfn.XLOOKUP(B3093, Dim_Hotel!$A$2:$A$11, Dim_Hotel!$I$2:$I$11)
 + (IF(J3093="",0,J3093)
    * _xlfn.XLOOKUP(B3093, Dim_Hotel!$A$2:$A$11, Dim_Hotel!$J$2:$J$11))</f>
        <v>175</v>
      </c>
    </row>
    <row r="3094" spans="1:13" x14ac:dyDescent="0.25">
      <c r="A3094" s="1">
        <f t="shared" si="384"/>
        <v>46332</v>
      </c>
      <c r="B3094" t="str" cm="1">
        <f t="array" ref="B3094">INDEX(HotelList,MOD(ROW()-2,10)+1)</f>
        <v>H003</v>
      </c>
      <c r="C3094">
        <f>_xlfn.XLOOKUP(B3094,Dim_Hotel!$A$2:$A$11,Dim_Hotel!$F$2:$F$11)</f>
        <v>121</v>
      </c>
      <c r="D3094">
        <f t="shared" si="385"/>
        <v>67</v>
      </c>
      <c r="E3094">
        <f t="shared" si="386"/>
        <v>0.55371900826446285</v>
      </c>
      <c r="F3094">
        <f t="shared" si="387"/>
        <v>145</v>
      </c>
      <c r="G3094">
        <f t="shared" si="388"/>
        <v>80.289256198347118</v>
      </c>
      <c r="H3094" t="str">
        <f>_xlfn.XLOOKUP(A3094,Fact_Events!$D$2:$D$20,Fact_Events!$A$2:$A$20, "")</f>
        <v/>
      </c>
      <c r="I3094">
        <f t="shared" si="389"/>
        <v>0</v>
      </c>
      <c r="J3094" t="str">
        <f>_xlfn.XLOOKUP(H3094, Fact_Events!$A$2:$A$20, Fact_Events!$F$2:$F$20, "")</f>
        <v/>
      </c>
      <c r="K3094" t="str">
        <f t="shared" si="390"/>
        <v>Low</v>
      </c>
      <c r="L3094">
        <f t="shared" si="391"/>
        <v>0.55000000000000004</v>
      </c>
      <c r="M3094">
        <f>_xlfn.XLOOKUP(B3094, Dim_Hotel!$A$2:$A$11, Dim_Hotel!$I$2:$I$11)
 + (IF(J3094="",0,J3094)
    * _xlfn.XLOOKUP(B3094, Dim_Hotel!$A$2:$A$11, Dim_Hotel!$J$2:$J$11))</f>
        <v>145</v>
      </c>
    </row>
    <row r="3095" spans="1:13" x14ac:dyDescent="0.25">
      <c r="A3095" s="1">
        <f t="shared" si="384"/>
        <v>46332</v>
      </c>
      <c r="B3095" t="str" cm="1">
        <f t="array" ref="B3095">INDEX(HotelList,MOD(ROW()-2,10)+1)</f>
        <v>H004</v>
      </c>
      <c r="C3095">
        <f>_xlfn.XLOOKUP(B3095,Dim_Hotel!$A$2:$A$11,Dim_Hotel!$F$2:$F$11)</f>
        <v>108</v>
      </c>
      <c r="D3095">
        <f t="shared" si="385"/>
        <v>59</v>
      </c>
      <c r="E3095">
        <f t="shared" si="386"/>
        <v>0.54629629629629628</v>
      </c>
      <c r="F3095">
        <f t="shared" si="387"/>
        <v>135</v>
      </c>
      <c r="G3095">
        <f t="shared" si="388"/>
        <v>73.75</v>
      </c>
      <c r="H3095" t="str">
        <f>_xlfn.XLOOKUP(A3095,Fact_Events!$D$2:$D$20,Fact_Events!$A$2:$A$20, "")</f>
        <v/>
      </c>
      <c r="I3095">
        <f t="shared" si="389"/>
        <v>0</v>
      </c>
      <c r="J3095" t="str">
        <f>_xlfn.XLOOKUP(H3095, Fact_Events!$A$2:$A$20, Fact_Events!$F$2:$F$20, "")</f>
        <v/>
      </c>
      <c r="K3095" t="str">
        <f t="shared" si="390"/>
        <v>Low</v>
      </c>
      <c r="L3095">
        <f t="shared" si="391"/>
        <v>0.55000000000000004</v>
      </c>
      <c r="M3095">
        <f>_xlfn.XLOOKUP(B3095, Dim_Hotel!$A$2:$A$11, Dim_Hotel!$I$2:$I$11)
 + (IF(J3095="",0,J3095)
    * _xlfn.XLOOKUP(B3095, Dim_Hotel!$A$2:$A$11, Dim_Hotel!$J$2:$J$11))</f>
        <v>135</v>
      </c>
    </row>
    <row r="3096" spans="1:13" x14ac:dyDescent="0.25">
      <c r="A3096" s="1">
        <f t="shared" si="384"/>
        <v>46332</v>
      </c>
      <c r="B3096" t="str" cm="1">
        <f t="array" ref="B3096">INDEX(HotelList,MOD(ROW()-2,10)+1)</f>
        <v>H005</v>
      </c>
      <c r="C3096">
        <f>_xlfn.XLOOKUP(B3096,Dim_Hotel!$A$2:$A$11,Dim_Hotel!$F$2:$F$11)</f>
        <v>66</v>
      </c>
      <c r="D3096">
        <f t="shared" si="385"/>
        <v>36</v>
      </c>
      <c r="E3096">
        <f t="shared" si="386"/>
        <v>0.54545454545454541</v>
      </c>
      <c r="F3096">
        <f t="shared" si="387"/>
        <v>82</v>
      </c>
      <c r="G3096">
        <f t="shared" si="388"/>
        <v>44.727272727272727</v>
      </c>
      <c r="H3096" t="str">
        <f>_xlfn.XLOOKUP(A3096,Fact_Events!$D$2:$D$20,Fact_Events!$A$2:$A$20, "")</f>
        <v/>
      </c>
      <c r="I3096">
        <f t="shared" si="389"/>
        <v>0</v>
      </c>
      <c r="J3096" t="str">
        <f>_xlfn.XLOOKUP(H3096, Fact_Events!$A$2:$A$20, Fact_Events!$F$2:$F$20, "")</f>
        <v/>
      </c>
      <c r="K3096" t="str">
        <f t="shared" si="390"/>
        <v>Low</v>
      </c>
      <c r="L3096">
        <f t="shared" si="391"/>
        <v>0.55000000000000004</v>
      </c>
      <c r="M3096">
        <f>_xlfn.XLOOKUP(B3096, Dim_Hotel!$A$2:$A$11, Dim_Hotel!$I$2:$I$11)
 + (IF(J3096="",0,J3096)
    * _xlfn.XLOOKUP(B3096, Dim_Hotel!$A$2:$A$11, Dim_Hotel!$J$2:$J$11))</f>
        <v>82</v>
      </c>
    </row>
    <row r="3097" spans="1:13" x14ac:dyDescent="0.25">
      <c r="A3097" s="1">
        <f t="shared" si="384"/>
        <v>46332</v>
      </c>
      <c r="B3097" t="str" cm="1">
        <f t="array" ref="B3097">INDEX(HotelList,MOD(ROW()-2,10)+1)</f>
        <v>H006</v>
      </c>
      <c r="C3097">
        <f>_xlfn.XLOOKUP(B3097,Dim_Hotel!$A$2:$A$11,Dim_Hotel!$F$2:$F$11)</f>
        <v>311</v>
      </c>
      <c r="D3097">
        <f t="shared" si="385"/>
        <v>171</v>
      </c>
      <c r="E3097">
        <f t="shared" si="386"/>
        <v>0.54983922829581988</v>
      </c>
      <c r="F3097">
        <f t="shared" si="387"/>
        <v>190</v>
      </c>
      <c r="G3097">
        <f t="shared" si="388"/>
        <v>104.46945337620578</v>
      </c>
      <c r="H3097" t="str">
        <f>_xlfn.XLOOKUP(A3097,Fact_Events!$D$2:$D$20,Fact_Events!$A$2:$A$20, "")</f>
        <v/>
      </c>
      <c r="I3097">
        <f t="shared" si="389"/>
        <v>0</v>
      </c>
      <c r="J3097" t="str">
        <f>_xlfn.XLOOKUP(H3097, Fact_Events!$A$2:$A$20, Fact_Events!$F$2:$F$20, "")</f>
        <v/>
      </c>
      <c r="K3097" t="str">
        <f t="shared" si="390"/>
        <v>Low</v>
      </c>
      <c r="L3097">
        <f t="shared" si="391"/>
        <v>0.55000000000000004</v>
      </c>
      <c r="M3097">
        <f>_xlfn.XLOOKUP(B3097, Dim_Hotel!$A$2:$A$11, Dim_Hotel!$I$2:$I$11)
 + (IF(J3097="",0,J3097)
    * _xlfn.XLOOKUP(B3097, Dim_Hotel!$A$2:$A$11, Dim_Hotel!$J$2:$J$11))</f>
        <v>190</v>
      </c>
    </row>
    <row r="3098" spans="1:13" x14ac:dyDescent="0.25">
      <c r="A3098" s="1">
        <f t="shared" si="384"/>
        <v>46332</v>
      </c>
      <c r="B3098" t="str" cm="1">
        <f t="array" ref="B3098">INDEX(HotelList,MOD(ROW()-2,10)+1)</f>
        <v>H007</v>
      </c>
      <c r="C3098">
        <f>_xlfn.XLOOKUP(B3098,Dim_Hotel!$A$2:$A$11,Dim_Hotel!$F$2:$F$11)</f>
        <v>132</v>
      </c>
      <c r="D3098">
        <f t="shared" si="385"/>
        <v>73</v>
      </c>
      <c r="E3098">
        <f t="shared" si="386"/>
        <v>0.55303030303030298</v>
      </c>
      <c r="F3098">
        <f t="shared" si="387"/>
        <v>165</v>
      </c>
      <c r="G3098">
        <f t="shared" si="388"/>
        <v>91.249999999999986</v>
      </c>
      <c r="H3098" t="str">
        <f>_xlfn.XLOOKUP(A3098,Fact_Events!$D$2:$D$20,Fact_Events!$A$2:$A$20, "")</f>
        <v/>
      </c>
      <c r="I3098">
        <f t="shared" si="389"/>
        <v>0</v>
      </c>
      <c r="J3098" t="str">
        <f>_xlfn.XLOOKUP(H3098, Fact_Events!$A$2:$A$20, Fact_Events!$F$2:$F$20, "")</f>
        <v/>
      </c>
      <c r="K3098" t="str">
        <f t="shared" si="390"/>
        <v>Low</v>
      </c>
      <c r="L3098">
        <f t="shared" si="391"/>
        <v>0.55000000000000004</v>
      </c>
      <c r="M3098">
        <f>_xlfn.XLOOKUP(B3098, Dim_Hotel!$A$2:$A$11, Dim_Hotel!$I$2:$I$11)
 + (IF(J3098="",0,J3098)
    * _xlfn.XLOOKUP(B3098, Dim_Hotel!$A$2:$A$11, Dim_Hotel!$J$2:$J$11))</f>
        <v>165</v>
      </c>
    </row>
    <row r="3099" spans="1:13" x14ac:dyDescent="0.25">
      <c r="A3099" s="1">
        <f t="shared" si="384"/>
        <v>46332</v>
      </c>
      <c r="B3099" t="str" cm="1">
        <f t="array" ref="B3099">INDEX(HotelList,MOD(ROW()-2,10)+1)</f>
        <v>H008</v>
      </c>
      <c r="C3099">
        <f>_xlfn.XLOOKUP(B3099,Dim_Hotel!$A$2:$A$11,Dim_Hotel!$F$2:$F$11)</f>
        <v>103</v>
      </c>
      <c r="D3099">
        <f t="shared" si="385"/>
        <v>57</v>
      </c>
      <c r="E3099">
        <f t="shared" si="386"/>
        <v>0.55339805825242716</v>
      </c>
      <c r="F3099">
        <f t="shared" si="387"/>
        <v>140</v>
      </c>
      <c r="G3099">
        <f t="shared" si="388"/>
        <v>77.475728155339809</v>
      </c>
      <c r="H3099" t="str">
        <f>_xlfn.XLOOKUP(A3099,Fact_Events!$D$2:$D$20,Fact_Events!$A$2:$A$20, "")</f>
        <v/>
      </c>
      <c r="I3099">
        <f t="shared" si="389"/>
        <v>0</v>
      </c>
      <c r="J3099" t="str">
        <f>_xlfn.XLOOKUP(H3099, Fact_Events!$A$2:$A$20, Fact_Events!$F$2:$F$20, "")</f>
        <v/>
      </c>
      <c r="K3099" t="str">
        <f t="shared" si="390"/>
        <v>Low</v>
      </c>
      <c r="L3099">
        <f t="shared" si="391"/>
        <v>0.55000000000000004</v>
      </c>
      <c r="M3099">
        <f>_xlfn.XLOOKUP(B3099, Dim_Hotel!$A$2:$A$11, Dim_Hotel!$I$2:$I$11)
 + (IF(J3099="",0,J3099)
    * _xlfn.XLOOKUP(B3099, Dim_Hotel!$A$2:$A$11, Dim_Hotel!$J$2:$J$11))</f>
        <v>140</v>
      </c>
    </row>
    <row r="3100" spans="1:13" x14ac:dyDescent="0.25">
      <c r="A3100" s="1">
        <f t="shared" si="384"/>
        <v>46332</v>
      </c>
      <c r="B3100" t="str" cm="1">
        <f t="array" ref="B3100">INDEX(HotelList,MOD(ROW()-2,10)+1)</f>
        <v>H009</v>
      </c>
      <c r="C3100">
        <f>_xlfn.XLOOKUP(B3100,Dim_Hotel!$A$2:$A$11,Dim_Hotel!$F$2:$F$11)</f>
        <v>114</v>
      </c>
      <c r="D3100">
        <f t="shared" si="385"/>
        <v>63</v>
      </c>
      <c r="E3100">
        <f t="shared" si="386"/>
        <v>0.55263157894736847</v>
      </c>
      <c r="F3100">
        <f t="shared" si="387"/>
        <v>185</v>
      </c>
      <c r="G3100">
        <f t="shared" si="388"/>
        <v>102.23684210526316</v>
      </c>
      <c r="H3100" t="str">
        <f>_xlfn.XLOOKUP(A3100,Fact_Events!$D$2:$D$20,Fact_Events!$A$2:$A$20, "")</f>
        <v/>
      </c>
      <c r="I3100">
        <f t="shared" si="389"/>
        <v>0</v>
      </c>
      <c r="J3100" t="str">
        <f>_xlfn.XLOOKUP(H3100, Fact_Events!$A$2:$A$20, Fact_Events!$F$2:$F$20, "")</f>
        <v/>
      </c>
      <c r="K3100" t="str">
        <f t="shared" si="390"/>
        <v>Low</v>
      </c>
      <c r="L3100">
        <f t="shared" si="391"/>
        <v>0.55000000000000004</v>
      </c>
      <c r="M3100">
        <f>_xlfn.XLOOKUP(B3100, Dim_Hotel!$A$2:$A$11, Dim_Hotel!$I$2:$I$11)
 + (IF(J3100="",0,J3100)
    * _xlfn.XLOOKUP(B3100, Dim_Hotel!$A$2:$A$11, Dim_Hotel!$J$2:$J$11))</f>
        <v>185</v>
      </c>
    </row>
    <row r="3101" spans="1:13" x14ac:dyDescent="0.25">
      <c r="A3101" s="1">
        <f t="shared" si="384"/>
        <v>46332</v>
      </c>
      <c r="B3101" t="str" cm="1">
        <f t="array" ref="B3101">INDEX(HotelList,MOD(ROW()-2,10)+1)</f>
        <v>H010</v>
      </c>
      <c r="C3101">
        <f>_xlfn.XLOOKUP(B3101,Dim_Hotel!$A$2:$A$11,Dim_Hotel!$F$2:$F$11)</f>
        <v>89</v>
      </c>
      <c r="D3101">
        <f t="shared" si="385"/>
        <v>49</v>
      </c>
      <c r="E3101">
        <f t="shared" si="386"/>
        <v>0.550561797752809</v>
      </c>
      <c r="F3101">
        <f t="shared" si="387"/>
        <v>150</v>
      </c>
      <c r="G3101">
        <f t="shared" si="388"/>
        <v>82.584269662921344</v>
      </c>
      <c r="H3101" t="str">
        <f>_xlfn.XLOOKUP(A3101,Fact_Events!$D$2:$D$20,Fact_Events!$A$2:$A$20, "")</f>
        <v/>
      </c>
      <c r="I3101">
        <f t="shared" si="389"/>
        <v>0</v>
      </c>
      <c r="J3101" t="str">
        <f>_xlfn.XLOOKUP(H3101, Fact_Events!$A$2:$A$20, Fact_Events!$F$2:$F$20, "")</f>
        <v/>
      </c>
      <c r="K3101" t="str">
        <f t="shared" si="390"/>
        <v>Low</v>
      </c>
      <c r="L3101">
        <f t="shared" si="391"/>
        <v>0.55000000000000004</v>
      </c>
      <c r="M3101">
        <f>_xlfn.XLOOKUP(B3101, Dim_Hotel!$A$2:$A$11, Dim_Hotel!$I$2:$I$11)
 + (IF(J3101="",0,J3101)
    * _xlfn.XLOOKUP(B3101, Dim_Hotel!$A$2:$A$11, Dim_Hotel!$J$2:$J$11))</f>
        <v>150</v>
      </c>
    </row>
    <row r="3102" spans="1:13" x14ac:dyDescent="0.25">
      <c r="A3102" s="1">
        <f t="shared" si="384"/>
        <v>46333</v>
      </c>
      <c r="B3102" t="str" cm="1">
        <f t="array" ref="B3102">INDEX(HotelList,MOD(ROW()-2,10)+1)</f>
        <v>H001</v>
      </c>
      <c r="C3102">
        <f>_xlfn.XLOOKUP(B3102,Dim_Hotel!$A$2:$A$11,Dim_Hotel!$F$2:$F$11)</f>
        <v>888</v>
      </c>
      <c r="D3102">
        <f t="shared" si="385"/>
        <v>488</v>
      </c>
      <c r="E3102">
        <f t="shared" si="386"/>
        <v>0.5495495495495496</v>
      </c>
      <c r="F3102">
        <f t="shared" si="387"/>
        <v>260</v>
      </c>
      <c r="G3102">
        <f t="shared" si="388"/>
        <v>142.88288288288288</v>
      </c>
      <c r="H3102" t="str">
        <f>_xlfn.XLOOKUP(A3102,Fact_Events!$D$2:$D$20,Fact_Events!$A$2:$A$20, "")</f>
        <v/>
      </c>
      <c r="I3102">
        <f t="shared" si="389"/>
        <v>0</v>
      </c>
      <c r="J3102" t="str">
        <f>_xlfn.XLOOKUP(H3102, Fact_Events!$A$2:$A$20, Fact_Events!$F$2:$F$20, "")</f>
        <v/>
      </c>
      <c r="K3102" t="str">
        <f t="shared" si="390"/>
        <v>Low</v>
      </c>
      <c r="L3102">
        <f t="shared" si="391"/>
        <v>0.55000000000000004</v>
      </c>
      <c r="M3102">
        <f>_xlfn.XLOOKUP(B3102, Dim_Hotel!$A$2:$A$11, Dim_Hotel!$I$2:$I$11)
 + (IF(J3102="",0,J3102)
    * _xlfn.XLOOKUP(B3102, Dim_Hotel!$A$2:$A$11, Dim_Hotel!$J$2:$J$11))</f>
        <v>260</v>
      </c>
    </row>
    <row r="3103" spans="1:13" x14ac:dyDescent="0.25">
      <c r="A3103" s="1">
        <f t="shared" si="384"/>
        <v>46333</v>
      </c>
      <c r="B3103" t="str" cm="1">
        <f t="array" ref="B3103">INDEX(HotelList,MOD(ROW()-2,10)+1)</f>
        <v>H002</v>
      </c>
      <c r="C3103">
        <f>_xlfn.XLOOKUP(B3103,Dim_Hotel!$A$2:$A$11,Dim_Hotel!$F$2:$F$11)</f>
        <v>147</v>
      </c>
      <c r="D3103">
        <f t="shared" si="385"/>
        <v>81</v>
      </c>
      <c r="E3103">
        <f t="shared" si="386"/>
        <v>0.55102040816326525</v>
      </c>
      <c r="F3103">
        <f t="shared" si="387"/>
        <v>175</v>
      </c>
      <c r="G3103">
        <f t="shared" si="388"/>
        <v>96.428571428571416</v>
      </c>
      <c r="H3103" t="str">
        <f>_xlfn.XLOOKUP(A3103,Fact_Events!$D$2:$D$20,Fact_Events!$A$2:$A$20, "")</f>
        <v/>
      </c>
      <c r="I3103">
        <f t="shared" si="389"/>
        <v>0</v>
      </c>
      <c r="J3103" t="str">
        <f>_xlfn.XLOOKUP(H3103, Fact_Events!$A$2:$A$20, Fact_Events!$F$2:$F$20, "")</f>
        <v/>
      </c>
      <c r="K3103" t="str">
        <f t="shared" si="390"/>
        <v>Low</v>
      </c>
      <c r="L3103">
        <f t="shared" si="391"/>
        <v>0.55000000000000004</v>
      </c>
      <c r="M3103">
        <f>_xlfn.XLOOKUP(B3103, Dim_Hotel!$A$2:$A$11, Dim_Hotel!$I$2:$I$11)
 + (IF(J3103="",0,J3103)
    * _xlfn.XLOOKUP(B3103, Dim_Hotel!$A$2:$A$11, Dim_Hotel!$J$2:$J$11))</f>
        <v>175</v>
      </c>
    </row>
    <row r="3104" spans="1:13" x14ac:dyDescent="0.25">
      <c r="A3104" s="1">
        <f t="shared" si="384"/>
        <v>46333</v>
      </c>
      <c r="B3104" t="str" cm="1">
        <f t="array" ref="B3104">INDEX(HotelList,MOD(ROW()-2,10)+1)</f>
        <v>H003</v>
      </c>
      <c r="C3104">
        <f>_xlfn.XLOOKUP(B3104,Dim_Hotel!$A$2:$A$11,Dim_Hotel!$F$2:$F$11)</f>
        <v>121</v>
      </c>
      <c r="D3104">
        <f t="shared" si="385"/>
        <v>67</v>
      </c>
      <c r="E3104">
        <f t="shared" si="386"/>
        <v>0.55371900826446285</v>
      </c>
      <c r="F3104">
        <f t="shared" si="387"/>
        <v>145</v>
      </c>
      <c r="G3104">
        <f t="shared" si="388"/>
        <v>80.289256198347118</v>
      </c>
      <c r="H3104" t="str">
        <f>_xlfn.XLOOKUP(A3104,Fact_Events!$D$2:$D$20,Fact_Events!$A$2:$A$20, "")</f>
        <v/>
      </c>
      <c r="I3104">
        <f t="shared" si="389"/>
        <v>0</v>
      </c>
      <c r="J3104" t="str">
        <f>_xlfn.XLOOKUP(H3104, Fact_Events!$A$2:$A$20, Fact_Events!$F$2:$F$20, "")</f>
        <v/>
      </c>
      <c r="K3104" t="str">
        <f t="shared" si="390"/>
        <v>Low</v>
      </c>
      <c r="L3104">
        <f t="shared" si="391"/>
        <v>0.55000000000000004</v>
      </c>
      <c r="M3104">
        <f>_xlfn.XLOOKUP(B3104, Dim_Hotel!$A$2:$A$11, Dim_Hotel!$I$2:$I$11)
 + (IF(J3104="",0,J3104)
    * _xlfn.XLOOKUP(B3104, Dim_Hotel!$A$2:$A$11, Dim_Hotel!$J$2:$J$11))</f>
        <v>145</v>
      </c>
    </row>
    <row r="3105" spans="1:13" x14ac:dyDescent="0.25">
      <c r="A3105" s="1">
        <f t="shared" si="384"/>
        <v>46333</v>
      </c>
      <c r="B3105" t="str" cm="1">
        <f t="array" ref="B3105">INDEX(HotelList,MOD(ROW()-2,10)+1)</f>
        <v>H004</v>
      </c>
      <c r="C3105">
        <f>_xlfn.XLOOKUP(B3105,Dim_Hotel!$A$2:$A$11,Dim_Hotel!$F$2:$F$11)</f>
        <v>108</v>
      </c>
      <c r="D3105">
        <f t="shared" si="385"/>
        <v>59</v>
      </c>
      <c r="E3105">
        <f t="shared" si="386"/>
        <v>0.54629629629629628</v>
      </c>
      <c r="F3105">
        <f t="shared" si="387"/>
        <v>135</v>
      </c>
      <c r="G3105">
        <f t="shared" si="388"/>
        <v>73.75</v>
      </c>
      <c r="H3105" t="str">
        <f>_xlfn.XLOOKUP(A3105,Fact_Events!$D$2:$D$20,Fact_Events!$A$2:$A$20, "")</f>
        <v/>
      </c>
      <c r="I3105">
        <f t="shared" si="389"/>
        <v>0</v>
      </c>
      <c r="J3105" t="str">
        <f>_xlfn.XLOOKUP(H3105, Fact_Events!$A$2:$A$20, Fact_Events!$F$2:$F$20, "")</f>
        <v/>
      </c>
      <c r="K3105" t="str">
        <f t="shared" si="390"/>
        <v>Low</v>
      </c>
      <c r="L3105">
        <f t="shared" si="391"/>
        <v>0.55000000000000004</v>
      </c>
      <c r="M3105">
        <f>_xlfn.XLOOKUP(B3105, Dim_Hotel!$A$2:$A$11, Dim_Hotel!$I$2:$I$11)
 + (IF(J3105="",0,J3105)
    * _xlfn.XLOOKUP(B3105, Dim_Hotel!$A$2:$A$11, Dim_Hotel!$J$2:$J$11))</f>
        <v>135</v>
      </c>
    </row>
    <row r="3106" spans="1:13" x14ac:dyDescent="0.25">
      <c r="A3106" s="1">
        <f t="shared" si="384"/>
        <v>46333</v>
      </c>
      <c r="B3106" t="str" cm="1">
        <f t="array" ref="B3106">INDEX(HotelList,MOD(ROW()-2,10)+1)</f>
        <v>H005</v>
      </c>
      <c r="C3106">
        <f>_xlfn.XLOOKUP(B3106,Dim_Hotel!$A$2:$A$11,Dim_Hotel!$F$2:$F$11)</f>
        <v>66</v>
      </c>
      <c r="D3106">
        <f t="shared" si="385"/>
        <v>36</v>
      </c>
      <c r="E3106">
        <f t="shared" si="386"/>
        <v>0.54545454545454541</v>
      </c>
      <c r="F3106">
        <f t="shared" si="387"/>
        <v>82</v>
      </c>
      <c r="G3106">
        <f t="shared" si="388"/>
        <v>44.727272727272727</v>
      </c>
      <c r="H3106" t="str">
        <f>_xlfn.XLOOKUP(A3106,Fact_Events!$D$2:$D$20,Fact_Events!$A$2:$A$20, "")</f>
        <v/>
      </c>
      <c r="I3106">
        <f t="shared" si="389"/>
        <v>0</v>
      </c>
      <c r="J3106" t="str">
        <f>_xlfn.XLOOKUP(H3106, Fact_Events!$A$2:$A$20, Fact_Events!$F$2:$F$20, "")</f>
        <v/>
      </c>
      <c r="K3106" t="str">
        <f t="shared" si="390"/>
        <v>Low</v>
      </c>
      <c r="L3106">
        <f t="shared" si="391"/>
        <v>0.55000000000000004</v>
      </c>
      <c r="M3106">
        <f>_xlfn.XLOOKUP(B3106, Dim_Hotel!$A$2:$A$11, Dim_Hotel!$I$2:$I$11)
 + (IF(J3106="",0,J3106)
    * _xlfn.XLOOKUP(B3106, Dim_Hotel!$A$2:$A$11, Dim_Hotel!$J$2:$J$11))</f>
        <v>82</v>
      </c>
    </row>
    <row r="3107" spans="1:13" x14ac:dyDescent="0.25">
      <c r="A3107" s="1">
        <f t="shared" si="384"/>
        <v>46333</v>
      </c>
      <c r="B3107" t="str" cm="1">
        <f t="array" ref="B3107">INDEX(HotelList,MOD(ROW()-2,10)+1)</f>
        <v>H006</v>
      </c>
      <c r="C3107">
        <f>_xlfn.XLOOKUP(B3107,Dim_Hotel!$A$2:$A$11,Dim_Hotel!$F$2:$F$11)</f>
        <v>311</v>
      </c>
      <c r="D3107">
        <f t="shared" si="385"/>
        <v>171</v>
      </c>
      <c r="E3107">
        <f t="shared" si="386"/>
        <v>0.54983922829581988</v>
      </c>
      <c r="F3107">
        <f t="shared" si="387"/>
        <v>190</v>
      </c>
      <c r="G3107">
        <f t="shared" si="388"/>
        <v>104.46945337620578</v>
      </c>
      <c r="H3107" t="str">
        <f>_xlfn.XLOOKUP(A3107,Fact_Events!$D$2:$D$20,Fact_Events!$A$2:$A$20, "")</f>
        <v/>
      </c>
      <c r="I3107">
        <f t="shared" si="389"/>
        <v>0</v>
      </c>
      <c r="J3107" t="str">
        <f>_xlfn.XLOOKUP(H3107, Fact_Events!$A$2:$A$20, Fact_Events!$F$2:$F$20, "")</f>
        <v/>
      </c>
      <c r="K3107" t="str">
        <f t="shared" si="390"/>
        <v>Low</v>
      </c>
      <c r="L3107">
        <f t="shared" si="391"/>
        <v>0.55000000000000004</v>
      </c>
      <c r="M3107">
        <f>_xlfn.XLOOKUP(B3107, Dim_Hotel!$A$2:$A$11, Dim_Hotel!$I$2:$I$11)
 + (IF(J3107="",0,J3107)
    * _xlfn.XLOOKUP(B3107, Dim_Hotel!$A$2:$A$11, Dim_Hotel!$J$2:$J$11))</f>
        <v>190</v>
      </c>
    </row>
    <row r="3108" spans="1:13" x14ac:dyDescent="0.25">
      <c r="A3108" s="1">
        <f t="shared" si="384"/>
        <v>46333</v>
      </c>
      <c r="B3108" t="str" cm="1">
        <f t="array" ref="B3108">INDEX(HotelList,MOD(ROW()-2,10)+1)</f>
        <v>H007</v>
      </c>
      <c r="C3108">
        <f>_xlfn.XLOOKUP(B3108,Dim_Hotel!$A$2:$A$11,Dim_Hotel!$F$2:$F$11)</f>
        <v>132</v>
      </c>
      <c r="D3108">
        <f t="shared" si="385"/>
        <v>73</v>
      </c>
      <c r="E3108">
        <f t="shared" si="386"/>
        <v>0.55303030303030298</v>
      </c>
      <c r="F3108">
        <f t="shared" si="387"/>
        <v>165</v>
      </c>
      <c r="G3108">
        <f t="shared" si="388"/>
        <v>91.249999999999986</v>
      </c>
      <c r="H3108" t="str">
        <f>_xlfn.XLOOKUP(A3108,Fact_Events!$D$2:$D$20,Fact_Events!$A$2:$A$20, "")</f>
        <v/>
      </c>
      <c r="I3108">
        <f t="shared" si="389"/>
        <v>0</v>
      </c>
      <c r="J3108" t="str">
        <f>_xlfn.XLOOKUP(H3108, Fact_Events!$A$2:$A$20, Fact_Events!$F$2:$F$20, "")</f>
        <v/>
      </c>
      <c r="K3108" t="str">
        <f t="shared" si="390"/>
        <v>Low</v>
      </c>
      <c r="L3108">
        <f t="shared" si="391"/>
        <v>0.55000000000000004</v>
      </c>
      <c r="M3108">
        <f>_xlfn.XLOOKUP(B3108, Dim_Hotel!$A$2:$A$11, Dim_Hotel!$I$2:$I$11)
 + (IF(J3108="",0,J3108)
    * _xlfn.XLOOKUP(B3108, Dim_Hotel!$A$2:$A$11, Dim_Hotel!$J$2:$J$11))</f>
        <v>165</v>
      </c>
    </row>
    <row r="3109" spans="1:13" x14ac:dyDescent="0.25">
      <c r="A3109" s="1">
        <f t="shared" si="384"/>
        <v>46333</v>
      </c>
      <c r="B3109" t="str" cm="1">
        <f t="array" ref="B3109">INDEX(HotelList,MOD(ROW()-2,10)+1)</f>
        <v>H008</v>
      </c>
      <c r="C3109">
        <f>_xlfn.XLOOKUP(B3109,Dim_Hotel!$A$2:$A$11,Dim_Hotel!$F$2:$F$11)</f>
        <v>103</v>
      </c>
      <c r="D3109">
        <f t="shared" si="385"/>
        <v>57</v>
      </c>
      <c r="E3109">
        <f t="shared" si="386"/>
        <v>0.55339805825242716</v>
      </c>
      <c r="F3109">
        <f t="shared" si="387"/>
        <v>140</v>
      </c>
      <c r="G3109">
        <f t="shared" si="388"/>
        <v>77.475728155339809</v>
      </c>
      <c r="H3109" t="str">
        <f>_xlfn.XLOOKUP(A3109,Fact_Events!$D$2:$D$20,Fact_Events!$A$2:$A$20, "")</f>
        <v/>
      </c>
      <c r="I3109">
        <f t="shared" si="389"/>
        <v>0</v>
      </c>
      <c r="J3109" t="str">
        <f>_xlfn.XLOOKUP(H3109, Fact_Events!$A$2:$A$20, Fact_Events!$F$2:$F$20, "")</f>
        <v/>
      </c>
      <c r="K3109" t="str">
        <f t="shared" si="390"/>
        <v>Low</v>
      </c>
      <c r="L3109">
        <f t="shared" si="391"/>
        <v>0.55000000000000004</v>
      </c>
      <c r="M3109">
        <f>_xlfn.XLOOKUP(B3109, Dim_Hotel!$A$2:$A$11, Dim_Hotel!$I$2:$I$11)
 + (IF(J3109="",0,J3109)
    * _xlfn.XLOOKUP(B3109, Dim_Hotel!$A$2:$A$11, Dim_Hotel!$J$2:$J$11))</f>
        <v>140</v>
      </c>
    </row>
    <row r="3110" spans="1:13" x14ac:dyDescent="0.25">
      <c r="A3110" s="1">
        <f t="shared" si="384"/>
        <v>46333</v>
      </c>
      <c r="B3110" t="str" cm="1">
        <f t="array" ref="B3110">INDEX(HotelList,MOD(ROW()-2,10)+1)</f>
        <v>H009</v>
      </c>
      <c r="C3110">
        <f>_xlfn.XLOOKUP(B3110,Dim_Hotel!$A$2:$A$11,Dim_Hotel!$F$2:$F$11)</f>
        <v>114</v>
      </c>
      <c r="D3110">
        <f t="shared" si="385"/>
        <v>63</v>
      </c>
      <c r="E3110">
        <f t="shared" si="386"/>
        <v>0.55263157894736847</v>
      </c>
      <c r="F3110">
        <f t="shared" si="387"/>
        <v>185</v>
      </c>
      <c r="G3110">
        <f t="shared" si="388"/>
        <v>102.23684210526316</v>
      </c>
      <c r="H3110" t="str">
        <f>_xlfn.XLOOKUP(A3110,Fact_Events!$D$2:$D$20,Fact_Events!$A$2:$A$20, "")</f>
        <v/>
      </c>
      <c r="I3110">
        <f t="shared" si="389"/>
        <v>0</v>
      </c>
      <c r="J3110" t="str">
        <f>_xlfn.XLOOKUP(H3110, Fact_Events!$A$2:$A$20, Fact_Events!$F$2:$F$20, "")</f>
        <v/>
      </c>
      <c r="K3110" t="str">
        <f t="shared" si="390"/>
        <v>Low</v>
      </c>
      <c r="L3110">
        <f t="shared" si="391"/>
        <v>0.55000000000000004</v>
      </c>
      <c r="M3110">
        <f>_xlfn.XLOOKUP(B3110, Dim_Hotel!$A$2:$A$11, Dim_Hotel!$I$2:$I$11)
 + (IF(J3110="",0,J3110)
    * _xlfn.XLOOKUP(B3110, Dim_Hotel!$A$2:$A$11, Dim_Hotel!$J$2:$J$11))</f>
        <v>185</v>
      </c>
    </row>
    <row r="3111" spans="1:13" x14ac:dyDescent="0.25">
      <c r="A3111" s="1">
        <f t="shared" si="384"/>
        <v>46333</v>
      </c>
      <c r="B3111" t="str" cm="1">
        <f t="array" ref="B3111">INDEX(HotelList,MOD(ROW()-2,10)+1)</f>
        <v>H010</v>
      </c>
      <c r="C3111">
        <f>_xlfn.XLOOKUP(B3111,Dim_Hotel!$A$2:$A$11,Dim_Hotel!$F$2:$F$11)</f>
        <v>89</v>
      </c>
      <c r="D3111">
        <f t="shared" si="385"/>
        <v>49</v>
      </c>
      <c r="E3111">
        <f t="shared" si="386"/>
        <v>0.550561797752809</v>
      </c>
      <c r="F3111">
        <f t="shared" si="387"/>
        <v>150</v>
      </c>
      <c r="G3111">
        <f t="shared" si="388"/>
        <v>82.584269662921344</v>
      </c>
      <c r="H3111" t="str">
        <f>_xlfn.XLOOKUP(A3111,Fact_Events!$D$2:$D$20,Fact_Events!$A$2:$A$20, "")</f>
        <v/>
      </c>
      <c r="I3111">
        <f t="shared" si="389"/>
        <v>0</v>
      </c>
      <c r="J3111" t="str">
        <f>_xlfn.XLOOKUP(H3111, Fact_Events!$A$2:$A$20, Fact_Events!$F$2:$F$20, "")</f>
        <v/>
      </c>
      <c r="K3111" t="str">
        <f t="shared" si="390"/>
        <v>Low</v>
      </c>
      <c r="L3111">
        <f t="shared" si="391"/>
        <v>0.55000000000000004</v>
      </c>
      <c r="M3111">
        <f>_xlfn.XLOOKUP(B3111, Dim_Hotel!$A$2:$A$11, Dim_Hotel!$I$2:$I$11)
 + (IF(J3111="",0,J3111)
    * _xlfn.XLOOKUP(B3111, Dim_Hotel!$A$2:$A$11, Dim_Hotel!$J$2:$J$11))</f>
        <v>150</v>
      </c>
    </row>
    <row r="3112" spans="1:13" x14ac:dyDescent="0.25">
      <c r="A3112" s="1">
        <f t="shared" si="384"/>
        <v>46334</v>
      </c>
      <c r="B3112" t="str" cm="1">
        <f t="array" ref="B3112">INDEX(HotelList,MOD(ROW()-2,10)+1)</f>
        <v>H001</v>
      </c>
      <c r="C3112">
        <f>_xlfn.XLOOKUP(B3112,Dim_Hotel!$A$2:$A$11,Dim_Hotel!$F$2:$F$11)</f>
        <v>888</v>
      </c>
      <c r="D3112">
        <f t="shared" si="385"/>
        <v>488</v>
      </c>
      <c r="E3112">
        <f t="shared" si="386"/>
        <v>0.5495495495495496</v>
      </c>
      <c r="F3112">
        <f t="shared" si="387"/>
        <v>260</v>
      </c>
      <c r="G3112">
        <f t="shared" si="388"/>
        <v>142.88288288288288</v>
      </c>
      <c r="H3112" t="str">
        <f>_xlfn.XLOOKUP(A3112,Fact_Events!$D$2:$D$20,Fact_Events!$A$2:$A$20, "")</f>
        <v/>
      </c>
      <c r="I3112">
        <f t="shared" si="389"/>
        <v>0</v>
      </c>
      <c r="J3112" t="str">
        <f>_xlfn.XLOOKUP(H3112, Fact_Events!$A$2:$A$20, Fact_Events!$F$2:$F$20, "")</f>
        <v/>
      </c>
      <c r="K3112" t="str">
        <f t="shared" si="390"/>
        <v>Low</v>
      </c>
      <c r="L3112">
        <f t="shared" si="391"/>
        <v>0.55000000000000004</v>
      </c>
      <c r="M3112">
        <f>_xlfn.XLOOKUP(B3112, Dim_Hotel!$A$2:$A$11, Dim_Hotel!$I$2:$I$11)
 + (IF(J3112="",0,J3112)
    * _xlfn.XLOOKUP(B3112, Dim_Hotel!$A$2:$A$11, Dim_Hotel!$J$2:$J$11))</f>
        <v>260</v>
      </c>
    </row>
    <row r="3113" spans="1:13" x14ac:dyDescent="0.25">
      <c r="A3113" s="1">
        <f t="shared" si="384"/>
        <v>46334</v>
      </c>
      <c r="B3113" t="str" cm="1">
        <f t="array" ref="B3113">INDEX(HotelList,MOD(ROW()-2,10)+1)</f>
        <v>H002</v>
      </c>
      <c r="C3113">
        <f>_xlfn.XLOOKUP(B3113,Dim_Hotel!$A$2:$A$11,Dim_Hotel!$F$2:$F$11)</f>
        <v>147</v>
      </c>
      <c r="D3113">
        <f t="shared" si="385"/>
        <v>81</v>
      </c>
      <c r="E3113">
        <f t="shared" si="386"/>
        <v>0.55102040816326525</v>
      </c>
      <c r="F3113">
        <f t="shared" si="387"/>
        <v>175</v>
      </c>
      <c r="G3113">
        <f t="shared" si="388"/>
        <v>96.428571428571416</v>
      </c>
      <c r="H3113" t="str">
        <f>_xlfn.XLOOKUP(A3113,Fact_Events!$D$2:$D$20,Fact_Events!$A$2:$A$20, "")</f>
        <v/>
      </c>
      <c r="I3113">
        <f t="shared" si="389"/>
        <v>0</v>
      </c>
      <c r="J3113" t="str">
        <f>_xlfn.XLOOKUP(H3113, Fact_Events!$A$2:$A$20, Fact_Events!$F$2:$F$20, "")</f>
        <v/>
      </c>
      <c r="K3113" t="str">
        <f t="shared" si="390"/>
        <v>Low</v>
      </c>
      <c r="L3113">
        <f t="shared" si="391"/>
        <v>0.55000000000000004</v>
      </c>
      <c r="M3113">
        <f>_xlfn.XLOOKUP(B3113, Dim_Hotel!$A$2:$A$11, Dim_Hotel!$I$2:$I$11)
 + (IF(J3113="",0,J3113)
    * _xlfn.XLOOKUP(B3113, Dim_Hotel!$A$2:$A$11, Dim_Hotel!$J$2:$J$11))</f>
        <v>175</v>
      </c>
    </row>
    <row r="3114" spans="1:13" x14ac:dyDescent="0.25">
      <c r="A3114" s="1">
        <f t="shared" si="384"/>
        <v>46334</v>
      </c>
      <c r="B3114" t="str" cm="1">
        <f t="array" ref="B3114">INDEX(HotelList,MOD(ROW()-2,10)+1)</f>
        <v>H003</v>
      </c>
      <c r="C3114">
        <f>_xlfn.XLOOKUP(B3114,Dim_Hotel!$A$2:$A$11,Dim_Hotel!$F$2:$F$11)</f>
        <v>121</v>
      </c>
      <c r="D3114">
        <f t="shared" si="385"/>
        <v>67</v>
      </c>
      <c r="E3114">
        <f t="shared" si="386"/>
        <v>0.55371900826446285</v>
      </c>
      <c r="F3114">
        <f t="shared" si="387"/>
        <v>145</v>
      </c>
      <c r="G3114">
        <f t="shared" si="388"/>
        <v>80.289256198347118</v>
      </c>
      <c r="H3114" t="str">
        <f>_xlfn.XLOOKUP(A3114,Fact_Events!$D$2:$D$20,Fact_Events!$A$2:$A$20, "")</f>
        <v/>
      </c>
      <c r="I3114">
        <f t="shared" si="389"/>
        <v>0</v>
      </c>
      <c r="J3114" t="str">
        <f>_xlfn.XLOOKUP(H3114, Fact_Events!$A$2:$A$20, Fact_Events!$F$2:$F$20, "")</f>
        <v/>
      </c>
      <c r="K3114" t="str">
        <f t="shared" si="390"/>
        <v>Low</v>
      </c>
      <c r="L3114">
        <f t="shared" si="391"/>
        <v>0.55000000000000004</v>
      </c>
      <c r="M3114">
        <f>_xlfn.XLOOKUP(B3114, Dim_Hotel!$A$2:$A$11, Dim_Hotel!$I$2:$I$11)
 + (IF(J3114="",0,J3114)
    * _xlfn.XLOOKUP(B3114, Dim_Hotel!$A$2:$A$11, Dim_Hotel!$J$2:$J$11))</f>
        <v>145</v>
      </c>
    </row>
    <row r="3115" spans="1:13" x14ac:dyDescent="0.25">
      <c r="A3115" s="1">
        <f t="shared" si="384"/>
        <v>46334</v>
      </c>
      <c r="B3115" t="str" cm="1">
        <f t="array" ref="B3115">INDEX(HotelList,MOD(ROW()-2,10)+1)</f>
        <v>H004</v>
      </c>
      <c r="C3115">
        <f>_xlfn.XLOOKUP(B3115,Dim_Hotel!$A$2:$A$11,Dim_Hotel!$F$2:$F$11)</f>
        <v>108</v>
      </c>
      <c r="D3115">
        <f t="shared" si="385"/>
        <v>59</v>
      </c>
      <c r="E3115">
        <f t="shared" si="386"/>
        <v>0.54629629629629628</v>
      </c>
      <c r="F3115">
        <f t="shared" si="387"/>
        <v>135</v>
      </c>
      <c r="G3115">
        <f t="shared" si="388"/>
        <v>73.75</v>
      </c>
      <c r="H3115" t="str">
        <f>_xlfn.XLOOKUP(A3115,Fact_Events!$D$2:$D$20,Fact_Events!$A$2:$A$20, "")</f>
        <v/>
      </c>
      <c r="I3115">
        <f t="shared" si="389"/>
        <v>0</v>
      </c>
      <c r="J3115" t="str">
        <f>_xlfn.XLOOKUP(H3115, Fact_Events!$A$2:$A$20, Fact_Events!$F$2:$F$20, "")</f>
        <v/>
      </c>
      <c r="K3115" t="str">
        <f t="shared" si="390"/>
        <v>Low</v>
      </c>
      <c r="L3115">
        <f t="shared" si="391"/>
        <v>0.55000000000000004</v>
      </c>
      <c r="M3115">
        <f>_xlfn.XLOOKUP(B3115, Dim_Hotel!$A$2:$A$11, Dim_Hotel!$I$2:$I$11)
 + (IF(J3115="",0,J3115)
    * _xlfn.XLOOKUP(B3115, Dim_Hotel!$A$2:$A$11, Dim_Hotel!$J$2:$J$11))</f>
        <v>135</v>
      </c>
    </row>
    <row r="3116" spans="1:13" x14ac:dyDescent="0.25">
      <c r="A3116" s="1">
        <f t="shared" si="384"/>
        <v>46334</v>
      </c>
      <c r="B3116" t="str" cm="1">
        <f t="array" ref="B3116">INDEX(HotelList,MOD(ROW()-2,10)+1)</f>
        <v>H005</v>
      </c>
      <c r="C3116">
        <f>_xlfn.XLOOKUP(B3116,Dim_Hotel!$A$2:$A$11,Dim_Hotel!$F$2:$F$11)</f>
        <v>66</v>
      </c>
      <c r="D3116">
        <f t="shared" si="385"/>
        <v>36</v>
      </c>
      <c r="E3116">
        <f t="shared" si="386"/>
        <v>0.54545454545454541</v>
      </c>
      <c r="F3116">
        <f t="shared" si="387"/>
        <v>82</v>
      </c>
      <c r="G3116">
        <f t="shared" si="388"/>
        <v>44.727272727272727</v>
      </c>
      <c r="H3116" t="str">
        <f>_xlfn.XLOOKUP(A3116,Fact_Events!$D$2:$D$20,Fact_Events!$A$2:$A$20, "")</f>
        <v/>
      </c>
      <c r="I3116">
        <f t="shared" si="389"/>
        <v>0</v>
      </c>
      <c r="J3116" t="str">
        <f>_xlfn.XLOOKUP(H3116, Fact_Events!$A$2:$A$20, Fact_Events!$F$2:$F$20, "")</f>
        <v/>
      </c>
      <c r="K3116" t="str">
        <f t="shared" si="390"/>
        <v>Low</v>
      </c>
      <c r="L3116">
        <f t="shared" si="391"/>
        <v>0.55000000000000004</v>
      </c>
      <c r="M3116">
        <f>_xlfn.XLOOKUP(B3116, Dim_Hotel!$A$2:$A$11, Dim_Hotel!$I$2:$I$11)
 + (IF(J3116="",0,J3116)
    * _xlfn.XLOOKUP(B3116, Dim_Hotel!$A$2:$A$11, Dim_Hotel!$J$2:$J$11))</f>
        <v>82</v>
      </c>
    </row>
    <row r="3117" spans="1:13" x14ac:dyDescent="0.25">
      <c r="A3117" s="1">
        <f t="shared" si="384"/>
        <v>46334</v>
      </c>
      <c r="B3117" t="str" cm="1">
        <f t="array" ref="B3117">INDEX(HotelList,MOD(ROW()-2,10)+1)</f>
        <v>H006</v>
      </c>
      <c r="C3117">
        <f>_xlfn.XLOOKUP(B3117,Dim_Hotel!$A$2:$A$11,Dim_Hotel!$F$2:$F$11)</f>
        <v>311</v>
      </c>
      <c r="D3117">
        <f t="shared" si="385"/>
        <v>171</v>
      </c>
      <c r="E3117">
        <f t="shared" si="386"/>
        <v>0.54983922829581988</v>
      </c>
      <c r="F3117">
        <f t="shared" si="387"/>
        <v>190</v>
      </c>
      <c r="G3117">
        <f t="shared" si="388"/>
        <v>104.46945337620578</v>
      </c>
      <c r="H3117" t="str">
        <f>_xlfn.XLOOKUP(A3117,Fact_Events!$D$2:$D$20,Fact_Events!$A$2:$A$20, "")</f>
        <v/>
      </c>
      <c r="I3117">
        <f t="shared" si="389"/>
        <v>0</v>
      </c>
      <c r="J3117" t="str">
        <f>_xlfn.XLOOKUP(H3117, Fact_Events!$A$2:$A$20, Fact_Events!$F$2:$F$20, "")</f>
        <v/>
      </c>
      <c r="K3117" t="str">
        <f t="shared" si="390"/>
        <v>Low</v>
      </c>
      <c r="L3117">
        <f t="shared" si="391"/>
        <v>0.55000000000000004</v>
      </c>
      <c r="M3117">
        <f>_xlfn.XLOOKUP(B3117, Dim_Hotel!$A$2:$A$11, Dim_Hotel!$I$2:$I$11)
 + (IF(J3117="",0,J3117)
    * _xlfn.XLOOKUP(B3117, Dim_Hotel!$A$2:$A$11, Dim_Hotel!$J$2:$J$11))</f>
        <v>190</v>
      </c>
    </row>
    <row r="3118" spans="1:13" x14ac:dyDescent="0.25">
      <c r="A3118" s="1">
        <f t="shared" si="384"/>
        <v>46334</v>
      </c>
      <c r="B3118" t="str" cm="1">
        <f t="array" ref="B3118">INDEX(HotelList,MOD(ROW()-2,10)+1)</f>
        <v>H007</v>
      </c>
      <c r="C3118">
        <f>_xlfn.XLOOKUP(B3118,Dim_Hotel!$A$2:$A$11,Dim_Hotel!$F$2:$F$11)</f>
        <v>132</v>
      </c>
      <c r="D3118">
        <f t="shared" si="385"/>
        <v>73</v>
      </c>
      <c r="E3118">
        <f t="shared" si="386"/>
        <v>0.55303030303030298</v>
      </c>
      <c r="F3118">
        <f t="shared" si="387"/>
        <v>165</v>
      </c>
      <c r="G3118">
        <f t="shared" si="388"/>
        <v>91.249999999999986</v>
      </c>
      <c r="H3118" t="str">
        <f>_xlfn.XLOOKUP(A3118,Fact_Events!$D$2:$D$20,Fact_Events!$A$2:$A$20, "")</f>
        <v/>
      </c>
      <c r="I3118">
        <f t="shared" si="389"/>
        <v>0</v>
      </c>
      <c r="J3118" t="str">
        <f>_xlfn.XLOOKUP(H3118, Fact_Events!$A$2:$A$20, Fact_Events!$F$2:$F$20, "")</f>
        <v/>
      </c>
      <c r="K3118" t="str">
        <f t="shared" si="390"/>
        <v>Low</v>
      </c>
      <c r="L3118">
        <f t="shared" si="391"/>
        <v>0.55000000000000004</v>
      </c>
      <c r="M3118">
        <f>_xlfn.XLOOKUP(B3118, Dim_Hotel!$A$2:$A$11, Dim_Hotel!$I$2:$I$11)
 + (IF(J3118="",0,J3118)
    * _xlfn.XLOOKUP(B3118, Dim_Hotel!$A$2:$A$11, Dim_Hotel!$J$2:$J$11))</f>
        <v>165</v>
      </c>
    </row>
    <row r="3119" spans="1:13" x14ac:dyDescent="0.25">
      <c r="A3119" s="1">
        <f t="shared" si="384"/>
        <v>46334</v>
      </c>
      <c r="B3119" t="str" cm="1">
        <f t="array" ref="B3119">INDEX(HotelList,MOD(ROW()-2,10)+1)</f>
        <v>H008</v>
      </c>
      <c r="C3119">
        <f>_xlfn.XLOOKUP(B3119,Dim_Hotel!$A$2:$A$11,Dim_Hotel!$F$2:$F$11)</f>
        <v>103</v>
      </c>
      <c r="D3119">
        <f t="shared" si="385"/>
        <v>57</v>
      </c>
      <c r="E3119">
        <f t="shared" si="386"/>
        <v>0.55339805825242716</v>
      </c>
      <c r="F3119">
        <f t="shared" si="387"/>
        <v>140</v>
      </c>
      <c r="G3119">
        <f t="shared" si="388"/>
        <v>77.475728155339809</v>
      </c>
      <c r="H3119" t="str">
        <f>_xlfn.XLOOKUP(A3119,Fact_Events!$D$2:$D$20,Fact_Events!$A$2:$A$20, "")</f>
        <v/>
      </c>
      <c r="I3119">
        <f t="shared" si="389"/>
        <v>0</v>
      </c>
      <c r="J3119" t="str">
        <f>_xlfn.XLOOKUP(H3119, Fact_Events!$A$2:$A$20, Fact_Events!$F$2:$F$20, "")</f>
        <v/>
      </c>
      <c r="K3119" t="str">
        <f t="shared" si="390"/>
        <v>Low</v>
      </c>
      <c r="L3119">
        <f t="shared" si="391"/>
        <v>0.55000000000000004</v>
      </c>
      <c r="M3119">
        <f>_xlfn.XLOOKUP(B3119, Dim_Hotel!$A$2:$A$11, Dim_Hotel!$I$2:$I$11)
 + (IF(J3119="",0,J3119)
    * _xlfn.XLOOKUP(B3119, Dim_Hotel!$A$2:$A$11, Dim_Hotel!$J$2:$J$11))</f>
        <v>140</v>
      </c>
    </row>
    <row r="3120" spans="1:13" x14ac:dyDescent="0.25">
      <c r="A3120" s="1">
        <f t="shared" si="384"/>
        <v>46334</v>
      </c>
      <c r="B3120" t="str" cm="1">
        <f t="array" ref="B3120">INDEX(HotelList,MOD(ROW()-2,10)+1)</f>
        <v>H009</v>
      </c>
      <c r="C3120">
        <f>_xlfn.XLOOKUP(B3120,Dim_Hotel!$A$2:$A$11,Dim_Hotel!$F$2:$F$11)</f>
        <v>114</v>
      </c>
      <c r="D3120">
        <f t="shared" si="385"/>
        <v>63</v>
      </c>
      <c r="E3120">
        <f t="shared" si="386"/>
        <v>0.55263157894736847</v>
      </c>
      <c r="F3120">
        <f t="shared" si="387"/>
        <v>185</v>
      </c>
      <c r="G3120">
        <f t="shared" si="388"/>
        <v>102.23684210526316</v>
      </c>
      <c r="H3120" t="str">
        <f>_xlfn.XLOOKUP(A3120,Fact_Events!$D$2:$D$20,Fact_Events!$A$2:$A$20, "")</f>
        <v/>
      </c>
      <c r="I3120">
        <f t="shared" si="389"/>
        <v>0</v>
      </c>
      <c r="J3120" t="str">
        <f>_xlfn.XLOOKUP(H3120, Fact_Events!$A$2:$A$20, Fact_Events!$F$2:$F$20, "")</f>
        <v/>
      </c>
      <c r="K3120" t="str">
        <f t="shared" si="390"/>
        <v>Low</v>
      </c>
      <c r="L3120">
        <f t="shared" si="391"/>
        <v>0.55000000000000004</v>
      </c>
      <c r="M3120">
        <f>_xlfn.XLOOKUP(B3120, Dim_Hotel!$A$2:$A$11, Dim_Hotel!$I$2:$I$11)
 + (IF(J3120="",0,J3120)
    * _xlfn.XLOOKUP(B3120, Dim_Hotel!$A$2:$A$11, Dim_Hotel!$J$2:$J$11))</f>
        <v>185</v>
      </c>
    </row>
    <row r="3121" spans="1:13" x14ac:dyDescent="0.25">
      <c r="A3121" s="1">
        <f t="shared" si="384"/>
        <v>46334</v>
      </c>
      <c r="B3121" t="str" cm="1">
        <f t="array" ref="B3121">INDEX(HotelList,MOD(ROW()-2,10)+1)</f>
        <v>H010</v>
      </c>
      <c r="C3121">
        <f>_xlfn.XLOOKUP(B3121,Dim_Hotel!$A$2:$A$11,Dim_Hotel!$F$2:$F$11)</f>
        <v>89</v>
      </c>
      <c r="D3121">
        <f t="shared" si="385"/>
        <v>49</v>
      </c>
      <c r="E3121">
        <f t="shared" si="386"/>
        <v>0.550561797752809</v>
      </c>
      <c r="F3121">
        <f t="shared" si="387"/>
        <v>150</v>
      </c>
      <c r="G3121">
        <f t="shared" si="388"/>
        <v>82.584269662921344</v>
      </c>
      <c r="H3121" t="str">
        <f>_xlfn.XLOOKUP(A3121,Fact_Events!$D$2:$D$20,Fact_Events!$A$2:$A$20, "")</f>
        <v/>
      </c>
      <c r="I3121">
        <f t="shared" si="389"/>
        <v>0</v>
      </c>
      <c r="J3121" t="str">
        <f>_xlfn.XLOOKUP(H3121, Fact_Events!$A$2:$A$20, Fact_Events!$F$2:$F$20, "")</f>
        <v/>
      </c>
      <c r="K3121" t="str">
        <f t="shared" si="390"/>
        <v>Low</v>
      </c>
      <c r="L3121">
        <f t="shared" si="391"/>
        <v>0.55000000000000004</v>
      </c>
      <c r="M3121">
        <f>_xlfn.XLOOKUP(B3121, Dim_Hotel!$A$2:$A$11, Dim_Hotel!$I$2:$I$11)
 + (IF(J3121="",0,J3121)
    * _xlfn.XLOOKUP(B3121, Dim_Hotel!$A$2:$A$11, Dim_Hotel!$J$2:$J$11))</f>
        <v>150</v>
      </c>
    </row>
    <row r="3122" spans="1:13" x14ac:dyDescent="0.25">
      <c r="A3122" s="1">
        <f t="shared" si="384"/>
        <v>46335</v>
      </c>
      <c r="B3122" t="str" cm="1">
        <f t="array" ref="B3122">INDEX(HotelList,MOD(ROW()-2,10)+1)</f>
        <v>H001</v>
      </c>
      <c r="C3122">
        <f>_xlfn.XLOOKUP(B3122,Dim_Hotel!$A$2:$A$11,Dim_Hotel!$F$2:$F$11)</f>
        <v>888</v>
      </c>
      <c r="D3122">
        <f t="shared" si="385"/>
        <v>488</v>
      </c>
      <c r="E3122">
        <f t="shared" si="386"/>
        <v>0.5495495495495496</v>
      </c>
      <c r="F3122">
        <f t="shared" si="387"/>
        <v>260</v>
      </c>
      <c r="G3122">
        <f t="shared" si="388"/>
        <v>142.88288288288288</v>
      </c>
      <c r="H3122" t="str">
        <f>_xlfn.XLOOKUP(A3122,Fact_Events!$D$2:$D$20,Fact_Events!$A$2:$A$20, "")</f>
        <v/>
      </c>
      <c r="I3122">
        <f t="shared" si="389"/>
        <v>0</v>
      </c>
      <c r="J3122" t="str">
        <f>_xlfn.XLOOKUP(H3122, Fact_Events!$A$2:$A$20, Fact_Events!$F$2:$F$20, "")</f>
        <v/>
      </c>
      <c r="K3122" t="str">
        <f t="shared" si="390"/>
        <v>Low</v>
      </c>
      <c r="L3122">
        <f t="shared" si="391"/>
        <v>0.55000000000000004</v>
      </c>
      <c r="M3122">
        <f>_xlfn.XLOOKUP(B3122, Dim_Hotel!$A$2:$A$11, Dim_Hotel!$I$2:$I$11)
 + (IF(J3122="",0,J3122)
    * _xlfn.XLOOKUP(B3122, Dim_Hotel!$A$2:$A$11, Dim_Hotel!$J$2:$J$11))</f>
        <v>260</v>
      </c>
    </row>
    <row r="3123" spans="1:13" x14ac:dyDescent="0.25">
      <c r="A3123" s="1">
        <f t="shared" si="384"/>
        <v>46335</v>
      </c>
      <c r="B3123" t="str" cm="1">
        <f t="array" ref="B3123">INDEX(HotelList,MOD(ROW()-2,10)+1)</f>
        <v>H002</v>
      </c>
      <c r="C3123">
        <f>_xlfn.XLOOKUP(B3123,Dim_Hotel!$A$2:$A$11,Dim_Hotel!$F$2:$F$11)</f>
        <v>147</v>
      </c>
      <c r="D3123">
        <f t="shared" si="385"/>
        <v>81</v>
      </c>
      <c r="E3123">
        <f t="shared" si="386"/>
        <v>0.55102040816326525</v>
      </c>
      <c r="F3123">
        <f t="shared" si="387"/>
        <v>175</v>
      </c>
      <c r="G3123">
        <f t="shared" si="388"/>
        <v>96.428571428571416</v>
      </c>
      <c r="H3123" t="str">
        <f>_xlfn.XLOOKUP(A3123,Fact_Events!$D$2:$D$20,Fact_Events!$A$2:$A$20, "")</f>
        <v/>
      </c>
      <c r="I3123">
        <f t="shared" si="389"/>
        <v>0</v>
      </c>
      <c r="J3123" t="str">
        <f>_xlfn.XLOOKUP(H3123, Fact_Events!$A$2:$A$20, Fact_Events!$F$2:$F$20, "")</f>
        <v/>
      </c>
      <c r="K3123" t="str">
        <f t="shared" si="390"/>
        <v>Low</v>
      </c>
      <c r="L3123">
        <f t="shared" si="391"/>
        <v>0.55000000000000004</v>
      </c>
      <c r="M3123">
        <f>_xlfn.XLOOKUP(B3123, Dim_Hotel!$A$2:$A$11, Dim_Hotel!$I$2:$I$11)
 + (IF(J3123="",0,J3123)
    * _xlfn.XLOOKUP(B3123, Dim_Hotel!$A$2:$A$11, Dim_Hotel!$J$2:$J$11))</f>
        <v>175</v>
      </c>
    </row>
    <row r="3124" spans="1:13" x14ac:dyDescent="0.25">
      <c r="A3124" s="1">
        <f t="shared" si="384"/>
        <v>46335</v>
      </c>
      <c r="B3124" t="str" cm="1">
        <f t="array" ref="B3124">INDEX(HotelList,MOD(ROW()-2,10)+1)</f>
        <v>H003</v>
      </c>
      <c r="C3124">
        <f>_xlfn.XLOOKUP(B3124,Dim_Hotel!$A$2:$A$11,Dim_Hotel!$F$2:$F$11)</f>
        <v>121</v>
      </c>
      <c r="D3124">
        <f t="shared" si="385"/>
        <v>67</v>
      </c>
      <c r="E3124">
        <f t="shared" si="386"/>
        <v>0.55371900826446285</v>
      </c>
      <c r="F3124">
        <f t="shared" si="387"/>
        <v>145</v>
      </c>
      <c r="G3124">
        <f t="shared" si="388"/>
        <v>80.289256198347118</v>
      </c>
      <c r="H3124" t="str">
        <f>_xlfn.XLOOKUP(A3124,Fact_Events!$D$2:$D$20,Fact_Events!$A$2:$A$20, "")</f>
        <v/>
      </c>
      <c r="I3124">
        <f t="shared" si="389"/>
        <v>0</v>
      </c>
      <c r="J3124" t="str">
        <f>_xlfn.XLOOKUP(H3124, Fact_Events!$A$2:$A$20, Fact_Events!$F$2:$F$20, "")</f>
        <v/>
      </c>
      <c r="K3124" t="str">
        <f t="shared" si="390"/>
        <v>Low</v>
      </c>
      <c r="L3124">
        <f t="shared" si="391"/>
        <v>0.55000000000000004</v>
      </c>
      <c r="M3124">
        <f>_xlfn.XLOOKUP(B3124, Dim_Hotel!$A$2:$A$11, Dim_Hotel!$I$2:$I$11)
 + (IF(J3124="",0,J3124)
    * _xlfn.XLOOKUP(B3124, Dim_Hotel!$A$2:$A$11, Dim_Hotel!$J$2:$J$11))</f>
        <v>145</v>
      </c>
    </row>
    <row r="3125" spans="1:13" x14ac:dyDescent="0.25">
      <c r="A3125" s="1">
        <f t="shared" si="384"/>
        <v>46335</v>
      </c>
      <c r="B3125" t="str" cm="1">
        <f t="array" ref="B3125">INDEX(HotelList,MOD(ROW()-2,10)+1)</f>
        <v>H004</v>
      </c>
      <c r="C3125">
        <f>_xlfn.XLOOKUP(B3125,Dim_Hotel!$A$2:$A$11,Dim_Hotel!$F$2:$F$11)</f>
        <v>108</v>
      </c>
      <c r="D3125">
        <f t="shared" si="385"/>
        <v>59</v>
      </c>
      <c r="E3125">
        <f t="shared" si="386"/>
        <v>0.54629629629629628</v>
      </c>
      <c r="F3125">
        <f t="shared" si="387"/>
        <v>135</v>
      </c>
      <c r="G3125">
        <f t="shared" si="388"/>
        <v>73.75</v>
      </c>
      <c r="H3125" t="str">
        <f>_xlfn.XLOOKUP(A3125,Fact_Events!$D$2:$D$20,Fact_Events!$A$2:$A$20, "")</f>
        <v/>
      </c>
      <c r="I3125">
        <f t="shared" si="389"/>
        <v>0</v>
      </c>
      <c r="J3125" t="str">
        <f>_xlfn.XLOOKUP(H3125, Fact_Events!$A$2:$A$20, Fact_Events!$F$2:$F$20, "")</f>
        <v/>
      </c>
      <c r="K3125" t="str">
        <f t="shared" si="390"/>
        <v>Low</v>
      </c>
      <c r="L3125">
        <f t="shared" si="391"/>
        <v>0.55000000000000004</v>
      </c>
      <c r="M3125">
        <f>_xlfn.XLOOKUP(B3125, Dim_Hotel!$A$2:$A$11, Dim_Hotel!$I$2:$I$11)
 + (IF(J3125="",0,J3125)
    * _xlfn.XLOOKUP(B3125, Dim_Hotel!$A$2:$A$11, Dim_Hotel!$J$2:$J$11))</f>
        <v>135</v>
      </c>
    </row>
    <row r="3126" spans="1:13" x14ac:dyDescent="0.25">
      <c r="A3126" s="1">
        <f t="shared" si="384"/>
        <v>46335</v>
      </c>
      <c r="B3126" t="str" cm="1">
        <f t="array" ref="B3126">INDEX(HotelList,MOD(ROW()-2,10)+1)</f>
        <v>H005</v>
      </c>
      <c r="C3126">
        <f>_xlfn.XLOOKUP(B3126,Dim_Hotel!$A$2:$A$11,Dim_Hotel!$F$2:$F$11)</f>
        <v>66</v>
      </c>
      <c r="D3126">
        <f t="shared" si="385"/>
        <v>36</v>
      </c>
      <c r="E3126">
        <f t="shared" si="386"/>
        <v>0.54545454545454541</v>
      </c>
      <c r="F3126">
        <f t="shared" si="387"/>
        <v>82</v>
      </c>
      <c r="G3126">
        <f t="shared" si="388"/>
        <v>44.727272727272727</v>
      </c>
      <c r="H3126" t="str">
        <f>_xlfn.XLOOKUP(A3126,Fact_Events!$D$2:$D$20,Fact_Events!$A$2:$A$20, "")</f>
        <v/>
      </c>
      <c r="I3126">
        <f t="shared" si="389"/>
        <v>0</v>
      </c>
      <c r="J3126" t="str">
        <f>_xlfn.XLOOKUP(H3126, Fact_Events!$A$2:$A$20, Fact_Events!$F$2:$F$20, "")</f>
        <v/>
      </c>
      <c r="K3126" t="str">
        <f t="shared" si="390"/>
        <v>Low</v>
      </c>
      <c r="L3126">
        <f t="shared" si="391"/>
        <v>0.55000000000000004</v>
      </c>
      <c r="M3126">
        <f>_xlfn.XLOOKUP(B3126, Dim_Hotel!$A$2:$A$11, Dim_Hotel!$I$2:$I$11)
 + (IF(J3126="",0,J3126)
    * _xlfn.XLOOKUP(B3126, Dim_Hotel!$A$2:$A$11, Dim_Hotel!$J$2:$J$11))</f>
        <v>82</v>
      </c>
    </row>
    <row r="3127" spans="1:13" x14ac:dyDescent="0.25">
      <c r="A3127" s="1">
        <f t="shared" si="384"/>
        <v>46335</v>
      </c>
      <c r="B3127" t="str" cm="1">
        <f t="array" ref="B3127">INDEX(HotelList,MOD(ROW()-2,10)+1)</f>
        <v>H006</v>
      </c>
      <c r="C3127">
        <f>_xlfn.XLOOKUP(B3127,Dim_Hotel!$A$2:$A$11,Dim_Hotel!$F$2:$F$11)</f>
        <v>311</v>
      </c>
      <c r="D3127">
        <f t="shared" si="385"/>
        <v>171</v>
      </c>
      <c r="E3127">
        <f t="shared" si="386"/>
        <v>0.54983922829581988</v>
      </c>
      <c r="F3127">
        <f t="shared" si="387"/>
        <v>190</v>
      </c>
      <c r="G3127">
        <f t="shared" si="388"/>
        <v>104.46945337620578</v>
      </c>
      <c r="H3127" t="str">
        <f>_xlfn.XLOOKUP(A3127,Fact_Events!$D$2:$D$20,Fact_Events!$A$2:$A$20, "")</f>
        <v/>
      </c>
      <c r="I3127">
        <f t="shared" si="389"/>
        <v>0</v>
      </c>
      <c r="J3127" t="str">
        <f>_xlfn.XLOOKUP(H3127, Fact_Events!$A$2:$A$20, Fact_Events!$F$2:$F$20, "")</f>
        <v/>
      </c>
      <c r="K3127" t="str">
        <f t="shared" si="390"/>
        <v>Low</v>
      </c>
      <c r="L3127">
        <f t="shared" si="391"/>
        <v>0.55000000000000004</v>
      </c>
      <c r="M3127">
        <f>_xlfn.XLOOKUP(B3127, Dim_Hotel!$A$2:$A$11, Dim_Hotel!$I$2:$I$11)
 + (IF(J3127="",0,J3127)
    * _xlfn.XLOOKUP(B3127, Dim_Hotel!$A$2:$A$11, Dim_Hotel!$J$2:$J$11))</f>
        <v>190</v>
      </c>
    </row>
    <row r="3128" spans="1:13" x14ac:dyDescent="0.25">
      <c r="A3128" s="1">
        <f t="shared" si="384"/>
        <v>46335</v>
      </c>
      <c r="B3128" t="str" cm="1">
        <f t="array" ref="B3128">INDEX(HotelList,MOD(ROW()-2,10)+1)</f>
        <v>H007</v>
      </c>
      <c r="C3128">
        <f>_xlfn.XLOOKUP(B3128,Dim_Hotel!$A$2:$A$11,Dim_Hotel!$F$2:$F$11)</f>
        <v>132</v>
      </c>
      <c r="D3128">
        <f t="shared" si="385"/>
        <v>73</v>
      </c>
      <c r="E3128">
        <f t="shared" si="386"/>
        <v>0.55303030303030298</v>
      </c>
      <c r="F3128">
        <f t="shared" si="387"/>
        <v>165</v>
      </c>
      <c r="G3128">
        <f t="shared" si="388"/>
        <v>91.249999999999986</v>
      </c>
      <c r="H3128" t="str">
        <f>_xlfn.XLOOKUP(A3128,Fact_Events!$D$2:$D$20,Fact_Events!$A$2:$A$20, "")</f>
        <v/>
      </c>
      <c r="I3128">
        <f t="shared" si="389"/>
        <v>0</v>
      </c>
      <c r="J3128" t="str">
        <f>_xlfn.XLOOKUP(H3128, Fact_Events!$A$2:$A$20, Fact_Events!$F$2:$F$20, "")</f>
        <v/>
      </c>
      <c r="K3128" t="str">
        <f t="shared" si="390"/>
        <v>Low</v>
      </c>
      <c r="L3128">
        <f t="shared" si="391"/>
        <v>0.55000000000000004</v>
      </c>
      <c r="M3128">
        <f>_xlfn.XLOOKUP(B3128, Dim_Hotel!$A$2:$A$11, Dim_Hotel!$I$2:$I$11)
 + (IF(J3128="",0,J3128)
    * _xlfn.XLOOKUP(B3128, Dim_Hotel!$A$2:$A$11, Dim_Hotel!$J$2:$J$11))</f>
        <v>165</v>
      </c>
    </row>
    <row r="3129" spans="1:13" x14ac:dyDescent="0.25">
      <c r="A3129" s="1">
        <f t="shared" si="384"/>
        <v>46335</v>
      </c>
      <c r="B3129" t="str" cm="1">
        <f t="array" ref="B3129">INDEX(HotelList,MOD(ROW()-2,10)+1)</f>
        <v>H008</v>
      </c>
      <c r="C3129">
        <f>_xlfn.XLOOKUP(B3129,Dim_Hotel!$A$2:$A$11,Dim_Hotel!$F$2:$F$11)</f>
        <v>103</v>
      </c>
      <c r="D3129">
        <f t="shared" si="385"/>
        <v>57</v>
      </c>
      <c r="E3129">
        <f t="shared" si="386"/>
        <v>0.55339805825242716</v>
      </c>
      <c r="F3129">
        <f t="shared" si="387"/>
        <v>140</v>
      </c>
      <c r="G3129">
        <f t="shared" si="388"/>
        <v>77.475728155339809</v>
      </c>
      <c r="H3129" t="str">
        <f>_xlfn.XLOOKUP(A3129,Fact_Events!$D$2:$D$20,Fact_Events!$A$2:$A$20, "")</f>
        <v/>
      </c>
      <c r="I3129">
        <f t="shared" si="389"/>
        <v>0</v>
      </c>
      <c r="J3129" t="str">
        <f>_xlfn.XLOOKUP(H3129, Fact_Events!$A$2:$A$20, Fact_Events!$F$2:$F$20, "")</f>
        <v/>
      </c>
      <c r="K3129" t="str">
        <f t="shared" si="390"/>
        <v>Low</v>
      </c>
      <c r="L3129">
        <f t="shared" si="391"/>
        <v>0.55000000000000004</v>
      </c>
      <c r="M3129">
        <f>_xlfn.XLOOKUP(B3129, Dim_Hotel!$A$2:$A$11, Dim_Hotel!$I$2:$I$11)
 + (IF(J3129="",0,J3129)
    * _xlfn.XLOOKUP(B3129, Dim_Hotel!$A$2:$A$11, Dim_Hotel!$J$2:$J$11))</f>
        <v>140</v>
      </c>
    </row>
    <row r="3130" spans="1:13" x14ac:dyDescent="0.25">
      <c r="A3130" s="1">
        <f t="shared" si="384"/>
        <v>46335</v>
      </c>
      <c r="B3130" t="str" cm="1">
        <f t="array" ref="B3130">INDEX(HotelList,MOD(ROW()-2,10)+1)</f>
        <v>H009</v>
      </c>
      <c r="C3130">
        <f>_xlfn.XLOOKUP(B3130,Dim_Hotel!$A$2:$A$11,Dim_Hotel!$F$2:$F$11)</f>
        <v>114</v>
      </c>
      <c r="D3130">
        <f t="shared" si="385"/>
        <v>63</v>
      </c>
      <c r="E3130">
        <f t="shared" si="386"/>
        <v>0.55263157894736847</v>
      </c>
      <c r="F3130">
        <f t="shared" si="387"/>
        <v>185</v>
      </c>
      <c r="G3130">
        <f t="shared" si="388"/>
        <v>102.23684210526316</v>
      </c>
      <c r="H3130" t="str">
        <f>_xlfn.XLOOKUP(A3130,Fact_Events!$D$2:$D$20,Fact_Events!$A$2:$A$20, "")</f>
        <v/>
      </c>
      <c r="I3130">
        <f t="shared" si="389"/>
        <v>0</v>
      </c>
      <c r="J3130" t="str">
        <f>_xlfn.XLOOKUP(H3130, Fact_Events!$A$2:$A$20, Fact_Events!$F$2:$F$20, "")</f>
        <v/>
      </c>
      <c r="K3130" t="str">
        <f t="shared" si="390"/>
        <v>Low</v>
      </c>
      <c r="L3130">
        <f t="shared" si="391"/>
        <v>0.55000000000000004</v>
      </c>
      <c r="M3130">
        <f>_xlfn.XLOOKUP(B3130, Dim_Hotel!$A$2:$A$11, Dim_Hotel!$I$2:$I$11)
 + (IF(J3130="",0,J3130)
    * _xlfn.XLOOKUP(B3130, Dim_Hotel!$A$2:$A$11, Dim_Hotel!$J$2:$J$11))</f>
        <v>185</v>
      </c>
    </row>
    <row r="3131" spans="1:13" x14ac:dyDescent="0.25">
      <c r="A3131" s="1">
        <f t="shared" si="384"/>
        <v>46335</v>
      </c>
      <c r="B3131" t="str" cm="1">
        <f t="array" ref="B3131">INDEX(HotelList,MOD(ROW()-2,10)+1)</f>
        <v>H010</v>
      </c>
      <c r="C3131">
        <f>_xlfn.XLOOKUP(B3131,Dim_Hotel!$A$2:$A$11,Dim_Hotel!$F$2:$F$11)</f>
        <v>89</v>
      </c>
      <c r="D3131">
        <f t="shared" si="385"/>
        <v>49</v>
      </c>
      <c r="E3131">
        <f t="shared" si="386"/>
        <v>0.550561797752809</v>
      </c>
      <c r="F3131">
        <f t="shared" si="387"/>
        <v>150</v>
      </c>
      <c r="G3131">
        <f t="shared" si="388"/>
        <v>82.584269662921344</v>
      </c>
      <c r="H3131" t="str">
        <f>_xlfn.XLOOKUP(A3131,Fact_Events!$D$2:$D$20,Fact_Events!$A$2:$A$20, "")</f>
        <v/>
      </c>
      <c r="I3131">
        <f t="shared" si="389"/>
        <v>0</v>
      </c>
      <c r="J3131" t="str">
        <f>_xlfn.XLOOKUP(H3131, Fact_Events!$A$2:$A$20, Fact_Events!$F$2:$F$20, "")</f>
        <v/>
      </c>
      <c r="K3131" t="str">
        <f t="shared" si="390"/>
        <v>Low</v>
      </c>
      <c r="L3131">
        <f t="shared" si="391"/>
        <v>0.55000000000000004</v>
      </c>
      <c r="M3131">
        <f>_xlfn.XLOOKUP(B3131, Dim_Hotel!$A$2:$A$11, Dim_Hotel!$I$2:$I$11)
 + (IF(J3131="",0,J3131)
    * _xlfn.XLOOKUP(B3131, Dim_Hotel!$A$2:$A$11, Dim_Hotel!$J$2:$J$11))</f>
        <v>150</v>
      </c>
    </row>
    <row r="3132" spans="1:13" x14ac:dyDescent="0.25">
      <c r="A3132" s="1">
        <f t="shared" si="384"/>
        <v>46336</v>
      </c>
      <c r="B3132" t="str" cm="1">
        <f t="array" ref="B3132">INDEX(HotelList,MOD(ROW()-2,10)+1)</f>
        <v>H001</v>
      </c>
      <c r="C3132">
        <f>_xlfn.XLOOKUP(B3132,Dim_Hotel!$A$2:$A$11,Dim_Hotel!$F$2:$F$11)</f>
        <v>888</v>
      </c>
      <c r="D3132">
        <f t="shared" si="385"/>
        <v>488</v>
      </c>
      <c r="E3132">
        <f t="shared" si="386"/>
        <v>0.5495495495495496</v>
      </c>
      <c r="F3132">
        <f t="shared" si="387"/>
        <v>260</v>
      </c>
      <c r="G3132">
        <f t="shared" si="388"/>
        <v>142.88288288288288</v>
      </c>
      <c r="H3132" t="str">
        <f>_xlfn.XLOOKUP(A3132,Fact_Events!$D$2:$D$20,Fact_Events!$A$2:$A$20, "")</f>
        <v/>
      </c>
      <c r="I3132">
        <f t="shared" si="389"/>
        <v>0</v>
      </c>
      <c r="J3132" t="str">
        <f>_xlfn.XLOOKUP(H3132, Fact_Events!$A$2:$A$20, Fact_Events!$F$2:$F$20, "")</f>
        <v/>
      </c>
      <c r="K3132" t="str">
        <f t="shared" si="390"/>
        <v>Low</v>
      </c>
      <c r="L3132">
        <f t="shared" si="391"/>
        <v>0.55000000000000004</v>
      </c>
      <c r="M3132">
        <f>_xlfn.XLOOKUP(B3132, Dim_Hotel!$A$2:$A$11, Dim_Hotel!$I$2:$I$11)
 + (IF(J3132="",0,J3132)
    * _xlfn.XLOOKUP(B3132, Dim_Hotel!$A$2:$A$11, Dim_Hotel!$J$2:$J$11))</f>
        <v>260</v>
      </c>
    </row>
    <row r="3133" spans="1:13" x14ac:dyDescent="0.25">
      <c r="A3133" s="1">
        <f t="shared" si="384"/>
        <v>46336</v>
      </c>
      <c r="B3133" t="str" cm="1">
        <f t="array" ref="B3133">INDEX(HotelList,MOD(ROW()-2,10)+1)</f>
        <v>H002</v>
      </c>
      <c r="C3133">
        <f>_xlfn.XLOOKUP(B3133,Dim_Hotel!$A$2:$A$11,Dim_Hotel!$F$2:$F$11)</f>
        <v>147</v>
      </c>
      <c r="D3133">
        <f t="shared" si="385"/>
        <v>81</v>
      </c>
      <c r="E3133">
        <f t="shared" si="386"/>
        <v>0.55102040816326525</v>
      </c>
      <c r="F3133">
        <f t="shared" si="387"/>
        <v>175</v>
      </c>
      <c r="G3133">
        <f t="shared" si="388"/>
        <v>96.428571428571416</v>
      </c>
      <c r="H3133" t="str">
        <f>_xlfn.XLOOKUP(A3133,Fact_Events!$D$2:$D$20,Fact_Events!$A$2:$A$20, "")</f>
        <v/>
      </c>
      <c r="I3133">
        <f t="shared" si="389"/>
        <v>0</v>
      </c>
      <c r="J3133" t="str">
        <f>_xlfn.XLOOKUP(H3133, Fact_Events!$A$2:$A$20, Fact_Events!$F$2:$F$20, "")</f>
        <v/>
      </c>
      <c r="K3133" t="str">
        <f t="shared" si="390"/>
        <v>Low</v>
      </c>
      <c r="L3133">
        <f t="shared" si="391"/>
        <v>0.55000000000000004</v>
      </c>
      <c r="M3133">
        <f>_xlfn.XLOOKUP(B3133, Dim_Hotel!$A$2:$A$11, Dim_Hotel!$I$2:$I$11)
 + (IF(J3133="",0,J3133)
    * _xlfn.XLOOKUP(B3133, Dim_Hotel!$A$2:$A$11, Dim_Hotel!$J$2:$J$11))</f>
        <v>175</v>
      </c>
    </row>
    <row r="3134" spans="1:13" x14ac:dyDescent="0.25">
      <c r="A3134" s="1">
        <f t="shared" si="384"/>
        <v>46336</v>
      </c>
      <c r="B3134" t="str" cm="1">
        <f t="array" ref="B3134">INDEX(HotelList,MOD(ROW()-2,10)+1)</f>
        <v>H003</v>
      </c>
      <c r="C3134">
        <f>_xlfn.XLOOKUP(B3134,Dim_Hotel!$A$2:$A$11,Dim_Hotel!$F$2:$F$11)</f>
        <v>121</v>
      </c>
      <c r="D3134">
        <f t="shared" si="385"/>
        <v>67</v>
      </c>
      <c r="E3134">
        <f t="shared" si="386"/>
        <v>0.55371900826446285</v>
      </c>
      <c r="F3134">
        <f t="shared" si="387"/>
        <v>145</v>
      </c>
      <c r="G3134">
        <f t="shared" si="388"/>
        <v>80.289256198347118</v>
      </c>
      <c r="H3134" t="str">
        <f>_xlfn.XLOOKUP(A3134,Fact_Events!$D$2:$D$20,Fact_Events!$A$2:$A$20, "")</f>
        <v/>
      </c>
      <c r="I3134">
        <f t="shared" si="389"/>
        <v>0</v>
      </c>
      <c r="J3134" t="str">
        <f>_xlfn.XLOOKUP(H3134, Fact_Events!$A$2:$A$20, Fact_Events!$F$2:$F$20, "")</f>
        <v/>
      </c>
      <c r="K3134" t="str">
        <f t="shared" si="390"/>
        <v>Low</v>
      </c>
      <c r="L3134">
        <f t="shared" si="391"/>
        <v>0.55000000000000004</v>
      </c>
      <c r="M3134">
        <f>_xlfn.XLOOKUP(B3134, Dim_Hotel!$A$2:$A$11, Dim_Hotel!$I$2:$I$11)
 + (IF(J3134="",0,J3134)
    * _xlfn.XLOOKUP(B3134, Dim_Hotel!$A$2:$A$11, Dim_Hotel!$J$2:$J$11))</f>
        <v>145</v>
      </c>
    </row>
    <row r="3135" spans="1:13" x14ac:dyDescent="0.25">
      <c r="A3135" s="1">
        <f t="shared" si="384"/>
        <v>46336</v>
      </c>
      <c r="B3135" t="str" cm="1">
        <f t="array" ref="B3135">INDEX(HotelList,MOD(ROW()-2,10)+1)</f>
        <v>H004</v>
      </c>
      <c r="C3135">
        <f>_xlfn.XLOOKUP(B3135,Dim_Hotel!$A$2:$A$11,Dim_Hotel!$F$2:$F$11)</f>
        <v>108</v>
      </c>
      <c r="D3135">
        <f t="shared" si="385"/>
        <v>59</v>
      </c>
      <c r="E3135">
        <f t="shared" si="386"/>
        <v>0.54629629629629628</v>
      </c>
      <c r="F3135">
        <f t="shared" si="387"/>
        <v>135</v>
      </c>
      <c r="G3135">
        <f t="shared" si="388"/>
        <v>73.75</v>
      </c>
      <c r="H3135" t="str">
        <f>_xlfn.XLOOKUP(A3135,Fact_Events!$D$2:$D$20,Fact_Events!$A$2:$A$20, "")</f>
        <v/>
      </c>
      <c r="I3135">
        <f t="shared" si="389"/>
        <v>0</v>
      </c>
      <c r="J3135" t="str">
        <f>_xlfn.XLOOKUP(H3135, Fact_Events!$A$2:$A$20, Fact_Events!$F$2:$F$20, "")</f>
        <v/>
      </c>
      <c r="K3135" t="str">
        <f t="shared" si="390"/>
        <v>Low</v>
      </c>
      <c r="L3135">
        <f t="shared" si="391"/>
        <v>0.55000000000000004</v>
      </c>
      <c r="M3135">
        <f>_xlfn.XLOOKUP(B3135, Dim_Hotel!$A$2:$A$11, Dim_Hotel!$I$2:$I$11)
 + (IF(J3135="",0,J3135)
    * _xlfn.XLOOKUP(B3135, Dim_Hotel!$A$2:$A$11, Dim_Hotel!$J$2:$J$11))</f>
        <v>135</v>
      </c>
    </row>
    <row r="3136" spans="1:13" x14ac:dyDescent="0.25">
      <c r="A3136" s="1">
        <f t="shared" si="384"/>
        <v>46336</v>
      </c>
      <c r="B3136" t="str" cm="1">
        <f t="array" ref="B3136">INDEX(HotelList,MOD(ROW()-2,10)+1)</f>
        <v>H005</v>
      </c>
      <c r="C3136">
        <f>_xlfn.XLOOKUP(B3136,Dim_Hotel!$A$2:$A$11,Dim_Hotel!$F$2:$F$11)</f>
        <v>66</v>
      </c>
      <c r="D3136">
        <f t="shared" si="385"/>
        <v>36</v>
      </c>
      <c r="E3136">
        <f t="shared" si="386"/>
        <v>0.54545454545454541</v>
      </c>
      <c r="F3136">
        <f t="shared" si="387"/>
        <v>82</v>
      </c>
      <c r="G3136">
        <f t="shared" si="388"/>
        <v>44.727272727272727</v>
      </c>
      <c r="H3136" t="str">
        <f>_xlfn.XLOOKUP(A3136,Fact_Events!$D$2:$D$20,Fact_Events!$A$2:$A$20, "")</f>
        <v/>
      </c>
      <c r="I3136">
        <f t="shared" si="389"/>
        <v>0</v>
      </c>
      <c r="J3136" t="str">
        <f>_xlfn.XLOOKUP(H3136, Fact_Events!$A$2:$A$20, Fact_Events!$F$2:$F$20, "")</f>
        <v/>
      </c>
      <c r="K3136" t="str">
        <f t="shared" si="390"/>
        <v>Low</v>
      </c>
      <c r="L3136">
        <f t="shared" si="391"/>
        <v>0.55000000000000004</v>
      </c>
      <c r="M3136">
        <f>_xlfn.XLOOKUP(B3136, Dim_Hotel!$A$2:$A$11, Dim_Hotel!$I$2:$I$11)
 + (IF(J3136="",0,J3136)
    * _xlfn.XLOOKUP(B3136, Dim_Hotel!$A$2:$A$11, Dim_Hotel!$J$2:$J$11))</f>
        <v>82</v>
      </c>
    </row>
    <row r="3137" spans="1:13" x14ac:dyDescent="0.25">
      <c r="A3137" s="1">
        <f t="shared" si="384"/>
        <v>46336</v>
      </c>
      <c r="B3137" t="str" cm="1">
        <f t="array" ref="B3137">INDEX(HotelList,MOD(ROW()-2,10)+1)</f>
        <v>H006</v>
      </c>
      <c r="C3137">
        <f>_xlfn.XLOOKUP(B3137,Dim_Hotel!$A$2:$A$11,Dim_Hotel!$F$2:$F$11)</f>
        <v>311</v>
      </c>
      <c r="D3137">
        <f t="shared" si="385"/>
        <v>171</v>
      </c>
      <c r="E3137">
        <f t="shared" si="386"/>
        <v>0.54983922829581988</v>
      </c>
      <c r="F3137">
        <f t="shared" si="387"/>
        <v>190</v>
      </c>
      <c r="G3137">
        <f t="shared" si="388"/>
        <v>104.46945337620578</v>
      </c>
      <c r="H3137" t="str">
        <f>_xlfn.XLOOKUP(A3137,Fact_Events!$D$2:$D$20,Fact_Events!$A$2:$A$20, "")</f>
        <v/>
      </c>
      <c r="I3137">
        <f t="shared" si="389"/>
        <v>0</v>
      </c>
      <c r="J3137" t="str">
        <f>_xlfn.XLOOKUP(H3137, Fact_Events!$A$2:$A$20, Fact_Events!$F$2:$F$20, "")</f>
        <v/>
      </c>
      <c r="K3137" t="str">
        <f t="shared" si="390"/>
        <v>Low</v>
      </c>
      <c r="L3137">
        <f t="shared" si="391"/>
        <v>0.55000000000000004</v>
      </c>
      <c r="M3137">
        <f>_xlfn.XLOOKUP(B3137, Dim_Hotel!$A$2:$A$11, Dim_Hotel!$I$2:$I$11)
 + (IF(J3137="",0,J3137)
    * _xlfn.XLOOKUP(B3137, Dim_Hotel!$A$2:$A$11, Dim_Hotel!$J$2:$J$11))</f>
        <v>190</v>
      </c>
    </row>
    <row r="3138" spans="1:13" x14ac:dyDescent="0.25">
      <c r="A3138" s="1">
        <f t="shared" si="384"/>
        <v>46336</v>
      </c>
      <c r="B3138" t="str" cm="1">
        <f t="array" ref="B3138">INDEX(HotelList,MOD(ROW()-2,10)+1)</f>
        <v>H007</v>
      </c>
      <c r="C3138">
        <f>_xlfn.XLOOKUP(B3138,Dim_Hotel!$A$2:$A$11,Dim_Hotel!$F$2:$F$11)</f>
        <v>132</v>
      </c>
      <c r="D3138">
        <f t="shared" si="385"/>
        <v>73</v>
      </c>
      <c r="E3138">
        <f t="shared" si="386"/>
        <v>0.55303030303030298</v>
      </c>
      <c r="F3138">
        <f t="shared" si="387"/>
        <v>165</v>
      </c>
      <c r="G3138">
        <f t="shared" si="388"/>
        <v>91.249999999999986</v>
      </c>
      <c r="H3138" t="str">
        <f>_xlfn.XLOOKUP(A3138,Fact_Events!$D$2:$D$20,Fact_Events!$A$2:$A$20, "")</f>
        <v/>
      </c>
      <c r="I3138">
        <f t="shared" si="389"/>
        <v>0</v>
      </c>
      <c r="J3138" t="str">
        <f>_xlfn.XLOOKUP(H3138, Fact_Events!$A$2:$A$20, Fact_Events!$F$2:$F$20, "")</f>
        <v/>
      </c>
      <c r="K3138" t="str">
        <f t="shared" si="390"/>
        <v>Low</v>
      </c>
      <c r="L3138">
        <f t="shared" si="391"/>
        <v>0.55000000000000004</v>
      </c>
      <c r="M3138">
        <f>_xlfn.XLOOKUP(B3138, Dim_Hotel!$A$2:$A$11, Dim_Hotel!$I$2:$I$11)
 + (IF(J3138="",0,J3138)
    * _xlfn.XLOOKUP(B3138, Dim_Hotel!$A$2:$A$11, Dim_Hotel!$J$2:$J$11))</f>
        <v>165</v>
      </c>
    </row>
    <row r="3139" spans="1:13" x14ac:dyDescent="0.25">
      <c r="A3139" s="1">
        <f t="shared" ref="A3139:A3202" si="392">DATE(2026,1,1) + INT((ROW()-2)/10)</f>
        <v>46336</v>
      </c>
      <c r="B3139" t="str" cm="1">
        <f t="array" ref="B3139">INDEX(HotelList,MOD(ROW()-2,10)+1)</f>
        <v>H008</v>
      </c>
      <c r="C3139">
        <f>_xlfn.XLOOKUP(B3139,Dim_Hotel!$A$2:$A$11,Dim_Hotel!$F$2:$F$11)</f>
        <v>103</v>
      </c>
      <c r="D3139">
        <f t="shared" ref="D3139:D3202" si="393">ROUND(L3139 * C3139, 0)</f>
        <v>57</v>
      </c>
      <c r="E3139">
        <f t="shared" ref="E3139:E3202" si="394">D3139/C3139</f>
        <v>0.55339805825242716</v>
      </c>
      <c r="F3139">
        <f t="shared" ref="F3139:F3202" si="395">M3139</f>
        <v>140</v>
      </c>
      <c r="G3139">
        <f t="shared" ref="G3139:G3202" si="396">E3139*F3139</f>
        <v>77.475728155339809</v>
      </c>
      <c r="H3139" t="str">
        <f>_xlfn.XLOOKUP(A3139,Fact_Events!$D$2:$D$20,Fact_Events!$A$2:$A$20, "")</f>
        <v/>
      </c>
      <c r="I3139">
        <f t="shared" ref="I3139:I3202" si="397">IF(H3139="",0,1)</f>
        <v>0</v>
      </c>
      <c r="J3139" t="str">
        <f>_xlfn.XLOOKUP(H3139, Fact_Events!$A$2:$A$20, Fact_Events!$F$2:$F$20, "")</f>
        <v/>
      </c>
      <c r="K3139" t="str">
        <f t="shared" ref="K3139:K3202" si="398">IF(I3139=0,"Low",
   IF(J3139&gt;=9,"High","Medium"))</f>
        <v>Low</v>
      </c>
      <c r="L3139">
        <f t="shared" ref="L3139:L3202" si="399">MIN(1,
  0.55
  + (I3139 * 0.25)
  + (IF(J3139="",0,J3139) / 100)
)</f>
        <v>0.55000000000000004</v>
      </c>
      <c r="M3139">
        <f>_xlfn.XLOOKUP(B3139, Dim_Hotel!$A$2:$A$11, Dim_Hotel!$I$2:$I$11)
 + (IF(J3139="",0,J3139)
    * _xlfn.XLOOKUP(B3139, Dim_Hotel!$A$2:$A$11, Dim_Hotel!$J$2:$J$11))</f>
        <v>140</v>
      </c>
    </row>
    <row r="3140" spans="1:13" x14ac:dyDescent="0.25">
      <c r="A3140" s="1">
        <f t="shared" si="392"/>
        <v>46336</v>
      </c>
      <c r="B3140" t="str" cm="1">
        <f t="array" ref="B3140">INDEX(HotelList,MOD(ROW()-2,10)+1)</f>
        <v>H009</v>
      </c>
      <c r="C3140">
        <f>_xlfn.XLOOKUP(B3140,Dim_Hotel!$A$2:$A$11,Dim_Hotel!$F$2:$F$11)</f>
        <v>114</v>
      </c>
      <c r="D3140">
        <f t="shared" si="393"/>
        <v>63</v>
      </c>
      <c r="E3140">
        <f t="shared" si="394"/>
        <v>0.55263157894736847</v>
      </c>
      <c r="F3140">
        <f t="shared" si="395"/>
        <v>185</v>
      </c>
      <c r="G3140">
        <f t="shared" si="396"/>
        <v>102.23684210526316</v>
      </c>
      <c r="H3140" t="str">
        <f>_xlfn.XLOOKUP(A3140,Fact_Events!$D$2:$D$20,Fact_Events!$A$2:$A$20, "")</f>
        <v/>
      </c>
      <c r="I3140">
        <f t="shared" si="397"/>
        <v>0</v>
      </c>
      <c r="J3140" t="str">
        <f>_xlfn.XLOOKUP(H3140, Fact_Events!$A$2:$A$20, Fact_Events!$F$2:$F$20, "")</f>
        <v/>
      </c>
      <c r="K3140" t="str">
        <f t="shared" si="398"/>
        <v>Low</v>
      </c>
      <c r="L3140">
        <f t="shared" si="399"/>
        <v>0.55000000000000004</v>
      </c>
      <c r="M3140">
        <f>_xlfn.XLOOKUP(B3140, Dim_Hotel!$A$2:$A$11, Dim_Hotel!$I$2:$I$11)
 + (IF(J3140="",0,J3140)
    * _xlfn.XLOOKUP(B3140, Dim_Hotel!$A$2:$A$11, Dim_Hotel!$J$2:$J$11))</f>
        <v>185</v>
      </c>
    </row>
    <row r="3141" spans="1:13" x14ac:dyDescent="0.25">
      <c r="A3141" s="1">
        <f t="shared" si="392"/>
        <v>46336</v>
      </c>
      <c r="B3141" t="str" cm="1">
        <f t="array" ref="B3141">INDEX(HotelList,MOD(ROW()-2,10)+1)</f>
        <v>H010</v>
      </c>
      <c r="C3141">
        <f>_xlfn.XLOOKUP(B3141,Dim_Hotel!$A$2:$A$11,Dim_Hotel!$F$2:$F$11)</f>
        <v>89</v>
      </c>
      <c r="D3141">
        <f t="shared" si="393"/>
        <v>49</v>
      </c>
      <c r="E3141">
        <f t="shared" si="394"/>
        <v>0.550561797752809</v>
      </c>
      <c r="F3141">
        <f t="shared" si="395"/>
        <v>150</v>
      </c>
      <c r="G3141">
        <f t="shared" si="396"/>
        <v>82.584269662921344</v>
      </c>
      <c r="H3141" t="str">
        <f>_xlfn.XLOOKUP(A3141,Fact_Events!$D$2:$D$20,Fact_Events!$A$2:$A$20, "")</f>
        <v/>
      </c>
      <c r="I3141">
        <f t="shared" si="397"/>
        <v>0</v>
      </c>
      <c r="J3141" t="str">
        <f>_xlfn.XLOOKUP(H3141, Fact_Events!$A$2:$A$20, Fact_Events!$F$2:$F$20, "")</f>
        <v/>
      </c>
      <c r="K3141" t="str">
        <f t="shared" si="398"/>
        <v>Low</v>
      </c>
      <c r="L3141">
        <f t="shared" si="399"/>
        <v>0.55000000000000004</v>
      </c>
      <c r="M3141">
        <f>_xlfn.XLOOKUP(B3141, Dim_Hotel!$A$2:$A$11, Dim_Hotel!$I$2:$I$11)
 + (IF(J3141="",0,J3141)
    * _xlfn.XLOOKUP(B3141, Dim_Hotel!$A$2:$A$11, Dim_Hotel!$J$2:$J$11))</f>
        <v>150</v>
      </c>
    </row>
    <row r="3142" spans="1:13" x14ac:dyDescent="0.25">
      <c r="A3142" s="1">
        <f t="shared" si="392"/>
        <v>46337</v>
      </c>
      <c r="B3142" t="str" cm="1">
        <f t="array" ref="B3142">INDEX(HotelList,MOD(ROW()-2,10)+1)</f>
        <v>H001</v>
      </c>
      <c r="C3142">
        <f>_xlfn.XLOOKUP(B3142,Dim_Hotel!$A$2:$A$11,Dim_Hotel!$F$2:$F$11)</f>
        <v>888</v>
      </c>
      <c r="D3142">
        <f t="shared" si="393"/>
        <v>488</v>
      </c>
      <c r="E3142">
        <f t="shared" si="394"/>
        <v>0.5495495495495496</v>
      </c>
      <c r="F3142">
        <f t="shared" si="395"/>
        <v>260</v>
      </c>
      <c r="G3142">
        <f t="shared" si="396"/>
        <v>142.88288288288288</v>
      </c>
      <c r="H3142" t="str">
        <f>_xlfn.XLOOKUP(A3142,Fact_Events!$D$2:$D$20,Fact_Events!$A$2:$A$20, "")</f>
        <v/>
      </c>
      <c r="I3142">
        <f t="shared" si="397"/>
        <v>0</v>
      </c>
      <c r="J3142" t="str">
        <f>_xlfn.XLOOKUP(H3142, Fact_Events!$A$2:$A$20, Fact_Events!$F$2:$F$20, "")</f>
        <v/>
      </c>
      <c r="K3142" t="str">
        <f t="shared" si="398"/>
        <v>Low</v>
      </c>
      <c r="L3142">
        <f t="shared" si="399"/>
        <v>0.55000000000000004</v>
      </c>
      <c r="M3142">
        <f>_xlfn.XLOOKUP(B3142, Dim_Hotel!$A$2:$A$11, Dim_Hotel!$I$2:$I$11)
 + (IF(J3142="",0,J3142)
    * _xlfn.XLOOKUP(B3142, Dim_Hotel!$A$2:$A$11, Dim_Hotel!$J$2:$J$11))</f>
        <v>260</v>
      </c>
    </row>
    <row r="3143" spans="1:13" x14ac:dyDescent="0.25">
      <c r="A3143" s="1">
        <f t="shared" si="392"/>
        <v>46337</v>
      </c>
      <c r="B3143" t="str" cm="1">
        <f t="array" ref="B3143">INDEX(HotelList,MOD(ROW()-2,10)+1)</f>
        <v>H002</v>
      </c>
      <c r="C3143">
        <f>_xlfn.XLOOKUP(B3143,Dim_Hotel!$A$2:$A$11,Dim_Hotel!$F$2:$F$11)</f>
        <v>147</v>
      </c>
      <c r="D3143">
        <f t="shared" si="393"/>
        <v>81</v>
      </c>
      <c r="E3143">
        <f t="shared" si="394"/>
        <v>0.55102040816326525</v>
      </c>
      <c r="F3143">
        <f t="shared" si="395"/>
        <v>175</v>
      </c>
      <c r="G3143">
        <f t="shared" si="396"/>
        <v>96.428571428571416</v>
      </c>
      <c r="H3143" t="str">
        <f>_xlfn.XLOOKUP(A3143,Fact_Events!$D$2:$D$20,Fact_Events!$A$2:$A$20, "")</f>
        <v/>
      </c>
      <c r="I3143">
        <f t="shared" si="397"/>
        <v>0</v>
      </c>
      <c r="J3143" t="str">
        <f>_xlfn.XLOOKUP(H3143, Fact_Events!$A$2:$A$20, Fact_Events!$F$2:$F$20, "")</f>
        <v/>
      </c>
      <c r="K3143" t="str">
        <f t="shared" si="398"/>
        <v>Low</v>
      </c>
      <c r="L3143">
        <f t="shared" si="399"/>
        <v>0.55000000000000004</v>
      </c>
      <c r="M3143">
        <f>_xlfn.XLOOKUP(B3143, Dim_Hotel!$A$2:$A$11, Dim_Hotel!$I$2:$I$11)
 + (IF(J3143="",0,J3143)
    * _xlfn.XLOOKUP(B3143, Dim_Hotel!$A$2:$A$11, Dim_Hotel!$J$2:$J$11))</f>
        <v>175</v>
      </c>
    </row>
    <row r="3144" spans="1:13" x14ac:dyDescent="0.25">
      <c r="A3144" s="1">
        <f t="shared" si="392"/>
        <v>46337</v>
      </c>
      <c r="B3144" t="str" cm="1">
        <f t="array" ref="B3144">INDEX(HotelList,MOD(ROW()-2,10)+1)</f>
        <v>H003</v>
      </c>
      <c r="C3144">
        <f>_xlfn.XLOOKUP(B3144,Dim_Hotel!$A$2:$A$11,Dim_Hotel!$F$2:$F$11)</f>
        <v>121</v>
      </c>
      <c r="D3144">
        <f t="shared" si="393"/>
        <v>67</v>
      </c>
      <c r="E3144">
        <f t="shared" si="394"/>
        <v>0.55371900826446285</v>
      </c>
      <c r="F3144">
        <f t="shared" si="395"/>
        <v>145</v>
      </c>
      <c r="G3144">
        <f t="shared" si="396"/>
        <v>80.289256198347118</v>
      </c>
      <c r="H3144" t="str">
        <f>_xlfn.XLOOKUP(A3144,Fact_Events!$D$2:$D$20,Fact_Events!$A$2:$A$20, "")</f>
        <v/>
      </c>
      <c r="I3144">
        <f t="shared" si="397"/>
        <v>0</v>
      </c>
      <c r="J3144" t="str">
        <f>_xlfn.XLOOKUP(H3144, Fact_Events!$A$2:$A$20, Fact_Events!$F$2:$F$20, "")</f>
        <v/>
      </c>
      <c r="K3144" t="str">
        <f t="shared" si="398"/>
        <v>Low</v>
      </c>
      <c r="L3144">
        <f t="shared" si="399"/>
        <v>0.55000000000000004</v>
      </c>
      <c r="M3144">
        <f>_xlfn.XLOOKUP(B3144, Dim_Hotel!$A$2:$A$11, Dim_Hotel!$I$2:$I$11)
 + (IF(J3144="",0,J3144)
    * _xlfn.XLOOKUP(B3144, Dim_Hotel!$A$2:$A$11, Dim_Hotel!$J$2:$J$11))</f>
        <v>145</v>
      </c>
    </row>
    <row r="3145" spans="1:13" x14ac:dyDescent="0.25">
      <c r="A3145" s="1">
        <f t="shared" si="392"/>
        <v>46337</v>
      </c>
      <c r="B3145" t="str" cm="1">
        <f t="array" ref="B3145">INDEX(HotelList,MOD(ROW()-2,10)+1)</f>
        <v>H004</v>
      </c>
      <c r="C3145">
        <f>_xlfn.XLOOKUP(B3145,Dim_Hotel!$A$2:$A$11,Dim_Hotel!$F$2:$F$11)</f>
        <v>108</v>
      </c>
      <c r="D3145">
        <f t="shared" si="393"/>
        <v>59</v>
      </c>
      <c r="E3145">
        <f t="shared" si="394"/>
        <v>0.54629629629629628</v>
      </c>
      <c r="F3145">
        <f t="shared" si="395"/>
        <v>135</v>
      </c>
      <c r="G3145">
        <f t="shared" si="396"/>
        <v>73.75</v>
      </c>
      <c r="H3145" t="str">
        <f>_xlfn.XLOOKUP(A3145,Fact_Events!$D$2:$D$20,Fact_Events!$A$2:$A$20, "")</f>
        <v/>
      </c>
      <c r="I3145">
        <f t="shared" si="397"/>
        <v>0</v>
      </c>
      <c r="J3145" t="str">
        <f>_xlfn.XLOOKUP(H3145, Fact_Events!$A$2:$A$20, Fact_Events!$F$2:$F$20, "")</f>
        <v/>
      </c>
      <c r="K3145" t="str">
        <f t="shared" si="398"/>
        <v>Low</v>
      </c>
      <c r="L3145">
        <f t="shared" si="399"/>
        <v>0.55000000000000004</v>
      </c>
      <c r="M3145">
        <f>_xlfn.XLOOKUP(B3145, Dim_Hotel!$A$2:$A$11, Dim_Hotel!$I$2:$I$11)
 + (IF(J3145="",0,J3145)
    * _xlfn.XLOOKUP(B3145, Dim_Hotel!$A$2:$A$11, Dim_Hotel!$J$2:$J$11))</f>
        <v>135</v>
      </c>
    </row>
    <row r="3146" spans="1:13" x14ac:dyDescent="0.25">
      <c r="A3146" s="1">
        <f t="shared" si="392"/>
        <v>46337</v>
      </c>
      <c r="B3146" t="str" cm="1">
        <f t="array" ref="B3146">INDEX(HotelList,MOD(ROW()-2,10)+1)</f>
        <v>H005</v>
      </c>
      <c r="C3146">
        <f>_xlfn.XLOOKUP(B3146,Dim_Hotel!$A$2:$A$11,Dim_Hotel!$F$2:$F$11)</f>
        <v>66</v>
      </c>
      <c r="D3146">
        <f t="shared" si="393"/>
        <v>36</v>
      </c>
      <c r="E3146">
        <f t="shared" si="394"/>
        <v>0.54545454545454541</v>
      </c>
      <c r="F3146">
        <f t="shared" si="395"/>
        <v>82</v>
      </c>
      <c r="G3146">
        <f t="shared" si="396"/>
        <v>44.727272727272727</v>
      </c>
      <c r="H3146" t="str">
        <f>_xlfn.XLOOKUP(A3146,Fact_Events!$D$2:$D$20,Fact_Events!$A$2:$A$20, "")</f>
        <v/>
      </c>
      <c r="I3146">
        <f t="shared" si="397"/>
        <v>0</v>
      </c>
      <c r="J3146" t="str">
        <f>_xlfn.XLOOKUP(H3146, Fact_Events!$A$2:$A$20, Fact_Events!$F$2:$F$20, "")</f>
        <v/>
      </c>
      <c r="K3146" t="str">
        <f t="shared" si="398"/>
        <v>Low</v>
      </c>
      <c r="L3146">
        <f t="shared" si="399"/>
        <v>0.55000000000000004</v>
      </c>
      <c r="M3146">
        <f>_xlfn.XLOOKUP(B3146, Dim_Hotel!$A$2:$A$11, Dim_Hotel!$I$2:$I$11)
 + (IF(J3146="",0,J3146)
    * _xlfn.XLOOKUP(B3146, Dim_Hotel!$A$2:$A$11, Dim_Hotel!$J$2:$J$11))</f>
        <v>82</v>
      </c>
    </row>
    <row r="3147" spans="1:13" x14ac:dyDescent="0.25">
      <c r="A3147" s="1">
        <f t="shared" si="392"/>
        <v>46337</v>
      </c>
      <c r="B3147" t="str" cm="1">
        <f t="array" ref="B3147">INDEX(HotelList,MOD(ROW()-2,10)+1)</f>
        <v>H006</v>
      </c>
      <c r="C3147">
        <f>_xlfn.XLOOKUP(B3147,Dim_Hotel!$A$2:$A$11,Dim_Hotel!$F$2:$F$11)</f>
        <v>311</v>
      </c>
      <c r="D3147">
        <f t="shared" si="393"/>
        <v>171</v>
      </c>
      <c r="E3147">
        <f t="shared" si="394"/>
        <v>0.54983922829581988</v>
      </c>
      <c r="F3147">
        <f t="shared" si="395"/>
        <v>190</v>
      </c>
      <c r="G3147">
        <f t="shared" si="396"/>
        <v>104.46945337620578</v>
      </c>
      <c r="H3147" t="str">
        <f>_xlfn.XLOOKUP(A3147,Fact_Events!$D$2:$D$20,Fact_Events!$A$2:$A$20, "")</f>
        <v/>
      </c>
      <c r="I3147">
        <f t="shared" si="397"/>
        <v>0</v>
      </c>
      <c r="J3147" t="str">
        <f>_xlfn.XLOOKUP(H3147, Fact_Events!$A$2:$A$20, Fact_Events!$F$2:$F$20, "")</f>
        <v/>
      </c>
      <c r="K3147" t="str">
        <f t="shared" si="398"/>
        <v>Low</v>
      </c>
      <c r="L3147">
        <f t="shared" si="399"/>
        <v>0.55000000000000004</v>
      </c>
      <c r="M3147">
        <f>_xlfn.XLOOKUP(B3147, Dim_Hotel!$A$2:$A$11, Dim_Hotel!$I$2:$I$11)
 + (IF(J3147="",0,J3147)
    * _xlfn.XLOOKUP(B3147, Dim_Hotel!$A$2:$A$11, Dim_Hotel!$J$2:$J$11))</f>
        <v>190</v>
      </c>
    </row>
    <row r="3148" spans="1:13" x14ac:dyDescent="0.25">
      <c r="A3148" s="1">
        <f t="shared" si="392"/>
        <v>46337</v>
      </c>
      <c r="B3148" t="str" cm="1">
        <f t="array" ref="B3148">INDEX(HotelList,MOD(ROW()-2,10)+1)</f>
        <v>H007</v>
      </c>
      <c r="C3148">
        <f>_xlfn.XLOOKUP(B3148,Dim_Hotel!$A$2:$A$11,Dim_Hotel!$F$2:$F$11)</f>
        <v>132</v>
      </c>
      <c r="D3148">
        <f t="shared" si="393"/>
        <v>73</v>
      </c>
      <c r="E3148">
        <f t="shared" si="394"/>
        <v>0.55303030303030298</v>
      </c>
      <c r="F3148">
        <f t="shared" si="395"/>
        <v>165</v>
      </c>
      <c r="G3148">
        <f t="shared" si="396"/>
        <v>91.249999999999986</v>
      </c>
      <c r="H3148" t="str">
        <f>_xlfn.XLOOKUP(A3148,Fact_Events!$D$2:$D$20,Fact_Events!$A$2:$A$20, "")</f>
        <v/>
      </c>
      <c r="I3148">
        <f t="shared" si="397"/>
        <v>0</v>
      </c>
      <c r="J3148" t="str">
        <f>_xlfn.XLOOKUP(H3148, Fact_Events!$A$2:$A$20, Fact_Events!$F$2:$F$20, "")</f>
        <v/>
      </c>
      <c r="K3148" t="str">
        <f t="shared" si="398"/>
        <v>Low</v>
      </c>
      <c r="L3148">
        <f t="shared" si="399"/>
        <v>0.55000000000000004</v>
      </c>
      <c r="M3148">
        <f>_xlfn.XLOOKUP(B3148, Dim_Hotel!$A$2:$A$11, Dim_Hotel!$I$2:$I$11)
 + (IF(J3148="",0,J3148)
    * _xlfn.XLOOKUP(B3148, Dim_Hotel!$A$2:$A$11, Dim_Hotel!$J$2:$J$11))</f>
        <v>165</v>
      </c>
    </row>
    <row r="3149" spans="1:13" x14ac:dyDescent="0.25">
      <c r="A3149" s="1">
        <f t="shared" si="392"/>
        <v>46337</v>
      </c>
      <c r="B3149" t="str" cm="1">
        <f t="array" ref="B3149">INDEX(HotelList,MOD(ROW()-2,10)+1)</f>
        <v>H008</v>
      </c>
      <c r="C3149">
        <f>_xlfn.XLOOKUP(B3149,Dim_Hotel!$A$2:$A$11,Dim_Hotel!$F$2:$F$11)</f>
        <v>103</v>
      </c>
      <c r="D3149">
        <f t="shared" si="393"/>
        <v>57</v>
      </c>
      <c r="E3149">
        <f t="shared" si="394"/>
        <v>0.55339805825242716</v>
      </c>
      <c r="F3149">
        <f t="shared" si="395"/>
        <v>140</v>
      </c>
      <c r="G3149">
        <f t="shared" si="396"/>
        <v>77.475728155339809</v>
      </c>
      <c r="H3149" t="str">
        <f>_xlfn.XLOOKUP(A3149,Fact_Events!$D$2:$D$20,Fact_Events!$A$2:$A$20, "")</f>
        <v/>
      </c>
      <c r="I3149">
        <f t="shared" si="397"/>
        <v>0</v>
      </c>
      <c r="J3149" t="str">
        <f>_xlfn.XLOOKUP(H3149, Fact_Events!$A$2:$A$20, Fact_Events!$F$2:$F$20, "")</f>
        <v/>
      </c>
      <c r="K3149" t="str">
        <f t="shared" si="398"/>
        <v>Low</v>
      </c>
      <c r="L3149">
        <f t="shared" si="399"/>
        <v>0.55000000000000004</v>
      </c>
      <c r="M3149">
        <f>_xlfn.XLOOKUP(B3149, Dim_Hotel!$A$2:$A$11, Dim_Hotel!$I$2:$I$11)
 + (IF(J3149="",0,J3149)
    * _xlfn.XLOOKUP(B3149, Dim_Hotel!$A$2:$A$11, Dim_Hotel!$J$2:$J$11))</f>
        <v>140</v>
      </c>
    </row>
    <row r="3150" spans="1:13" x14ac:dyDescent="0.25">
      <c r="A3150" s="1">
        <f t="shared" si="392"/>
        <v>46337</v>
      </c>
      <c r="B3150" t="str" cm="1">
        <f t="array" ref="B3150">INDEX(HotelList,MOD(ROW()-2,10)+1)</f>
        <v>H009</v>
      </c>
      <c r="C3150">
        <f>_xlfn.XLOOKUP(B3150,Dim_Hotel!$A$2:$A$11,Dim_Hotel!$F$2:$F$11)</f>
        <v>114</v>
      </c>
      <c r="D3150">
        <f t="shared" si="393"/>
        <v>63</v>
      </c>
      <c r="E3150">
        <f t="shared" si="394"/>
        <v>0.55263157894736847</v>
      </c>
      <c r="F3150">
        <f t="shared" si="395"/>
        <v>185</v>
      </c>
      <c r="G3150">
        <f t="shared" si="396"/>
        <v>102.23684210526316</v>
      </c>
      <c r="H3150" t="str">
        <f>_xlfn.XLOOKUP(A3150,Fact_Events!$D$2:$D$20,Fact_Events!$A$2:$A$20, "")</f>
        <v/>
      </c>
      <c r="I3150">
        <f t="shared" si="397"/>
        <v>0</v>
      </c>
      <c r="J3150" t="str">
        <f>_xlfn.XLOOKUP(H3150, Fact_Events!$A$2:$A$20, Fact_Events!$F$2:$F$20, "")</f>
        <v/>
      </c>
      <c r="K3150" t="str">
        <f t="shared" si="398"/>
        <v>Low</v>
      </c>
      <c r="L3150">
        <f t="shared" si="399"/>
        <v>0.55000000000000004</v>
      </c>
      <c r="M3150">
        <f>_xlfn.XLOOKUP(B3150, Dim_Hotel!$A$2:$A$11, Dim_Hotel!$I$2:$I$11)
 + (IF(J3150="",0,J3150)
    * _xlfn.XLOOKUP(B3150, Dim_Hotel!$A$2:$A$11, Dim_Hotel!$J$2:$J$11))</f>
        <v>185</v>
      </c>
    </row>
    <row r="3151" spans="1:13" x14ac:dyDescent="0.25">
      <c r="A3151" s="1">
        <f t="shared" si="392"/>
        <v>46337</v>
      </c>
      <c r="B3151" t="str" cm="1">
        <f t="array" ref="B3151">INDEX(HotelList,MOD(ROW()-2,10)+1)</f>
        <v>H010</v>
      </c>
      <c r="C3151">
        <f>_xlfn.XLOOKUP(B3151,Dim_Hotel!$A$2:$A$11,Dim_Hotel!$F$2:$F$11)</f>
        <v>89</v>
      </c>
      <c r="D3151">
        <f t="shared" si="393"/>
        <v>49</v>
      </c>
      <c r="E3151">
        <f t="shared" si="394"/>
        <v>0.550561797752809</v>
      </c>
      <c r="F3151">
        <f t="shared" si="395"/>
        <v>150</v>
      </c>
      <c r="G3151">
        <f t="shared" si="396"/>
        <v>82.584269662921344</v>
      </c>
      <c r="H3151" t="str">
        <f>_xlfn.XLOOKUP(A3151,Fact_Events!$D$2:$D$20,Fact_Events!$A$2:$A$20, "")</f>
        <v/>
      </c>
      <c r="I3151">
        <f t="shared" si="397"/>
        <v>0</v>
      </c>
      <c r="J3151" t="str">
        <f>_xlfn.XLOOKUP(H3151, Fact_Events!$A$2:$A$20, Fact_Events!$F$2:$F$20, "")</f>
        <v/>
      </c>
      <c r="K3151" t="str">
        <f t="shared" si="398"/>
        <v>Low</v>
      </c>
      <c r="L3151">
        <f t="shared" si="399"/>
        <v>0.55000000000000004</v>
      </c>
      <c r="M3151">
        <f>_xlfn.XLOOKUP(B3151, Dim_Hotel!$A$2:$A$11, Dim_Hotel!$I$2:$I$11)
 + (IF(J3151="",0,J3151)
    * _xlfn.XLOOKUP(B3151, Dim_Hotel!$A$2:$A$11, Dim_Hotel!$J$2:$J$11))</f>
        <v>150</v>
      </c>
    </row>
    <row r="3152" spans="1:13" x14ac:dyDescent="0.25">
      <c r="A3152" s="1">
        <f t="shared" si="392"/>
        <v>46338</v>
      </c>
      <c r="B3152" t="str" cm="1">
        <f t="array" ref="B3152">INDEX(HotelList,MOD(ROW()-2,10)+1)</f>
        <v>H001</v>
      </c>
      <c r="C3152">
        <f>_xlfn.XLOOKUP(B3152,Dim_Hotel!$A$2:$A$11,Dim_Hotel!$F$2:$F$11)</f>
        <v>888</v>
      </c>
      <c r="D3152">
        <f t="shared" si="393"/>
        <v>488</v>
      </c>
      <c r="E3152">
        <f t="shared" si="394"/>
        <v>0.5495495495495496</v>
      </c>
      <c r="F3152">
        <f t="shared" si="395"/>
        <v>260</v>
      </c>
      <c r="G3152">
        <f t="shared" si="396"/>
        <v>142.88288288288288</v>
      </c>
      <c r="H3152" t="str">
        <f>_xlfn.XLOOKUP(A3152,Fact_Events!$D$2:$D$20,Fact_Events!$A$2:$A$20, "")</f>
        <v/>
      </c>
      <c r="I3152">
        <f t="shared" si="397"/>
        <v>0</v>
      </c>
      <c r="J3152" t="str">
        <f>_xlfn.XLOOKUP(H3152, Fact_Events!$A$2:$A$20, Fact_Events!$F$2:$F$20, "")</f>
        <v/>
      </c>
      <c r="K3152" t="str">
        <f t="shared" si="398"/>
        <v>Low</v>
      </c>
      <c r="L3152">
        <f t="shared" si="399"/>
        <v>0.55000000000000004</v>
      </c>
      <c r="M3152">
        <f>_xlfn.XLOOKUP(B3152, Dim_Hotel!$A$2:$A$11, Dim_Hotel!$I$2:$I$11)
 + (IF(J3152="",0,J3152)
    * _xlfn.XLOOKUP(B3152, Dim_Hotel!$A$2:$A$11, Dim_Hotel!$J$2:$J$11))</f>
        <v>260</v>
      </c>
    </row>
    <row r="3153" spans="1:13" x14ac:dyDescent="0.25">
      <c r="A3153" s="1">
        <f t="shared" si="392"/>
        <v>46338</v>
      </c>
      <c r="B3153" t="str" cm="1">
        <f t="array" ref="B3153">INDEX(HotelList,MOD(ROW()-2,10)+1)</f>
        <v>H002</v>
      </c>
      <c r="C3153">
        <f>_xlfn.XLOOKUP(B3153,Dim_Hotel!$A$2:$A$11,Dim_Hotel!$F$2:$F$11)</f>
        <v>147</v>
      </c>
      <c r="D3153">
        <f t="shared" si="393"/>
        <v>81</v>
      </c>
      <c r="E3153">
        <f t="shared" si="394"/>
        <v>0.55102040816326525</v>
      </c>
      <c r="F3153">
        <f t="shared" si="395"/>
        <v>175</v>
      </c>
      <c r="G3153">
        <f t="shared" si="396"/>
        <v>96.428571428571416</v>
      </c>
      <c r="H3153" t="str">
        <f>_xlfn.XLOOKUP(A3153,Fact_Events!$D$2:$D$20,Fact_Events!$A$2:$A$20, "")</f>
        <v/>
      </c>
      <c r="I3153">
        <f t="shared" si="397"/>
        <v>0</v>
      </c>
      <c r="J3153" t="str">
        <f>_xlfn.XLOOKUP(H3153, Fact_Events!$A$2:$A$20, Fact_Events!$F$2:$F$20, "")</f>
        <v/>
      </c>
      <c r="K3153" t="str">
        <f t="shared" si="398"/>
        <v>Low</v>
      </c>
      <c r="L3153">
        <f t="shared" si="399"/>
        <v>0.55000000000000004</v>
      </c>
      <c r="M3153">
        <f>_xlfn.XLOOKUP(B3153, Dim_Hotel!$A$2:$A$11, Dim_Hotel!$I$2:$I$11)
 + (IF(J3153="",0,J3153)
    * _xlfn.XLOOKUP(B3153, Dim_Hotel!$A$2:$A$11, Dim_Hotel!$J$2:$J$11))</f>
        <v>175</v>
      </c>
    </row>
    <row r="3154" spans="1:13" x14ac:dyDescent="0.25">
      <c r="A3154" s="1">
        <f t="shared" si="392"/>
        <v>46338</v>
      </c>
      <c r="B3154" t="str" cm="1">
        <f t="array" ref="B3154">INDEX(HotelList,MOD(ROW()-2,10)+1)</f>
        <v>H003</v>
      </c>
      <c r="C3154">
        <f>_xlfn.XLOOKUP(B3154,Dim_Hotel!$A$2:$A$11,Dim_Hotel!$F$2:$F$11)</f>
        <v>121</v>
      </c>
      <c r="D3154">
        <f t="shared" si="393"/>
        <v>67</v>
      </c>
      <c r="E3154">
        <f t="shared" si="394"/>
        <v>0.55371900826446285</v>
      </c>
      <c r="F3154">
        <f t="shared" si="395"/>
        <v>145</v>
      </c>
      <c r="G3154">
        <f t="shared" si="396"/>
        <v>80.289256198347118</v>
      </c>
      <c r="H3154" t="str">
        <f>_xlfn.XLOOKUP(A3154,Fact_Events!$D$2:$D$20,Fact_Events!$A$2:$A$20, "")</f>
        <v/>
      </c>
      <c r="I3154">
        <f t="shared" si="397"/>
        <v>0</v>
      </c>
      <c r="J3154" t="str">
        <f>_xlfn.XLOOKUP(H3154, Fact_Events!$A$2:$A$20, Fact_Events!$F$2:$F$20, "")</f>
        <v/>
      </c>
      <c r="K3154" t="str">
        <f t="shared" si="398"/>
        <v>Low</v>
      </c>
      <c r="L3154">
        <f t="shared" si="399"/>
        <v>0.55000000000000004</v>
      </c>
      <c r="M3154">
        <f>_xlfn.XLOOKUP(B3154, Dim_Hotel!$A$2:$A$11, Dim_Hotel!$I$2:$I$11)
 + (IF(J3154="",0,J3154)
    * _xlfn.XLOOKUP(B3154, Dim_Hotel!$A$2:$A$11, Dim_Hotel!$J$2:$J$11))</f>
        <v>145</v>
      </c>
    </row>
    <row r="3155" spans="1:13" x14ac:dyDescent="0.25">
      <c r="A3155" s="1">
        <f t="shared" si="392"/>
        <v>46338</v>
      </c>
      <c r="B3155" t="str" cm="1">
        <f t="array" ref="B3155">INDEX(HotelList,MOD(ROW()-2,10)+1)</f>
        <v>H004</v>
      </c>
      <c r="C3155">
        <f>_xlfn.XLOOKUP(B3155,Dim_Hotel!$A$2:$A$11,Dim_Hotel!$F$2:$F$11)</f>
        <v>108</v>
      </c>
      <c r="D3155">
        <f t="shared" si="393"/>
        <v>59</v>
      </c>
      <c r="E3155">
        <f t="shared" si="394"/>
        <v>0.54629629629629628</v>
      </c>
      <c r="F3155">
        <f t="shared" si="395"/>
        <v>135</v>
      </c>
      <c r="G3155">
        <f t="shared" si="396"/>
        <v>73.75</v>
      </c>
      <c r="H3155" t="str">
        <f>_xlfn.XLOOKUP(A3155,Fact_Events!$D$2:$D$20,Fact_Events!$A$2:$A$20, "")</f>
        <v/>
      </c>
      <c r="I3155">
        <f t="shared" si="397"/>
        <v>0</v>
      </c>
      <c r="J3155" t="str">
        <f>_xlfn.XLOOKUP(H3155, Fact_Events!$A$2:$A$20, Fact_Events!$F$2:$F$20, "")</f>
        <v/>
      </c>
      <c r="K3155" t="str">
        <f t="shared" si="398"/>
        <v>Low</v>
      </c>
      <c r="L3155">
        <f t="shared" si="399"/>
        <v>0.55000000000000004</v>
      </c>
      <c r="M3155">
        <f>_xlfn.XLOOKUP(B3155, Dim_Hotel!$A$2:$A$11, Dim_Hotel!$I$2:$I$11)
 + (IF(J3155="",0,J3155)
    * _xlfn.XLOOKUP(B3155, Dim_Hotel!$A$2:$A$11, Dim_Hotel!$J$2:$J$11))</f>
        <v>135</v>
      </c>
    </row>
    <row r="3156" spans="1:13" x14ac:dyDescent="0.25">
      <c r="A3156" s="1">
        <f t="shared" si="392"/>
        <v>46338</v>
      </c>
      <c r="B3156" t="str" cm="1">
        <f t="array" ref="B3156">INDEX(HotelList,MOD(ROW()-2,10)+1)</f>
        <v>H005</v>
      </c>
      <c r="C3156">
        <f>_xlfn.XLOOKUP(B3156,Dim_Hotel!$A$2:$A$11,Dim_Hotel!$F$2:$F$11)</f>
        <v>66</v>
      </c>
      <c r="D3156">
        <f t="shared" si="393"/>
        <v>36</v>
      </c>
      <c r="E3156">
        <f t="shared" si="394"/>
        <v>0.54545454545454541</v>
      </c>
      <c r="F3156">
        <f t="shared" si="395"/>
        <v>82</v>
      </c>
      <c r="G3156">
        <f t="shared" si="396"/>
        <v>44.727272727272727</v>
      </c>
      <c r="H3156" t="str">
        <f>_xlfn.XLOOKUP(A3156,Fact_Events!$D$2:$D$20,Fact_Events!$A$2:$A$20, "")</f>
        <v/>
      </c>
      <c r="I3156">
        <f t="shared" si="397"/>
        <v>0</v>
      </c>
      <c r="J3156" t="str">
        <f>_xlfn.XLOOKUP(H3156, Fact_Events!$A$2:$A$20, Fact_Events!$F$2:$F$20, "")</f>
        <v/>
      </c>
      <c r="K3156" t="str">
        <f t="shared" si="398"/>
        <v>Low</v>
      </c>
      <c r="L3156">
        <f t="shared" si="399"/>
        <v>0.55000000000000004</v>
      </c>
      <c r="M3156">
        <f>_xlfn.XLOOKUP(B3156, Dim_Hotel!$A$2:$A$11, Dim_Hotel!$I$2:$I$11)
 + (IF(J3156="",0,J3156)
    * _xlfn.XLOOKUP(B3156, Dim_Hotel!$A$2:$A$11, Dim_Hotel!$J$2:$J$11))</f>
        <v>82</v>
      </c>
    </row>
    <row r="3157" spans="1:13" x14ac:dyDescent="0.25">
      <c r="A3157" s="1">
        <f t="shared" si="392"/>
        <v>46338</v>
      </c>
      <c r="B3157" t="str" cm="1">
        <f t="array" ref="B3157">INDEX(HotelList,MOD(ROW()-2,10)+1)</f>
        <v>H006</v>
      </c>
      <c r="C3157">
        <f>_xlfn.XLOOKUP(B3157,Dim_Hotel!$A$2:$A$11,Dim_Hotel!$F$2:$F$11)</f>
        <v>311</v>
      </c>
      <c r="D3157">
        <f t="shared" si="393"/>
        <v>171</v>
      </c>
      <c r="E3157">
        <f t="shared" si="394"/>
        <v>0.54983922829581988</v>
      </c>
      <c r="F3157">
        <f t="shared" si="395"/>
        <v>190</v>
      </c>
      <c r="G3157">
        <f t="shared" si="396"/>
        <v>104.46945337620578</v>
      </c>
      <c r="H3157" t="str">
        <f>_xlfn.XLOOKUP(A3157,Fact_Events!$D$2:$D$20,Fact_Events!$A$2:$A$20, "")</f>
        <v/>
      </c>
      <c r="I3157">
        <f t="shared" si="397"/>
        <v>0</v>
      </c>
      <c r="J3157" t="str">
        <f>_xlfn.XLOOKUP(H3157, Fact_Events!$A$2:$A$20, Fact_Events!$F$2:$F$20, "")</f>
        <v/>
      </c>
      <c r="K3157" t="str">
        <f t="shared" si="398"/>
        <v>Low</v>
      </c>
      <c r="L3157">
        <f t="shared" si="399"/>
        <v>0.55000000000000004</v>
      </c>
      <c r="M3157">
        <f>_xlfn.XLOOKUP(B3157, Dim_Hotel!$A$2:$A$11, Dim_Hotel!$I$2:$I$11)
 + (IF(J3157="",0,J3157)
    * _xlfn.XLOOKUP(B3157, Dim_Hotel!$A$2:$A$11, Dim_Hotel!$J$2:$J$11))</f>
        <v>190</v>
      </c>
    </row>
    <row r="3158" spans="1:13" x14ac:dyDescent="0.25">
      <c r="A3158" s="1">
        <f t="shared" si="392"/>
        <v>46338</v>
      </c>
      <c r="B3158" t="str" cm="1">
        <f t="array" ref="B3158">INDEX(HotelList,MOD(ROW()-2,10)+1)</f>
        <v>H007</v>
      </c>
      <c r="C3158">
        <f>_xlfn.XLOOKUP(B3158,Dim_Hotel!$A$2:$A$11,Dim_Hotel!$F$2:$F$11)</f>
        <v>132</v>
      </c>
      <c r="D3158">
        <f t="shared" si="393"/>
        <v>73</v>
      </c>
      <c r="E3158">
        <f t="shared" si="394"/>
        <v>0.55303030303030298</v>
      </c>
      <c r="F3158">
        <f t="shared" si="395"/>
        <v>165</v>
      </c>
      <c r="G3158">
        <f t="shared" si="396"/>
        <v>91.249999999999986</v>
      </c>
      <c r="H3158" t="str">
        <f>_xlfn.XLOOKUP(A3158,Fact_Events!$D$2:$D$20,Fact_Events!$A$2:$A$20, "")</f>
        <v/>
      </c>
      <c r="I3158">
        <f t="shared" si="397"/>
        <v>0</v>
      </c>
      <c r="J3158" t="str">
        <f>_xlfn.XLOOKUP(H3158, Fact_Events!$A$2:$A$20, Fact_Events!$F$2:$F$20, "")</f>
        <v/>
      </c>
      <c r="K3158" t="str">
        <f t="shared" si="398"/>
        <v>Low</v>
      </c>
      <c r="L3158">
        <f t="shared" si="399"/>
        <v>0.55000000000000004</v>
      </c>
      <c r="M3158">
        <f>_xlfn.XLOOKUP(B3158, Dim_Hotel!$A$2:$A$11, Dim_Hotel!$I$2:$I$11)
 + (IF(J3158="",0,J3158)
    * _xlfn.XLOOKUP(B3158, Dim_Hotel!$A$2:$A$11, Dim_Hotel!$J$2:$J$11))</f>
        <v>165</v>
      </c>
    </row>
    <row r="3159" spans="1:13" x14ac:dyDescent="0.25">
      <c r="A3159" s="1">
        <f t="shared" si="392"/>
        <v>46338</v>
      </c>
      <c r="B3159" t="str" cm="1">
        <f t="array" ref="B3159">INDEX(HotelList,MOD(ROW()-2,10)+1)</f>
        <v>H008</v>
      </c>
      <c r="C3159">
        <f>_xlfn.XLOOKUP(B3159,Dim_Hotel!$A$2:$A$11,Dim_Hotel!$F$2:$F$11)</f>
        <v>103</v>
      </c>
      <c r="D3159">
        <f t="shared" si="393"/>
        <v>57</v>
      </c>
      <c r="E3159">
        <f t="shared" si="394"/>
        <v>0.55339805825242716</v>
      </c>
      <c r="F3159">
        <f t="shared" si="395"/>
        <v>140</v>
      </c>
      <c r="G3159">
        <f t="shared" si="396"/>
        <v>77.475728155339809</v>
      </c>
      <c r="H3159" t="str">
        <f>_xlfn.XLOOKUP(A3159,Fact_Events!$D$2:$D$20,Fact_Events!$A$2:$A$20, "")</f>
        <v/>
      </c>
      <c r="I3159">
        <f t="shared" si="397"/>
        <v>0</v>
      </c>
      <c r="J3159" t="str">
        <f>_xlfn.XLOOKUP(H3159, Fact_Events!$A$2:$A$20, Fact_Events!$F$2:$F$20, "")</f>
        <v/>
      </c>
      <c r="K3159" t="str">
        <f t="shared" si="398"/>
        <v>Low</v>
      </c>
      <c r="L3159">
        <f t="shared" si="399"/>
        <v>0.55000000000000004</v>
      </c>
      <c r="M3159">
        <f>_xlfn.XLOOKUP(B3159, Dim_Hotel!$A$2:$A$11, Dim_Hotel!$I$2:$I$11)
 + (IF(J3159="",0,J3159)
    * _xlfn.XLOOKUP(B3159, Dim_Hotel!$A$2:$A$11, Dim_Hotel!$J$2:$J$11))</f>
        <v>140</v>
      </c>
    </row>
    <row r="3160" spans="1:13" x14ac:dyDescent="0.25">
      <c r="A3160" s="1">
        <f t="shared" si="392"/>
        <v>46338</v>
      </c>
      <c r="B3160" t="str" cm="1">
        <f t="array" ref="B3160">INDEX(HotelList,MOD(ROW()-2,10)+1)</f>
        <v>H009</v>
      </c>
      <c r="C3160">
        <f>_xlfn.XLOOKUP(B3160,Dim_Hotel!$A$2:$A$11,Dim_Hotel!$F$2:$F$11)</f>
        <v>114</v>
      </c>
      <c r="D3160">
        <f t="shared" si="393"/>
        <v>63</v>
      </c>
      <c r="E3160">
        <f t="shared" si="394"/>
        <v>0.55263157894736847</v>
      </c>
      <c r="F3160">
        <f t="shared" si="395"/>
        <v>185</v>
      </c>
      <c r="G3160">
        <f t="shared" si="396"/>
        <v>102.23684210526316</v>
      </c>
      <c r="H3160" t="str">
        <f>_xlfn.XLOOKUP(A3160,Fact_Events!$D$2:$D$20,Fact_Events!$A$2:$A$20, "")</f>
        <v/>
      </c>
      <c r="I3160">
        <f t="shared" si="397"/>
        <v>0</v>
      </c>
      <c r="J3160" t="str">
        <f>_xlfn.XLOOKUP(H3160, Fact_Events!$A$2:$A$20, Fact_Events!$F$2:$F$20, "")</f>
        <v/>
      </c>
      <c r="K3160" t="str">
        <f t="shared" si="398"/>
        <v>Low</v>
      </c>
      <c r="L3160">
        <f t="shared" si="399"/>
        <v>0.55000000000000004</v>
      </c>
      <c r="M3160">
        <f>_xlfn.XLOOKUP(B3160, Dim_Hotel!$A$2:$A$11, Dim_Hotel!$I$2:$I$11)
 + (IF(J3160="",0,J3160)
    * _xlfn.XLOOKUP(B3160, Dim_Hotel!$A$2:$A$11, Dim_Hotel!$J$2:$J$11))</f>
        <v>185</v>
      </c>
    </row>
    <row r="3161" spans="1:13" x14ac:dyDescent="0.25">
      <c r="A3161" s="1">
        <f t="shared" si="392"/>
        <v>46338</v>
      </c>
      <c r="B3161" t="str" cm="1">
        <f t="array" ref="B3161">INDEX(HotelList,MOD(ROW()-2,10)+1)</f>
        <v>H010</v>
      </c>
      <c r="C3161">
        <f>_xlfn.XLOOKUP(B3161,Dim_Hotel!$A$2:$A$11,Dim_Hotel!$F$2:$F$11)</f>
        <v>89</v>
      </c>
      <c r="D3161">
        <f t="shared" si="393"/>
        <v>49</v>
      </c>
      <c r="E3161">
        <f t="shared" si="394"/>
        <v>0.550561797752809</v>
      </c>
      <c r="F3161">
        <f t="shared" si="395"/>
        <v>150</v>
      </c>
      <c r="G3161">
        <f t="shared" si="396"/>
        <v>82.584269662921344</v>
      </c>
      <c r="H3161" t="str">
        <f>_xlfn.XLOOKUP(A3161,Fact_Events!$D$2:$D$20,Fact_Events!$A$2:$A$20, "")</f>
        <v/>
      </c>
      <c r="I3161">
        <f t="shared" si="397"/>
        <v>0</v>
      </c>
      <c r="J3161" t="str">
        <f>_xlfn.XLOOKUP(H3161, Fact_Events!$A$2:$A$20, Fact_Events!$F$2:$F$20, "")</f>
        <v/>
      </c>
      <c r="K3161" t="str">
        <f t="shared" si="398"/>
        <v>Low</v>
      </c>
      <c r="L3161">
        <f t="shared" si="399"/>
        <v>0.55000000000000004</v>
      </c>
      <c r="M3161">
        <f>_xlfn.XLOOKUP(B3161, Dim_Hotel!$A$2:$A$11, Dim_Hotel!$I$2:$I$11)
 + (IF(J3161="",0,J3161)
    * _xlfn.XLOOKUP(B3161, Dim_Hotel!$A$2:$A$11, Dim_Hotel!$J$2:$J$11))</f>
        <v>150</v>
      </c>
    </row>
    <row r="3162" spans="1:13" x14ac:dyDescent="0.25">
      <c r="A3162" s="1">
        <f t="shared" si="392"/>
        <v>46339</v>
      </c>
      <c r="B3162" t="str" cm="1">
        <f t="array" ref="B3162">INDEX(HotelList,MOD(ROW()-2,10)+1)</f>
        <v>H001</v>
      </c>
      <c r="C3162">
        <f>_xlfn.XLOOKUP(B3162,Dim_Hotel!$A$2:$A$11,Dim_Hotel!$F$2:$F$11)</f>
        <v>888</v>
      </c>
      <c r="D3162">
        <f t="shared" si="393"/>
        <v>488</v>
      </c>
      <c r="E3162">
        <f t="shared" si="394"/>
        <v>0.5495495495495496</v>
      </c>
      <c r="F3162">
        <f t="shared" si="395"/>
        <v>260</v>
      </c>
      <c r="G3162">
        <f t="shared" si="396"/>
        <v>142.88288288288288</v>
      </c>
      <c r="H3162" t="str">
        <f>_xlfn.XLOOKUP(A3162,Fact_Events!$D$2:$D$20,Fact_Events!$A$2:$A$20, "")</f>
        <v/>
      </c>
      <c r="I3162">
        <f t="shared" si="397"/>
        <v>0</v>
      </c>
      <c r="J3162" t="str">
        <f>_xlfn.XLOOKUP(H3162, Fact_Events!$A$2:$A$20, Fact_Events!$F$2:$F$20, "")</f>
        <v/>
      </c>
      <c r="K3162" t="str">
        <f t="shared" si="398"/>
        <v>Low</v>
      </c>
      <c r="L3162">
        <f t="shared" si="399"/>
        <v>0.55000000000000004</v>
      </c>
      <c r="M3162">
        <f>_xlfn.XLOOKUP(B3162, Dim_Hotel!$A$2:$A$11, Dim_Hotel!$I$2:$I$11)
 + (IF(J3162="",0,J3162)
    * _xlfn.XLOOKUP(B3162, Dim_Hotel!$A$2:$A$11, Dim_Hotel!$J$2:$J$11))</f>
        <v>260</v>
      </c>
    </row>
    <row r="3163" spans="1:13" x14ac:dyDescent="0.25">
      <c r="A3163" s="1">
        <f t="shared" si="392"/>
        <v>46339</v>
      </c>
      <c r="B3163" t="str" cm="1">
        <f t="array" ref="B3163">INDEX(HotelList,MOD(ROW()-2,10)+1)</f>
        <v>H002</v>
      </c>
      <c r="C3163">
        <f>_xlfn.XLOOKUP(B3163,Dim_Hotel!$A$2:$A$11,Dim_Hotel!$F$2:$F$11)</f>
        <v>147</v>
      </c>
      <c r="D3163">
        <f t="shared" si="393"/>
        <v>81</v>
      </c>
      <c r="E3163">
        <f t="shared" si="394"/>
        <v>0.55102040816326525</v>
      </c>
      <c r="F3163">
        <f t="shared" si="395"/>
        <v>175</v>
      </c>
      <c r="G3163">
        <f t="shared" si="396"/>
        <v>96.428571428571416</v>
      </c>
      <c r="H3163" t="str">
        <f>_xlfn.XLOOKUP(A3163,Fact_Events!$D$2:$D$20,Fact_Events!$A$2:$A$20, "")</f>
        <v/>
      </c>
      <c r="I3163">
        <f t="shared" si="397"/>
        <v>0</v>
      </c>
      <c r="J3163" t="str">
        <f>_xlfn.XLOOKUP(H3163, Fact_Events!$A$2:$A$20, Fact_Events!$F$2:$F$20, "")</f>
        <v/>
      </c>
      <c r="K3163" t="str">
        <f t="shared" si="398"/>
        <v>Low</v>
      </c>
      <c r="L3163">
        <f t="shared" si="399"/>
        <v>0.55000000000000004</v>
      </c>
      <c r="M3163">
        <f>_xlfn.XLOOKUP(B3163, Dim_Hotel!$A$2:$A$11, Dim_Hotel!$I$2:$I$11)
 + (IF(J3163="",0,J3163)
    * _xlfn.XLOOKUP(B3163, Dim_Hotel!$A$2:$A$11, Dim_Hotel!$J$2:$J$11))</f>
        <v>175</v>
      </c>
    </row>
    <row r="3164" spans="1:13" x14ac:dyDescent="0.25">
      <c r="A3164" s="1">
        <f t="shared" si="392"/>
        <v>46339</v>
      </c>
      <c r="B3164" t="str" cm="1">
        <f t="array" ref="B3164">INDEX(HotelList,MOD(ROW()-2,10)+1)</f>
        <v>H003</v>
      </c>
      <c r="C3164">
        <f>_xlfn.XLOOKUP(B3164,Dim_Hotel!$A$2:$A$11,Dim_Hotel!$F$2:$F$11)</f>
        <v>121</v>
      </c>
      <c r="D3164">
        <f t="shared" si="393"/>
        <v>67</v>
      </c>
      <c r="E3164">
        <f t="shared" si="394"/>
        <v>0.55371900826446285</v>
      </c>
      <c r="F3164">
        <f t="shared" si="395"/>
        <v>145</v>
      </c>
      <c r="G3164">
        <f t="shared" si="396"/>
        <v>80.289256198347118</v>
      </c>
      <c r="H3164" t="str">
        <f>_xlfn.XLOOKUP(A3164,Fact_Events!$D$2:$D$20,Fact_Events!$A$2:$A$20, "")</f>
        <v/>
      </c>
      <c r="I3164">
        <f t="shared" si="397"/>
        <v>0</v>
      </c>
      <c r="J3164" t="str">
        <f>_xlfn.XLOOKUP(H3164, Fact_Events!$A$2:$A$20, Fact_Events!$F$2:$F$20, "")</f>
        <v/>
      </c>
      <c r="K3164" t="str">
        <f t="shared" si="398"/>
        <v>Low</v>
      </c>
      <c r="L3164">
        <f t="shared" si="399"/>
        <v>0.55000000000000004</v>
      </c>
      <c r="M3164">
        <f>_xlfn.XLOOKUP(B3164, Dim_Hotel!$A$2:$A$11, Dim_Hotel!$I$2:$I$11)
 + (IF(J3164="",0,J3164)
    * _xlfn.XLOOKUP(B3164, Dim_Hotel!$A$2:$A$11, Dim_Hotel!$J$2:$J$11))</f>
        <v>145</v>
      </c>
    </row>
    <row r="3165" spans="1:13" x14ac:dyDescent="0.25">
      <c r="A3165" s="1">
        <f t="shared" si="392"/>
        <v>46339</v>
      </c>
      <c r="B3165" t="str" cm="1">
        <f t="array" ref="B3165">INDEX(HotelList,MOD(ROW()-2,10)+1)</f>
        <v>H004</v>
      </c>
      <c r="C3165">
        <f>_xlfn.XLOOKUP(B3165,Dim_Hotel!$A$2:$A$11,Dim_Hotel!$F$2:$F$11)</f>
        <v>108</v>
      </c>
      <c r="D3165">
        <f t="shared" si="393"/>
        <v>59</v>
      </c>
      <c r="E3165">
        <f t="shared" si="394"/>
        <v>0.54629629629629628</v>
      </c>
      <c r="F3165">
        <f t="shared" si="395"/>
        <v>135</v>
      </c>
      <c r="G3165">
        <f t="shared" si="396"/>
        <v>73.75</v>
      </c>
      <c r="H3165" t="str">
        <f>_xlfn.XLOOKUP(A3165,Fact_Events!$D$2:$D$20,Fact_Events!$A$2:$A$20, "")</f>
        <v/>
      </c>
      <c r="I3165">
        <f t="shared" si="397"/>
        <v>0</v>
      </c>
      <c r="J3165" t="str">
        <f>_xlfn.XLOOKUP(H3165, Fact_Events!$A$2:$A$20, Fact_Events!$F$2:$F$20, "")</f>
        <v/>
      </c>
      <c r="K3165" t="str">
        <f t="shared" si="398"/>
        <v>Low</v>
      </c>
      <c r="L3165">
        <f t="shared" si="399"/>
        <v>0.55000000000000004</v>
      </c>
      <c r="M3165">
        <f>_xlfn.XLOOKUP(B3165, Dim_Hotel!$A$2:$A$11, Dim_Hotel!$I$2:$I$11)
 + (IF(J3165="",0,J3165)
    * _xlfn.XLOOKUP(B3165, Dim_Hotel!$A$2:$A$11, Dim_Hotel!$J$2:$J$11))</f>
        <v>135</v>
      </c>
    </row>
    <row r="3166" spans="1:13" x14ac:dyDescent="0.25">
      <c r="A3166" s="1">
        <f t="shared" si="392"/>
        <v>46339</v>
      </c>
      <c r="B3166" t="str" cm="1">
        <f t="array" ref="B3166">INDEX(HotelList,MOD(ROW()-2,10)+1)</f>
        <v>H005</v>
      </c>
      <c r="C3166">
        <f>_xlfn.XLOOKUP(B3166,Dim_Hotel!$A$2:$A$11,Dim_Hotel!$F$2:$F$11)</f>
        <v>66</v>
      </c>
      <c r="D3166">
        <f t="shared" si="393"/>
        <v>36</v>
      </c>
      <c r="E3166">
        <f t="shared" si="394"/>
        <v>0.54545454545454541</v>
      </c>
      <c r="F3166">
        <f t="shared" si="395"/>
        <v>82</v>
      </c>
      <c r="G3166">
        <f t="shared" si="396"/>
        <v>44.727272727272727</v>
      </c>
      <c r="H3166" t="str">
        <f>_xlfn.XLOOKUP(A3166,Fact_Events!$D$2:$D$20,Fact_Events!$A$2:$A$20, "")</f>
        <v/>
      </c>
      <c r="I3166">
        <f t="shared" si="397"/>
        <v>0</v>
      </c>
      <c r="J3166" t="str">
        <f>_xlfn.XLOOKUP(H3166, Fact_Events!$A$2:$A$20, Fact_Events!$F$2:$F$20, "")</f>
        <v/>
      </c>
      <c r="K3166" t="str">
        <f t="shared" si="398"/>
        <v>Low</v>
      </c>
      <c r="L3166">
        <f t="shared" si="399"/>
        <v>0.55000000000000004</v>
      </c>
      <c r="M3166">
        <f>_xlfn.XLOOKUP(B3166, Dim_Hotel!$A$2:$A$11, Dim_Hotel!$I$2:$I$11)
 + (IF(J3166="",0,J3166)
    * _xlfn.XLOOKUP(B3166, Dim_Hotel!$A$2:$A$11, Dim_Hotel!$J$2:$J$11))</f>
        <v>82</v>
      </c>
    </row>
    <row r="3167" spans="1:13" x14ac:dyDescent="0.25">
      <c r="A3167" s="1">
        <f t="shared" si="392"/>
        <v>46339</v>
      </c>
      <c r="B3167" t="str" cm="1">
        <f t="array" ref="B3167">INDEX(HotelList,MOD(ROW()-2,10)+1)</f>
        <v>H006</v>
      </c>
      <c r="C3167">
        <f>_xlfn.XLOOKUP(B3167,Dim_Hotel!$A$2:$A$11,Dim_Hotel!$F$2:$F$11)</f>
        <v>311</v>
      </c>
      <c r="D3167">
        <f t="shared" si="393"/>
        <v>171</v>
      </c>
      <c r="E3167">
        <f t="shared" si="394"/>
        <v>0.54983922829581988</v>
      </c>
      <c r="F3167">
        <f t="shared" si="395"/>
        <v>190</v>
      </c>
      <c r="G3167">
        <f t="shared" si="396"/>
        <v>104.46945337620578</v>
      </c>
      <c r="H3167" t="str">
        <f>_xlfn.XLOOKUP(A3167,Fact_Events!$D$2:$D$20,Fact_Events!$A$2:$A$20, "")</f>
        <v/>
      </c>
      <c r="I3167">
        <f t="shared" si="397"/>
        <v>0</v>
      </c>
      <c r="J3167" t="str">
        <f>_xlfn.XLOOKUP(H3167, Fact_Events!$A$2:$A$20, Fact_Events!$F$2:$F$20, "")</f>
        <v/>
      </c>
      <c r="K3167" t="str">
        <f t="shared" si="398"/>
        <v>Low</v>
      </c>
      <c r="L3167">
        <f t="shared" si="399"/>
        <v>0.55000000000000004</v>
      </c>
      <c r="M3167">
        <f>_xlfn.XLOOKUP(B3167, Dim_Hotel!$A$2:$A$11, Dim_Hotel!$I$2:$I$11)
 + (IF(J3167="",0,J3167)
    * _xlfn.XLOOKUP(B3167, Dim_Hotel!$A$2:$A$11, Dim_Hotel!$J$2:$J$11))</f>
        <v>190</v>
      </c>
    </row>
    <row r="3168" spans="1:13" x14ac:dyDescent="0.25">
      <c r="A3168" s="1">
        <f t="shared" si="392"/>
        <v>46339</v>
      </c>
      <c r="B3168" t="str" cm="1">
        <f t="array" ref="B3168">INDEX(HotelList,MOD(ROW()-2,10)+1)</f>
        <v>H007</v>
      </c>
      <c r="C3168">
        <f>_xlfn.XLOOKUP(B3168,Dim_Hotel!$A$2:$A$11,Dim_Hotel!$F$2:$F$11)</f>
        <v>132</v>
      </c>
      <c r="D3168">
        <f t="shared" si="393"/>
        <v>73</v>
      </c>
      <c r="E3168">
        <f t="shared" si="394"/>
        <v>0.55303030303030298</v>
      </c>
      <c r="F3168">
        <f t="shared" si="395"/>
        <v>165</v>
      </c>
      <c r="G3168">
        <f t="shared" si="396"/>
        <v>91.249999999999986</v>
      </c>
      <c r="H3168" t="str">
        <f>_xlfn.XLOOKUP(A3168,Fact_Events!$D$2:$D$20,Fact_Events!$A$2:$A$20, "")</f>
        <v/>
      </c>
      <c r="I3168">
        <f t="shared" si="397"/>
        <v>0</v>
      </c>
      <c r="J3168" t="str">
        <f>_xlfn.XLOOKUP(H3168, Fact_Events!$A$2:$A$20, Fact_Events!$F$2:$F$20, "")</f>
        <v/>
      </c>
      <c r="K3168" t="str">
        <f t="shared" si="398"/>
        <v>Low</v>
      </c>
      <c r="L3168">
        <f t="shared" si="399"/>
        <v>0.55000000000000004</v>
      </c>
      <c r="M3168">
        <f>_xlfn.XLOOKUP(B3168, Dim_Hotel!$A$2:$A$11, Dim_Hotel!$I$2:$I$11)
 + (IF(J3168="",0,J3168)
    * _xlfn.XLOOKUP(B3168, Dim_Hotel!$A$2:$A$11, Dim_Hotel!$J$2:$J$11))</f>
        <v>165</v>
      </c>
    </row>
    <row r="3169" spans="1:13" x14ac:dyDescent="0.25">
      <c r="A3169" s="1">
        <f t="shared" si="392"/>
        <v>46339</v>
      </c>
      <c r="B3169" t="str" cm="1">
        <f t="array" ref="B3169">INDEX(HotelList,MOD(ROW()-2,10)+1)</f>
        <v>H008</v>
      </c>
      <c r="C3169">
        <f>_xlfn.XLOOKUP(B3169,Dim_Hotel!$A$2:$A$11,Dim_Hotel!$F$2:$F$11)</f>
        <v>103</v>
      </c>
      <c r="D3169">
        <f t="shared" si="393"/>
        <v>57</v>
      </c>
      <c r="E3169">
        <f t="shared" si="394"/>
        <v>0.55339805825242716</v>
      </c>
      <c r="F3169">
        <f t="shared" si="395"/>
        <v>140</v>
      </c>
      <c r="G3169">
        <f t="shared" si="396"/>
        <v>77.475728155339809</v>
      </c>
      <c r="H3169" t="str">
        <f>_xlfn.XLOOKUP(A3169,Fact_Events!$D$2:$D$20,Fact_Events!$A$2:$A$20, "")</f>
        <v/>
      </c>
      <c r="I3169">
        <f t="shared" si="397"/>
        <v>0</v>
      </c>
      <c r="J3169" t="str">
        <f>_xlfn.XLOOKUP(H3169, Fact_Events!$A$2:$A$20, Fact_Events!$F$2:$F$20, "")</f>
        <v/>
      </c>
      <c r="K3169" t="str">
        <f t="shared" si="398"/>
        <v>Low</v>
      </c>
      <c r="L3169">
        <f t="shared" si="399"/>
        <v>0.55000000000000004</v>
      </c>
      <c r="M3169">
        <f>_xlfn.XLOOKUP(B3169, Dim_Hotel!$A$2:$A$11, Dim_Hotel!$I$2:$I$11)
 + (IF(J3169="",0,J3169)
    * _xlfn.XLOOKUP(B3169, Dim_Hotel!$A$2:$A$11, Dim_Hotel!$J$2:$J$11))</f>
        <v>140</v>
      </c>
    </row>
    <row r="3170" spans="1:13" x14ac:dyDescent="0.25">
      <c r="A3170" s="1">
        <f t="shared" si="392"/>
        <v>46339</v>
      </c>
      <c r="B3170" t="str" cm="1">
        <f t="array" ref="B3170">INDEX(HotelList,MOD(ROW()-2,10)+1)</f>
        <v>H009</v>
      </c>
      <c r="C3170">
        <f>_xlfn.XLOOKUP(B3170,Dim_Hotel!$A$2:$A$11,Dim_Hotel!$F$2:$F$11)</f>
        <v>114</v>
      </c>
      <c r="D3170">
        <f t="shared" si="393"/>
        <v>63</v>
      </c>
      <c r="E3170">
        <f t="shared" si="394"/>
        <v>0.55263157894736847</v>
      </c>
      <c r="F3170">
        <f t="shared" si="395"/>
        <v>185</v>
      </c>
      <c r="G3170">
        <f t="shared" si="396"/>
        <v>102.23684210526316</v>
      </c>
      <c r="H3170" t="str">
        <f>_xlfn.XLOOKUP(A3170,Fact_Events!$D$2:$D$20,Fact_Events!$A$2:$A$20, "")</f>
        <v/>
      </c>
      <c r="I3170">
        <f t="shared" si="397"/>
        <v>0</v>
      </c>
      <c r="J3170" t="str">
        <f>_xlfn.XLOOKUP(H3170, Fact_Events!$A$2:$A$20, Fact_Events!$F$2:$F$20, "")</f>
        <v/>
      </c>
      <c r="K3170" t="str">
        <f t="shared" si="398"/>
        <v>Low</v>
      </c>
      <c r="L3170">
        <f t="shared" si="399"/>
        <v>0.55000000000000004</v>
      </c>
      <c r="M3170">
        <f>_xlfn.XLOOKUP(B3170, Dim_Hotel!$A$2:$A$11, Dim_Hotel!$I$2:$I$11)
 + (IF(J3170="",0,J3170)
    * _xlfn.XLOOKUP(B3170, Dim_Hotel!$A$2:$A$11, Dim_Hotel!$J$2:$J$11))</f>
        <v>185</v>
      </c>
    </row>
    <row r="3171" spans="1:13" x14ac:dyDescent="0.25">
      <c r="A3171" s="1">
        <f t="shared" si="392"/>
        <v>46339</v>
      </c>
      <c r="B3171" t="str" cm="1">
        <f t="array" ref="B3171">INDEX(HotelList,MOD(ROW()-2,10)+1)</f>
        <v>H010</v>
      </c>
      <c r="C3171">
        <f>_xlfn.XLOOKUP(B3171,Dim_Hotel!$A$2:$A$11,Dim_Hotel!$F$2:$F$11)</f>
        <v>89</v>
      </c>
      <c r="D3171">
        <f t="shared" si="393"/>
        <v>49</v>
      </c>
      <c r="E3171">
        <f t="shared" si="394"/>
        <v>0.550561797752809</v>
      </c>
      <c r="F3171">
        <f t="shared" si="395"/>
        <v>150</v>
      </c>
      <c r="G3171">
        <f t="shared" si="396"/>
        <v>82.584269662921344</v>
      </c>
      <c r="H3171" t="str">
        <f>_xlfn.XLOOKUP(A3171,Fact_Events!$D$2:$D$20,Fact_Events!$A$2:$A$20, "")</f>
        <v/>
      </c>
      <c r="I3171">
        <f t="shared" si="397"/>
        <v>0</v>
      </c>
      <c r="J3171" t="str">
        <f>_xlfn.XLOOKUP(H3171, Fact_Events!$A$2:$A$20, Fact_Events!$F$2:$F$20, "")</f>
        <v/>
      </c>
      <c r="K3171" t="str">
        <f t="shared" si="398"/>
        <v>Low</v>
      </c>
      <c r="L3171">
        <f t="shared" si="399"/>
        <v>0.55000000000000004</v>
      </c>
      <c r="M3171">
        <f>_xlfn.XLOOKUP(B3171, Dim_Hotel!$A$2:$A$11, Dim_Hotel!$I$2:$I$11)
 + (IF(J3171="",0,J3171)
    * _xlfn.XLOOKUP(B3171, Dim_Hotel!$A$2:$A$11, Dim_Hotel!$J$2:$J$11))</f>
        <v>150</v>
      </c>
    </row>
    <row r="3172" spans="1:13" x14ac:dyDescent="0.25">
      <c r="A3172" s="1">
        <f t="shared" si="392"/>
        <v>46340</v>
      </c>
      <c r="B3172" t="str" cm="1">
        <f t="array" ref="B3172">INDEX(HotelList,MOD(ROW()-2,10)+1)</f>
        <v>H001</v>
      </c>
      <c r="C3172">
        <f>_xlfn.XLOOKUP(B3172,Dim_Hotel!$A$2:$A$11,Dim_Hotel!$F$2:$F$11)</f>
        <v>888</v>
      </c>
      <c r="D3172">
        <f t="shared" si="393"/>
        <v>488</v>
      </c>
      <c r="E3172">
        <f t="shared" si="394"/>
        <v>0.5495495495495496</v>
      </c>
      <c r="F3172">
        <f t="shared" si="395"/>
        <v>260</v>
      </c>
      <c r="G3172">
        <f t="shared" si="396"/>
        <v>142.88288288288288</v>
      </c>
      <c r="H3172" t="str">
        <f>_xlfn.XLOOKUP(A3172,Fact_Events!$D$2:$D$20,Fact_Events!$A$2:$A$20, "")</f>
        <v/>
      </c>
      <c r="I3172">
        <f t="shared" si="397"/>
        <v>0</v>
      </c>
      <c r="J3172" t="str">
        <f>_xlfn.XLOOKUP(H3172, Fact_Events!$A$2:$A$20, Fact_Events!$F$2:$F$20, "")</f>
        <v/>
      </c>
      <c r="K3172" t="str">
        <f t="shared" si="398"/>
        <v>Low</v>
      </c>
      <c r="L3172">
        <f t="shared" si="399"/>
        <v>0.55000000000000004</v>
      </c>
      <c r="M3172">
        <f>_xlfn.XLOOKUP(B3172, Dim_Hotel!$A$2:$A$11, Dim_Hotel!$I$2:$I$11)
 + (IF(J3172="",0,J3172)
    * _xlfn.XLOOKUP(B3172, Dim_Hotel!$A$2:$A$11, Dim_Hotel!$J$2:$J$11))</f>
        <v>260</v>
      </c>
    </row>
    <row r="3173" spans="1:13" x14ac:dyDescent="0.25">
      <c r="A3173" s="1">
        <f t="shared" si="392"/>
        <v>46340</v>
      </c>
      <c r="B3173" t="str" cm="1">
        <f t="array" ref="B3173">INDEX(HotelList,MOD(ROW()-2,10)+1)</f>
        <v>H002</v>
      </c>
      <c r="C3173">
        <f>_xlfn.XLOOKUP(B3173,Dim_Hotel!$A$2:$A$11,Dim_Hotel!$F$2:$F$11)</f>
        <v>147</v>
      </c>
      <c r="D3173">
        <f t="shared" si="393"/>
        <v>81</v>
      </c>
      <c r="E3173">
        <f t="shared" si="394"/>
        <v>0.55102040816326525</v>
      </c>
      <c r="F3173">
        <f t="shared" si="395"/>
        <v>175</v>
      </c>
      <c r="G3173">
        <f t="shared" si="396"/>
        <v>96.428571428571416</v>
      </c>
      <c r="H3173" t="str">
        <f>_xlfn.XLOOKUP(A3173,Fact_Events!$D$2:$D$20,Fact_Events!$A$2:$A$20, "")</f>
        <v/>
      </c>
      <c r="I3173">
        <f t="shared" si="397"/>
        <v>0</v>
      </c>
      <c r="J3173" t="str">
        <f>_xlfn.XLOOKUP(H3173, Fact_Events!$A$2:$A$20, Fact_Events!$F$2:$F$20, "")</f>
        <v/>
      </c>
      <c r="K3173" t="str">
        <f t="shared" si="398"/>
        <v>Low</v>
      </c>
      <c r="L3173">
        <f t="shared" si="399"/>
        <v>0.55000000000000004</v>
      </c>
      <c r="M3173">
        <f>_xlfn.XLOOKUP(B3173, Dim_Hotel!$A$2:$A$11, Dim_Hotel!$I$2:$I$11)
 + (IF(J3173="",0,J3173)
    * _xlfn.XLOOKUP(B3173, Dim_Hotel!$A$2:$A$11, Dim_Hotel!$J$2:$J$11))</f>
        <v>175</v>
      </c>
    </row>
    <row r="3174" spans="1:13" x14ac:dyDescent="0.25">
      <c r="A3174" s="1">
        <f t="shared" si="392"/>
        <v>46340</v>
      </c>
      <c r="B3174" t="str" cm="1">
        <f t="array" ref="B3174">INDEX(HotelList,MOD(ROW()-2,10)+1)</f>
        <v>H003</v>
      </c>
      <c r="C3174">
        <f>_xlfn.XLOOKUP(B3174,Dim_Hotel!$A$2:$A$11,Dim_Hotel!$F$2:$F$11)</f>
        <v>121</v>
      </c>
      <c r="D3174">
        <f t="shared" si="393"/>
        <v>67</v>
      </c>
      <c r="E3174">
        <f t="shared" si="394"/>
        <v>0.55371900826446285</v>
      </c>
      <c r="F3174">
        <f t="shared" si="395"/>
        <v>145</v>
      </c>
      <c r="G3174">
        <f t="shared" si="396"/>
        <v>80.289256198347118</v>
      </c>
      <c r="H3174" t="str">
        <f>_xlfn.XLOOKUP(A3174,Fact_Events!$D$2:$D$20,Fact_Events!$A$2:$A$20, "")</f>
        <v/>
      </c>
      <c r="I3174">
        <f t="shared" si="397"/>
        <v>0</v>
      </c>
      <c r="J3174" t="str">
        <f>_xlfn.XLOOKUP(H3174, Fact_Events!$A$2:$A$20, Fact_Events!$F$2:$F$20, "")</f>
        <v/>
      </c>
      <c r="K3174" t="str">
        <f t="shared" si="398"/>
        <v>Low</v>
      </c>
      <c r="L3174">
        <f t="shared" si="399"/>
        <v>0.55000000000000004</v>
      </c>
      <c r="M3174">
        <f>_xlfn.XLOOKUP(B3174, Dim_Hotel!$A$2:$A$11, Dim_Hotel!$I$2:$I$11)
 + (IF(J3174="",0,J3174)
    * _xlfn.XLOOKUP(B3174, Dim_Hotel!$A$2:$A$11, Dim_Hotel!$J$2:$J$11))</f>
        <v>145</v>
      </c>
    </row>
    <row r="3175" spans="1:13" x14ac:dyDescent="0.25">
      <c r="A3175" s="1">
        <f t="shared" si="392"/>
        <v>46340</v>
      </c>
      <c r="B3175" t="str" cm="1">
        <f t="array" ref="B3175">INDEX(HotelList,MOD(ROW()-2,10)+1)</f>
        <v>H004</v>
      </c>
      <c r="C3175">
        <f>_xlfn.XLOOKUP(B3175,Dim_Hotel!$A$2:$A$11,Dim_Hotel!$F$2:$F$11)</f>
        <v>108</v>
      </c>
      <c r="D3175">
        <f t="shared" si="393"/>
        <v>59</v>
      </c>
      <c r="E3175">
        <f t="shared" si="394"/>
        <v>0.54629629629629628</v>
      </c>
      <c r="F3175">
        <f t="shared" si="395"/>
        <v>135</v>
      </c>
      <c r="G3175">
        <f t="shared" si="396"/>
        <v>73.75</v>
      </c>
      <c r="H3175" t="str">
        <f>_xlfn.XLOOKUP(A3175,Fact_Events!$D$2:$D$20,Fact_Events!$A$2:$A$20, "")</f>
        <v/>
      </c>
      <c r="I3175">
        <f t="shared" si="397"/>
        <v>0</v>
      </c>
      <c r="J3175" t="str">
        <f>_xlfn.XLOOKUP(H3175, Fact_Events!$A$2:$A$20, Fact_Events!$F$2:$F$20, "")</f>
        <v/>
      </c>
      <c r="K3175" t="str">
        <f t="shared" si="398"/>
        <v>Low</v>
      </c>
      <c r="L3175">
        <f t="shared" si="399"/>
        <v>0.55000000000000004</v>
      </c>
      <c r="M3175">
        <f>_xlfn.XLOOKUP(B3175, Dim_Hotel!$A$2:$A$11, Dim_Hotel!$I$2:$I$11)
 + (IF(J3175="",0,J3175)
    * _xlfn.XLOOKUP(B3175, Dim_Hotel!$A$2:$A$11, Dim_Hotel!$J$2:$J$11))</f>
        <v>135</v>
      </c>
    </row>
    <row r="3176" spans="1:13" x14ac:dyDescent="0.25">
      <c r="A3176" s="1">
        <f t="shared" si="392"/>
        <v>46340</v>
      </c>
      <c r="B3176" t="str" cm="1">
        <f t="array" ref="B3176">INDEX(HotelList,MOD(ROW()-2,10)+1)</f>
        <v>H005</v>
      </c>
      <c r="C3176">
        <f>_xlfn.XLOOKUP(B3176,Dim_Hotel!$A$2:$A$11,Dim_Hotel!$F$2:$F$11)</f>
        <v>66</v>
      </c>
      <c r="D3176">
        <f t="shared" si="393"/>
        <v>36</v>
      </c>
      <c r="E3176">
        <f t="shared" si="394"/>
        <v>0.54545454545454541</v>
      </c>
      <c r="F3176">
        <f t="shared" si="395"/>
        <v>82</v>
      </c>
      <c r="G3176">
        <f t="shared" si="396"/>
        <v>44.727272727272727</v>
      </c>
      <c r="H3176" t="str">
        <f>_xlfn.XLOOKUP(A3176,Fact_Events!$D$2:$D$20,Fact_Events!$A$2:$A$20, "")</f>
        <v/>
      </c>
      <c r="I3176">
        <f t="shared" si="397"/>
        <v>0</v>
      </c>
      <c r="J3176" t="str">
        <f>_xlfn.XLOOKUP(H3176, Fact_Events!$A$2:$A$20, Fact_Events!$F$2:$F$20, "")</f>
        <v/>
      </c>
      <c r="K3176" t="str">
        <f t="shared" si="398"/>
        <v>Low</v>
      </c>
      <c r="L3176">
        <f t="shared" si="399"/>
        <v>0.55000000000000004</v>
      </c>
      <c r="M3176">
        <f>_xlfn.XLOOKUP(B3176, Dim_Hotel!$A$2:$A$11, Dim_Hotel!$I$2:$I$11)
 + (IF(J3176="",0,J3176)
    * _xlfn.XLOOKUP(B3176, Dim_Hotel!$A$2:$A$11, Dim_Hotel!$J$2:$J$11))</f>
        <v>82</v>
      </c>
    </row>
    <row r="3177" spans="1:13" x14ac:dyDescent="0.25">
      <c r="A3177" s="1">
        <f t="shared" si="392"/>
        <v>46340</v>
      </c>
      <c r="B3177" t="str" cm="1">
        <f t="array" ref="B3177">INDEX(HotelList,MOD(ROW()-2,10)+1)</f>
        <v>H006</v>
      </c>
      <c r="C3177">
        <f>_xlfn.XLOOKUP(B3177,Dim_Hotel!$A$2:$A$11,Dim_Hotel!$F$2:$F$11)</f>
        <v>311</v>
      </c>
      <c r="D3177">
        <f t="shared" si="393"/>
        <v>171</v>
      </c>
      <c r="E3177">
        <f t="shared" si="394"/>
        <v>0.54983922829581988</v>
      </c>
      <c r="F3177">
        <f t="shared" si="395"/>
        <v>190</v>
      </c>
      <c r="G3177">
        <f t="shared" si="396"/>
        <v>104.46945337620578</v>
      </c>
      <c r="H3177" t="str">
        <f>_xlfn.XLOOKUP(A3177,Fact_Events!$D$2:$D$20,Fact_Events!$A$2:$A$20, "")</f>
        <v/>
      </c>
      <c r="I3177">
        <f t="shared" si="397"/>
        <v>0</v>
      </c>
      <c r="J3177" t="str">
        <f>_xlfn.XLOOKUP(H3177, Fact_Events!$A$2:$A$20, Fact_Events!$F$2:$F$20, "")</f>
        <v/>
      </c>
      <c r="K3177" t="str">
        <f t="shared" si="398"/>
        <v>Low</v>
      </c>
      <c r="L3177">
        <f t="shared" si="399"/>
        <v>0.55000000000000004</v>
      </c>
      <c r="M3177">
        <f>_xlfn.XLOOKUP(B3177, Dim_Hotel!$A$2:$A$11, Dim_Hotel!$I$2:$I$11)
 + (IF(J3177="",0,J3177)
    * _xlfn.XLOOKUP(B3177, Dim_Hotel!$A$2:$A$11, Dim_Hotel!$J$2:$J$11))</f>
        <v>190</v>
      </c>
    </row>
    <row r="3178" spans="1:13" x14ac:dyDescent="0.25">
      <c r="A3178" s="1">
        <f t="shared" si="392"/>
        <v>46340</v>
      </c>
      <c r="B3178" t="str" cm="1">
        <f t="array" ref="B3178">INDEX(HotelList,MOD(ROW()-2,10)+1)</f>
        <v>H007</v>
      </c>
      <c r="C3178">
        <f>_xlfn.XLOOKUP(B3178,Dim_Hotel!$A$2:$A$11,Dim_Hotel!$F$2:$F$11)</f>
        <v>132</v>
      </c>
      <c r="D3178">
        <f t="shared" si="393"/>
        <v>73</v>
      </c>
      <c r="E3178">
        <f t="shared" si="394"/>
        <v>0.55303030303030298</v>
      </c>
      <c r="F3178">
        <f t="shared" si="395"/>
        <v>165</v>
      </c>
      <c r="G3178">
        <f t="shared" si="396"/>
        <v>91.249999999999986</v>
      </c>
      <c r="H3178" t="str">
        <f>_xlfn.XLOOKUP(A3178,Fact_Events!$D$2:$D$20,Fact_Events!$A$2:$A$20, "")</f>
        <v/>
      </c>
      <c r="I3178">
        <f t="shared" si="397"/>
        <v>0</v>
      </c>
      <c r="J3178" t="str">
        <f>_xlfn.XLOOKUP(H3178, Fact_Events!$A$2:$A$20, Fact_Events!$F$2:$F$20, "")</f>
        <v/>
      </c>
      <c r="K3178" t="str">
        <f t="shared" si="398"/>
        <v>Low</v>
      </c>
      <c r="L3178">
        <f t="shared" si="399"/>
        <v>0.55000000000000004</v>
      </c>
      <c r="M3178">
        <f>_xlfn.XLOOKUP(B3178, Dim_Hotel!$A$2:$A$11, Dim_Hotel!$I$2:$I$11)
 + (IF(J3178="",0,J3178)
    * _xlfn.XLOOKUP(B3178, Dim_Hotel!$A$2:$A$11, Dim_Hotel!$J$2:$J$11))</f>
        <v>165</v>
      </c>
    </row>
    <row r="3179" spans="1:13" x14ac:dyDescent="0.25">
      <c r="A3179" s="1">
        <f t="shared" si="392"/>
        <v>46340</v>
      </c>
      <c r="B3179" t="str" cm="1">
        <f t="array" ref="B3179">INDEX(HotelList,MOD(ROW()-2,10)+1)</f>
        <v>H008</v>
      </c>
      <c r="C3179">
        <f>_xlfn.XLOOKUP(B3179,Dim_Hotel!$A$2:$A$11,Dim_Hotel!$F$2:$F$11)</f>
        <v>103</v>
      </c>
      <c r="D3179">
        <f t="shared" si="393"/>
        <v>57</v>
      </c>
      <c r="E3179">
        <f t="shared" si="394"/>
        <v>0.55339805825242716</v>
      </c>
      <c r="F3179">
        <f t="shared" si="395"/>
        <v>140</v>
      </c>
      <c r="G3179">
        <f t="shared" si="396"/>
        <v>77.475728155339809</v>
      </c>
      <c r="H3179" t="str">
        <f>_xlfn.XLOOKUP(A3179,Fact_Events!$D$2:$D$20,Fact_Events!$A$2:$A$20, "")</f>
        <v/>
      </c>
      <c r="I3179">
        <f t="shared" si="397"/>
        <v>0</v>
      </c>
      <c r="J3179" t="str">
        <f>_xlfn.XLOOKUP(H3179, Fact_Events!$A$2:$A$20, Fact_Events!$F$2:$F$20, "")</f>
        <v/>
      </c>
      <c r="K3179" t="str">
        <f t="shared" si="398"/>
        <v>Low</v>
      </c>
      <c r="L3179">
        <f t="shared" si="399"/>
        <v>0.55000000000000004</v>
      </c>
      <c r="M3179">
        <f>_xlfn.XLOOKUP(B3179, Dim_Hotel!$A$2:$A$11, Dim_Hotel!$I$2:$I$11)
 + (IF(J3179="",0,J3179)
    * _xlfn.XLOOKUP(B3179, Dim_Hotel!$A$2:$A$11, Dim_Hotel!$J$2:$J$11))</f>
        <v>140</v>
      </c>
    </row>
    <row r="3180" spans="1:13" x14ac:dyDescent="0.25">
      <c r="A3180" s="1">
        <f t="shared" si="392"/>
        <v>46340</v>
      </c>
      <c r="B3180" t="str" cm="1">
        <f t="array" ref="B3180">INDEX(HotelList,MOD(ROW()-2,10)+1)</f>
        <v>H009</v>
      </c>
      <c r="C3180">
        <f>_xlfn.XLOOKUP(B3180,Dim_Hotel!$A$2:$A$11,Dim_Hotel!$F$2:$F$11)</f>
        <v>114</v>
      </c>
      <c r="D3180">
        <f t="shared" si="393"/>
        <v>63</v>
      </c>
      <c r="E3180">
        <f t="shared" si="394"/>
        <v>0.55263157894736847</v>
      </c>
      <c r="F3180">
        <f t="shared" si="395"/>
        <v>185</v>
      </c>
      <c r="G3180">
        <f t="shared" si="396"/>
        <v>102.23684210526316</v>
      </c>
      <c r="H3180" t="str">
        <f>_xlfn.XLOOKUP(A3180,Fact_Events!$D$2:$D$20,Fact_Events!$A$2:$A$20, "")</f>
        <v/>
      </c>
      <c r="I3180">
        <f t="shared" si="397"/>
        <v>0</v>
      </c>
      <c r="J3180" t="str">
        <f>_xlfn.XLOOKUP(H3180, Fact_Events!$A$2:$A$20, Fact_Events!$F$2:$F$20, "")</f>
        <v/>
      </c>
      <c r="K3180" t="str">
        <f t="shared" si="398"/>
        <v>Low</v>
      </c>
      <c r="L3180">
        <f t="shared" si="399"/>
        <v>0.55000000000000004</v>
      </c>
      <c r="M3180">
        <f>_xlfn.XLOOKUP(B3180, Dim_Hotel!$A$2:$A$11, Dim_Hotel!$I$2:$I$11)
 + (IF(J3180="",0,J3180)
    * _xlfn.XLOOKUP(B3180, Dim_Hotel!$A$2:$A$11, Dim_Hotel!$J$2:$J$11))</f>
        <v>185</v>
      </c>
    </row>
    <row r="3181" spans="1:13" x14ac:dyDescent="0.25">
      <c r="A3181" s="1">
        <f t="shared" si="392"/>
        <v>46340</v>
      </c>
      <c r="B3181" t="str" cm="1">
        <f t="array" ref="B3181">INDEX(HotelList,MOD(ROW()-2,10)+1)</f>
        <v>H010</v>
      </c>
      <c r="C3181">
        <f>_xlfn.XLOOKUP(B3181,Dim_Hotel!$A$2:$A$11,Dim_Hotel!$F$2:$F$11)</f>
        <v>89</v>
      </c>
      <c r="D3181">
        <f t="shared" si="393"/>
        <v>49</v>
      </c>
      <c r="E3181">
        <f t="shared" si="394"/>
        <v>0.550561797752809</v>
      </c>
      <c r="F3181">
        <f t="shared" si="395"/>
        <v>150</v>
      </c>
      <c r="G3181">
        <f t="shared" si="396"/>
        <v>82.584269662921344</v>
      </c>
      <c r="H3181" t="str">
        <f>_xlfn.XLOOKUP(A3181,Fact_Events!$D$2:$D$20,Fact_Events!$A$2:$A$20, "")</f>
        <v/>
      </c>
      <c r="I3181">
        <f t="shared" si="397"/>
        <v>0</v>
      </c>
      <c r="J3181" t="str">
        <f>_xlfn.XLOOKUP(H3181, Fact_Events!$A$2:$A$20, Fact_Events!$F$2:$F$20, "")</f>
        <v/>
      </c>
      <c r="K3181" t="str">
        <f t="shared" si="398"/>
        <v>Low</v>
      </c>
      <c r="L3181">
        <f t="shared" si="399"/>
        <v>0.55000000000000004</v>
      </c>
      <c r="M3181">
        <f>_xlfn.XLOOKUP(B3181, Dim_Hotel!$A$2:$A$11, Dim_Hotel!$I$2:$I$11)
 + (IF(J3181="",0,J3181)
    * _xlfn.XLOOKUP(B3181, Dim_Hotel!$A$2:$A$11, Dim_Hotel!$J$2:$J$11))</f>
        <v>150</v>
      </c>
    </row>
    <row r="3182" spans="1:13" x14ac:dyDescent="0.25">
      <c r="A3182" s="1">
        <f t="shared" si="392"/>
        <v>46341</v>
      </c>
      <c r="B3182" t="str" cm="1">
        <f t="array" ref="B3182">INDEX(HotelList,MOD(ROW()-2,10)+1)</f>
        <v>H001</v>
      </c>
      <c r="C3182">
        <f>_xlfn.XLOOKUP(B3182,Dim_Hotel!$A$2:$A$11,Dim_Hotel!$F$2:$F$11)</f>
        <v>888</v>
      </c>
      <c r="D3182">
        <f t="shared" si="393"/>
        <v>488</v>
      </c>
      <c r="E3182">
        <f t="shared" si="394"/>
        <v>0.5495495495495496</v>
      </c>
      <c r="F3182">
        <f t="shared" si="395"/>
        <v>260</v>
      </c>
      <c r="G3182">
        <f t="shared" si="396"/>
        <v>142.88288288288288</v>
      </c>
      <c r="H3182" t="str">
        <f>_xlfn.XLOOKUP(A3182,Fact_Events!$D$2:$D$20,Fact_Events!$A$2:$A$20, "")</f>
        <v/>
      </c>
      <c r="I3182">
        <f t="shared" si="397"/>
        <v>0</v>
      </c>
      <c r="J3182" t="str">
        <f>_xlfn.XLOOKUP(H3182, Fact_Events!$A$2:$A$20, Fact_Events!$F$2:$F$20, "")</f>
        <v/>
      </c>
      <c r="K3182" t="str">
        <f t="shared" si="398"/>
        <v>Low</v>
      </c>
      <c r="L3182">
        <f t="shared" si="399"/>
        <v>0.55000000000000004</v>
      </c>
      <c r="M3182">
        <f>_xlfn.XLOOKUP(B3182, Dim_Hotel!$A$2:$A$11, Dim_Hotel!$I$2:$I$11)
 + (IF(J3182="",0,J3182)
    * _xlfn.XLOOKUP(B3182, Dim_Hotel!$A$2:$A$11, Dim_Hotel!$J$2:$J$11))</f>
        <v>260</v>
      </c>
    </row>
    <row r="3183" spans="1:13" x14ac:dyDescent="0.25">
      <c r="A3183" s="1">
        <f t="shared" si="392"/>
        <v>46341</v>
      </c>
      <c r="B3183" t="str" cm="1">
        <f t="array" ref="B3183">INDEX(HotelList,MOD(ROW()-2,10)+1)</f>
        <v>H002</v>
      </c>
      <c r="C3183">
        <f>_xlfn.XLOOKUP(B3183,Dim_Hotel!$A$2:$A$11,Dim_Hotel!$F$2:$F$11)</f>
        <v>147</v>
      </c>
      <c r="D3183">
        <f t="shared" si="393"/>
        <v>81</v>
      </c>
      <c r="E3183">
        <f t="shared" si="394"/>
        <v>0.55102040816326525</v>
      </c>
      <c r="F3183">
        <f t="shared" si="395"/>
        <v>175</v>
      </c>
      <c r="G3183">
        <f t="shared" si="396"/>
        <v>96.428571428571416</v>
      </c>
      <c r="H3183" t="str">
        <f>_xlfn.XLOOKUP(A3183,Fact_Events!$D$2:$D$20,Fact_Events!$A$2:$A$20, "")</f>
        <v/>
      </c>
      <c r="I3183">
        <f t="shared" si="397"/>
        <v>0</v>
      </c>
      <c r="J3183" t="str">
        <f>_xlfn.XLOOKUP(H3183, Fact_Events!$A$2:$A$20, Fact_Events!$F$2:$F$20, "")</f>
        <v/>
      </c>
      <c r="K3183" t="str">
        <f t="shared" si="398"/>
        <v>Low</v>
      </c>
      <c r="L3183">
        <f t="shared" si="399"/>
        <v>0.55000000000000004</v>
      </c>
      <c r="M3183">
        <f>_xlfn.XLOOKUP(B3183, Dim_Hotel!$A$2:$A$11, Dim_Hotel!$I$2:$I$11)
 + (IF(J3183="",0,J3183)
    * _xlfn.XLOOKUP(B3183, Dim_Hotel!$A$2:$A$11, Dim_Hotel!$J$2:$J$11))</f>
        <v>175</v>
      </c>
    </row>
    <row r="3184" spans="1:13" x14ac:dyDescent="0.25">
      <c r="A3184" s="1">
        <f t="shared" si="392"/>
        <v>46341</v>
      </c>
      <c r="B3184" t="str" cm="1">
        <f t="array" ref="B3184">INDEX(HotelList,MOD(ROW()-2,10)+1)</f>
        <v>H003</v>
      </c>
      <c r="C3184">
        <f>_xlfn.XLOOKUP(B3184,Dim_Hotel!$A$2:$A$11,Dim_Hotel!$F$2:$F$11)</f>
        <v>121</v>
      </c>
      <c r="D3184">
        <f t="shared" si="393"/>
        <v>67</v>
      </c>
      <c r="E3184">
        <f t="shared" si="394"/>
        <v>0.55371900826446285</v>
      </c>
      <c r="F3184">
        <f t="shared" si="395"/>
        <v>145</v>
      </c>
      <c r="G3184">
        <f t="shared" si="396"/>
        <v>80.289256198347118</v>
      </c>
      <c r="H3184" t="str">
        <f>_xlfn.XLOOKUP(A3184,Fact_Events!$D$2:$D$20,Fact_Events!$A$2:$A$20, "")</f>
        <v/>
      </c>
      <c r="I3184">
        <f t="shared" si="397"/>
        <v>0</v>
      </c>
      <c r="J3184" t="str">
        <f>_xlfn.XLOOKUP(H3184, Fact_Events!$A$2:$A$20, Fact_Events!$F$2:$F$20, "")</f>
        <v/>
      </c>
      <c r="K3184" t="str">
        <f t="shared" si="398"/>
        <v>Low</v>
      </c>
      <c r="L3184">
        <f t="shared" si="399"/>
        <v>0.55000000000000004</v>
      </c>
      <c r="M3184">
        <f>_xlfn.XLOOKUP(B3184, Dim_Hotel!$A$2:$A$11, Dim_Hotel!$I$2:$I$11)
 + (IF(J3184="",0,J3184)
    * _xlfn.XLOOKUP(B3184, Dim_Hotel!$A$2:$A$11, Dim_Hotel!$J$2:$J$11))</f>
        <v>145</v>
      </c>
    </row>
    <row r="3185" spans="1:13" x14ac:dyDescent="0.25">
      <c r="A3185" s="1">
        <f t="shared" si="392"/>
        <v>46341</v>
      </c>
      <c r="B3185" t="str" cm="1">
        <f t="array" ref="B3185">INDEX(HotelList,MOD(ROW()-2,10)+1)</f>
        <v>H004</v>
      </c>
      <c r="C3185">
        <f>_xlfn.XLOOKUP(B3185,Dim_Hotel!$A$2:$A$11,Dim_Hotel!$F$2:$F$11)</f>
        <v>108</v>
      </c>
      <c r="D3185">
        <f t="shared" si="393"/>
        <v>59</v>
      </c>
      <c r="E3185">
        <f t="shared" si="394"/>
        <v>0.54629629629629628</v>
      </c>
      <c r="F3185">
        <f t="shared" si="395"/>
        <v>135</v>
      </c>
      <c r="G3185">
        <f t="shared" si="396"/>
        <v>73.75</v>
      </c>
      <c r="H3185" t="str">
        <f>_xlfn.XLOOKUP(A3185,Fact_Events!$D$2:$D$20,Fact_Events!$A$2:$A$20, "")</f>
        <v/>
      </c>
      <c r="I3185">
        <f t="shared" si="397"/>
        <v>0</v>
      </c>
      <c r="J3185" t="str">
        <f>_xlfn.XLOOKUP(H3185, Fact_Events!$A$2:$A$20, Fact_Events!$F$2:$F$20, "")</f>
        <v/>
      </c>
      <c r="K3185" t="str">
        <f t="shared" si="398"/>
        <v>Low</v>
      </c>
      <c r="L3185">
        <f t="shared" si="399"/>
        <v>0.55000000000000004</v>
      </c>
      <c r="M3185">
        <f>_xlfn.XLOOKUP(B3185, Dim_Hotel!$A$2:$A$11, Dim_Hotel!$I$2:$I$11)
 + (IF(J3185="",0,J3185)
    * _xlfn.XLOOKUP(B3185, Dim_Hotel!$A$2:$A$11, Dim_Hotel!$J$2:$J$11))</f>
        <v>135</v>
      </c>
    </row>
    <row r="3186" spans="1:13" x14ac:dyDescent="0.25">
      <c r="A3186" s="1">
        <f t="shared" si="392"/>
        <v>46341</v>
      </c>
      <c r="B3186" t="str" cm="1">
        <f t="array" ref="B3186">INDEX(HotelList,MOD(ROW()-2,10)+1)</f>
        <v>H005</v>
      </c>
      <c r="C3186">
        <f>_xlfn.XLOOKUP(B3186,Dim_Hotel!$A$2:$A$11,Dim_Hotel!$F$2:$F$11)</f>
        <v>66</v>
      </c>
      <c r="D3186">
        <f t="shared" si="393"/>
        <v>36</v>
      </c>
      <c r="E3186">
        <f t="shared" si="394"/>
        <v>0.54545454545454541</v>
      </c>
      <c r="F3186">
        <f t="shared" si="395"/>
        <v>82</v>
      </c>
      <c r="G3186">
        <f t="shared" si="396"/>
        <v>44.727272727272727</v>
      </c>
      <c r="H3186" t="str">
        <f>_xlfn.XLOOKUP(A3186,Fact_Events!$D$2:$D$20,Fact_Events!$A$2:$A$20, "")</f>
        <v/>
      </c>
      <c r="I3186">
        <f t="shared" si="397"/>
        <v>0</v>
      </c>
      <c r="J3186" t="str">
        <f>_xlfn.XLOOKUP(H3186, Fact_Events!$A$2:$A$20, Fact_Events!$F$2:$F$20, "")</f>
        <v/>
      </c>
      <c r="K3186" t="str">
        <f t="shared" si="398"/>
        <v>Low</v>
      </c>
      <c r="L3186">
        <f t="shared" si="399"/>
        <v>0.55000000000000004</v>
      </c>
      <c r="M3186">
        <f>_xlfn.XLOOKUP(B3186, Dim_Hotel!$A$2:$A$11, Dim_Hotel!$I$2:$I$11)
 + (IF(J3186="",0,J3186)
    * _xlfn.XLOOKUP(B3186, Dim_Hotel!$A$2:$A$11, Dim_Hotel!$J$2:$J$11))</f>
        <v>82</v>
      </c>
    </row>
    <row r="3187" spans="1:13" x14ac:dyDescent="0.25">
      <c r="A3187" s="1">
        <f t="shared" si="392"/>
        <v>46341</v>
      </c>
      <c r="B3187" t="str" cm="1">
        <f t="array" ref="B3187">INDEX(HotelList,MOD(ROW()-2,10)+1)</f>
        <v>H006</v>
      </c>
      <c r="C3187">
        <f>_xlfn.XLOOKUP(B3187,Dim_Hotel!$A$2:$A$11,Dim_Hotel!$F$2:$F$11)</f>
        <v>311</v>
      </c>
      <c r="D3187">
        <f t="shared" si="393"/>
        <v>171</v>
      </c>
      <c r="E3187">
        <f t="shared" si="394"/>
        <v>0.54983922829581988</v>
      </c>
      <c r="F3187">
        <f t="shared" si="395"/>
        <v>190</v>
      </c>
      <c r="G3187">
        <f t="shared" si="396"/>
        <v>104.46945337620578</v>
      </c>
      <c r="H3187" t="str">
        <f>_xlfn.XLOOKUP(A3187,Fact_Events!$D$2:$D$20,Fact_Events!$A$2:$A$20, "")</f>
        <v/>
      </c>
      <c r="I3187">
        <f t="shared" si="397"/>
        <v>0</v>
      </c>
      <c r="J3187" t="str">
        <f>_xlfn.XLOOKUP(H3187, Fact_Events!$A$2:$A$20, Fact_Events!$F$2:$F$20, "")</f>
        <v/>
      </c>
      <c r="K3187" t="str">
        <f t="shared" si="398"/>
        <v>Low</v>
      </c>
      <c r="L3187">
        <f t="shared" si="399"/>
        <v>0.55000000000000004</v>
      </c>
      <c r="M3187">
        <f>_xlfn.XLOOKUP(B3187, Dim_Hotel!$A$2:$A$11, Dim_Hotel!$I$2:$I$11)
 + (IF(J3187="",0,J3187)
    * _xlfn.XLOOKUP(B3187, Dim_Hotel!$A$2:$A$11, Dim_Hotel!$J$2:$J$11))</f>
        <v>190</v>
      </c>
    </row>
    <row r="3188" spans="1:13" x14ac:dyDescent="0.25">
      <c r="A3188" s="1">
        <f t="shared" si="392"/>
        <v>46341</v>
      </c>
      <c r="B3188" t="str" cm="1">
        <f t="array" ref="B3188">INDEX(HotelList,MOD(ROW()-2,10)+1)</f>
        <v>H007</v>
      </c>
      <c r="C3188">
        <f>_xlfn.XLOOKUP(B3188,Dim_Hotel!$A$2:$A$11,Dim_Hotel!$F$2:$F$11)</f>
        <v>132</v>
      </c>
      <c r="D3188">
        <f t="shared" si="393"/>
        <v>73</v>
      </c>
      <c r="E3188">
        <f t="shared" si="394"/>
        <v>0.55303030303030298</v>
      </c>
      <c r="F3188">
        <f t="shared" si="395"/>
        <v>165</v>
      </c>
      <c r="G3188">
        <f t="shared" si="396"/>
        <v>91.249999999999986</v>
      </c>
      <c r="H3188" t="str">
        <f>_xlfn.XLOOKUP(A3188,Fact_Events!$D$2:$D$20,Fact_Events!$A$2:$A$20, "")</f>
        <v/>
      </c>
      <c r="I3188">
        <f t="shared" si="397"/>
        <v>0</v>
      </c>
      <c r="J3188" t="str">
        <f>_xlfn.XLOOKUP(H3188, Fact_Events!$A$2:$A$20, Fact_Events!$F$2:$F$20, "")</f>
        <v/>
      </c>
      <c r="K3188" t="str">
        <f t="shared" si="398"/>
        <v>Low</v>
      </c>
      <c r="L3188">
        <f t="shared" si="399"/>
        <v>0.55000000000000004</v>
      </c>
      <c r="M3188">
        <f>_xlfn.XLOOKUP(B3188, Dim_Hotel!$A$2:$A$11, Dim_Hotel!$I$2:$I$11)
 + (IF(J3188="",0,J3188)
    * _xlfn.XLOOKUP(B3188, Dim_Hotel!$A$2:$A$11, Dim_Hotel!$J$2:$J$11))</f>
        <v>165</v>
      </c>
    </row>
    <row r="3189" spans="1:13" x14ac:dyDescent="0.25">
      <c r="A3189" s="1">
        <f t="shared" si="392"/>
        <v>46341</v>
      </c>
      <c r="B3189" t="str" cm="1">
        <f t="array" ref="B3189">INDEX(HotelList,MOD(ROW()-2,10)+1)</f>
        <v>H008</v>
      </c>
      <c r="C3189">
        <f>_xlfn.XLOOKUP(B3189,Dim_Hotel!$A$2:$A$11,Dim_Hotel!$F$2:$F$11)</f>
        <v>103</v>
      </c>
      <c r="D3189">
        <f t="shared" si="393"/>
        <v>57</v>
      </c>
      <c r="E3189">
        <f t="shared" si="394"/>
        <v>0.55339805825242716</v>
      </c>
      <c r="F3189">
        <f t="shared" si="395"/>
        <v>140</v>
      </c>
      <c r="G3189">
        <f t="shared" si="396"/>
        <v>77.475728155339809</v>
      </c>
      <c r="H3189" t="str">
        <f>_xlfn.XLOOKUP(A3189,Fact_Events!$D$2:$D$20,Fact_Events!$A$2:$A$20, "")</f>
        <v/>
      </c>
      <c r="I3189">
        <f t="shared" si="397"/>
        <v>0</v>
      </c>
      <c r="J3189" t="str">
        <f>_xlfn.XLOOKUP(H3189, Fact_Events!$A$2:$A$20, Fact_Events!$F$2:$F$20, "")</f>
        <v/>
      </c>
      <c r="K3189" t="str">
        <f t="shared" si="398"/>
        <v>Low</v>
      </c>
      <c r="L3189">
        <f t="shared" si="399"/>
        <v>0.55000000000000004</v>
      </c>
      <c r="M3189">
        <f>_xlfn.XLOOKUP(B3189, Dim_Hotel!$A$2:$A$11, Dim_Hotel!$I$2:$I$11)
 + (IF(J3189="",0,J3189)
    * _xlfn.XLOOKUP(B3189, Dim_Hotel!$A$2:$A$11, Dim_Hotel!$J$2:$J$11))</f>
        <v>140</v>
      </c>
    </row>
    <row r="3190" spans="1:13" x14ac:dyDescent="0.25">
      <c r="A3190" s="1">
        <f t="shared" si="392"/>
        <v>46341</v>
      </c>
      <c r="B3190" t="str" cm="1">
        <f t="array" ref="B3190">INDEX(HotelList,MOD(ROW()-2,10)+1)</f>
        <v>H009</v>
      </c>
      <c r="C3190">
        <f>_xlfn.XLOOKUP(B3190,Dim_Hotel!$A$2:$A$11,Dim_Hotel!$F$2:$F$11)</f>
        <v>114</v>
      </c>
      <c r="D3190">
        <f t="shared" si="393"/>
        <v>63</v>
      </c>
      <c r="E3190">
        <f t="shared" si="394"/>
        <v>0.55263157894736847</v>
      </c>
      <c r="F3190">
        <f t="shared" si="395"/>
        <v>185</v>
      </c>
      <c r="G3190">
        <f t="shared" si="396"/>
        <v>102.23684210526316</v>
      </c>
      <c r="H3190" t="str">
        <f>_xlfn.XLOOKUP(A3190,Fact_Events!$D$2:$D$20,Fact_Events!$A$2:$A$20, "")</f>
        <v/>
      </c>
      <c r="I3190">
        <f t="shared" si="397"/>
        <v>0</v>
      </c>
      <c r="J3190" t="str">
        <f>_xlfn.XLOOKUP(H3190, Fact_Events!$A$2:$A$20, Fact_Events!$F$2:$F$20, "")</f>
        <v/>
      </c>
      <c r="K3190" t="str">
        <f t="shared" si="398"/>
        <v>Low</v>
      </c>
      <c r="L3190">
        <f t="shared" si="399"/>
        <v>0.55000000000000004</v>
      </c>
      <c r="M3190">
        <f>_xlfn.XLOOKUP(B3190, Dim_Hotel!$A$2:$A$11, Dim_Hotel!$I$2:$I$11)
 + (IF(J3190="",0,J3190)
    * _xlfn.XLOOKUP(B3190, Dim_Hotel!$A$2:$A$11, Dim_Hotel!$J$2:$J$11))</f>
        <v>185</v>
      </c>
    </row>
    <row r="3191" spans="1:13" x14ac:dyDescent="0.25">
      <c r="A3191" s="1">
        <f t="shared" si="392"/>
        <v>46341</v>
      </c>
      <c r="B3191" t="str" cm="1">
        <f t="array" ref="B3191">INDEX(HotelList,MOD(ROW()-2,10)+1)</f>
        <v>H010</v>
      </c>
      <c r="C3191">
        <f>_xlfn.XLOOKUP(B3191,Dim_Hotel!$A$2:$A$11,Dim_Hotel!$F$2:$F$11)</f>
        <v>89</v>
      </c>
      <c r="D3191">
        <f t="shared" si="393"/>
        <v>49</v>
      </c>
      <c r="E3191">
        <f t="shared" si="394"/>
        <v>0.550561797752809</v>
      </c>
      <c r="F3191">
        <f t="shared" si="395"/>
        <v>150</v>
      </c>
      <c r="G3191">
        <f t="shared" si="396"/>
        <v>82.584269662921344</v>
      </c>
      <c r="H3191" t="str">
        <f>_xlfn.XLOOKUP(A3191,Fact_Events!$D$2:$D$20,Fact_Events!$A$2:$A$20, "")</f>
        <v/>
      </c>
      <c r="I3191">
        <f t="shared" si="397"/>
        <v>0</v>
      </c>
      <c r="J3191" t="str">
        <f>_xlfn.XLOOKUP(H3191, Fact_Events!$A$2:$A$20, Fact_Events!$F$2:$F$20, "")</f>
        <v/>
      </c>
      <c r="K3191" t="str">
        <f t="shared" si="398"/>
        <v>Low</v>
      </c>
      <c r="L3191">
        <f t="shared" si="399"/>
        <v>0.55000000000000004</v>
      </c>
      <c r="M3191">
        <f>_xlfn.XLOOKUP(B3191, Dim_Hotel!$A$2:$A$11, Dim_Hotel!$I$2:$I$11)
 + (IF(J3191="",0,J3191)
    * _xlfn.XLOOKUP(B3191, Dim_Hotel!$A$2:$A$11, Dim_Hotel!$J$2:$J$11))</f>
        <v>150</v>
      </c>
    </row>
    <row r="3192" spans="1:13" x14ac:dyDescent="0.25">
      <c r="A3192" s="1">
        <f t="shared" si="392"/>
        <v>46342</v>
      </c>
      <c r="B3192" t="str" cm="1">
        <f t="array" ref="B3192">INDEX(HotelList,MOD(ROW()-2,10)+1)</f>
        <v>H001</v>
      </c>
      <c r="C3192">
        <f>_xlfn.XLOOKUP(B3192,Dim_Hotel!$A$2:$A$11,Dim_Hotel!$F$2:$F$11)</f>
        <v>888</v>
      </c>
      <c r="D3192">
        <f t="shared" si="393"/>
        <v>488</v>
      </c>
      <c r="E3192">
        <f t="shared" si="394"/>
        <v>0.5495495495495496</v>
      </c>
      <c r="F3192">
        <f t="shared" si="395"/>
        <v>260</v>
      </c>
      <c r="G3192">
        <f t="shared" si="396"/>
        <v>142.88288288288288</v>
      </c>
      <c r="H3192" t="str">
        <f>_xlfn.XLOOKUP(A3192,Fact_Events!$D$2:$D$20,Fact_Events!$A$2:$A$20, "")</f>
        <v/>
      </c>
      <c r="I3192">
        <f t="shared" si="397"/>
        <v>0</v>
      </c>
      <c r="J3192" t="str">
        <f>_xlfn.XLOOKUP(H3192, Fact_Events!$A$2:$A$20, Fact_Events!$F$2:$F$20, "")</f>
        <v/>
      </c>
      <c r="K3192" t="str">
        <f t="shared" si="398"/>
        <v>Low</v>
      </c>
      <c r="L3192">
        <f t="shared" si="399"/>
        <v>0.55000000000000004</v>
      </c>
      <c r="M3192">
        <f>_xlfn.XLOOKUP(B3192, Dim_Hotel!$A$2:$A$11, Dim_Hotel!$I$2:$I$11)
 + (IF(J3192="",0,J3192)
    * _xlfn.XLOOKUP(B3192, Dim_Hotel!$A$2:$A$11, Dim_Hotel!$J$2:$J$11))</f>
        <v>260</v>
      </c>
    </row>
    <row r="3193" spans="1:13" x14ac:dyDescent="0.25">
      <c r="A3193" s="1">
        <f t="shared" si="392"/>
        <v>46342</v>
      </c>
      <c r="B3193" t="str" cm="1">
        <f t="array" ref="B3193">INDEX(HotelList,MOD(ROW()-2,10)+1)</f>
        <v>H002</v>
      </c>
      <c r="C3193">
        <f>_xlfn.XLOOKUP(B3193,Dim_Hotel!$A$2:$A$11,Dim_Hotel!$F$2:$F$11)</f>
        <v>147</v>
      </c>
      <c r="D3193">
        <f t="shared" si="393"/>
        <v>81</v>
      </c>
      <c r="E3193">
        <f t="shared" si="394"/>
        <v>0.55102040816326525</v>
      </c>
      <c r="F3193">
        <f t="shared" si="395"/>
        <v>175</v>
      </c>
      <c r="G3193">
        <f t="shared" si="396"/>
        <v>96.428571428571416</v>
      </c>
      <c r="H3193" t="str">
        <f>_xlfn.XLOOKUP(A3193,Fact_Events!$D$2:$D$20,Fact_Events!$A$2:$A$20, "")</f>
        <v/>
      </c>
      <c r="I3193">
        <f t="shared" si="397"/>
        <v>0</v>
      </c>
      <c r="J3193" t="str">
        <f>_xlfn.XLOOKUP(H3193, Fact_Events!$A$2:$A$20, Fact_Events!$F$2:$F$20, "")</f>
        <v/>
      </c>
      <c r="K3193" t="str">
        <f t="shared" si="398"/>
        <v>Low</v>
      </c>
      <c r="L3193">
        <f t="shared" si="399"/>
        <v>0.55000000000000004</v>
      </c>
      <c r="M3193">
        <f>_xlfn.XLOOKUP(B3193, Dim_Hotel!$A$2:$A$11, Dim_Hotel!$I$2:$I$11)
 + (IF(J3193="",0,J3193)
    * _xlfn.XLOOKUP(B3193, Dim_Hotel!$A$2:$A$11, Dim_Hotel!$J$2:$J$11))</f>
        <v>175</v>
      </c>
    </row>
    <row r="3194" spans="1:13" x14ac:dyDescent="0.25">
      <c r="A3194" s="1">
        <f t="shared" si="392"/>
        <v>46342</v>
      </c>
      <c r="B3194" t="str" cm="1">
        <f t="array" ref="B3194">INDEX(HotelList,MOD(ROW()-2,10)+1)</f>
        <v>H003</v>
      </c>
      <c r="C3194">
        <f>_xlfn.XLOOKUP(B3194,Dim_Hotel!$A$2:$A$11,Dim_Hotel!$F$2:$F$11)</f>
        <v>121</v>
      </c>
      <c r="D3194">
        <f t="shared" si="393"/>
        <v>67</v>
      </c>
      <c r="E3194">
        <f t="shared" si="394"/>
        <v>0.55371900826446285</v>
      </c>
      <c r="F3194">
        <f t="shared" si="395"/>
        <v>145</v>
      </c>
      <c r="G3194">
        <f t="shared" si="396"/>
        <v>80.289256198347118</v>
      </c>
      <c r="H3194" t="str">
        <f>_xlfn.XLOOKUP(A3194,Fact_Events!$D$2:$D$20,Fact_Events!$A$2:$A$20, "")</f>
        <v/>
      </c>
      <c r="I3194">
        <f t="shared" si="397"/>
        <v>0</v>
      </c>
      <c r="J3194" t="str">
        <f>_xlfn.XLOOKUP(H3194, Fact_Events!$A$2:$A$20, Fact_Events!$F$2:$F$20, "")</f>
        <v/>
      </c>
      <c r="K3194" t="str">
        <f t="shared" si="398"/>
        <v>Low</v>
      </c>
      <c r="L3194">
        <f t="shared" si="399"/>
        <v>0.55000000000000004</v>
      </c>
      <c r="M3194">
        <f>_xlfn.XLOOKUP(B3194, Dim_Hotel!$A$2:$A$11, Dim_Hotel!$I$2:$I$11)
 + (IF(J3194="",0,J3194)
    * _xlfn.XLOOKUP(B3194, Dim_Hotel!$A$2:$A$11, Dim_Hotel!$J$2:$J$11))</f>
        <v>145</v>
      </c>
    </row>
    <row r="3195" spans="1:13" x14ac:dyDescent="0.25">
      <c r="A3195" s="1">
        <f t="shared" si="392"/>
        <v>46342</v>
      </c>
      <c r="B3195" t="str" cm="1">
        <f t="array" ref="B3195">INDEX(HotelList,MOD(ROW()-2,10)+1)</f>
        <v>H004</v>
      </c>
      <c r="C3195">
        <f>_xlfn.XLOOKUP(B3195,Dim_Hotel!$A$2:$A$11,Dim_Hotel!$F$2:$F$11)</f>
        <v>108</v>
      </c>
      <c r="D3195">
        <f t="shared" si="393"/>
        <v>59</v>
      </c>
      <c r="E3195">
        <f t="shared" si="394"/>
        <v>0.54629629629629628</v>
      </c>
      <c r="F3195">
        <f t="shared" si="395"/>
        <v>135</v>
      </c>
      <c r="G3195">
        <f t="shared" si="396"/>
        <v>73.75</v>
      </c>
      <c r="H3195" t="str">
        <f>_xlfn.XLOOKUP(A3195,Fact_Events!$D$2:$D$20,Fact_Events!$A$2:$A$20, "")</f>
        <v/>
      </c>
      <c r="I3195">
        <f t="shared" si="397"/>
        <v>0</v>
      </c>
      <c r="J3195" t="str">
        <f>_xlfn.XLOOKUP(H3195, Fact_Events!$A$2:$A$20, Fact_Events!$F$2:$F$20, "")</f>
        <v/>
      </c>
      <c r="K3195" t="str">
        <f t="shared" si="398"/>
        <v>Low</v>
      </c>
      <c r="L3195">
        <f t="shared" si="399"/>
        <v>0.55000000000000004</v>
      </c>
      <c r="M3195">
        <f>_xlfn.XLOOKUP(B3195, Dim_Hotel!$A$2:$A$11, Dim_Hotel!$I$2:$I$11)
 + (IF(J3195="",0,J3195)
    * _xlfn.XLOOKUP(B3195, Dim_Hotel!$A$2:$A$11, Dim_Hotel!$J$2:$J$11))</f>
        <v>135</v>
      </c>
    </row>
    <row r="3196" spans="1:13" x14ac:dyDescent="0.25">
      <c r="A3196" s="1">
        <f t="shared" si="392"/>
        <v>46342</v>
      </c>
      <c r="B3196" t="str" cm="1">
        <f t="array" ref="B3196">INDEX(HotelList,MOD(ROW()-2,10)+1)</f>
        <v>H005</v>
      </c>
      <c r="C3196">
        <f>_xlfn.XLOOKUP(B3196,Dim_Hotel!$A$2:$A$11,Dim_Hotel!$F$2:$F$11)</f>
        <v>66</v>
      </c>
      <c r="D3196">
        <f t="shared" si="393"/>
        <v>36</v>
      </c>
      <c r="E3196">
        <f t="shared" si="394"/>
        <v>0.54545454545454541</v>
      </c>
      <c r="F3196">
        <f t="shared" si="395"/>
        <v>82</v>
      </c>
      <c r="G3196">
        <f t="shared" si="396"/>
        <v>44.727272727272727</v>
      </c>
      <c r="H3196" t="str">
        <f>_xlfn.XLOOKUP(A3196,Fact_Events!$D$2:$D$20,Fact_Events!$A$2:$A$20, "")</f>
        <v/>
      </c>
      <c r="I3196">
        <f t="shared" si="397"/>
        <v>0</v>
      </c>
      <c r="J3196" t="str">
        <f>_xlfn.XLOOKUP(H3196, Fact_Events!$A$2:$A$20, Fact_Events!$F$2:$F$20, "")</f>
        <v/>
      </c>
      <c r="K3196" t="str">
        <f t="shared" si="398"/>
        <v>Low</v>
      </c>
      <c r="L3196">
        <f t="shared" si="399"/>
        <v>0.55000000000000004</v>
      </c>
      <c r="M3196">
        <f>_xlfn.XLOOKUP(B3196, Dim_Hotel!$A$2:$A$11, Dim_Hotel!$I$2:$I$11)
 + (IF(J3196="",0,J3196)
    * _xlfn.XLOOKUP(B3196, Dim_Hotel!$A$2:$A$11, Dim_Hotel!$J$2:$J$11))</f>
        <v>82</v>
      </c>
    </row>
    <row r="3197" spans="1:13" x14ac:dyDescent="0.25">
      <c r="A3197" s="1">
        <f t="shared" si="392"/>
        <v>46342</v>
      </c>
      <c r="B3197" t="str" cm="1">
        <f t="array" ref="B3197">INDEX(HotelList,MOD(ROW()-2,10)+1)</f>
        <v>H006</v>
      </c>
      <c r="C3197">
        <f>_xlfn.XLOOKUP(B3197,Dim_Hotel!$A$2:$A$11,Dim_Hotel!$F$2:$F$11)</f>
        <v>311</v>
      </c>
      <c r="D3197">
        <f t="shared" si="393"/>
        <v>171</v>
      </c>
      <c r="E3197">
        <f t="shared" si="394"/>
        <v>0.54983922829581988</v>
      </c>
      <c r="F3197">
        <f t="shared" si="395"/>
        <v>190</v>
      </c>
      <c r="G3197">
        <f t="shared" si="396"/>
        <v>104.46945337620578</v>
      </c>
      <c r="H3197" t="str">
        <f>_xlfn.XLOOKUP(A3197,Fact_Events!$D$2:$D$20,Fact_Events!$A$2:$A$20, "")</f>
        <v/>
      </c>
      <c r="I3197">
        <f t="shared" si="397"/>
        <v>0</v>
      </c>
      <c r="J3197" t="str">
        <f>_xlfn.XLOOKUP(H3197, Fact_Events!$A$2:$A$20, Fact_Events!$F$2:$F$20, "")</f>
        <v/>
      </c>
      <c r="K3197" t="str">
        <f t="shared" si="398"/>
        <v>Low</v>
      </c>
      <c r="L3197">
        <f t="shared" si="399"/>
        <v>0.55000000000000004</v>
      </c>
      <c r="M3197">
        <f>_xlfn.XLOOKUP(B3197, Dim_Hotel!$A$2:$A$11, Dim_Hotel!$I$2:$I$11)
 + (IF(J3197="",0,J3197)
    * _xlfn.XLOOKUP(B3197, Dim_Hotel!$A$2:$A$11, Dim_Hotel!$J$2:$J$11))</f>
        <v>190</v>
      </c>
    </row>
    <row r="3198" spans="1:13" x14ac:dyDescent="0.25">
      <c r="A3198" s="1">
        <f t="shared" si="392"/>
        <v>46342</v>
      </c>
      <c r="B3198" t="str" cm="1">
        <f t="array" ref="B3198">INDEX(HotelList,MOD(ROW()-2,10)+1)</f>
        <v>H007</v>
      </c>
      <c r="C3198">
        <f>_xlfn.XLOOKUP(B3198,Dim_Hotel!$A$2:$A$11,Dim_Hotel!$F$2:$F$11)</f>
        <v>132</v>
      </c>
      <c r="D3198">
        <f t="shared" si="393"/>
        <v>73</v>
      </c>
      <c r="E3198">
        <f t="shared" si="394"/>
        <v>0.55303030303030298</v>
      </c>
      <c r="F3198">
        <f t="shared" si="395"/>
        <v>165</v>
      </c>
      <c r="G3198">
        <f t="shared" si="396"/>
        <v>91.249999999999986</v>
      </c>
      <c r="H3198" t="str">
        <f>_xlfn.XLOOKUP(A3198,Fact_Events!$D$2:$D$20,Fact_Events!$A$2:$A$20, "")</f>
        <v/>
      </c>
      <c r="I3198">
        <f t="shared" si="397"/>
        <v>0</v>
      </c>
      <c r="J3198" t="str">
        <f>_xlfn.XLOOKUP(H3198, Fact_Events!$A$2:$A$20, Fact_Events!$F$2:$F$20, "")</f>
        <v/>
      </c>
      <c r="K3198" t="str">
        <f t="shared" si="398"/>
        <v>Low</v>
      </c>
      <c r="L3198">
        <f t="shared" si="399"/>
        <v>0.55000000000000004</v>
      </c>
      <c r="M3198">
        <f>_xlfn.XLOOKUP(B3198, Dim_Hotel!$A$2:$A$11, Dim_Hotel!$I$2:$I$11)
 + (IF(J3198="",0,J3198)
    * _xlfn.XLOOKUP(B3198, Dim_Hotel!$A$2:$A$11, Dim_Hotel!$J$2:$J$11))</f>
        <v>165</v>
      </c>
    </row>
    <row r="3199" spans="1:13" x14ac:dyDescent="0.25">
      <c r="A3199" s="1">
        <f t="shared" si="392"/>
        <v>46342</v>
      </c>
      <c r="B3199" t="str" cm="1">
        <f t="array" ref="B3199">INDEX(HotelList,MOD(ROW()-2,10)+1)</f>
        <v>H008</v>
      </c>
      <c r="C3199">
        <f>_xlfn.XLOOKUP(B3199,Dim_Hotel!$A$2:$A$11,Dim_Hotel!$F$2:$F$11)</f>
        <v>103</v>
      </c>
      <c r="D3199">
        <f t="shared" si="393"/>
        <v>57</v>
      </c>
      <c r="E3199">
        <f t="shared" si="394"/>
        <v>0.55339805825242716</v>
      </c>
      <c r="F3199">
        <f t="shared" si="395"/>
        <v>140</v>
      </c>
      <c r="G3199">
        <f t="shared" si="396"/>
        <v>77.475728155339809</v>
      </c>
      <c r="H3199" t="str">
        <f>_xlfn.XLOOKUP(A3199,Fact_Events!$D$2:$D$20,Fact_Events!$A$2:$A$20, "")</f>
        <v/>
      </c>
      <c r="I3199">
        <f t="shared" si="397"/>
        <v>0</v>
      </c>
      <c r="J3199" t="str">
        <f>_xlfn.XLOOKUP(H3199, Fact_Events!$A$2:$A$20, Fact_Events!$F$2:$F$20, "")</f>
        <v/>
      </c>
      <c r="K3199" t="str">
        <f t="shared" si="398"/>
        <v>Low</v>
      </c>
      <c r="L3199">
        <f t="shared" si="399"/>
        <v>0.55000000000000004</v>
      </c>
      <c r="M3199">
        <f>_xlfn.XLOOKUP(B3199, Dim_Hotel!$A$2:$A$11, Dim_Hotel!$I$2:$I$11)
 + (IF(J3199="",0,J3199)
    * _xlfn.XLOOKUP(B3199, Dim_Hotel!$A$2:$A$11, Dim_Hotel!$J$2:$J$11))</f>
        <v>140</v>
      </c>
    </row>
    <row r="3200" spans="1:13" x14ac:dyDescent="0.25">
      <c r="A3200" s="1">
        <f t="shared" si="392"/>
        <v>46342</v>
      </c>
      <c r="B3200" t="str" cm="1">
        <f t="array" ref="B3200">INDEX(HotelList,MOD(ROW()-2,10)+1)</f>
        <v>H009</v>
      </c>
      <c r="C3200">
        <f>_xlfn.XLOOKUP(B3200,Dim_Hotel!$A$2:$A$11,Dim_Hotel!$F$2:$F$11)</f>
        <v>114</v>
      </c>
      <c r="D3200">
        <f t="shared" si="393"/>
        <v>63</v>
      </c>
      <c r="E3200">
        <f t="shared" si="394"/>
        <v>0.55263157894736847</v>
      </c>
      <c r="F3200">
        <f t="shared" si="395"/>
        <v>185</v>
      </c>
      <c r="G3200">
        <f t="shared" si="396"/>
        <v>102.23684210526316</v>
      </c>
      <c r="H3200" t="str">
        <f>_xlfn.XLOOKUP(A3200,Fact_Events!$D$2:$D$20,Fact_Events!$A$2:$A$20, "")</f>
        <v/>
      </c>
      <c r="I3200">
        <f t="shared" si="397"/>
        <v>0</v>
      </c>
      <c r="J3200" t="str">
        <f>_xlfn.XLOOKUP(H3200, Fact_Events!$A$2:$A$20, Fact_Events!$F$2:$F$20, "")</f>
        <v/>
      </c>
      <c r="K3200" t="str">
        <f t="shared" si="398"/>
        <v>Low</v>
      </c>
      <c r="L3200">
        <f t="shared" si="399"/>
        <v>0.55000000000000004</v>
      </c>
      <c r="M3200">
        <f>_xlfn.XLOOKUP(B3200, Dim_Hotel!$A$2:$A$11, Dim_Hotel!$I$2:$I$11)
 + (IF(J3200="",0,J3200)
    * _xlfn.XLOOKUP(B3200, Dim_Hotel!$A$2:$A$11, Dim_Hotel!$J$2:$J$11))</f>
        <v>185</v>
      </c>
    </row>
    <row r="3201" spans="1:13" x14ac:dyDescent="0.25">
      <c r="A3201" s="1">
        <f t="shared" si="392"/>
        <v>46342</v>
      </c>
      <c r="B3201" t="str" cm="1">
        <f t="array" ref="B3201">INDEX(HotelList,MOD(ROW()-2,10)+1)</f>
        <v>H010</v>
      </c>
      <c r="C3201">
        <f>_xlfn.XLOOKUP(B3201,Dim_Hotel!$A$2:$A$11,Dim_Hotel!$F$2:$F$11)</f>
        <v>89</v>
      </c>
      <c r="D3201">
        <f t="shared" si="393"/>
        <v>49</v>
      </c>
      <c r="E3201">
        <f t="shared" si="394"/>
        <v>0.550561797752809</v>
      </c>
      <c r="F3201">
        <f t="shared" si="395"/>
        <v>150</v>
      </c>
      <c r="G3201">
        <f t="shared" si="396"/>
        <v>82.584269662921344</v>
      </c>
      <c r="H3201" t="str">
        <f>_xlfn.XLOOKUP(A3201,Fact_Events!$D$2:$D$20,Fact_Events!$A$2:$A$20, "")</f>
        <v/>
      </c>
      <c r="I3201">
        <f t="shared" si="397"/>
        <v>0</v>
      </c>
      <c r="J3201" t="str">
        <f>_xlfn.XLOOKUP(H3201, Fact_Events!$A$2:$A$20, Fact_Events!$F$2:$F$20, "")</f>
        <v/>
      </c>
      <c r="K3201" t="str">
        <f t="shared" si="398"/>
        <v>Low</v>
      </c>
      <c r="L3201">
        <f t="shared" si="399"/>
        <v>0.55000000000000004</v>
      </c>
      <c r="M3201">
        <f>_xlfn.XLOOKUP(B3201, Dim_Hotel!$A$2:$A$11, Dim_Hotel!$I$2:$I$11)
 + (IF(J3201="",0,J3201)
    * _xlfn.XLOOKUP(B3201, Dim_Hotel!$A$2:$A$11, Dim_Hotel!$J$2:$J$11))</f>
        <v>150</v>
      </c>
    </row>
    <row r="3202" spans="1:13" x14ac:dyDescent="0.25">
      <c r="A3202" s="1">
        <f t="shared" si="392"/>
        <v>46343</v>
      </c>
      <c r="B3202" t="str" cm="1">
        <f t="array" ref="B3202">INDEX(HotelList,MOD(ROW()-2,10)+1)</f>
        <v>H001</v>
      </c>
      <c r="C3202">
        <f>_xlfn.XLOOKUP(B3202,Dim_Hotel!$A$2:$A$11,Dim_Hotel!$F$2:$F$11)</f>
        <v>888</v>
      </c>
      <c r="D3202">
        <f t="shared" si="393"/>
        <v>488</v>
      </c>
      <c r="E3202">
        <f t="shared" si="394"/>
        <v>0.5495495495495496</v>
      </c>
      <c r="F3202">
        <f t="shared" si="395"/>
        <v>260</v>
      </c>
      <c r="G3202">
        <f t="shared" si="396"/>
        <v>142.88288288288288</v>
      </c>
      <c r="H3202" t="str">
        <f>_xlfn.XLOOKUP(A3202,Fact_Events!$D$2:$D$20,Fact_Events!$A$2:$A$20, "")</f>
        <v/>
      </c>
      <c r="I3202">
        <f t="shared" si="397"/>
        <v>0</v>
      </c>
      <c r="J3202" t="str">
        <f>_xlfn.XLOOKUP(H3202, Fact_Events!$A$2:$A$20, Fact_Events!$F$2:$F$20, "")</f>
        <v/>
      </c>
      <c r="K3202" t="str">
        <f t="shared" si="398"/>
        <v>Low</v>
      </c>
      <c r="L3202">
        <f t="shared" si="399"/>
        <v>0.55000000000000004</v>
      </c>
      <c r="M3202">
        <f>_xlfn.XLOOKUP(B3202, Dim_Hotel!$A$2:$A$11, Dim_Hotel!$I$2:$I$11)
 + (IF(J3202="",0,J3202)
    * _xlfn.XLOOKUP(B3202, Dim_Hotel!$A$2:$A$11, Dim_Hotel!$J$2:$J$11))</f>
        <v>260</v>
      </c>
    </row>
    <row r="3203" spans="1:13" x14ac:dyDescent="0.25">
      <c r="A3203" s="1">
        <f t="shared" ref="A3203:A3266" si="400">DATE(2026,1,1) + INT((ROW()-2)/10)</f>
        <v>46343</v>
      </c>
      <c r="B3203" t="str" cm="1">
        <f t="array" ref="B3203">INDEX(HotelList,MOD(ROW()-2,10)+1)</f>
        <v>H002</v>
      </c>
      <c r="C3203">
        <f>_xlfn.XLOOKUP(B3203,Dim_Hotel!$A$2:$A$11,Dim_Hotel!$F$2:$F$11)</f>
        <v>147</v>
      </c>
      <c r="D3203">
        <f t="shared" ref="D3203:D3266" si="401">ROUND(L3203 * C3203, 0)</f>
        <v>81</v>
      </c>
      <c r="E3203">
        <f t="shared" ref="E3203:E3266" si="402">D3203/C3203</f>
        <v>0.55102040816326525</v>
      </c>
      <c r="F3203">
        <f t="shared" ref="F3203:F3266" si="403">M3203</f>
        <v>175</v>
      </c>
      <c r="G3203">
        <f t="shared" ref="G3203:G3266" si="404">E3203*F3203</f>
        <v>96.428571428571416</v>
      </c>
      <c r="H3203" t="str">
        <f>_xlfn.XLOOKUP(A3203,Fact_Events!$D$2:$D$20,Fact_Events!$A$2:$A$20, "")</f>
        <v/>
      </c>
      <c r="I3203">
        <f t="shared" ref="I3203:I3266" si="405">IF(H3203="",0,1)</f>
        <v>0</v>
      </c>
      <c r="J3203" t="str">
        <f>_xlfn.XLOOKUP(H3203, Fact_Events!$A$2:$A$20, Fact_Events!$F$2:$F$20, "")</f>
        <v/>
      </c>
      <c r="K3203" t="str">
        <f t="shared" ref="K3203:K3266" si="406">IF(I3203=0,"Low",
   IF(J3203&gt;=9,"High","Medium"))</f>
        <v>Low</v>
      </c>
      <c r="L3203">
        <f t="shared" ref="L3203:L3266" si="407">MIN(1,
  0.55
  + (I3203 * 0.25)
  + (IF(J3203="",0,J3203) / 100)
)</f>
        <v>0.55000000000000004</v>
      </c>
      <c r="M3203">
        <f>_xlfn.XLOOKUP(B3203, Dim_Hotel!$A$2:$A$11, Dim_Hotel!$I$2:$I$11)
 + (IF(J3203="",0,J3203)
    * _xlfn.XLOOKUP(B3203, Dim_Hotel!$A$2:$A$11, Dim_Hotel!$J$2:$J$11))</f>
        <v>175</v>
      </c>
    </row>
    <row r="3204" spans="1:13" x14ac:dyDescent="0.25">
      <c r="A3204" s="1">
        <f t="shared" si="400"/>
        <v>46343</v>
      </c>
      <c r="B3204" t="str" cm="1">
        <f t="array" ref="B3204">INDEX(HotelList,MOD(ROW()-2,10)+1)</f>
        <v>H003</v>
      </c>
      <c r="C3204">
        <f>_xlfn.XLOOKUP(B3204,Dim_Hotel!$A$2:$A$11,Dim_Hotel!$F$2:$F$11)</f>
        <v>121</v>
      </c>
      <c r="D3204">
        <f t="shared" si="401"/>
        <v>67</v>
      </c>
      <c r="E3204">
        <f t="shared" si="402"/>
        <v>0.55371900826446285</v>
      </c>
      <c r="F3204">
        <f t="shared" si="403"/>
        <v>145</v>
      </c>
      <c r="G3204">
        <f t="shared" si="404"/>
        <v>80.289256198347118</v>
      </c>
      <c r="H3204" t="str">
        <f>_xlfn.XLOOKUP(A3204,Fact_Events!$D$2:$D$20,Fact_Events!$A$2:$A$20, "")</f>
        <v/>
      </c>
      <c r="I3204">
        <f t="shared" si="405"/>
        <v>0</v>
      </c>
      <c r="J3204" t="str">
        <f>_xlfn.XLOOKUP(H3204, Fact_Events!$A$2:$A$20, Fact_Events!$F$2:$F$20, "")</f>
        <v/>
      </c>
      <c r="K3204" t="str">
        <f t="shared" si="406"/>
        <v>Low</v>
      </c>
      <c r="L3204">
        <f t="shared" si="407"/>
        <v>0.55000000000000004</v>
      </c>
      <c r="M3204">
        <f>_xlfn.XLOOKUP(B3204, Dim_Hotel!$A$2:$A$11, Dim_Hotel!$I$2:$I$11)
 + (IF(J3204="",0,J3204)
    * _xlfn.XLOOKUP(B3204, Dim_Hotel!$A$2:$A$11, Dim_Hotel!$J$2:$J$11))</f>
        <v>145</v>
      </c>
    </row>
    <row r="3205" spans="1:13" x14ac:dyDescent="0.25">
      <c r="A3205" s="1">
        <f t="shared" si="400"/>
        <v>46343</v>
      </c>
      <c r="B3205" t="str" cm="1">
        <f t="array" ref="B3205">INDEX(HotelList,MOD(ROW()-2,10)+1)</f>
        <v>H004</v>
      </c>
      <c r="C3205">
        <f>_xlfn.XLOOKUP(B3205,Dim_Hotel!$A$2:$A$11,Dim_Hotel!$F$2:$F$11)</f>
        <v>108</v>
      </c>
      <c r="D3205">
        <f t="shared" si="401"/>
        <v>59</v>
      </c>
      <c r="E3205">
        <f t="shared" si="402"/>
        <v>0.54629629629629628</v>
      </c>
      <c r="F3205">
        <f t="shared" si="403"/>
        <v>135</v>
      </c>
      <c r="G3205">
        <f t="shared" si="404"/>
        <v>73.75</v>
      </c>
      <c r="H3205" t="str">
        <f>_xlfn.XLOOKUP(A3205,Fact_Events!$D$2:$D$20,Fact_Events!$A$2:$A$20, "")</f>
        <v/>
      </c>
      <c r="I3205">
        <f t="shared" si="405"/>
        <v>0</v>
      </c>
      <c r="J3205" t="str">
        <f>_xlfn.XLOOKUP(H3205, Fact_Events!$A$2:$A$20, Fact_Events!$F$2:$F$20, "")</f>
        <v/>
      </c>
      <c r="K3205" t="str">
        <f t="shared" si="406"/>
        <v>Low</v>
      </c>
      <c r="L3205">
        <f t="shared" si="407"/>
        <v>0.55000000000000004</v>
      </c>
      <c r="M3205">
        <f>_xlfn.XLOOKUP(B3205, Dim_Hotel!$A$2:$A$11, Dim_Hotel!$I$2:$I$11)
 + (IF(J3205="",0,J3205)
    * _xlfn.XLOOKUP(B3205, Dim_Hotel!$A$2:$A$11, Dim_Hotel!$J$2:$J$11))</f>
        <v>135</v>
      </c>
    </row>
    <row r="3206" spans="1:13" x14ac:dyDescent="0.25">
      <c r="A3206" s="1">
        <f t="shared" si="400"/>
        <v>46343</v>
      </c>
      <c r="B3206" t="str" cm="1">
        <f t="array" ref="B3206">INDEX(HotelList,MOD(ROW()-2,10)+1)</f>
        <v>H005</v>
      </c>
      <c r="C3206">
        <f>_xlfn.XLOOKUP(B3206,Dim_Hotel!$A$2:$A$11,Dim_Hotel!$F$2:$F$11)</f>
        <v>66</v>
      </c>
      <c r="D3206">
        <f t="shared" si="401"/>
        <v>36</v>
      </c>
      <c r="E3206">
        <f t="shared" si="402"/>
        <v>0.54545454545454541</v>
      </c>
      <c r="F3206">
        <f t="shared" si="403"/>
        <v>82</v>
      </c>
      <c r="G3206">
        <f t="shared" si="404"/>
        <v>44.727272727272727</v>
      </c>
      <c r="H3206" t="str">
        <f>_xlfn.XLOOKUP(A3206,Fact_Events!$D$2:$D$20,Fact_Events!$A$2:$A$20, "")</f>
        <v/>
      </c>
      <c r="I3206">
        <f t="shared" si="405"/>
        <v>0</v>
      </c>
      <c r="J3206" t="str">
        <f>_xlfn.XLOOKUP(H3206, Fact_Events!$A$2:$A$20, Fact_Events!$F$2:$F$20, "")</f>
        <v/>
      </c>
      <c r="K3206" t="str">
        <f t="shared" si="406"/>
        <v>Low</v>
      </c>
      <c r="L3206">
        <f t="shared" si="407"/>
        <v>0.55000000000000004</v>
      </c>
      <c r="M3206">
        <f>_xlfn.XLOOKUP(B3206, Dim_Hotel!$A$2:$A$11, Dim_Hotel!$I$2:$I$11)
 + (IF(J3206="",0,J3206)
    * _xlfn.XLOOKUP(B3206, Dim_Hotel!$A$2:$A$11, Dim_Hotel!$J$2:$J$11))</f>
        <v>82</v>
      </c>
    </row>
    <row r="3207" spans="1:13" x14ac:dyDescent="0.25">
      <c r="A3207" s="1">
        <f t="shared" si="400"/>
        <v>46343</v>
      </c>
      <c r="B3207" t="str" cm="1">
        <f t="array" ref="B3207">INDEX(HotelList,MOD(ROW()-2,10)+1)</f>
        <v>H006</v>
      </c>
      <c r="C3207">
        <f>_xlfn.XLOOKUP(B3207,Dim_Hotel!$A$2:$A$11,Dim_Hotel!$F$2:$F$11)</f>
        <v>311</v>
      </c>
      <c r="D3207">
        <f t="shared" si="401"/>
        <v>171</v>
      </c>
      <c r="E3207">
        <f t="shared" si="402"/>
        <v>0.54983922829581988</v>
      </c>
      <c r="F3207">
        <f t="shared" si="403"/>
        <v>190</v>
      </c>
      <c r="G3207">
        <f t="shared" si="404"/>
        <v>104.46945337620578</v>
      </c>
      <c r="H3207" t="str">
        <f>_xlfn.XLOOKUP(A3207,Fact_Events!$D$2:$D$20,Fact_Events!$A$2:$A$20, "")</f>
        <v/>
      </c>
      <c r="I3207">
        <f t="shared" si="405"/>
        <v>0</v>
      </c>
      <c r="J3207" t="str">
        <f>_xlfn.XLOOKUP(H3207, Fact_Events!$A$2:$A$20, Fact_Events!$F$2:$F$20, "")</f>
        <v/>
      </c>
      <c r="K3207" t="str">
        <f t="shared" si="406"/>
        <v>Low</v>
      </c>
      <c r="L3207">
        <f t="shared" si="407"/>
        <v>0.55000000000000004</v>
      </c>
      <c r="M3207">
        <f>_xlfn.XLOOKUP(B3207, Dim_Hotel!$A$2:$A$11, Dim_Hotel!$I$2:$I$11)
 + (IF(J3207="",0,J3207)
    * _xlfn.XLOOKUP(B3207, Dim_Hotel!$A$2:$A$11, Dim_Hotel!$J$2:$J$11))</f>
        <v>190</v>
      </c>
    </row>
    <row r="3208" spans="1:13" x14ac:dyDescent="0.25">
      <c r="A3208" s="1">
        <f t="shared" si="400"/>
        <v>46343</v>
      </c>
      <c r="B3208" t="str" cm="1">
        <f t="array" ref="B3208">INDEX(HotelList,MOD(ROW()-2,10)+1)</f>
        <v>H007</v>
      </c>
      <c r="C3208">
        <f>_xlfn.XLOOKUP(B3208,Dim_Hotel!$A$2:$A$11,Dim_Hotel!$F$2:$F$11)</f>
        <v>132</v>
      </c>
      <c r="D3208">
        <f t="shared" si="401"/>
        <v>73</v>
      </c>
      <c r="E3208">
        <f t="shared" si="402"/>
        <v>0.55303030303030298</v>
      </c>
      <c r="F3208">
        <f t="shared" si="403"/>
        <v>165</v>
      </c>
      <c r="G3208">
        <f t="shared" si="404"/>
        <v>91.249999999999986</v>
      </c>
      <c r="H3208" t="str">
        <f>_xlfn.XLOOKUP(A3208,Fact_Events!$D$2:$D$20,Fact_Events!$A$2:$A$20, "")</f>
        <v/>
      </c>
      <c r="I3208">
        <f t="shared" si="405"/>
        <v>0</v>
      </c>
      <c r="J3208" t="str">
        <f>_xlfn.XLOOKUP(H3208, Fact_Events!$A$2:$A$20, Fact_Events!$F$2:$F$20, "")</f>
        <v/>
      </c>
      <c r="K3208" t="str">
        <f t="shared" si="406"/>
        <v>Low</v>
      </c>
      <c r="L3208">
        <f t="shared" si="407"/>
        <v>0.55000000000000004</v>
      </c>
      <c r="M3208">
        <f>_xlfn.XLOOKUP(B3208, Dim_Hotel!$A$2:$A$11, Dim_Hotel!$I$2:$I$11)
 + (IF(J3208="",0,J3208)
    * _xlfn.XLOOKUP(B3208, Dim_Hotel!$A$2:$A$11, Dim_Hotel!$J$2:$J$11))</f>
        <v>165</v>
      </c>
    </row>
    <row r="3209" spans="1:13" x14ac:dyDescent="0.25">
      <c r="A3209" s="1">
        <f t="shared" si="400"/>
        <v>46343</v>
      </c>
      <c r="B3209" t="str" cm="1">
        <f t="array" ref="B3209">INDEX(HotelList,MOD(ROW()-2,10)+1)</f>
        <v>H008</v>
      </c>
      <c r="C3209">
        <f>_xlfn.XLOOKUP(B3209,Dim_Hotel!$A$2:$A$11,Dim_Hotel!$F$2:$F$11)</f>
        <v>103</v>
      </c>
      <c r="D3209">
        <f t="shared" si="401"/>
        <v>57</v>
      </c>
      <c r="E3209">
        <f t="shared" si="402"/>
        <v>0.55339805825242716</v>
      </c>
      <c r="F3209">
        <f t="shared" si="403"/>
        <v>140</v>
      </c>
      <c r="G3209">
        <f t="shared" si="404"/>
        <v>77.475728155339809</v>
      </c>
      <c r="H3209" t="str">
        <f>_xlfn.XLOOKUP(A3209,Fact_Events!$D$2:$D$20,Fact_Events!$A$2:$A$20, "")</f>
        <v/>
      </c>
      <c r="I3209">
        <f t="shared" si="405"/>
        <v>0</v>
      </c>
      <c r="J3209" t="str">
        <f>_xlfn.XLOOKUP(H3209, Fact_Events!$A$2:$A$20, Fact_Events!$F$2:$F$20, "")</f>
        <v/>
      </c>
      <c r="K3209" t="str">
        <f t="shared" si="406"/>
        <v>Low</v>
      </c>
      <c r="L3209">
        <f t="shared" si="407"/>
        <v>0.55000000000000004</v>
      </c>
      <c r="M3209">
        <f>_xlfn.XLOOKUP(B3209, Dim_Hotel!$A$2:$A$11, Dim_Hotel!$I$2:$I$11)
 + (IF(J3209="",0,J3209)
    * _xlfn.XLOOKUP(B3209, Dim_Hotel!$A$2:$A$11, Dim_Hotel!$J$2:$J$11))</f>
        <v>140</v>
      </c>
    </row>
    <row r="3210" spans="1:13" x14ac:dyDescent="0.25">
      <c r="A3210" s="1">
        <f t="shared" si="400"/>
        <v>46343</v>
      </c>
      <c r="B3210" t="str" cm="1">
        <f t="array" ref="B3210">INDEX(HotelList,MOD(ROW()-2,10)+1)</f>
        <v>H009</v>
      </c>
      <c r="C3210">
        <f>_xlfn.XLOOKUP(B3210,Dim_Hotel!$A$2:$A$11,Dim_Hotel!$F$2:$F$11)</f>
        <v>114</v>
      </c>
      <c r="D3210">
        <f t="shared" si="401"/>
        <v>63</v>
      </c>
      <c r="E3210">
        <f t="shared" si="402"/>
        <v>0.55263157894736847</v>
      </c>
      <c r="F3210">
        <f t="shared" si="403"/>
        <v>185</v>
      </c>
      <c r="G3210">
        <f t="shared" si="404"/>
        <v>102.23684210526316</v>
      </c>
      <c r="H3210" t="str">
        <f>_xlfn.XLOOKUP(A3210,Fact_Events!$D$2:$D$20,Fact_Events!$A$2:$A$20, "")</f>
        <v/>
      </c>
      <c r="I3210">
        <f t="shared" si="405"/>
        <v>0</v>
      </c>
      <c r="J3210" t="str">
        <f>_xlfn.XLOOKUP(H3210, Fact_Events!$A$2:$A$20, Fact_Events!$F$2:$F$20, "")</f>
        <v/>
      </c>
      <c r="K3210" t="str">
        <f t="shared" si="406"/>
        <v>Low</v>
      </c>
      <c r="L3210">
        <f t="shared" si="407"/>
        <v>0.55000000000000004</v>
      </c>
      <c r="M3210">
        <f>_xlfn.XLOOKUP(B3210, Dim_Hotel!$A$2:$A$11, Dim_Hotel!$I$2:$I$11)
 + (IF(J3210="",0,J3210)
    * _xlfn.XLOOKUP(B3210, Dim_Hotel!$A$2:$A$11, Dim_Hotel!$J$2:$J$11))</f>
        <v>185</v>
      </c>
    </row>
    <row r="3211" spans="1:13" x14ac:dyDescent="0.25">
      <c r="A3211" s="1">
        <f t="shared" si="400"/>
        <v>46343</v>
      </c>
      <c r="B3211" t="str" cm="1">
        <f t="array" ref="B3211">INDEX(HotelList,MOD(ROW()-2,10)+1)</f>
        <v>H010</v>
      </c>
      <c r="C3211">
        <f>_xlfn.XLOOKUP(B3211,Dim_Hotel!$A$2:$A$11,Dim_Hotel!$F$2:$F$11)</f>
        <v>89</v>
      </c>
      <c r="D3211">
        <f t="shared" si="401"/>
        <v>49</v>
      </c>
      <c r="E3211">
        <f t="shared" si="402"/>
        <v>0.550561797752809</v>
      </c>
      <c r="F3211">
        <f t="shared" si="403"/>
        <v>150</v>
      </c>
      <c r="G3211">
        <f t="shared" si="404"/>
        <v>82.584269662921344</v>
      </c>
      <c r="H3211" t="str">
        <f>_xlfn.XLOOKUP(A3211,Fact_Events!$D$2:$D$20,Fact_Events!$A$2:$A$20, "")</f>
        <v/>
      </c>
      <c r="I3211">
        <f t="shared" si="405"/>
        <v>0</v>
      </c>
      <c r="J3211" t="str">
        <f>_xlfn.XLOOKUP(H3211, Fact_Events!$A$2:$A$20, Fact_Events!$F$2:$F$20, "")</f>
        <v/>
      </c>
      <c r="K3211" t="str">
        <f t="shared" si="406"/>
        <v>Low</v>
      </c>
      <c r="L3211">
        <f t="shared" si="407"/>
        <v>0.55000000000000004</v>
      </c>
      <c r="M3211">
        <f>_xlfn.XLOOKUP(B3211, Dim_Hotel!$A$2:$A$11, Dim_Hotel!$I$2:$I$11)
 + (IF(J3211="",0,J3211)
    * _xlfn.XLOOKUP(B3211, Dim_Hotel!$A$2:$A$11, Dim_Hotel!$J$2:$J$11))</f>
        <v>150</v>
      </c>
    </row>
    <row r="3212" spans="1:13" x14ac:dyDescent="0.25">
      <c r="A3212" s="1">
        <f t="shared" si="400"/>
        <v>46344</v>
      </c>
      <c r="B3212" t="str" cm="1">
        <f t="array" ref="B3212">INDEX(HotelList,MOD(ROW()-2,10)+1)</f>
        <v>H001</v>
      </c>
      <c r="C3212">
        <f>_xlfn.XLOOKUP(B3212,Dim_Hotel!$A$2:$A$11,Dim_Hotel!$F$2:$F$11)</f>
        <v>888</v>
      </c>
      <c r="D3212">
        <f t="shared" si="401"/>
        <v>488</v>
      </c>
      <c r="E3212">
        <f t="shared" si="402"/>
        <v>0.5495495495495496</v>
      </c>
      <c r="F3212">
        <f t="shared" si="403"/>
        <v>260</v>
      </c>
      <c r="G3212">
        <f t="shared" si="404"/>
        <v>142.88288288288288</v>
      </c>
      <c r="H3212" t="str">
        <f>_xlfn.XLOOKUP(A3212,Fact_Events!$D$2:$D$20,Fact_Events!$A$2:$A$20, "")</f>
        <v/>
      </c>
      <c r="I3212">
        <f t="shared" si="405"/>
        <v>0</v>
      </c>
      <c r="J3212" t="str">
        <f>_xlfn.XLOOKUP(H3212, Fact_Events!$A$2:$A$20, Fact_Events!$F$2:$F$20, "")</f>
        <v/>
      </c>
      <c r="K3212" t="str">
        <f t="shared" si="406"/>
        <v>Low</v>
      </c>
      <c r="L3212">
        <f t="shared" si="407"/>
        <v>0.55000000000000004</v>
      </c>
      <c r="M3212">
        <f>_xlfn.XLOOKUP(B3212, Dim_Hotel!$A$2:$A$11, Dim_Hotel!$I$2:$I$11)
 + (IF(J3212="",0,J3212)
    * _xlfn.XLOOKUP(B3212, Dim_Hotel!$A$2:$A$11, Dim_Hotel!$J$2:$J$11))</f>
        <v>260</v>
      </c>
    </row>
    <row r="3213" spans="1:13" x14ac:dyDescent="0.25">
      <c r="A3213" s="1">
        <f t="shared" si="400"/>
        <v>46344</v>
      </c>
      <c r="B3213" t="str" cm="1">
        <f t="array" ref="B3213">INDEX(HotelList,MOD(ROW()-2,10)+1)</f>
        <v>H002</v>
      </c>
      <c r="C3213">
        <f>_xlfn.XLOOKUP(B3213,Dim_Hotel!$A$2:$A$11,Dim_Hotel!$F$2:$F$11)</f>
        <v>147</v>
      </c>
      <c r="D3213">
        <f t="shared" si="401"/>
        <v>81</v>
      </c>
      <c r="E3213">
        <f t="shared" si="402"/>
        <v>0.55102040816326525</v>
      </c>
      <c r="F3213">
        <f t="shared" si="403"/>
        <v>175</v>
      </c>
      <c r="G3213">
        <f t="shared" si="404"/>
        <v>96.428571428571416</v>
      </c>
      <c r="H3213" t="str">
        <f>_xlfn.XLOOKUP(A3213,Fact_Events!$D$2:$D$20,Fact_Events!$A$2:$A$20, "")</f>
        <v/>
      </c>
      <c r="I3213">
        <f t="shared" si="405"/>
        <v>0</v>
      </c>
      <c r="J3213" t="str">
        <f>_xlfn.XLOOKUP(H3213, Fact_Events!$A$2:$A$20, Fact_Events!$F$2:$F$20, "")</f>
        <v/>
      </c>
      <c r="K3213" t="str">
        <f t="shared" si="406"/>
        <v>Low</v>
      </c>
      <c r="L3213">
        <f t="shared" si="407"/>
        <v>0.55000000000000004</v>
      </c>
      <c r="M3213">
        <f>_xlfn.XLOOKUP(B3213, Dim_Hotel!$A$2:$A$11, Dim_Hotel!$I$2:$I$11)
 + (IF(J3213="",0,J3213)
    * _xlfn.XLOOKUP(B3213, Dim_Hotel!$A$2:$A$11, Dim_Hotel!$J$2:$J$11))</f>
        <v>175</v>
      </c>
    </row>
    <row r="3214" spans="1:13" x14ac:dyDescent="0.25">
      <c r="A3214" s="1">
        <f t="shared" si="400"/>
        <v>46344</v>
      </c>
      <c r="B3214" t="str" cm="1">
        <f t="array" ref="B3214">INDEX(HotelList,MOD(ROW()-2,10)+1)</f>
        <v>H003</v>
      </c>
      <c r="C3214">
        <f>_xlfn.XLOOKUP(B3214,Dim_Hotel!$A$2:$A$11,Dim_Hotel!$F$2:$F$11)</f>
        <v>121</v>
      </c>
      <c r="D3214">
        <f t="shared" si="401"/>
        <v>67</v>
      </c>
      <c r="E3214">
        <f t="shared" si="402"/>
        <v>0.55371900826446285</v>
      </c>
      <c r="F3214">
        <f t="shared" si="403"/>
        <v>145</v>
      </c>
      <c r="G3214">
        <f t="shared" si="404"/>
        <v>80.289256198347118</v>
      </c>
      <c r="H3214" t="str">
        <f>_xlfn.XLOOKUP(A3214,Fact_Events!$D$2:$D$20,Fact_Events!$A$2:$A$20, "")</f>
        <v/>
      </c>
      <c r="I3214">
        <f t="shared" si="405"/>
        <v>0</v>
      </c>
      <c r="J3214" t="str">
        <f>_xlfn.XLOOKUP(H3214, Fact_Events!$A$2:$A$20, Fact_Events!$F$2:$F$20, "")</f>
        <v/>
      </c>
      <c r="K3214" t="str">
        <f t="shared" si="406"/>
        <v>Low</v>
      </c>
      <c r="L3214">
        <f t="shared" si="407"/>
        <v>0.55000000000000004</v>
      </c>
      <c r="M3214">
        <f>_xlfn.XLOOKUP(B3214, Dim_Hotel!$A$2:$A$11, Dim_Hotel!$I$2:$I$11)
 + (IF(J3214="",0,J3214)
    * _xlfn.XLOOKUP(B3214, Dim_Hotel!$A$2:$A$11, Dim_Hotel!$J$2:$J$11))</f>
        <v>145</v>
      </c>
    </row>
    <row r="3215" spans="1:13" x14ac:dyDescent="0.25">
      <c r="A3215" s="1">
        <f t="shared" si="400"/>
        <v>46344</v>
      </c>
      <c r="B3215" t="str" cm="1">
        <f t="array" ref="B3215">INDEX(HotelList,MOD(ROW()-2,10)+1)</f>
        <v>H004</v>
      </c>
      <c r="C3215">
        <f>_xlfn.XLOOKUP(B3215,Dim_Hotel!$A$2:$A$11,Dim_Hotel!$F$2:$F$11)</f>
        <v>108</v>
      </c>
      <c r="D3215">
        <f t="shared" si="401"/>
        <v>59</v>
      </c>
      <c r="E3215">
        <f t="shared" si="402"/>
        <v>0.54629629629629628</v>
      </c>
      <c r="F3215">
        <f t="shared" si="403"/>
        <v>135</v>
      </c>
      <c r="G3215">
        <f t="shared" si="404"/>
        <v>73.75</v>
      </c>
      <c r="H3215" t="str">
        <f>_xlfn.XLOOKUP(A3215,Fact_Events!$D$2:$D$20,Fact_Events!$A$2:$A$20, "")</f>
        <v/>
      </c>
      <c r="I3215">
        <f t="shared" si="405"/>
        <v>0</v>
      </c>
      <c r="J3215" t="str">
        <f>_xlfn.XLOOKUP(H3215, Fact_Events!$A$2:$A$20, Fact_Events!$F$2:$F$20, "")</f>
        <v/>
      </c>
      <c r="K3215" t="str">
        <f t="shared" si="406"/>
        <v>Low</v>
      </c>
      <c r="L3215">
        <f t="shared" si="407"/>
        <v>0.55000000000000004</v>
      </c>
      <c r="M3215">
        <f>_xlfn.XLOOKUP(B3215, Dim_Hotel!$A$2:$A$11, Dim_Hotel!$I$2:$I$11)
 + (IF(J3215="",0,J3215)
    * _xlfn.XLOOKUP(B3215, Dim_Hotel!$A$2:$A$11, Dim_Hotel!$J$2:$J$11))</f>
        <v>135</v>
      </c>
    </row>
    <row r="3216" spans="1:13" x14ac:dyDescent="0.25">
      <c r="A3216" s="1">
        <f t="shared" si="400"/>
        <v>46344</v>
      </c>
      <c r="B3216" t="str" cm="1">
        <f t="array" ref="B3216">INDEX(HotelList,MOD(ROW()-2,10)+1)</f>
        <v>H005</v>
      </c>
      <c r="C3216">
        <f>_xlfn.XLOOKUP(B3216,Dim_Hotel!$A$2:$A$11,Dim_Hotel!$F$2:$F$11)</f>
        <v>66</v>
      </c>
      <c r="D3216">
        <f t="shared" si="401"/>
        <v>36</v>
      </c>
      <c r="E3216">
        <f t="shared" si="402"/>
        <v>0.54545454545454541</v>
      </c>
      <c r="F3216">
        <f t="shared" si="403"/>
        <v>82</v>
      </c>
      <c r="G3216">
        <f t="shared" si="404"/>
        <v>44.727272727272727</v>
      </c>
      <c r="H3216" t="str">
        <f>_xlfn.XLOOKUP(A3216,Fact_Events!$D$2:$D$20,Fact_Events!$A$2:$A$20, "")</f>
        <v/>
      </c>
      <c r="I3216">
        <f t="shared" si="405"/>
        <v>0</v>
      </c>
      <c r="J3216" t="str">
        <f>_xlfn.XLOOKUP(H3216, Fact_Events!$A$2:$A$20, Fact_Events!$F$2:$F$20, "")</f>
        <v/>
      </c>
      <c r="K3216" t="str">
        <f t="shared" si="406"/>
        <v>Low</v>
      </c>
      <c r="L3216">
        <f t="shared" si="407"/>
        <v>0.55000000000000004</v>
      </c>
      <c r="M3216">
        <f>_xlfn.XLOOKUP(B3216, Dim_Hotel!$A$2:$A$11, Dim_Hotel!$I$2:$I$11)
 + (IF(J3216="",0,J3216)
    * _xlfn.XLOOKUP(B3216, Dim_Hotel!$A$2:$A$11, Dim_Hotel!$J$2:$J$11))</f>
        <v>82</v>
      </c>
    </row>
    <row r="3217" spans="1:13" x14ac:dyDescent="0.25">
      <c r="A3217" s="1">
        <f t="shared" si="400"/>
        <v>46344</v>
      </c>
      <c r="B3217" t="str" cm="1">
        <f t="array" ref="B3217">INDEX(HotelList,MOD(ROW()-2,10)+1)</f>
        <v>H006</v>
      </c>
      <c r="C3217">
        <f>_xlfn.XLOOKUP(B3217,Dim_Hotel!$A$2:$A$11,Dim_Hotel!$F$2:$F$11)</f>
        <v>311</v>
      </c>
      <c r="D3217">
        <f t="shared" si="401"/>
        <v>171</v>
      </c>
      <c r="E3217">
        <f t="shared" si="402"/>
        <v>0.54983922829581988</v>
      </c>
      <c r="F3217">
        <f t="shared" si="403"/>
        <v>190</v>
      </c>
      <c r="G3217">
        <f t="shared" si="404"/>
        <v>104.46945337620578</v>
      </c>
      <c r="H3217" t="str">
        <f>_xlfn.XLOOKUP(A3217,Fact_Events!$D$2:$D$20,Fact_Events!$A$2:$A$20, "")</f>
        <v/>
      </c>
      <c r="I3217">
        <f t="shared" si="405"/>
        <v>0</v>
      </c>
      <c r="J3217" t="str">
        <f>_xlfn.XLOOKUP(H3217, Fact_Events!$A$2:$A$20, Fact_Events!$F$2:$F$20, "")</f>
        <v/>
      </c>
      <c r="K3217" t="str">
        <f t="shared" si="406"/>
        <v>Low</v>
      </c>
      <c r="L3217">
        <f t="shared" si="407"/>
        <v>0.55000000000000004</v>
      </c>
      <c r="M3217">
        <f>_xlfn.XLOOKUP(B3217, Dim_Hotel!$A$2:$A$11, Dim_Hotel!$I$2:$I$11)
 + (IF(J3217="",0,J3217)
    * _xlfn.XLOOKUP(B3217, Dim_Hotel!$A$2:$A$11, Dim_Hotel!$J$2:$J$11))</f>
        <v>190</v>
      </c>
    </row>
    <row r="3218" spans="1:13" x14ac:dyDescent="0.25">
      <c r="A3218" s="1">
        <f t="shared" si="400"/>
        <v>46344</v>
      </c>
      <c r="B3218" t="str" cm="1">
        <f t="array" ref="B3218">INDEX(HotelList,MOD(ROW()-2,10)+1)</f>
        <v>H007</v>
      </c>
      <c r="C3218">
        <f>_xlfn.XLOOKUP(B3218,Dim_Hotel!$A$2:$A$11,Dim_Hotel!$F$2:$F$11)</f>
        <v>132</v>
      </c>
      <c r="D3218">
        <f t="shared" si="401"/>
        <v>73</v>
      </c>
      <c r="E3218">
        <f t="shared" si="402"/>
        <v>0.55303030303030298</v>
      </c>
      <c r="F3218">
        <f t="shared" si="403"/>
        <v>165</v>
      </c>
      <c r="G3218">
        <f t="shared" si="404"/>
        <v>91.249999999999986</v>
      </c>
      <c r="H3218" t="str">
        <f>_xlfn.XLOOKUP(A3218,Fact_Events!$D$2:$D$20,Fact_Events!$A$2:$A$20, "")</f>
        <v/>
      </c>
      <c r="I3218">
        <f t="shared" si="405"/>
        <v>0</v>
      </c>
      <c r="J3218" t="str">
        <f>_xlfn.XLOOKUP(H3218, Fact_Events!$A$2:$A$20, Fact_Events!$F$2:$F$20, "")</f>
        <v/>
      </c>
      <c r="K3218" t="str">
        <f t="shared" si="406"/>
        <v>Low</v>
      </c>
      <c r="L3218">
        <f t="shared" si="407"/>
        <v>0.55000000000000004</v>
      </c>
      <c r="M3218">
        <f>_xlfn.XLOOKUP(B3218, Dim_Hotel!$A$2:$A$11, Dim_Hotel!$I$2:$I$11)
 + (IF(J3218="",0,J3218)
    * _xlfn.XLOOKUP(B3218, Dim_Hotel!$A$2:$A$11, Dim_Hotel!$J$2:$J$11))</f>
        <v>165</v>
      </c>
    </row>
    <row r="3219" spans="1:13" x14ac:dyDescent="0.25">
      <c r="A3219" s="1">
        <f t="shared" si="400"/>
        <v>46344</v>
      </c>
      <c r="B3219" t="str" cm="1">
        <f t="array" ref="B3219">INDEX(HotelList,MOD(ROW()-2,10)+1)</f>
        <v>H008</v>
      </c>
      <c r="C3219">
        <f>_xlfn.XLOOKUP(B3219,Dim_Hotel!$A$2:$A$11,Dim_Hotel!$F$2:$F$11)</f>
        <v>103</v>
      </c>
      <c r="D3219">
        <f t="shared" si="401"/>
        <v>57</v>
      </c>
      <c r="E3219">
        <f t="shared" si="402"/>
        <v>0.55339805825242716</v>
      </c>
      <c r="F3219">
        <f t="shared" si="403"/>
        <v>140</v>
      </c>
      <c r="G3219">
        <f t="shared" si="404"/>
        <v>77.475728155339809</v>
      </c>
      <c r="H3219" t="str">
        <f>_xlfn.XLOOKUP(A3219,Fact_Events!$D$2:$D$20,Fact_Events!$A$2:$A$20, "")</f>
        <v/>
      </c>
      <c r="I3219">
        <f t="shared" si="405"/>
        <v>0</v>
      </c>
      <c r="J3219" t="str">
        <f>_xlfn.XLOOKUP(H3219, Fact_Events!$A$2:$A$20, Fact_Events!$F$2:$F$20, "")</f>
        <v/>
      </c>
      <c r="K3219" t="str">
        <f t="shared" si="406"/>
        <v>Low</v>
      </c>
      <c r="L3219">
        <f t="shared" si="407"/>
        <v>0.55000000000000004</v>
      </c>
      <c r="M3219">
        <f>_xlfn.XLOOKUP(B3219, Dim_Hotel!$A$2:$A$11, Dim_Hotel!$I$2:$I$11)
 + (IF(J3219="",0,J3219)
    * _xlfn.XLOOKUP(B3219, Dim_Hotel!$A$2:$A$11, Dim_Hotel!$J$2:$J$11))</f>
        <v>140</v>
      </c>
    </row>
    <row r="3220" spans="1:13" x14ac:dyDescent="0.25">
      <c r="A3220" s="1">
        <f t="shared" si="400"/>
        <v>46344</v>
      </c>
      <c r="B3220" t="str" cm="1">
        <f t="array" ref="B3220">INDEX(HotelList,MOD(ROW()-2,10)+1)</f>
        <v>H009</v>
      </c>
      <c r="C3220">
        <f>_xlfn.XLOOKUP(B3220,Dim_Hotel!$A$2:$A$11,Dim_Hotel!$F$2:$F$11)</f>
        <v>114</v>
      </c>
      <c r="D3220">
        <f t="shared" si="401"/>
        <v>63</v>
      </c>
      <c r="E3220">
        <f t="shared" si="402"/>
        <v>0.55263157894736847</v>
      </c>
      <c r="F3220">
        <f t="shared" si="403"/>
        <v>185</v>
      </c>
      <c r="G3220">
        <f t="shared" si="404"/>
        <v>102.23684210526316</v>
      </c>
      <c r="H3220" t="str">
        <f>_xlfn.XLOOKUP(A3220,Fact_Events!$D$2:$D$20,Fact_Events!$A$2:$A$20, "")</f>
        <v/>
      </c>
      <c r="I3220">
        <f t="shared" si="405"/>
        <v>0</v>
      </c>
      <c r="J3220" t="str">
        <f>_xlfn.XLOOKUP(H3220, Fact_Events!$A$2:$A$20, Fact_Events!$F$2:$F$20, "")</f>
        <v/>
      </c>
      <c r="K3220" t="str">
        <f t="shared" si="406"/>
        <v>Low</v>
      </c>
      <c r="L3220">
        <f t="shared" si="407"/>
        <v>0.55000000000000004</v>
      </c>
      <c r="M3220">
        <f>_xlfn.XLOOKUP(B3220, Dim_Hotel!$A$2:$A$11, Dim_Hotel!$I$2:$I$11)
 + (IF(J3220="",0,J3220)
    * _xlfn.XLOOKUP(B3220, Dim_Hotel!$A$2:$A$11, Dim_Hotel!$J$2:$J$11))</f>
        <v>185</v>
      </c>
    </row>
    <row r="3221" spans="1:13" x14ac:dyDescent="0.25">
      <c r="A3221" s="1">
        <f t="shared" si="400"/>
        <v>46344</v>
      </c>
      <c r="B3221" t="str" cm="1">
        <f t="array" ref="B3221">INDEX(HotelList,MOD(ROW()-2,10)+1)</f>
        <v>H010</v>
      </c>
      <c r="C3221">
        <f>_xlfn.XLOOKUP(B3221,Dim_Hotel!$A$2:$A$11,Dim_Hotel!$F$2:$F$11)</f>
        <v>89</v>
      </c>
      <c r="D3221">
        <f t="shared" si="401"/>
        <v>49</v>
      </c>
      <c r="E3221">
        <f t="shared" si="402"/>
        <v>0.550561797752809</v>
      </c>
      <c r="F3221">
        <f t="shared" si="403"/>
        <v>150</v>
      </c>
      <c r="G3221">
        <f t="shared" si="404"/>
        <v>82.584269662921344</v>
      </c>
      <c r="H3221" t="str">
        <f>_xlfn.XLOOKUP(A3221,Fact_Events!$D$2:$D$20,Fact_Events!$A$2:$A$20, "")</f>
        <v/>
      </c>
      <c r="I3221">
        <f t="shared" si="405"/>
        <v>0</v>
      </c>
      <c r="J3221" t="str">
        <f>_xlfn.XLOOKUP(H3221, Fact_Events!$A$2:$A$20, Fact_Events!$F$2:$F$20, "")</f>
        <v/>
      </c>
      <c r="K3221" t="str">
        <f t="shared" si="406"/>
        <v>Low</v>
      </c>
      <c r="L3221">
        <f t="shared" si="407"/>
        <v>0.55000000000000004</v>
      </c>
      <c r="M3221">
        <f>_xlfn.XLOOKUP(B3221, Dim_Hotel!$A$2:$A$11, Dim_Hotel!$I$2:$I$11)
 + (IF(J3221="",0,J3221)
    * _xlfn.XLOOKUP(B3221, Dim_Hotel!$A$2:$A$11, Dim_Hotel!$J$2:$J$11))</f>
        <v>150</v>
      </c>
    </row>
    <row r="3222" spans="1:13" x14ac:dyDescent="0.25">
      <c r="A3222" s="1">
        <f t="shared" si="400"/>
        <v>46345</v>
      </c>
      <c r="B3222" t="str" cm="1">
        <f t="array" ref="B3222">INDEX(HotelList,MOD(ROW()-2,10)+1)</f>
        <v>H001</v>
      </c>
      <c r="C3222">
        <f>_xlfn.XLOOKUP(B3222,Dim_Hotel!$A$2:$A$11,Dim_Hotel!$F$2:$F$11)</f>
        <v>888</v>
      </c>
      <c r="D3222">
        <f t="shared" si="401"/>
        <v>488</v>
      </c>
      <c r="E3222">
        <f t="shared" si="402"/>
        <v>0.5495495495495496</v>
      </c>
      <c r="F3222">
        <f t="shared" si="403"/>
        <v>260</v>
      </c>
      <c r="G3222">
        <f t="shared" si="404"/>
        <v>142.88288288288288</v>
      </c>
      <c r="H3222" t="str">
        <f>_xlfn.XLOOKUP(A3222,Fact_Events!$D$2:$D$20,Fact_Events!$A$2:$A$20, "")</f>
        <v/>
      </c>
      <c r="I3222">
        <f t="shared" si="405"/>
        <v>0</v>
      </c>
      <c r="J3222" t="str">
        <f>_xlfn.XLOOKUP(H3222, Fact_Events!$A$2:$A$20, Fact_Events!$F$2:$F$20, "")</f>
        <v/>
      </c>
      <c r="K3222" t="str">
        <f t="shared" si="406"/>
        <v>Low</v>
      </c>
      <c r="L3222">
        <f t="shared" si="407"/>
        <v>0.55000000000000004</v>
      </c>
      <c r="M3222">
        <f>_xlfn.XLOOKUP(B3222, Dim_Hotel!$A$2:$A$11, Dim_Hotel!$I$2:$I$11)
 + (IF(J3222="",0,J3222)
    * _xlfn.XLOOKUP(B3222, Dim_Hotel!$A$2:$A$11, Dim_Hotel!$J$2:$J$11))</f>
        <v>260</v>
      </c>
    </row>
    <row r="3223" spans="1:13" x14ac:dyDescent="0.25">
      <c r="A3223" s="1">
        <f t="shared" si="400"/>
        <v>46345</v>
      </c>
      <c r="B3223" t="str" cm="1">
        <f t="array" ref="B3223">INDEX(HotelList,MOD(ROW()-2,10)+1)</f>
        <v>H002</v>
      </c>
      <c r="C3223">
        <f>_xlfn.XLOOKUP(B3223,Dim_Hotel!$A$2:$A$11,Dim_Hotel!$F$2:$F$11)</f>
        <v>147</v>
      </c>
      <c r="D3223">
        <f t="shared" si="401"/>
        <v>81</v>
      </c>
      <c r="E3223">
        <f t="shared" si="402"/>
        <v>0.55102040816326525</v>
      </c>
      <c r="F3223">
        <f t="shared" si="403"/>
        <v>175</v>
      </c>
      <c r="G3223">
        <f t="shared" si="404"/>
        <v>96.428571428571416</v>
      </c>
      <c r="H3223" t="str">
        <f>_xlfn.XLOOKUP(A3223,Fact_Events!$D$2:$D$20,Fact_Events!$A$2:$A$20, "")</f>
        <v/>
      </c>
      <c r="I3223">
        <f t="shared" si="405"/>
        <v>0</v>
      </c>
      <c r="J3223" t="str">
        <f>_xlfn.XLOOKUP(H3223, Fact_Events!$A$2:$A$20, Fact_Events!$F$2:$F$20, "")</f>
        <v/>
      </c>
      <c r="K3223" t="str">
        <f t="shared" si="406"/>
        <v>Low</v>
      </c>
      <c r="L3223">
        <f t="shared" si="407"/>
        <v>0.55000000000000004</v>
      </c>
      <c r="M3223">
        <f>_xlfn.XLOOKUP(B3223, Dim_Hotel!$A$2:$A$11, Dim_Hotel!$I$2:$I$11)
 + (IF(J3223="",0,J3223)
    * _xlfn.XLOOKUP(B3223, Dim_Hotel!$A$2:$A$11, Dim_Hotel!$J$2:$J$11))</f>
        <v>175</v>
      </c>
    </row>
    <row r="3224" spans="1:13" x14ac:dyDescent="0.25">
      <c r="A3224" s="1">
        <f t="shared" si="400"/>
        <v>46345</v>
      </c>
      <c r="B3224" t="str" cm="1">
        <f t="array" ref="B3224">INDEX(HotelList,MOD(ROW()-2,10)+1)</f>
        <v>H003</v>
      </c>
      <c r="C3224">
        <f>_xlfn.XLOOKUP(B3224,Dim_Hotel!$A$2:$A$11,Dim_Hotel!$F$2:$F$11)</f>
        <v>121</v>
      </c>
      <c r="D3224">
        <f t="shared" si="401"/>
        <v>67</v>
      </c>
      <c r="E3224">
        <f t="shared" si="402"/>
        <v>0.55371900826446285</v>
      </c>
      <c r="F3224">
        <f t="shared" si="403"/>
        <v>145</v>
      </c>
      <c r="G3224">
        <f t="shared" si="404"/>
        <v>80.289256198347118</v>
      </c>
      <c r="H3224" t="str">
        <f>_xlfn.XLOOKUP(A3224,Fact_Events!$D$2:$D$20,Fact_Events!$A$2:$A$20, "")</f>
        <v/>
      </c>
      <c r="I3224">
        <f t="shared" si="405"/>
        <v>0</v>
      </c>
      <c r="J3224" t="str">
        <f>_xlfn.XLOOKUP(H3224, Fact_Events!$A$2:$A$20, Fact_Events!$F$2:$F$20, "")</f>
        <v/>
      </c>
      <c r="K3224" t="str">
        <f t="shared" si="406"/>
        <v>Low</v>
      </c>
      <c r="L3224">
        <f t="shared" si="407"/>
        <v>0.55000000000000004</v>
      </c>
      <c r="M3224">
        <f>_xlfn.XLOOKUP(B3224, Dim_Hotel!$A$2:$A$11, Dim_Hotel!$I$2:$I$11)
 + (IF(J3224="",0,J3224)
    * _xlfn.XLOOKUP(B3224, Dim_Hotel!$A$2:$A$11, Dim_Hotel!$J$2:$J$11))</f>
        <v>145</v>
      </c>
    </row>
    <row r="3225" spans="1:13" x14ac:dyDescent="0.25">
      <c r="A3225" s="1">
        <f t="shared" si="400"/>
        <v>46345</v>
      </c>
      <c r="B3225" t="str" cm="1">
        <f t="array" ref="B3225">INDEX(HotelList,MOD(ROW()-2,10)+1)</f>
        <v>H004</v>
      </c>
      <c r="C3225">
        <f>_xlfn.XLOOKUP(B3225,Dim_Hotel!$A$2:$A$11,Dim_Hotel!$F$2:$F$11)</f>
        <v>108</v>
      </c>
      <c r="D3225">
        <f t="shared" si="401"/>
        <v>59</v>
      </c>
      <c r="E3225">
        <f t="shared" si="402"/>
        <v>0.54629629629629628</v>
      </c>
      <c r="F3225">
        <f t="shared" si="403"/>
        <v>135</v>
      </c>
      <c r="G3225">
        <f t="shared" si="404"/>
        <v>73.75</v>
      </c>
      <c r="H3225" t="str">
        <f>_xlfn.XLOOKUP(A3225,Fact_Events!$D$2:$D$20,Fact_Events!$A$2:$A$20, "")</f>
        <v/>
      </c>
      <c r="I3225">
        <f t="shared" si="405"/>
        <v>0</v>
      </c>
      <c r="J3225" t="str">
        <f>_xlfn.XLOOKUP(H3225, Fact_Events!$A$2:$A$20, Fact_Events!$F$2:$F$20, "")</f>
        <v/>
      </c>
      <c r="K3225" t="str">
        <f t="shared" si="406"/>
        <v>Low</v>
      </c>
      <c r="L3225">
        <f t="shared" si="407"/>
        <v>0.55000000000000004</v>
      </c>
      <c r="M3225">
        <f>_xlfn.XLOOKUP(B3225, Dim_Hotel!$A$2:$A$11, Dim_Hotel!$I$2:$I$11)
 + (IF(J3225="",0,J3225)
    * _xlfn.XLOOKUP(B3225, Dim_Hotel!$A$2:$A$11, Dim_Hotel!$J$2:$J$11))</f>
        <v>135</v>
      </c>
    </row>
    <row r="3226" spans="1:13" x14ac:dyDescent="0.25">
      <c r="A3226" s="1">
        <f t="shared" si="400"/>
        <v>46345</v>
      </c>
      <c r="B3226" t="str" cm="1">
        <f t="array" ref="B3226">INDEX(HotelList,MOD(ROW()-2,10)+1)</f>
        <v>H005</v>
      </c>
      <c r="C3226">
        <f>_xlfn.XLOOKUP(B3226,Dim_Hotel!$A$2:$A$11,Dim_Hotel!$F$2:$F$11)</f>
        <v>66</v>
      </c>
      <c r="D3226">
        <f t="shared" si="401"/>
        <v>36</v>
      </c>
      <c r="E3226">
        <f t="shared" si="402"/>
        <v>0.54545454545454541</v>
      </c>
      <c r="F3226">
        <f t="shared" si="403"/>
        <v>82</v>
      </c>
      <c r="G3226">
        <f t="shared" si="404"/>
        <v>44.727272727272727</v>
      </c>
      <c r="H3226" t="str">
        <f>_xlfn.XLOOKUP(A3226,Fact_Events!$D$2:$D$20,Fact_Events!$A$2:$A$20, "")</f>
        <v/>
      </c>
      <c r="I3226">
        <f t="shared" si="405"/>
        <v>0</v>
      </c>
      <c r="J3226" t="str">
        <f>_xlfn.XLOOKUP(H3226, Fact_Events!$A$2:$A$20, Fact_Events!$F$2:$F$20, "")</f>
        <v/>
      </c>
      <c r="K3226" t="str">
        <f t="shared" si="406"/>
        <v>Low</v>
      </c>
      <c r="L3226">
        <f t="shared" si="407"/>
        <v>0.55000000000000004</v>
      </c>
      <c r="M3226">
        <f>_xlfn.XLOOKUP(B3226, Dim_Hotel!$A$2:$A$11, Dim_Hotel!$I$2:$I$11)
 + (IF(J3226="",0,J3226)
    * _xlfn.XLOOKUP(B3226, Dim_Hotel!$A$2:$A$11, Dim_Hotel!$J$2:$J$11))</f>
        <v>82</v>
      </c>
    </row>
    <row r="3227" spans="1:13" x14ac:dyDescent="0.25">
      <c r="A3227" s="1">
        <f t="shared" si="400"/>
        <v>46345</v>
      </c>
      <c r="B3227" t="str" cm="1">
        <f t="array" ref="B3227">INDEX(HotelList,MOD(ROW()-2,10)+1)</f>
        <v>H006</v>
      </c>
      <c r="C3227">
        <f>_xlfn.XLOOKUP(B3227,Dim_Hotel!$A$2:$A$11,Dim_Hotel!$F$2:$F$11)</f>
        <v>311</v>
      </c>
      <c r="D3227">
        <f t="shared" si="401"/>
        <v>171</v>
      </c>
      <c r="E3227">
        <f t="shared" si="402"/>
        <v>0.54983922829581988</v>
      </c>
      <c r="F3227">
        <f t="shared" si="403"/>
        <v>190</v>
      </c>
      <c r="G3227">
        <f t="shared" si="404"/>
        <v>104.46945337620578</v>
      </c>
      <c r="H3227" t="str">
        <f>_xlfn.XLOOKUP(A3227,Fact_Events!$D$2:$D$20,Fact_Events!$A$2:$A$20, "")</f>
        <v/>
      </c>
      <c r="I3227">
        <f t="shared" si="405"/>
        <v>0</v>
      </c>
      <c r="J3227" t="str">
        <f>_xlfn.XLOOKUP(H3227, Fact_Events!$A$2:$A$20, Fact_Events!$F$2:$F$20, "")</f>
        <v/>
      </c>
      <c r="K3227" t="str">
        <f t="shared" si="406"/>
        <v>Low</v>
      </c>
      <c r="L3227">
        <f t="shared" si="407"/>
        <v>0.55000000000000004</v>
      </c>
      <c r="M3227">
        <f>_xlfn.XLOOKUP(B3227, Dim_Hotel!$A$2:$A$11, Dim_Hotel!$I$2:$I$11)
 + (IF(J3227="",0,J3227)
    * _xlfn.XLOOKUP(B3227, Dim_Hotel!$A$2:$A$11, Dim_Hotel!$J$2:$J$11))</f>
        <v>190</v>
      </c>
    </row>
    <row r="3228" spans="1:13" x14ac:dyDescent="0.25">
      <c r="A3228" s="1">
        <f t="shared" si="400"/>
        <v>46345</v>
      </c>
      <c r="B3228" t="str" cm="1">
        <f t="array" ref="B3228">INDEX(HotelList,MOD(ROW()-2,10)+1)</f>
        <v>H007</v>
      </c>
      <c r="C3228">
        <f>_xlfn.XLOOKUP(B3228,Dim_Hotel!$A$2:$A$11,Dim_Hotel!$F$2:$F$11)</f>
        <v>132</v>
      </c>
      <c r="D3228">
        <f t="shared" si="401"/>
        <v>73</v>
      </c>
      <c r="E3228">
        <f t="shared" si="402"/>
        <v>0.55303030303030298</v>
      </c>
      <c r="F3228">
        <f t="shared" si="403"/>
        <v>165</v>
      </c>
      <c r="G3228">
        <f t="shared" si="404"/>
        <v>91.249999999999986</v>
      </c>
      <c r="H3228" t="str">
        <f>_xlfn.XLOOKUP(A3228,Fact_Events!$D$2:$D$20,Fact_Events!$A$2:$A$20, "")</f>
        <v/>
      </c>
      <c r="I3228">
        <f t="shared" si="405"/>
        <v>0</v>
      </c>
      <c r="J3228" t="str">
        <f>_xlfn.XLOOKUP(H3228, Fact_Events!$A$2:$A$20, Fact_Events!$F$2:$F$20, "")</f>
        <v/>
      </c>
      <c r="K3228" t="str">
        <f t="shared" si="406"/>
        <v>Low</v>
      </c>
      <c r="L3228">
        <f t="shared" si="407"/>
        <v>0.55000000000000004</v>
      </c>
      <c r="M3228">
        <f>_xlfn.XLOOKUP(B3228, Dim_Hotel!$A$2:$A$11, Dim_Hotel!$I$2:$I$11)
 + (IF(J3228="",0,J3228)
    * _xlfn.XLOOKUP(B3228, Dim_Hotel!$A$2:$A$11, Dim_Hotel!$J$2:$J$11))</f>
        <v>165</v>
      </c>
    </row>
    <row r="3229" spans="1:13" x14ac:dyDescent="0.25">
      <c r="A3229" s="1">
        <f t="shared" si="400"/>
        <v>46345</v>
      </c>
      <c r="B3229" t="str" cm="1">
        <f t="array" ref="B3229">INDEX(HotelList,MOD(ROW()-2,10)+1)</f>
        <v>H008</v>
      </c>
      <c r="C3229">
        <f>_xlfn.XLOOKUP(B3229,Dim_Hotel!$A$2:$A$11,Dim_Hotel!$F$2:$F$11)</f>
        <v>103</v>
      </c>
      <c r="D3229">
        <f t="shared" si="401"/>
        <v>57</v>
      </c>
      <c r="E3229">
        <f t="shared" si="402"/>
        <v>0.55339805825242716</v>
      </c>
      <c r="F3229">
        <f t="shared" si="403"/>
        <v>140</v>
      </c>
      <c r="G3229">
        <f t="shared" si="404"/>
        <v>77.475728155339809</v>
      </c>
      <c r="H3229" t="str">
        <f>_xlfn.XLOOKUP(A3229,Fact_Events!$D$2:$D$20,Fact_Events!$A$2:$A$20, "")</f>
        <v/>
      </c>
      <c r="I3229">
        <f t="shared" si="405"/>
        <v>0</v>
      </c>
      <c r="J3229" t="str">
        <f>_xlfn.XLOOKUP(H3229, Fact_Events!$A$2:$A$20, Fact_Events!$F$2:$F$20, "")</f>
        <v/>
      </c>
      <c r="K3229" t="str">
        <f t="shared" si="406"/>
        <v>Low</v>
      </c>
      <c r="L3229">
        <f t="shared" si="407"/>
        <v>0.55000000000000004</v>
      </c>
      <c r="M3229">
        <f>_xlfn.XLOOKUP(B3229, Dim_Hotel!$A$2:$A$11, Dim_Hotel!$I$2:$I$11)
 + (IF(J3229="",0,J3229)
    * _xlfn.XLOOKUP(B3229, Dim_Hotel!$A$2:$A$11, Dim_Hotel!$J$2:$J$11))</f>
        <v>140</v>
      </c>
    </row>
    <row r="3230" spans="1:13" x14ac:dyDescent="0.25">
      <c r="A3230" s="1">
        <f t="shared" si="400"/>
        <v>46345</v>
      </c>
      <c r="B3230" t="str" cm="1">
        <f t="array" ref="B3230">INDEX(HotelList,MOD(ROW()-2,10)+1)</f>
        <v>H009</v>
      </c>
      <c r="C3230">
        <f>_xlfn.XLOOKUP(B3230,Dim_Hotel!$A$2:$A$11,Dim_Hotel!$F$2:$F$11)</f>
        <v>114</v>
      </c>
      <c r="D3230">
        <f t="shared" si="401"/>
        <v>63</v>
      </c>
      <c r="E3230">
        <f t="shared" si="402"/>
        <v>0.55263157894736847</v>
      </c>
      <c r="F3230">
        <f t="shared" si="403"/>
        <v>185</v>
      </c>
      <c r="G3230">
        <f t="shared" si="404"/>
        <v>102.23684210526316</v>
      </c>
      <c r="H3230" t="str">
        <f>_xlfn.XLOOKUP(A3230,Fact_Events!$D$2:$D$20,Fact_Events!$A$2:$A$20, "")</f>
        <v/>
      </c>
      <c r="I3230">
        <f t="shared" si="405"/>
        <v>0</v>
      </c>
      <c r="J3230" t="str">
        <f>_xlfn.XLOOKUP(H3230, Fact_Events!$A$2:$A$20, Fact_Events!$F$2:$F$20, "")</f>
        <v/>
      </c>
      <c r="K3230" t="str">
        <f t="shared" si="406"/>
        <v>Low</v>
      </c>
      <c r="L3230">
        <f t="shared" si="407"/>
        <v>0.55000000000000004</v>
      </c>
      <c r="M3230">
        <f>_xlfn.XLOOKUP(B3230, Dim_Hotel!$A$2:$A$11, Dim_Hotel!$I$2:$I$11)
 + (IF(J3230="",0,J3230)
    * _xlfn.XLOOKUP(B3230, Dim_Hotel!$A$2:$A$11, Dim_Hotel!$J$2:$J$11))</f>
        <v>185</v>
      </c>
    </row>
    <row r="3231" spans="1:13" x14ac:dyDescent="0.25">
      <c r="A3231" s="1">
        <f t="shared" si="400"/>
        <v>46345</v>
      </c>
      <c r="B3231" t="str" cm="1">
        <f t="array" ref="B3231">INDEX(HotelList,MOD(ROW()-2,10)+1)</f>
        <v>H010</v>
      </c>
      <c r="C3231">
        <f>_xlfn.XLOOKUP(B3231,Dim_Hotel!$A$2:$A$11,Dim_Hotel!$F$2:$F$11)</f>
        <v>89</v>
      </c>
      <c r="D3231">
        <f t="shared" si="401"/>
        <v>49</v>
      </c>
      <c r="E3231">
        <f t="shared" si="402"/>
        <v>0.550561797752809</v>
      </c>
      <c r="F3231">
        <f t="shared" si="403"/>
        <v>150</v>
      </c>
      <c r="G3231">
        <f t="shared" si="404"/>
        <v>82.584269662921344</v>
      </c>
      <c r="H3231" t="str">
        <f>_xlfn.XLOOKUP(A3231,Fact_Events!$D$2:$D$20,Fact_Events!$A$2:$A$20, "")</f>
        <v/>
      </c>
      <c r="I3231">
        <f t="shared" si="405"/>
        <v>0</v>
      </c>
      <c r="J3231" t="str">
        <f>_xlfn.XLOOKUP(H3231, Fact_Events!$A$2:$A$20, Fact_Events!$F$2:$F$20, "")</f>
        <v/>
      </c>
      <c r="K3231" t="str">
        <f t="shared" si="406"/>
        <v>Low</v>
      </c>
      <c r="L3231">
        <f t="shared" si="407"/>
        <v>0.55000000000000004</v>
      </c>
      <c r="M3231">
        <f>_xlfn.XLOOKUP(B3231, Dim_Hotel!$A$2:$A$11, Dim_Hotel!$I$2:$I$11)
 + (IF(J3231="",0,J3231)
    * _xlfn.XLOOKUP(B3231, Dim_Hotel!$A$2:$A$11, Dim_Hotel!$J$2:$J$11))</f>
        <v>150</v>
      </c>
    </row>
    <row r="3232" spans="1:13" x14ac:dyDescent="0.25">
      <c r="A3232" s="1">
        <f t="shared" si="400"/>
        <v>46346</v>
      </c>
      <c r="B3232" t="str" cm="1">
        <f t="array" ref="B3232">INDEX(HotelList,MOD(ROW()-2,10)+1)</f>
        <v>H001</v>
      </c>
      <c r="C3232">
        <f>_xlfn.XLOOKUP(B3232,Dim_Hotel!$A$2:$A$11,Dim_Hotel!$F$2:$F$11)</f>
        <v>888</v>
      </c>
      <c r="D3232">
        <f t="shared" si="401"/>
        <v>488</v>
      </c>
      <c r="E3232">
        <f t="shared" si="402"/>
        <v>0.5495495495495496</v>
      </c>
      <c r="F3232">
        <f t="shared" si="403"/>
        <v>260</v>
      </c>
      <c r="G3232">
        <f t="shared" si="404"/>
        <v>142.88288288288288</v>
      </c>
      <c r="H3232" t="str">
        <f>_xlfn.XLOOKUP(A3232,Fact_Events!$D$2:$D$20,Fact_Events!$A$2:$A$20, "")</f>
        <v/>
      </c>
      <c r="I3232">
        <f t="shared" si="405"/>
        <v>0</v>
      </c>
      <c r="J3232" t="str">
        <f>_xlfn.XLOOKUP(H3232, Fact_Events!$A$2:$A$20, Fact_Events!$F$2:$F$20, "")</f>
        <v/>
      </c>
      <c r="K3232" t="str">
        <f t="shared" si="406"/>
        <v>Low</v>
      </c>
      <c r="L3232">
        <f t="shared" si="407"/>
        <v>0.55000000000000004</v>
      </c>
      <c r="M3232">
        <f>_xlfn.XLOOKUP(B3232, Dim_Hotel!$A$2:$A$11, Dim_Hotel!$I$2:$I$11)
 + (IF(J3232="",0,J3232)
    * _xlfn.XLOOKUP(B3232, Dim_Hotel!$A$2:$A$11, Dim_Hotel!$J$2:$J$11))</f>
        <v>260</v>
      </c>
    </row>
    <row r="3233" spans="1:13" x14ac:dyDescent="0.25">
      <c r="A3233" s="1">
        <f t="shared" si="400"/>
        <v>46346</v>
      </c>
      <c r="B3233" t="str" cm="1">
        <f t="array" ref="B3233">INDEX(HotelList,MOD(ROW()-2,10)+1)</f>
        <v>H002</v>
      </c>
      <c r="C3233">
        <f>_xlfn.XLOOKUP(B3233,Dim_Hotel!$A$2:$A$11,Dim_Hotel!$F$2:$F$11)</f>
        <v>147</v>
      </c>
      <c r="D3233">
        <f t="shared" si="401"/>
        <v>81</v>
      </c>
      <c r="E3233">
        <f t="shared" si="402"/>
        <v>0.55102040816326525</v>
      </c>
      <c r="F3233">
        <f t="shared" si="403"/>
        <v>175</v>
      </c>
      <c r="G3233">
        <f t="shared" si="404"/>
        <v>96.428571428571416</v>
      </c>
      <c r="H3233" t="str">
        <f>_xlfn.XLOOKUP(A3233,Fact_Events!$D$2:$D$20,Fact_Events!$A$2:$A$20, "")</f>
        <v/>
      </c>
      <c r="I3233">
        <f t="shared" si="405"/>
        <v>0</v>
      </c>
      <c r="J3233" t="str">
        <f>_xlfn.XLOOKUP(H3233, Fact_Events!$A$2:$A$20, Fact_Events!$F$2:$F$20, "")</f>
        <v/>
      </c>
      <c r="K3233" t="str">
        <f t="shared" si="406"/>
        <v>Low</v>
      </c>
      <c r="L3233">
        <f t="shared" si="407"/>
        <v>0.55000000000000004</v>
      </c>
      <c r="M3233">
        <f>_xlfn.XLOOKUP(B3233, Dim_Hotel!$A$2:$A$11, Dim_Hotel!$I$2:$I$11)
 + (IF(J3233="",0,J3233)
    * _xlfn.XLOOKUP(B3233, Dim_Hotel!$A$2:$A$11, Dim_Hotel!$J$2:$J$11))</f>
        <v>175</v>
      </c>
    </row>
    <row r="3234" spans="1:13" x14ac:dyDescent="0.25">
      <c r="A3234" s="1">
        <f t="shared" si="400"/>
        <v>46346</v>
      </c>
      <c r="B3234" t="str" cm="1">
        <f t="array" ref="B3234">INDEX(HotelList,MOD(ROW()-2,10)+1)</f>
        <v>H003</v>
      </c>
      <c r="C3234">
        <f>_xlfn.XLOOKUP(B3234,Dim_Hotel!$A$2:$A$11,Dim_Hotel!$F$2:$F$11)</f>
        <v>121</v>
      </c>
      <c r="D3234">
        <f t="shared" si="401"/>
        <v>67</v>
      </c>
      <c r="E3234">
        <f t="shared" si="402"/>
        <v>0.55371900826446285</v>
      </c>
      <c r="F3234">
        <f t="shared" si="403"/>
        <v>145</v>
      </c>
      <c r="G3234">
        <f t="shared" si="404"/>
        <v>80.289256198347118</v>
      </c>
      <c r="H3234" t="str">
        <f>_xlfn.XLOOKUP(A3234,Fact_Events!$D$2:$D$20,Fact_Events!$A$2:$A$20, "")</f>
        <v/>
      </c>
      <c r="I3234">
        <f t="shared" si="405"/>
        <v>0</v>
      </c>
      <c r="J3234" t="str">
        <f>_xlfn.XLOOKUP(H3234, Fact_Events!$A$2:$A$20, Fact_Events!$F$2:$F$20, "")</f>
        <v/>
      </c>
      <c r="K3234" t="str">
        <f t="shared" si="406"/>
        <v>Low</v>
      </c>
      <c r="L3234">
        <f t="shared" si="407"/>
        <v>0.55000000000000004</v>
      </c>
      <c r="M3234">
        <f>_xlfn.XLOOKUP(B3234, Dim_Hotel!$A$2:$A$11, Dim_Hotel!$I$2:$I$11)
 + (IF(J3234="",0,J3234)
    * _xlfn.XLOOKUP(B3234, Dim_Hotel!$A$2:$A$11, Dim_Hotel!$J$2:$J$11))</f>
        <v>145</v>
      </c>
    </row>
    <row r="3235" spans="1:13" x14ac:dyDescent="0.25">
      <c r="A3235" s="1">
        <f t="shared" si="400"/>
        <v>46346</v>
      </c>
      <c r="B3235" t="str" cm="1">
        <f t="array" ref="B3235">INDEX(HotelList,MOD(ROW()-2,10)+1)</f>
        <v>H004</v>
      </c>
      <c r="C3235">
        <f>_xlfn.XLOOKUP(B3235,Dim_Hotel!$A$2:$A$11,Dim_Hotel!$F$2:$F$11)</f>
        <v>108</v>
      </c>
      <c r="D3235">
        <f t="shared" si="401"/>
        <v>59</v>
      </c>
      <c r="E3235">
        <f t="shared" si="402"/>
        <v>0.54629629629629628</v>
      </c>
      <c r="F3235">
        <f t="shared" si="403"/>
        <v>135</v>
      </c>
      <c r="G3235">
        <f t="shared" si="404"/>
        <v>73.75</v>
      </c>
      <c r="H3235" t="str">
        <f>_xlfn.XLOOKUP(A3235,Fact_Events!$D$2:$D$20,Fact_Events!$A$2:$A$20, "")</f>
        <v/>
      </c>
      <c r="I3235">
        <f t="shared" si="405"/>
        <v>0</v>
      </c>
      <c r="J3235" t="str">
        <f>_xlfn.XLOOKUP(H3235, Fact_Events!$A$2:$A$20, Fact_Events!$F$2:$F$20, "")</f>
        <v/>
      </c>
      <c r="K3235" t="str">
        <f t="shared" si="406"/>
        <v>Low</v>
      </c>
      <c r="L3235">
        <f t="shared" si="407"/>
        <v>0.55000000000000004</v>
      </c>
      <c r="M3235">
        <f>_xlfn.XLOOKUP(B3235, Dim_Hotel!$A$2:$A$11, Dim_Hotel!$I$2:$I$11)
 + (IF(J3235="",0,J3235)
    * _xlfn.XLOOKUP(B3235, Dim_Hotel!$A$2:$A$11, Dim_Hotel!$J$2:$J$11))</f>
        <v>135</v>
      </c>
    </row>
    <row r="3236" spans="1:13" x14ac:dyDescent="0.25">
      <c r="A3236" s="1">
        <f t="shared" si="400"/>
        <v>46346</v>
      </c>
      <c r="B3236" t="str" cm="1">
        <f t="array" ref="B3236">INDEX(HotelList,MOD(ROW()-2,10)+1)</f>
        <v>H005</v>
      </c>
      <c r="C3236">
        <f>_xlfn.XLOOKUP(B3236,Dim_Hotel!$A$2:$A$11,Dim_Hotel!$F$2:$F$11)</f>
        <v>66</v>
      </c>
      <c r="D3236">
        <f t="shared" si="401"/>
        <v>36</v>
      </c>
      <c r="E3236">
        <f t="shared" si="402"/>
        <v>0.54545454545454541</v>
      </c>
      <c r="F3236">
        <f t="shared" si="403"/>
        <v>82</v>
      </c>
      <c r="G3236">
        <f t="shared" si="404"/>
        <v>44.727272727272727</v>
      </c>
      <c r="H3236" t="str">
        <f>_xlfn.XLOOKUP(A3236,Fact_Events!$D$2:$D$20,Fact_Events!$A$2:$A$20, "")</f>
        <v/>
      </c>
      <c r="I3236">
        <f t="shared" si="405"/>
        <v>0</v>
      </c>
      <c r="J3236" t="str">
        <f>_xlfn.XLOOKUP(H3236, Fact_Events!$A$2:$A$20, Fact_Events!$F$2:$F$20, "")</f>
        <v/>
      </c>
      <c r="K3236" t="str">
        <f t="shared" si="406"/>
        <v>Low</v>
      </c>
      <c r="L3236">
        <f t="shared" si="407"/>
        <v>0.55000000000000004</v>
      </c>
      <c r="M3236">
        <f>_xlfn.XLOOKUP(B3236, Dim_Hotel!$A$2:$A$11, Dim_Hotel!$I$2:$I$11)
 + (IF(J3236="",0,J3236)
    * _xlfn.XLOOKUP(B3236, Dim_Hotel!$A$2:$A$11, Dim_Hotel!$J$2:$J$11))</f>
        <v>82</v>
      </c>
    </row>
    <row r="3237" spans="1:13" x14ac:dyDescent="0.25">
      <c r="A3237" s="1">
        <f t="shared" si="400"/>
        <v>46346</v>
      </c>
      <c r="B3237" t="str" cm="1">
        <f t="array" ref="B3237">INDEX(HotelList,MOD(ROW()-2,10)+1)</f>
        <v>H006</v>
      </c>
      <c r="C3237">
        <f>_xlfn.XLOOKUP(B3237,Dim_Hotel!$A$2:$A$11,Dim_Hotel!$F$2:$F$11)</f>
        <v>311</v>
      </c>
      <c r="D3237">
        <f t="shared" si="401"/>
        <v>171</v>
      </c>
      <c r="E3237">
        <f t="shared" si="402"/>
        <v>0.54983922829581988</v>
      </c>
      <c r="F3237">
        <f t="shared" si="403"/>
        <v>190</v>
      </c>
      <c r="G3237">
        <f t="shared" si="404"/>
        <v>104.46945337620578</v>
      </c>
      <c r="H3237" t="str">
        <f>_xlfn.XLOOKUP(A3237,Fact_Events!$D$2:$D$20,Fact_Events!$A$2:$A$20, "")</f>
        <v/>
      </c>
      <c r="I3237">
        <f t="shared" si="405"/>
        <v>0</v>
      </c>
      <c r="J3237" t="str">
        <f>_xlfn.XLOOKUP(H3237, Fact_Events!$A$2:$A$20, Fact_Events!$F$2:$F$20, "")</f>
        <v/>
      </c>
      <c r="K3237" t="str">
        <f t="shared" si="406"/>
        <v>Low</v>
      </c>
      <c r="L3237">
        <f t="shared" si="407"/>
        <v>0.55000000000000004</v>
      </c>
      <c r="M3237">
        <f>_xlfn.XLOOKUP(B3237, Dim_Hotel!$A$2:$A$11, Dim_Hotel!$I$2:$I$11)
 + (IF(J3237="",0,J3237)
    * _xlfn.XLOOKUP(B3237, Dim_Hotel!$A$2:$A$11, Dim_Hotel!$J$2:$J$11))</f>
        <v>190</v>
      </c>
    </row>
    <row r="3238" spans="1:13" x14ac:dyDescent="0.25">
      <c r="A3238" s="1">
        <f t="shared" si="400"/>
        <v>46346</v>
      </c>
      <c r="B3238" t="str" cm="1">
        <f t="array" ref="B3238">INDEX(HotelList,MOD(ROW()-2,10)+1)</f>
        <v>H007</v>
      </c>
      <c r="C3238">
        <f>_xlfn.XLOOKUP(B3238,Dim_Hotel!$A$2:$A$11,Dim_Hotel!$F$2:$F$11)</f>
        <v>132</v>
      </c>
      <c r="D3238">
        <f t="shared" si="401"/>
        <v>73</v>
      </c>
      <c r="E3238">
        <f t="shared" si="402"/>
        <v>0.55303030303030298</v>
      </c>
      <c r="F3238">
        <f t="shared" si="403"/>
        <v>165</v>
      </c>
      <c r="G3238">
        <f t="shared" si="404"/>
        <v>91.249999999999986</v>
      </c>
      <c r="H3238" t="str">
        <f>_xlfn.XLOOKUP(A3238,Fact_Events!$D$2:$D$20,Fact_Events!$A$2:$A$20, "")</f>
        <v/>
      </c>
      <c r="I3238">
        <f t="shared" si="405"/>
        <v>0</v>
      </c>
      <c r="J3238" t="str">
        <f>_xlfn.XLOOKUP(H3238, Fact_Events!$A$2:$A$20, Fact_Events!$F$2:$F$20, "")</f>
        <v/>
      </c>
      <c r="K3238" t="str">
        <f t="shared" si="406"/>
        <v>Low</v>
      </c>
      <c r="L3238">
        <f t="shared" si="407"/>
        <v>0.55000000000000004</v>
      </c>
      <c r="M3238">
        <f>_xlfn.XLOOKUP(B3238, Dim_Hotel!$A$2:$A$11, Dim_Hotel!$I$2:$I$11)
 + (IF(J3238="",0,J3238)
    * _xlfn.XLOOKUP(B3238, Dim_Hotel!$A$2:$A$11, Dim_Hotel!$J$2:$J$11))</f>
        <v>165</v>
      </c>
    </row>
    <row r="3239" spans="1:13" x14ac:dyDescent="0.25">
      <c r="A3239" s="1">
        <f t="shared" si="400"/>
        <v>46346</v>
      </c>
      <c r="B3239" t="str" cm="1">
        <f t="array" ref="B3239">INDEX(HotelList,MOD(ROW()-2,10)+1)</f>
        <v>H008</v>
      </c>
      <c r="C3239">
        <f>_xlfn.XLOOKUP(B3239,Dim_Hotel!$A$2:$A$11,Dim_Hotel!$F$2:$F$11)</f>
        <v>103</v>
      </c>
      <c r="D3239">
        <f t="shared" si="401"/>
        <v>57</v>
      </c>
      <c r="E3239">
        <f t="shared" si="402"/>
        <v>0.55339805825242716</v>
      </c>
      <c r="F3239">
        <f t="shared" si="403"/>
        <v>140</v>
      </c>
      <c r="G3239">
        <f t="shared" si="404"/>
        <v>77.475728155339809</v>
      </c>
      <c r="H3239" t="str">
        <f>_xlfn.XLOOKUP(A3239,Fact_Events!$D$2:$D$20,Fact_Events!$A$2:$A$20, "")</f>
        <v/>
      </c>
      <c r="I3239">
        <f t="shared" si="405"/>
        <v>0</v>
      </c>
      <c r="J3239" t="str">
        <f>_xlfn.XLOOKUP(H3239, Fact_Events!$A$2:$A$20, Fact_Events!$F$2:$F$20, "")</f>
        <v/>
      </c>
      <c r="K3239" t="str">
        <f t="shared" si="406"/>
        <v>Low</v>
      </c>
      <c r="L3239">
        <f t="shared" si="407"/>
        <v>0.55000000000000004</v>
      </c>
      <c r="M3239">
        <f>_xlfn.XLOOKUP(B3239, Dim_Hotel!$A$2:$A$11, Dim_Hotel!$I$2:$I$11)
 + (IF(J3239="",0,J3239)
    * _xlfn.XLOOKUP(B3239, Dim_Hotel!$A$2:$A$11, Dim_Hotel!$J$2:$J$11))</f>
        <v>140</v>
      </c>
    </row>
    <row r="3240" spans="1:13" x14ac:dyDescent="0.25">
      <c r="A3240" s="1">
        <f t="shared" si="400"/>
        <v>46346</v>
      </c>
      <c r="B3240" t="str" cm="1">
        <f t="array" ref="B3240">INDEX(HotelList,MOD(ROW()-2,10)+1)</f>
        <v>H009</v>
      </c>
      <c r="C3240">
        <f>_xlfn.XLOOKUP(B3240,Dim_Hotel!$A$2:$A$11,Dim_Hotel!$F$2:$F$11)</f>
        <v>114</v>
      </c>
      <c r="D3240">
        <f t="shared" si="401"/>
        <v>63</v>
      </c>
      <c r="E3240">
        <f t="shared" si="402"/>
        <v>0.55263157894736847</v>
      </c>
      <c r="F3240">
        <f t="shared" si="403"/>
        <v>185</v>
      </c>
      <c r="G3240">
        <f t="shared" si="404"/>
        <v>102.23684210526316</v>
      </c>
      <c r="H3240" t="str">
        <f>_xlfn.XLOOKUP(A3240,Fact_Events!$D$2:$D$20,Fact_Events!$A$2:$A$20, "")</f>
        <v/>
      </c>
      <c r="I3240">
        <f t="shared" si="405"/>
        <v>0</v>
      </c>
      <c r="J3240" t="str">
        <f>_xlfn.XLOOKUP(H3240, Fact_Events!$A$2:$A$20, Fact_Events!$F$2:$F$20, "")</f>
        <v/>
      </c>
      <c r="K3240" t="str">
        <f t="shared" si="406"/>
        <v>Low</v>
      </c>
      <c r="L3240">
        <f t="shared" si="407"/>
        <v>0.55000000000000004</v>
      </c>
      <c r="M3240">
        <f>_xlfn.XLOOKUP(B3240, Dim_Hotel!$A$2:$A$11, Dim_Hotel!$I$2:$I$11)
 + (IF(J3240="",0,J3240)
    * _xlfn.XLOOKUP(B3240, Dim_Hotel!$A$2:$A$11, Dim_Hotel!$J$2:$J$11))</f>
        <v>185</v>
      </c>
    </row>
    <row r="3241" spans="1:13" x14ac:dyDescent="0.25">
      <c r="A3241" s="1">
        <f t="shared" si="400"/>
        <v>46346</v>
      </c>
      <c r="B3241" t="str" cm="1">
        <f t="array" ref="B3241">INDEX(HotelList,MOD(ROW()-2,10)+1)</f>
        <v>H010</v>
      </c>
      <c r="C3241">
        <f>_xlfn.XLOOKUP(B3241,Dim_Hotel!$A$2:$A$11,Dim_Hotel!$F$2:$F$11)</f>
        <v>89</v>
      </c>
      <c r="D3241">
        <f t="shared" si="401"/>
        <v>49</v>
      </c>
      <c r="E3241">
        <f t="shared" si="402"/>
        <v>0.550561797752809</v>
      </c>
      <c r="F3241">
        <f t="shared" si="403"/>
        <v>150</v>
      </c>
      <c r="G3241">
        <f t="shared" si="404"/>
        <v>82.584269662921344</v>
      </c>
      <c r="H3241" t="str">
        <f>_xlfn.XLOOKUP(A3241,Fact_Events!$D$2:$D$20,Fact_Events!$A$2:$A$20, "")</f>
        <v/>
      </c>
      <c r="I3241">
        <f t="shared" si="405"/>
        <v>0</v>
      </c>
      <c r="J3241" t="str">
        <f>_xlfn.XLOOKUP(H3241, Fact_Events!$A$2:$A$20, Fact_Events!$F$2:$F$20, "")</f>
        <v/>
      </c>
      <c r="K3241" t="str">
        <f t="shared" si="406"/>
        <v>Low</v>
      </c>
      <c r="L3241">
        <f t="shared" si="407"/>
        <v>0.55000000000000004</v>
      </c>
      <c r="M3241">
        <f>_xlfn.XLOOKUP(B3241, Dim_Hotel!$A$2:$A$11, Dim_Hotel!$I$2:$I$11)
 + (IF(J3241="",0,J3241)
    * _xlfn.XLOOKUP(B3241, Dim_Hotel!$A$2:$A$11, Dim_Hotel!$J$2:$J$11))</f>
        <v>150</v>
      </c>
    </row>
    <row r="3242" spans="1:13" x14ac:dyDescent="0.25">
      <c r="A3242" s="1">
        <f t="shared" si="400"/>
        <v>46347</v>
      </c>
      <c r="B3242" t="str" cm="1">
        <f t="array" ref="B3242">INDEX(HotelList,MOD(ROW()-2,10)+1)</f>
        <v>H001</v>
      </c>
      <c r="C3242">
        <f>_xlfn.XLOOKUP(B3242,Dim_Hotel!$A$2:$A$11,Dim_Hotel!$F$2:$F$11)</f>
        <v>888</v>
      </c>
      <c r="D3242">
        <f t="shared" si="401"/>
        <v>488</v>
      </c>
      <c r="E3242">
        <f t="shared" si="402"/>
        <v>0.5495495495495496</v>
      </c>
      <c r="F3242">
        <f t="shared" si="403"/>
        <v>260</v>
      </c>
      <c r="G3242">
        <f t="shared" si="404"/>
        <v>142.88288288288288</v>
      </c>
      <c r="H3242" t="str">
        <f>_xlfn.XLOOKUP(A3242,Fact_Events!$D$2:$D$20,Fact_Events!$A$2:$A$20, "")</f>
        <v/>
      </c>
      <c r="I3242">
        <f t="shared" si="405"/>
        <v>0</v>
      </c>
      <c r="J3242" t="str">
        <f>_xlfn.XLOOKUP(H3242, Fact_Events!$A$2:$A$20, Fact_Events!$F$2:$F$20, "")</f>
        <v/>
      </c>
      <c r="K3242" t="str">
        <f t="shared" si="406"/>
        <v>Low</v>
      </c>
      <c r="L3242">
        <f t="shared" si="407"/>
        <v>0.55000000000000004</v>
      </c>
      <c r="M3242">
        <f>_xlfn.XLOOKUP(B3242, Dim_Hotel!$A$2:$A$11, Dim_Hotel!$I$2:$I$11)
 + (IF(J3242="",0,J3242)
    * _xlfn.XLOOKUP(B3242, Dim_Hotel!$A$2:$A$11, Dim_Hotel!$J$2:$J$11))</f>
        <v>260</v>
      </c>
    </row>
    <row r="3243" spans="1:13" x14ac:dyDescent="0.25">
      <c r="A3243" s="1">
        <f t="shared" si="400"/>
        <v>46347</v>
      </c>
      <c r="B3243" t="str" cm="1">
        <f t="array" ref="B3243">INDEX(HotelList,MOD(ROW()-2,10)+1)</f>
        <v>H002</v>
      </c>
      <c r="C3243">
        <f>_xlfn.XLOOKUP(B3243,Dim_Hotel!$A$2:$A$11,Dim_Hotel!$F$2:$F$11)</f>
        <v>147</v>
      </c>
      <c r="D3243">
        <f t="shared" si="401"/>
        <v>81</v>
      </c>
      <c r="E3243">
        <f t="shared" si="402"/>
        <v>0.55102040816326525</v>
      </c>
      <c r="F3243">
        <f t="shared" si="403"/>
        <v>175</v>
      </c>
      <c r="G3243">
        <f t="shared" si="404"/>
        <v>96.428571428571416</v>
      </c>
      <c r="H3243" t="str">
        <f>_xlfn.XLOOKUP(A3243,Fact_Events!$D$2:$D$20,Fact_Events!$A$2:$A$20, "")</f>
        <v/>
      </c>
      <c r="I3243">
        <f t="shared" si="405"/>
        <v>0</v>
      </c>
      <c r="J3243" t="str">
        <f>_xlfn.XLOOKUP(H3243, Fact_Events!$A$2:$A$20, Fact_Events!$F$2:$F$20, "")</f>
        <v/>
      </c>
      <c r="K3243" t="str">
        <f t="shared" si="406"/>
        <v>Low</v>
      </c>
      <c r="L3243">
        <f t="shared" si="407"/>
        <v>0.55000000000000004</v>
      </c>
      <c r="M3243">
        <f>_xlfn.XLOOKUP(B3243, Dim_Hotel!$A$2:$A$11, Dim_Hotel!$I$2:$I$11)
 + (IF(J3243="",0,J3243)
    * _xlfn.XLOOKUP(B3243, Dim_Hotel!$A$2:$A$11, Dim_Hotel!$J$2:$J$11))</f>
        <v>175</v>
      </c>
    </row>
    <row r="3244" spans="1:13" x14ac:dyDescent="0.25">
      <c r="A3244" s="1">
        <f t="shared" si="400"/>
        <v>46347</v>
      </c>
      <c r="B3244" t="str" cm="1">
        <f t="array" ref="B3244">INDEX(HotelList,MOD(ROW()-2,10)+1)</f>
        <v>H003</v>
      </c>
      <c r="C3244">
        <f>_xlfn.XLOOKUP(B3244,Dim_Hotel!$A$2:$A$11,Dim_Hotel!$F$2:$F$11)</f>
        <v>121</v>
      </c>
      <c r="D3244">
        <f t="shared" si="401"/>
        <v>67</v>
      </c>
      <c r="E3244">
        <f t="shared" si="402"/>
        <v>0.55371900826446285</v>
      </c>
      <c r="F3244">
        <f t="shared" si="403"/>
        <v>145</v>
      </c>
      <c r="G3244">
        <f t="shared" si="404"/>
        <v>80.289256198347118</v>
      </c>
      <c r="H3244" t="str">
        <f>_xlfn.XLOOKUP(A3244,Fact_Events!$D$2:$D$20,Fact_Events!$A$2:$A$20, "")</f>
        <v/>
      </c>
      <c r="I3244">
        <f t="shared" si="405"/>
        <v>0</v>
      </c>
      <c r="J3244" t="str">
        <f>_xlfn.XLOOKUP(H3244, Fact_Events!$A$2:$A$20, Fact_Events!$F$2:$F$20, "")</f>
        <v/>
      </c>
      <c r="K3244" t="str">
        <f t="shared" si="406"/>
        <v>Low</v>
      </c>
      <c r="L3244">
        <f t="shared" si="407"/>
        <v>0.55000000000000004</v>
      </c>
      <c r="M3244">
        <f>_xlfn.XLOOKUP(B3244, Dim_Hotel!$A$2:$A$11, Dim_Hotel!$I$2:$I$11)
 + (IF(J3244="",0,J3244)
    * _xlfn.XLOOKUP(B3244, Dim_Hotel!$A$2:$A$11, Dim_Hotel!$J$2:$J$11))</f>
        <v>145</v>
      </c>
    </row>
    <row r="3245" spans="1:13" x14ac:dyDescent="0.25">
      <c r="A3245" s="1">
        <f t="shared" si="400"/>
        <v>46347</v>
      </c>
      <c r="B3245" t="str" cm="1">
        <f t="array" ref="B3245">INDEX(HotelList,MOD(ROW()-2,10)+1)</f>
        <v>H004</v>
      </c>
      <c r="C3245">
        <f>_xlfn.XLOOKUP(B3245,Dim_Hotel!$A$2:$A$11,Dim_Hotel!$F$2:$F$11)</f>
        <v>108</v>
      </c>
      <c r="D3245">
        <f t="shared" si="401"/>
        <v>59</v>
      </c>
      <c r="E3245">
        <f t="shared" si="402"/>
        <v>0.54629629629629628</v>
      </c>
      <c r="F3245">
        <f t="shared" si="403"/>
        <v>135</v>
      </c>
      <c r="G3245">
        <f t="shared" si="404"/>
        <v>73.75</v>
      </c>
      <c r="H3245" t="str">
        <f>_xlfn.XLOOKUP(A3245,Fact_Events!$D$2:$D$20,Fact_Events!$A$2:$A$20, "")</f>
        <v/>
      </c>
      <c r="I3245">
        <f t="shared" si="405"/>
        <v>0</v>
      </c>
      <c r="J3245" t="str">
        <f>_xlfn.XLOOKUP(H3245, Fact_Events!$A$2:$A$20, Fact_Events!$F$2:$F$20, "")</f>
        <v/>
      </c>
      <c r="K3245" t="str">
        <f t="shared" si="406"/>
        <v>Low</v>
      </c>
      <c r="L3245">
        <f t="shared" si="407"/>
        <v>0.55000000000000004</v>
      </c>
      <c r="M3245">
        <f>_xlfn.XLOOKUP(B3245, Dim_Hotel!$A$2:$A$11, Dim_Hotel!$I$2:$I$11)
 + (IF(J3245="",0,J3245)
    * _xlfn.XLOOKUP(B3245, Dim_Hotel!$A$2:$A$11, Dim_Hotel!$J$2:$J$11))</f>
        <v>135</v>
      </c>
    </row>
    <row r="3246" spans="1:13" x14ac:dyDescent="0.25">
      <c r="A3246" s="1">
        <f t="shared" si="400"/>
        <v>46347</v>
      </c>
      <c r="B3246" t="str" cm="1">
        <f t="array" ref="B3246">INDEX(HotelList,MOD(ROW()-2,10)+1)</f>
        <v>H005</v>
      </c>
      <c r="C3246">
        <f>_xlfn.XLOOKUP(B3246,Dim_Hotel!$A$2:$A$11,Dim_Hotel!$F$2:$F$11)</f>
        <v>66</v>
      </c>
      <c r="D3246">
        <f t="shared" si="401"/>
        <v>36</v>
      </c>
      <c r="E3246">
        <f t="shared" si="402"/>
        <v>0.54545454545454541</v>
      </c>
      <c r="F3246">
        <f t="shared" si="403"/>
        <v>82</v>
      </c>
      <c r="G3246">
        <f t="shared" si="404"/>
        <v>44.727272727272727</v>
      </c>
      <c r="H3246" t="str">
        <f>_xlfn.XLOOKUP(A3246,Fact_Events!$D$2:$D$20,Fact_Events!$A$2:$A$20, "")</f>
        <v/>
      </c>
      <c r="I3246">
        <f t="shared" si="405"/>
        <v>0</v>
      </c>
      <c r="J3246" t="str">
        <f>_xlfn.XLOOKUP(H3246, Fact_Events!$A$2:$A$20, Fact_Events!$F$2:$F$20, "")</f>
        <v/>
      </c>
      <c r="K3246" t="str">
        <f t="shared" si="406"/>
        <v>Low</v>
      </c>
      <c r="L3246">
        <f t="shared" si="407"/>
        <v>0.55000000000000004</v>
      </c>
      <c r="M3246">
        <f>_xlfn.XLOOKUP(B3246, Dim_Hotel!$A$2:$A$11, Dim_Hotel!$I$2:$I$11)
 + (IF(J3246="",0,J3246)
    * _xlfn.XLOOKUP(B3246, Dim_Hotel!$A$2:$A$11, Dim_Hotel!$J$2:$J$11))</f>
        <v>82</v>
      </c>
    </row>
    <row r="3247" spans="1:13" x14ac:dyDescent="0.25">
      <c r="A3247" s="1">
        <f t="shared" si="400"/>
        <v>46347</v>
      </c>
      <c r="B3247" t="str" cm="1">
        <f t="array" ref="B3247">INDEX(HotelList,MOD(ROW()-2,10)+1)</f>
        <v>H006</v>
      </c>
      <c r="C3247">
        <f>_xlfn.XLOOKUP(B3247,Dim_Hotel!$A$2:$A$11,Dim_Hotel!$F$2:$F$11)</f>
        <v>311</v>
      </c>
      <c r="D3247">
        <f t="shared" si="401"/>
        <v>171</v>
      </c>
      <c r="E3247">
        <f t="shared" si="402"/>
        <v>0.54983922829581988</v>
      </c>
      <c r="F3247">
        <f t="shared" si="403"/>
        <v>190</v>
      </c>
      <c r="G3247">
        <f t="shared" si="404"/>
        <v>104.46945337620578</v>
      </c>
      <c r="H3247" t="str">
        <f>_xlfn.XLOOKUP(A3247,Fact_Events!$D$2:$D$20,Fact_Events!$A$2:$A$20, "")</f>
        <v/>
      </c>
      <c r="I3247">
        <f t="shared" si="405"/>
        <v>0</v>
      </c>
      <c r="J3247" t="str">
        <f>_xlfn.XLOOKUP(H3247, Fact_Events!$A$2:$A$20, Fact_Events!$F$2:$F$20, "")</f>
        <v/>
      </c>
      <c r="K3247" t="str">
        <f t="shared" si="406"/>
        <v>Low</v>
      </c>
      <c r="L3247">
        <f t="shared" si="407"/>
        <v>0.55000000000000004</v>
      </c>
      <c r="M3247">
        <f>_xlfn.XLOOKUP(B3247, Dim_Hotel!$A$2:$A$11, Dim_Hotel!$I$2:$I$11)
 + (IF(J3247="",0,J3247)
    * _xlfn.XLOOKUP(B3247, Dim_Hotel!$A$2:$A$11, Dim_Hotel!$J$2:$J$11))</f>
        <v>190</v>
      </c>
    </row>
    <row r="3248" spans="1:13" x14ac:dyDescent="0.25">
      <c r="A3248" s="1">
        <f t="shared" si="400"/>
        <v>46347</v>
      </c>
      <c r="B3248" t="str" cm="1">
        <f t="array" ref="B3248">INDEX(HotelList,MOD(ROW()-2,10)+1)</f>
        <v>H007</v>
      </c>
      <c r="C3248">
        <f>_xlfn.XLOOKUP(B3248,Dim_Hotel!$A$2:$A$11,Dim_Hotel!$F$2:$F$11)</f>
        <v>132</v>
      </c>
      <c r="D3248">
        <f t="shared" si="401"/>
        <v>73</v>
      </c>
      <c r="E3248">
        <f t="shared" si="402"/>
        <v>0.55303030303030298</v>
      </c>
      <c r="F3248">
        <f t="shared" si="403"/>
        <v>165</v>
      </c>
      <c r="G3248">
        <f t="shared" si="404"/>
        <v>91.249999999999986</v>
      </c>
      <c r="H3248" t="str">
        <f>_xlfn.XLOOKUP(A3248,Fact_Events!$D$2:$D$20,Fact_Events!$A$2:$A$20, "")</f>
        <v/>
      </c>
      <c r="I3248">
        <f t="shared" si="405"/>
        <v>0</v>
      </c>
      <c r="J3248" t="str">
        <f>_xlfn.XLOOKUP(H3248, Fact_Events!$A$2:$A$20, Fact_Events!$F$2:$F$20, "")</f>
        <v/>
      </c>
      <c r="K3248" t="str">
        <f t="shared" si="406"/>
        <v>Low</v>
      </c>
      <c r="L3248">
        <f t="shared" si="407"/>
        <v>0.55000000000000004</v>
      </c>
      <c r="M3248">
        <f>_xlfn.XLOOKUP(B3248, Dim_Hotel!$A$2:$A$11, Dim_Hotel!$I$2:$I$11)
 + (IF(J3248="",0,J3248)
    * _xlfn.XLOOKUP(B3248, Dim_Hotel!$A$2:$A$11, Dim_Hotel!$J$2:$J$11))</f>
        <v>165</v>
      </c>
    </row>
    <row r="3249" spans="1:13" x14ac:dyDescent="0.25">
      <c r="A3249" s="1">
        <f t="shared" si="400"/>
        <v>46347</v>
      </c>
      <c r="B3249" t="str" cm="1">
        <f t="array" ref="B3249">INDEX(HotelList,MOD(ROW()-2,10)+1)</f>
        <v>H008</v>
      </c>
      <c r="C3249">
        <f>_xlfn.XLOOKUP(B3249,Dim_Hotel!$A$2:$A$11,Dim_Hotel!$F$2:$F$11)</f>
        <v>103</v>
      </c>
      <c r="D3249">
        <f t="shared" si="401"/>
        <v>57</v>
      </c>
      <c r="E3249">
        <f t="shared" si="402"/>
        <v>0.55339805825242716</v>
      </c>
      <c r="F3249">
        <f t="shared" si="403"/>
        <v>140</v>
      </c>
      <c r="G3249">
        <f t="shared" si="404"/>
        <v>77.475728155339809</v>
      </c>
      <c r="H3249" t="str">
        <f>_xlfn.XLOOKUP(A3249,Fact_Events!$D$2:$D$20,Fact_Events!$A$2:$A$20, "")</f>
        <v/>
      </c>
      <c r="I3249">
        <f t="shared" si="405"/>
        <v>0</v>
      </c>
      <c r="J3249" t="str">
        <f>_xlfn.XLOOKUP(H3249, Fact_Events!$A$2:$A$20, Fact_Events!$F$2:$F$20, "")</f>
        <v/>
      </c>
      <c r="K3249" t="str">
        <f t="shared" si="406"/>
        <v>Low</v>
      </c>
      <c r="L3249">
        <f t="shared" si="407"/>
        <v>0.55000000000000004</v>
      </c>
      <c r="M3249">
        <f>_xlfn.XLOOKUP(B3249, Dim_Hotel!$A$2:$A$11, Dim_Hotel!$I$2:$I$11)
 + (IF(J3249="",0,J3249)
    * _xlfn.XLOOKUP(B3249, Dim_Hotel!$A$2:$A$11, Dim_Hotel!$J$2:$J$11))</f>
        <v>140</v>
      </c>
    </row>
    <row r="3250" spans="1:13" x14ac:dyDescent="0.25">
      <c r="A3250" s="1">
        <f t="shared" si="400"/>
        <v>46347</v>
      </c>
      <c r="B3250" t="str" cm="1">
        <f t="array" ref="B3250">INDEX(HotelList,MOD(ROW()-2,10)+1)</f>
        <v>H009</v>
      </c>
      <c r="C3250">
        <f>_xlfn.XLOOKUP(B3250,Dim_Hotel!$A$2:$A$11,Dim_Hotel!$F$2:$F$11)</f>
        <v>114</v>
      </c>
      <c r="D3250">
        <f t="shared" si="401"/>
        <v>63</v>
      </c>
      <c r="E3250">
        <f t="shared" si="402"/>
        <v>0.55263157894736847</v>
      </c>
      <c r="F3250">
        <f t="shared" si="403"/>
        <v>185</v>
      </c>
      <c r="G3250">
        <f t="shared" si="404"/>
        <v>102.23684210526316</v>
      </c>
      <c r="H3250" t="str">
        <f>_xlfn.XLOOKUP(A3250,Fact_Events!$D$2:$D$20,Fact_Events!$A$2:$A$20, "")</f>
        <v/>
      </c>
      <c r="I3250">
        <f t="shared" si="405"/>
        <v>0</v>
      </c>
      <c r="J3250" t="str">
        <f>_xlfn.XLOOKUP(H3250, Fact_Events!$A$2:$A$20, Fact_Events!$F$2:$F$20, "")</f>
        <v/>
      </c>
      <c r="K3250" t="str">
        <f t="shared" si="406"/>
        <v>Low</v>
      </c>
      <c r="L3250">
        <f t="shared" si="407"/>
        <v>0.55000000000000004</v>
      </c>
      <c r="M3250">
        <f>_xlfn.XLOOKUP(B3250, Dim_Hotel!$A$2:$A$11, Dim_Hotel!$I$2:$I$11)
 + (IF(J3250="",0,J3250)
    * _xlfn.XLOOKUP(B3250, Dim_Hotel!$A$2:$A$11, Dim_Hotel!$J$2:$J$11))</f>
        <v>185</v>
      </c>
    </row>
    <row r="3251" spans="1:13" x14ac:dyDescent="0.25">
      <c r="A3251" s="1">
        <f t="shared" si="400"/>
        <v>46347</v>
      </c>
      <c r="B3251" t="str" cm="1">
        <f t="array" ref="B3251">INDEX(HotelList,MOD(ROW()-2,10)+1)</f>
        <v>H010</v>
      </c>
      <c r="C3251">
        <f>_xlfn.XLOOKUP(B3251,Dim_Hotel!$A$2:$A$11,Dim_Hotel!$F$2:$F$11)</f>
        <v>89</v>
      </c>
      <c r="D3251">
        <f t="shared" si="401"/>
        <v>49</v>
      </c>
      <c r="E3251">
        <f t="shared" si="402"/>
        <v>0.550561797752809</v>
      </c>
      <c r="F3251">
        <f t="shared" si="403"/>
        <v>150</v>
      </c>
      <c r="G3251">
        <f t="shared" si="404"/>
        <v>82.584269662921344</v>
      </c>
      <c r="H3251" t="str">
        <f>_xlfn.XLOOKUP(A3251,Fact_Events!$D$2:$D$20,Fact_Events!$A$2:$A$20, "")</f>
        <v/>
      </c>
      <c r="I3251">
        <f t="shared" si="405"/>
        <v>0</v>
      </c>
      <c r="J3251" t="str">
        <f>_xlfn.XLOOKUP(H3251, Fact_Events!$A$2:$A$20, Fact_Events!$F$2:$F$20, "")</f>
        <v/>
      </c>
      <c r="K3251" t="str">
        <f t="shared" si="406"/>
        <v>Low</v>
      </c>
      <c r="L3251">
        <f t="shared" si="407"/>
        <v>0.55000000000000004</v>
      </c>
      <c r="M3251">
        <f>_xlfn.XLOOKUP(B3251, Dim_Hotel!$A$2:$A$11, Dim_Hotel!$I$2:$I$11)
 + (IF(J3251="",0,J3251)
    * _xlfn.XLOOKUP(B3251, Dim_Hotel!$A$2:$A$11, Dim_Hotel!$J$2:$J$11))</f>
        <v>150</v>
      </c>
    </row>
    <row r="3252" spans="1:13" x14ac:dyDescent="0.25">
      <c r="A3252" s="1">
        <f t="shared" si="400"/>
        <v>46348</v>
      </c>
      <c r="B3252" t="str" cm="1">
        <f t="array" ref="B3252">INDEX(HotelList,MOD(ROW()-2,10)+1)</f>
        <v>H001</v>
      </c>
      <c r="C3252">
        <f>_xlfn.XLOOKUP(B3252,Dim_Hotel!$A$2:$A$11,Dim_Hotel!$F$2:$F$11)</f>
        <v>888</v>
      </c>
      <c r="D3252">
        <f t="shared" si="401"/>
        <v>488</v>
      </c>
      <c r="E3252">
        <f t="shared" si="402"/>
        <v>0.5495495495495496</v>
      </c>
      <c r="F3252">
        <f t="shared" si="403"/>
        <v>260</v>
      </c>
      <c r="G3252">
        <f t="shared" si="404"/>
        <v>142.88288288288288</v>
      </c>
      <c r="H3252" t="str">
        <f>_xlfn.XLOOKUP(A3252,Fact_Events!$D$2:$D$20,Fact_Events!$A$2:$A$20, "")</f>
        <v/>
      </c>
      <c r="I3252">
        <f t="shared" si="405"/>
        <v>0</v>
      </c>
      <c r="J3252" t="str">
        <f>_xlfn.XLOOKUP(H3252, Fact_Events!$A$2:$A$20, Fact_Events!$F$2:$F$20, "")</f>
        <v/>
      </c>
      <c r="K3252" t="str">
        <f t="shared" si="406"/>
        <v>Low</v>
      </c>
      <c r="L3252">
        <f t="shared" si="407"/>
        <v>0.55000000000000004</v>
      </c>
      <c r="M3252">
        <f>_xlfn.XLOOKUP(B3252, Dim_Hotel!$A$2:$A$11, Dim_Hotel!$I$2:$I$11)
 + (IF(J3252="",0,J3252)
    * _xlfn.XLOOKUP(B3252, Dim_Hotel!$A$2:$A$11, Dim_Hotel!$J$2:$J$11))</f>
        <v>260</v>
      </c>
    </row>
    <row r="3253" spans="1:13" x14ac:dyDescent="0.25">
      <c r="A3253" s="1">
        <f t="shared" si="400"/>
        <v>46348</v>
      </c>
      <c r="B3253" t="str" cm="1">
        <f t="array" ref="B3253">INDEX(HotelList,MOD(ROW()-2,10)+1)</f>
        <v>H002</v>
      </c>
      <c r="C3253">
        <f>_xlfn.XLOOKUP(B3253,Dim_Hotel!$A$2:$A$11,Dim_Hotel!$F$2:$F$11)</f>
        <v>147</v>
      </c>
      <c r="D3253">
        <f t="shared" si="401"/>
        <v>81</v>
      </c>
      <c r="E3253">
        <f t="shared" si="402"/>
        <v>0.55102040816326525</v>
      </c>
      <c r="F3253">
        <f t="shared" si="403"/>
        <v>175</v>
      </c>
      <c r="G3253">
        <f t="shared" si="404"/>
        <v>96.428571428571416</v>
      </c>
      <c r="H3253" t="str">
        <f>_xlfn.XLOOKUP(A3253,Fact_Events!$D$2:$D$20,Fact_Events!$A$2:$A$20, "")</f>
        <v/>
      </c>
      <c r="I3253">
        <f t="shared" si="405"/>
        <v>0</v>
      </c>
      <c r="J3253" t="str">
        <f>_xlfn.XLOOKUP(H3253, Fact_Events!$A$2:$A$20, Fact_Events!$F$2:$F$20, "")</f>
        <v/>
      </c>
      <c r="K3253" t="str">
        <f t="shared" si="406"/>
        <v>Low</v>
      </c>
      <c r="L3253">
        <f t="shared" si="407"/>
        <v>0.55000000000000004</v>
      </c>
      <c r="M3253">
        <f>_xlfn.XLOOKUP(B3253, Dim_Hotel!$A$2:$A$11, Dim_Hotel!$I$2:$I$11)
 + (IF(J3253="",0,J3253)
    * _xlfn.XLOOKUP(B3253, Dim_Hotel!$A$2:$A$11, Dim_Hotel!$J$2:$J$11))</f>
        <v>175</v>
      </c>
    </row>
    <row r="3254" spans="1:13" x14ac:dyDescent="0.25">
      <c r="A3254" s="1">
        <f t="shared" si="400"/>
        <v>46348</v>
      </c>
      <c r="B3254" t="str" cm="1">
        <f t="array" ref="B3254">INDEX(HotelList,MOD(ROW()-2,10)+1)</f>
        <v>H003</v>
      </c>
      <c r="C3254">
        <f>_xlfn.XLOOKUP(B3254,Dim_Hotel!$A$2:$A$11,Dim_Hotel!$F$2:$F$11)</f>
        <v>121</v>
      </c>
      <c r="D3254">
        <f t="shared" si="401"/>
        <v>67</v>
      </c>
      <c r="E3254">
        <f t="shared" si="402"/>
        <v>0.55371900826446285</v>
      </c>
      <c r="F3254">
        <f t="shared" si="403"/>
        <v>145</v>
      </c>
      <c r="G3254">
        <f t="shared" si="404"/>
        <v>80.289256198347118</v>
      </c>
      <c r="H3254" t="str">
        <f>_xlfn.XLOOKUP(A3254,Fact_Events!$D$2:$D$20,Fact_Events!$A$2:$A$20, "")</f>
        <v/>
      </c>
      <c r="I3254">
        <f t="shared" si="405"/>
        <v>0</v>
      </c>
      <c r="J3254" t="str">
        <f>_xlfn.XLOOKUP(H3254, Fact_Events!$A$2:$A$20, Fact_Events!$F$2:$F$20, "")</f>
        <v/>
      </c>
      <c r="K3254" t="str">
        <f t="shared" si="406"/>
        <v>Low</v>
      </c>
      <c r="L3254">
        <f t="shared" si="407"/>
        <v>0.55000000000000004</v>
      </c>
      <c r="M3254">
        <f>_xlfn.XLOOKUP(B3254, Dim_Hotel!$A$2:$A$11, Dim_Hotel!$I$2:$I$11)
 + (IF(J3254="",0,J3254)
    * _xlfn.XLOOKUP(B3254, Dim_Hotel!$A$2:$A$11, Dim_Hotel!$J$2:$J$11))</f>
        <v>145</v>
      </c>
    </row>
    <row r="3255" spans="1:13" x14ac:dyDescent="0.25">
      <c r="A3255" s="1">
        <f t="shared" si="400"/>
        <v>46348</v>
      </c>
      <c r="B3255" t="str" cm="1">
        <f t="array" ref="B3255">INDEX(HotelList,MOD(ROW()-2,10)+1)</f>
        <v>H004</v>
      </c>
      <c r="C3255">
        <f>_xlfn.XLOOKUP(B3255,Dim_Hotel!$A$2:$A$11,Dim_Hotel!$F$2:$F$11)</f>
        <v>108</v>
      </c>
      <c r="D3255">
        <f t="shared" si="401"/>
        <v>59</v>
      </c>
      <c r="E3255">
        <f t="shared" si="402"/>
        <v>0.54629629629629628</v>
      </c>
      <c r="F3255">
        <f t="shared" si="403"/>
        <v>135</v>
      </c>
      <c r="G3255">
        <f t="shared" si="404"/>
        <v>73.75</v>
      </c>
      <c r="H3255" t="str">
        <f>_xlfn.XLOOKUP(A3255,Fact_Events!$D$2:$D$20,Fact_Events!$A$2:$A$20, "")</f>
        <v/>
      </c>
      <c r="I3255">
        <f t="shared" si="405"/>
        <v>0</v>
      </c>
      <c r="J3255" t="str">
        <f>_xlfn.XLOOKUP(H3255, Fact_Events!$A$2:$A$20, Fact_Events!$F$2:$F$20, "")</f>
        <v/>
      </c>
      <c r="K3255" t="str">
        <f t="shared" si="406"/>
        <v>Low</v>
      </c>
      <c r="L3255">
        <f t="shared" si="407"/>
        <v>0.55000000000000004</v>
      </c>
      <c r="M3255">
        <f>_xlfn.XLOOKUP(B3255, Dim_Hotel!$A$2:$A$11, Dim_Hotel!$I$2:$I$11)
 + (IF(J3255="",0,J3255)
    * _xlfn.XLOOKUP(B3255, Dim_Hotel!$A$2:$A$11, Dim_Hotel!$J$2:$J$11))</f>
        <v>135</v>
      </c>
    </row>
    <row r="3256" spans="1:13" x14ac:dyDescent="0.25">
      <c r="A3256" s="1">
        <f t="shared" si="400"/>
        <v>46348</v>
      </c>
      <c r="B3256" t="str" cm="1">
        <f t="array" ref="B3256">INDEX(HotelList,MOD(ROW()-2,10)+1)</f>
        <v>H005</v>
      </c>
      <c r="C3256">
        <f>_xlfn.XLOOKUP(B3256,Dim_Hotel!$A$2:$A$11,Dim_Hotel!$F$2:$F$11)</f>
        <v>66</v>
      </c>
      <c r="D3256">
        <f t="shared" si="401"/>
        <v>36</v>
      </c>
      <c r="E3256">
        <f t="shared" si="402"/>
        <v>0.54545454545454541</v>
      </c>
      <c r="F3256">
        <f t="shared" si="403"/>
        <v>82</v>
      </c>
      <c r="G3256">
        <f t="shared" si="404"/>
        <v>44.727272727272727</v>
      </c>
      <c r="H3256" t="str">
        <f>_xlfn.XLOOKUP(A3256,Fact_Events!$D$2:$D$20,Fact_Events!$A$2:$A$20, "")</f>
        <v/>
      </c>
      <c r="I3256">
        <f t="shared" si="405"/>
        <v>0</v>
      </c>
      <c r="J3256" t="str">
        <f>_xlfn.XLOOKUP(H3256, Fact_Events!$A$2:$A$20, Fact_Events!$F$2:$F$20, "")</f>
        <v/>
      </c>
      <c r="K3256" t="str">
        <f t="shared" si="406"/>
        <v>Low</v>
      </c>
      <c r="L3256">
        <f t="shared" si="407"/>
        <v>0.55000000000000004</v>
      </c>
      <c r="M3256">
        <f>_xlfn.XLOOKUP(B3256, Dim_Hotel!$A$2:$A$11, Dim_Hotel!$I$2:$I$11)
 + (IF(J3256="",0,J3256)
    * _xlfn.XLOOKUP(B3256, Dim_Hotel!$A$2:$A$11, Dim_Hotel!$J$2:$J$11))</f>
        <v>82</v>
      </c>
    </row>
    <row r="3257" spans="1:13" x14ac:dyDescent="0.25">
      <c r="A3257" s="1">
        <f t="shared" si="400"/>
        <v>46348</v>
      </c>
      <c r="B3257" t="str" cm="1">
        <f t="array" ref="B3257">INDEX(HotelList,MOD(ROW()-2,10)+1)</f>
        <v>H006</v>
      </c>
      <c r="C3257">
        <f>_xlfn.XLOOKUP(B3257,Dim_Hotel!$A$2:$A$11,Dim_Hotel!$F$2:$F$11)</f>
        <v>311</v>
      </c>
      <c r="D3257">
        <f t="shared" si="401"/>
        <v>171</v>
      </c>
      <c r="E3257">
        <f t="shared" si="402"/>
        <v>0.54983922829581988</v>
      </c>
      <c r="F3257">
        <f t="shared" si="403"/>
        <v>190</v>
      </c>
      <c r="G3257">
        <f t="shared" si="404"/>
        <v>104.46945337620578</v>
      </c>
      <c r="H3257" t="str">
        <f>_xlfn.XLOOKUP(A3257,Fact_Events!$D$2:$D$20,Fact_Events!$A$2:$A$20, "")</f>
        <v/>
      </c>
      <c r="I3257">
        <f t="shared" si="405"/>
        <v>0</v>
      </c>
      <c r="J3257" t="str">
        <f>_xlfn.XLOOKUP(H3257, Fact_Events!$A$2:$A$20, Fact_Events!$F$2:$F$20, "")</f>
        <v/>
      </c>
      <c r="K3257" t="str">
        <f t="shared" si="406"/>
        <v>Low</v>
      </c>
      <c r="L3257">
        <f t="shared" si="407"/>
        <v>0.55000000000000004</v>
      </c>
      <c r="M3257">
        <f>_xlfn.XLOOKUP(B3257, Dim_Hotel!$A$2:$A$11, Dim_Hotel!$I$2:$I$11)
 + (IF(J3257="",0,J3257)
    * _xlfn.XLOOKUP(B3257, Dim_Hotel!$A$2:$A$11, Dim_Hotel!$J$2:$J$11))</f>
        <v>190</v>
      </c>
    </row>
    <row r="3258" spans="1:13" x14ac:dyDescent="0.25">
      <c r="A3258" s="1">
        <f t="shared" si="400"/>
        <v>46348</v>
      </c>
      <c r="B3258" t="str" cm="1">
        <f t="array" ref="B3258">INDEX(HotelList,MOD(ROW()-2,10)+1)</f>
        <v>H007</v>
      </c>
      <c r="C3258">
        <f>_xlfn.XLOOKUP(B3258,Dim_Hotel!$A$2:$A$11,Dim_Hotel!$F$2:$F$11)</f>
        <v>132</v>
      </c>
      <c r="D3258">
        <f t="shared" si="401"/>
        <v>73</v>
      </c>
      <c r="E3258">
        <f t="shared" si="402"/>
        <v>0.55303030303030298</v>
      </c>
      <c r="F3258">
        <f t="shared" si="403"/>
        <v>165</v>
      </c>
      <c r="G3258">
        <f t="shared" si="404"/>
        <v>91.249999999999986</v>
      </c>
      <c r="H3258" t="str">
        <f>_xlfn.XLOOKUP(A3258,Fact_Events!$D$2:$D$20,Fact_Events!$A$2:$A$20, "")</f>
        <v/>
      </c>
      <c r="I3258">
        <f t="shared" si="405"/>
        <v>0</v>
      </c>
      <c r="J3258" t="str">
        <f>_xlfn.XLOOKUP(H3258, Fact_Events!$A$2:$A$20, Fact_Events!$F$2:$F$20, "")</f>
        <v/>
      </c>
      <c r="K3258" t="str">
        <f t="shared" si="406"/>
        <v>Low</v>
      </c>
      <c r="L3258">
        <f t="shared" si="407"/>
        <v>0.55000000000000004</v>
      </c>
      <c r="M3258">
        <f>_xlfn.XLOOKUP(B3258, Dim_Hotel!$A$2:$A$11, Dim_Hotel!$I$2:$I$11)
 + (IF(J3258="",0,J3258)
    * _xlfn.XLOOKUP(B3258, Dim_Hotel!$A$2:$A$11, Dim_Hotel!$J$2:$J$11))</f>
        <v>165</v>
      </c>
    </row>
    <row r="3259" spans="1:13" x14ac:dyDescent="0.25">
      <c r="A3259" s="1">
        <f t="shared" si="400"/>
        <v>46348</v>
      </c>
      <c r="B3259" t="str" cm="1">
        <f t="array" ref="B3259">INDEX(HotelList,MOD(ROW()-2,10)+1)</f>
        <v>H008</v>
      </c>
      <c r="C3259">
        <f>_xlfn.XLOOKUP(B3259,Dim_Hotel!$A$2:$A$11,Dim_Hotel!$F$2:$F$11)</f>
        <v>103</v>
      </c>
      <c r="D3259">
        <f t="shared" si="401"/>
        <v>57</v>
      </c>
      <c r="E3259">
        <f t="shared" si="402"/>
        <v>0.55339805825242716</v>
      </c>
      <c r="F3259">
        <f t="shared" si="403"/>
        <v>140</v>
      </c>
      <c r="G3259">
        <f t="shared" si="404"/>
        <v>77.475728155339809</v>
      </c>
      <c r="H3259" t="str">
        <f>_xlfn.XLOOKUP(A3259,Fact_Events!$D$2:$D$20,Fact_Events!$A$2:$A$20, "")</f>
        <v/>
      </c>
      <c r="I3259">
        <f t="shared" si="405"/>
        <v>0</v>
      </c>
      <c r="J3259" t="str">
        <f>_xlfn.XLOOKUP(H3259, Fact_Events!$A$2:$A$20, Fact_Events!$F$2:$F$20, "")</f>
        <v/>
      </c>
      <c r="K3259" t="str">
        <f t="shared" si="406"/>
        <v>Low</v>
      </c>
      <c r="L3259">
        <f t="shared" si="407"/>
        <v>0.55000000000000004</v>
      </c>
      <c r="M3259">
        <f>_xlfn.XLOOKUP(B3259, Dim_Hotel!$A$2:$A$11, Dim_Hotel!$I$2:$I$11)
 + (IF(J3259="",0,J3259)
    * _xlfn.XLOOKUP(B3259, Dim_Hotel!$A$2:$A$11, Dim_Hotel!$J$2:$J$11))</f>
        <v>140</v>
      </c>
    </row>
    <row r="3260" spans="1:13" x14ac:dyDescent="0.25">
      <c r="A3260" s="1">
        <f t="shared" si="400"/>
        <v>46348</v>
      </c>
      <c r="B3260" t="str" cm="1">
        <f t="array" ref="B3260">INDEX(HotelList,MOD(ROW()-2,10)+1)</f>
        <v>H009</v>
      </c>
      <c r="C3260">
        <f>_xlfn.XLOOKUP(B3260,Dim_Hotel!$A$2:$A$11,Dim_Hotel!$F$2:$F$11)</f>
        <v>114</v>
      </c>
      <c r="D3260">
        <f t="shared" si="401"/>
        <v>63</v>
      </c>
      <c r="E3260">
        <f t="shared" si="402"/>
        <v>0.55263157894736847</v>
      </c>
      <c r="F3260">
        <f t="shared" si="403"/>
        <v>185</v>
      </c>
      <c r="G3260">
        <f t="shared" si="404"/>
        <v>102.23684210526316</v>
      </c>
      <c r="H3260" t="str">
        <f>_xlfn.XLOOKUP(A3260,Fact_Events!$D$2:$D$20,Fact_Events!$A$2:$A$20, "")</f>
        <v/>
      </c>
      <c r="I3260">
        <f t="shared" si="405"/>
        <v>0</v>
      </c>
      <c r="J3260" t="str">
        <f>_xlfn.XLOOKUP(H3260, Fact_Events!$A$2:$A$20, Fact_Events!$F$2:$F$20, "")</f>
        <v/>
      </c>
      <c r="K3260" t="str">
        <f t="shared" si="406"/>
        <v>Low</v>
      </c>
      <c r="L3260">
        <f t="shared" si="407"/>
        <v>0.55000000000000004</v>
      </c>
      <c r="M3260">
        <f>_xlfn.XLOOKUP(B3260, Dim_Hotel!$A$2:$A$11, Dim_Hotel!$I$2:$I$11)
 + (IF(J3260="",0,J3260)
    * _xlfn.XLOOKUP(B3260, Dim_Hotel!$A$2:$A$11, Dim_Hotel!$J$2:$J$11))</f>
        <v>185</v>
      </c>
    </row>
    <row r="3261" spans="1:13" x14ac:dyDescent="0.25">
      <c r="A3261" s="1">
        <f t="shared" si="400"/>
        <v>46348</v>
      </c>
      <c r="B3261" t="str" cm="1">
        <f t="array" ref="B3261">INDEX(HotelList,MOD(ROW()-2,10)+1)</f>
        <v>H010</v>
      </c>
      <c r="C3261">
        <f>_xlfn.XLOOKUP(B3261,Dim_Hotel!$A$2:$A$11,Dim_Hotel!$F$2:$F$11)</f>
        <v>89</v>
      </c>
      <c r="D3261">
        <f t="shared" si="401"/>
        <v>49</v>
      </c>
      <c r="E3261">
        <f t="shared" si="402"/>
        <v>0.550561797752809</v>
      </c>
      <c r="F3261">
        <f t="shared" si="403"/>
        <v>150</v>
      </c>
      <c r="G3261">
        <f t="shared" si="404"/>
        <v>82.584269662921344</v>
      </c>
      <c r="H3261" t="str">
        <f>_xlfn.XLOOKUP(A3261,Fact_Events!$D$2:$D$20,Fact_Events!$A$2:$A$20, "")</f>
        <v/>
      </c>
      <c r="I3261">
        <f t="shared" si="405"/>
        <v>0</v>
      </c>
      <c r="J3261" t="str">
        <f>_xlfn.XLOOKUP(H3261, Fact_Events!$A$2:$A$20, Fact_Events!$F$2:$F$20, "")</f>
        <v/>
      </c>
      <c r="K3261" t="str">
        <f t="shared" si="406"/>
        <v>Low</v>
      </c>
      <c r="L3261">
        <f t="shared" si="407"/>
        <v>0.55000000000000004</v>
      </c>
      <c r="M3261">
        <f>_xlfn.XLOOKUP(B3261, Dim_Hotel!$A$2:$A$11, Dim_Hotel!$I$2:$I$11)
 + (IF(J3261="",0,J3261)
    * _xlfn.XLOOKUP(B3261, Dim_Hotel!$A$2:$A$11, Dim_Hotel!$J$2:$J$11))</f>
        <v>150</v>
      </c>
    </row>
    <row r="3262" spans="1:13" x14ac:dyDescent="0.25">
      <c r="A3262" s="1">
        <f t="shared" si="400"/>
        <v>46349</v>
      </c>
      <c r="B3262" t="str" cm="1">
        <f t="array" ref="B3262">INDEX(HotelList,MOD(ROW()-2,10)+1)</f>
        <v>H001</v>
      </c>
      <c r="C3262">
        <f>_xlfn.XLOOKUP(B3262,Dim_Hotel!$A$2:$A$11,Dim_Hotel!$F$2:$F$11)</f>
        <v>888</v>
      </c>
      <c r="D3262">
        <f t="shared" si="401"/>
        <v>488</v>
      </c>
      <c r="E3262">
        <f t="shared" si="402"/>
        <v>0.5495495495495496</v>
      </c>
      <c r="F3262">
        <f t="shared" si="403"/>
        <v>260</v>
      </c>
      <c r="G3262">
        <f t="shared" si="404"/>
        <v>142.88288288288288</v>
      </c>
      <c r="H3262" t="str">
        <f>_xlfn.XLOOKUP(A3262,Fact_Events!$D$2:$D$20,Fact_Events!$A$2:$A$20, "")</f>
        <v/>
      </c>
      <c r="I3262">
        <f t="shared" si="405"/>
        <v>0</v>
      </c>
      <c r="J3262" t="str">
        <f>_xlfn.XLOOKUP(H3262, Fact_Events!$A$2:$A$20, Fact_Events!$F$2:$F$20, "")</f>
        <v/>
      </c>
      <c r="K3262" t="str">
        <f t="shared" si="406"/>
        <v>Low</v>
      </c>
      <c r="L3262">
        <f t="shared" si="407"/>
        <v>0.55000000000000004</v>
      </c>
      <c r="M3262">
        <f>_xlfn.XLOOKUP(B3262, Dim_Hotel!$A$2:$A$11, Dim_Hotel!$I$2:$I$11)
 + (IF(J3262="",0,J3262)
    * _xlfn.XLOOKUP(B3262, Dim_Hotel!$A$2:$A$11, Dim_Hotel!$J$2:$J$11))</f>
        <v>260</v>
      </c>
    </row>
    <row r="3263" spans="1:13" x14ac:dyDescent="0.25">
      <c r="A3263" s="1">
        <f t="shared" si="400"/>
        <v>46349</v>
      </c>
      <c r="B3263" t="str" cm="1">
        <f t="array" ref="B3263">INDEX(HotelList,MOD(ROW()-2,10)+1)</f>
        <v>H002</v>
      </c>
      <c r="C3263">
        <f>_xlfn.XLOOKUP(B3263,Dim_Hotel!$A$2:$A$11,Dim_Hotel!$F$2:$F$11)</f>
        <v>147</v>
      </c>
      <c r="D3263">
        <f t="shared" si="401"/>
        <v>81</v>
      </c>
      <c r="E3263">
        <f t="shared" si="402"/>
        <v>0.55102040816326525</v>
      </c>
      <c r="F3263">
        <f t="shared" si="403"/>
        <v>175</v>
      </c>
      <c r="G3263">
        <f t="shared" si="404"/>
        <v>96.428571428571416</v>
      </c>
      <c r="H3263" t="str">
        <f>_xlfn.XLOOKUP(A3263,Fact_Events!$D$2:$D$20,Fact_Events!$A$2:$A$20, "")</f>
        <v/>
      </c>
      <c r="I3263">
        <f t="shared" si="405"/>
        <v>0</v>
      </c>
      <c r="J3263" t="str">
        <f>_xlfn.XLOOKUP(H3263, Fact_Events!$A$2:$A$20, Fact_Events!$F$2:$F$20, "")</f>
        <v/>
      </c>
      <c r="K3263" t="str">
        <f t="shared" si="406"/>
        <v>Low</v>
      </c>
      <c r="L3263">
        <f t="shared" si="407"/>
        <v>0.55000000000000004</v>
      </c>
      <c r="M3263">
        <f>_xlfn.XLOOKUP(B3263, Dim_Hotel!$A$2:$A$11, Dim_Hotel!$I$2:$I$11)
 + (IF(J3263="",0,J3263)
    * _xlfn.XLOOKUP(B3263, Dim_Hotel!$A$2:$A$11, Dim_Hotel!$J$2:$J$11))</f>
        <v>175</v>
      </c>
    </row>
    <row r="3264" spans="1:13" x14ac:dyDescent="0.25">
      <c r="A3264" s="1">
        <f t="shared" si="400"/>
        <v>46349</v>
      </c>
      <c r="B3264" t="str" cm="1">
        <f t="array" ref="B3264">INDEX(HotelList,MOD(ROW()-2,10)+1)</f>
        <v>H003</v>
      </c>
      <c r="C3264">
        <f>_xlfn.XLOOKUP(B3264,Dim_Hotel!$A$2:$A$11,Dim_Hotel!$F$2:$F$11)</f>
        <v>121</v>
      </c>
      <c r="D3264">
        <f t="shared" si="401"/>
        <v>67</v>
      </c>
      <c r="E3264">
        <f t="shared" si="402"/>
        <v>0.55371900826446285</v>
      </c>
      <c r="F3264">
        <f t="shared" si="403"/>
        <v>145</v>
      </c>
      <c r="G3264">
        <f t="shared" si="404"/>
        <v>80.289256198347118</v>
      </c>
      <c r="H3264" t="str">
        <f>_xlfn.XLOOKUP(A3264,Fact_Events!$D$2:$D$20,Fact_Events!$A$2:$A$20, "")</f>
        <v/>
      </c>
      <c r="I3264">
        <f t="shared" si="405"/>
        <v>0</v>
      </c>
      <c r="J3264" t="str">
        <f>_xlfn.XLOOKUP(H3264, Fact_Events!$A$2:$A$20, Fact_Events!$F$2:$F$20, "")</f>
        <v/>
      </c>
      <c r="K3264" t="str">
        <f t="shared" si="406"/>
        <v>Low</v>
      </c>
      <c r="L3264">
        <f t="shared" si="407"/>
        <v>0.55000000000000004</v>
      </c>
      <c r="M3264">
        <f>_xlfn.XLOOKUP(B3264, Dim_Hotel!$A$2:$A$11, Dim_Hotel!$I$2:$I$11)
 + (IF(J3264="",0,J3264)
    * _xlfn.XLOOKUP(B3264, Dim_Hotel!$A$2:$A$11, Dim_Hotel!$J$2:$J$11))</f>
        <v>145</v>
      </c>
    </row>
    <row r="3265" spans="1:13" x14ac:dyDescent="0.25">
      <c r="A3265" s="1">
        <f t="shared" si="400"/>
        <v>46349</v>
      </c>
      <c r="B3265" t="str" cm="1">
        <f t="array" ref="B3265">INDEX(HotelList,MOD(ROW()-2,10)+1)</f>
        <v>H004</v>
      </c>
      <c r="C3265">
        <f>_xlfn.XLOOKUP(B3265,Dim_Hotel!$A$2:$A$11,Dim_Hotel!$F$2:$F$11)</f>
        <v>108</v>
      </c>
      <c r="D3265">
        <f t="shared" si="401"/>
        <v>59</v>
      </c>
      <c r="E3265">
        <f t="shared" si="402"/>
        <v>0.54629629629629628</v>
      </c>
      <c r="F3265">
        <f t="shared" si="403"/>
        <v>135</v>
      </c>
      <c r="G3265">
        <f t="shared" si="404"/>
        <v>73.75</v>
      </c>
      <c r="H3265" t="str">
        <f>_xlfn.XLOOKUP(A3265,Fact_Events!$D$2:$D$20,Fact_Events!$A$2:$A$20, "")</f>
        <v/>
      </c>
      <c r="I3265">
        <f t="shared" si="405"/>
        <v>0</v>
      </c>
      <c r="J3265" t="str">
        <f>_xlfn.XLOOKUP(H3265, Fact_Events!$A$2:$A$20, Fact_Events!$F$2:$F$20, "")</f>
        <v/>
      </c>
      <c r="K3265" t="str">
        <f t="shared" si="406"/>
        <v>Low</v>
      </c>
      <c r="L3265">
        <f t="shared" si="407"/>
        <v>0.55000000000000004</v>
      </c>
      <c r="M3265">
        <f>_xlfn.XLOOKUP(B3265, Dim_Hotel!$A$2:$A$11, Dim_Hotel!$I$2:$I$11)
 + (IF(J3265="",0,J3265)
    * _xlfn.XLOOKUP(B3265, Dim_Hotel!$A$2:$A$11, Dim_Hotel!$J$2:$J$11))</f>
        <v>135</v>
      </c>
    </row>
    <row r="3266" spans="1:13" x14ac:dyDescent="0.25">
      <c r="A3266" s="1">
        <f t="shared" si="400"/>
        <v>46349</v>
      </c>
      <c r="B3266" t="str" cm="1">
        <f t="array" ref="B3266">INDEX(HotelList,MOD(ROW()-2,10)+1)</f>
        <v>H005</v>
      </c>
      <c r="C3266">
        <f>_xlfn.XLOOKUP(B3266,Dim_Hotel!$A$2:$A$11,Dim_Hotel!$F$2:$F$11)</f>
        <v>66</v>
      </c>
      <c r="D3266">
        <f t="shared" si="401"/>
        <v>36</v>
      </c>
      <c r="E3266">
        <f t="shared" si="402"/>
        <v>0.54545454545454541</v>
      </c>
      <c r="F3266">
        <f t="shared" si="403"/>
        <v>82</v>
      </c>
      <c r="G3266">
        <f t="shared" si="404"/>
        <v>44.727272727272727</v>
      </c>
      <c r="H3266" t="str">
        <f>_xlfn.XLOOKUP(A3266,Fact_Events!$D$2:$D$20,Fact_Events!$A$2:$A$20, "")</f>
        <v/>
      </c>
      <c r="I3266">
        <f t="shared" si="405"/>
        <v>0</v>
      </c>
      <c r="J3266" t="str">
        <f>_xlfn.XLOOKUP(H3266, Fact_Events!$A$2:$A$20, Fact_Events!$F$2:$F$20, "")</f>
        <v/>
      </c>
      <c r="K3266" t="str">
        <f t="shared" si="406"/>
        <v>Low</v>
      </c>
      <c r="L3266">
        <f t="shared" si="407"/>
        <v>0.55000000000000004</v>
      </c>
      <c r="M3266">
        <f>_xlfn.XLOOKUP(B3266, Dim_Hotel!$A$2:$A$11, Dim_Hotel!$I$2:$I$11)
 + (IF(J3266="",0,J3266)
    * _xlfn.XLOOKUP(B3266, Dim_Hotel!$A$2:$A$11, Dim_Hotel!$J$2:$J$11))</f>
        <v>82</v>
      </c>
    </row>
    <row r="3267" spans="1:13" x14ac:dyDescent="0.25">
      <c r="A3267" s="1">
        <f t="shared" ref="A3267:A3330" si="408">DATE(2026,1,1) + INT((ROW()-2)/10)</f>
        <v>46349</v>
      </c>
      <c r="B3267" t="str" cm="1">
        <f t="array" ref="B3267">INDEX(HotelList,MOD(ROW()-2,10)+1)</f>
        <v>H006</v>
      </c>
      <c r="C3267">
        <f>_xlfn.XLOOKUP(B3267,Dim_Hotel!$A$2:$A$11,Dim_Hotel!$F$2:$F$11)</f>
        <v>311</v>
      </c>
      <c r="D3267">
        <f t="shared" ref="D3267:D3330" si="409">ROUND(L3267 * C3267, 0)</f>
        <v>171</v>
      </c>
      <c r="E3267">
        <f t="shared" ref="E3267:E3330" si="410">D3267/C3267</f>
        <v>0.54983922829581988</v>
      </c>
      <c r="F3267">
        <f t="shared" ref="F3267:F3330" si="411">M3267</f>
        <v>190</v>
      </c>
      <c r="G3267">
        <f t="shared" ref="G3267:G3330" si="412">E3267*F3267</f>
        <v>104.46945337620578</v>
      </c>
      <c r="H3267" t="str">
        <f>_xlfn.XLOOKUP(A3267,Fact_Events!$D$2:$D$20,Fact_Events!$A$2:$A$20, "")</f>
        <v/>
      </c>
      <c r="I3267">
        <f t="shared" ref="I3267:I3330" si="413">IF(H3267="",0,1)</f>
        <v>0</v>
      </c>
      <c r="J3267" t="str">
        <f>_xlfn.XLOOKUP(H3267, Fact_Events!$A$2:$A$20, Fact_Events!$F$2:$F$20, "")</f>
        <v/>
      </c>
      <c r="K3267" t="str">
        <f t="shared" ref="K3267:K3330" si="414">IF(I3267=0,"Low",
   IF(J3267&gt;=9,"High","Medium"))</f>
        <v>Low</v>
      </c>
      <c r="L3267">
        <f t="shared" ref="L3267:L3330" si="415">MIN(1,
  0.55
  + (I3267 * 0.25)
  + (IF(J3267="",0,J3267) / 100)
)</f>
        <v>0.55000000000000004</v>
      </c>
      <c r="M3267">
        <f>_xlfn.XLOOKUP(B3267, Dim_Hotel!$A$2:$A$11, Dim_Hotel!$I$2:$I$11)
 + (IF(J3267="",0,J3267)
    * _xlfn.XLOOKUP(B3267, Dim_Hotel!$A$2:$A$11, Dim_Hotel!$J$2:$J$11))</f>
        <v>190</v>
      </c>
    </row>
    <row r="3268" spans="1:13" x14ac:dyDescent="0.25">
      <c r="A3268" s="1">
        <f t="shared" si="408"/>
        <v>46349</v>
      </c>
      <c r="B3268" t="str" cm="1">
        <f t="array" ref="B3268">INDEX(HotelList,MOD(ROW()-2,10)+1)</f>
        <v>H007</v>
      </c>
      <c r="C3268">
        <f>_xlfn.XLOOKUP(B3268,Dim_Hotel!$A$2:$A$11,Dim_Hotel!$F$2:$F$11)</f>
        <v>132</v>
      </c>
      <c r="D3268">
        <f t="shared" si="409"/>
        <v>73</v>
      </c>
      <c r="E3268">
        <f t="shared" si="410"/>
        <v>0.55303030303030298</v>
      </c>
      <c r="F3268">
        <f t="shared" si="411"/>
        <v>165</v>
      </c>
      <c r="G3268">
        <f t="shared" si="412"/>
        <v>91.249999999999986</v>
      </c>
      <c r="H3268" t="str">
        <f>_xlfn.XLOOKUP(A3268,Fact_Events!$D$2:$D$20,Fact_Events!$A$2:$A$20, "")</f>
        <v/>
      </c>
      <c r="I3268">
        <f t="shared" si="413"/>
        <v>0</v>
      </c>
      <c r="J3268" t="str">
        <f>_xlfn.XLOOKUP(H3268, Fact_Events!$A$2:$A$20, Fact_Events!$F$2:$F$20, "")</f>
        <v/>
      </c>
      <c r="K3268" t="str">
        <f t="shared" si="414"/>
        <v>Low</v>
      </c>
      <c r="L3268">
        <f t="shared" si="415"/>
        <v>0.55000000000000004</v>
      </c>
      <c r="M3268">
        <f>_xlfn.XLOOKUP(B3268, Dim_Hotel!$A$2:$A$11, Dim_Hotel!$I$2:$I$11)
 + (IF(J3268="",0,J3268)
    * _xlfn.XLOOKUP(B3268, Dim_Hotel!$A$2:$A$11, Dim_Hotel!$J$2:$J$11))</f>
        <v>165</v>
      </c>
    </row>
    <row r="3269" spans="1:13" x14ac:dyDescent="0.25">
      <c r="A3269" s="1">
        <f t="shared" si="408"/>
        <v>46349</v>
      </c>
      <c r="B3269" t="str" cm="1">
        <f t="array" ref="B3269">INDEX(HotelList,MOD(ROW()-2,10)+1)</f>
        <v>H008</v>
      </c>
      <c r="C3269">
        <f>_xlfn.XLOOKUP(B3269,Dim_Hotel!$A$2:$A$11,Dim_Hotel!$F$2:$F$11)</f>
        <v>103</v>
      </c>
      <c r="D3269">
        <f t="shared" si="409"/>
        <v>57</v>
      </c>
      <c r="E3269">
        <f t="shared" si="410"/>
        <v>0.55339805825242716</v>
      </c>
      <c r="F3269">
        <f t="shared" si="411"/>
        <v>140</v>
      </c>
      <c r="G3269">
        <f t="shared" si="412"/>
        <v>77.475728155339809</v>
      </c>
      <c r="H3269" t="str">
        <f>_xlfn.XLOOKUP(A3269,Fact_Events!$D$2:$D$20,Fact_Events!$A$2:$A$20, "")</f>
        <v/>
      </c>
      <c r="I3269">
        <f t="shared" si="413"/>
        <v>0</v>
      </c>
      <c r="J3269" t="str">
        <f>_xlfn.XLOOKUP(H3269, Fact_Events!$A$2:$A$20, Fact_Events!$F$2:$F$20, "")</f>
        <v/>
      </c>
      <c r="K3269" t="str">
        <f t="shared" si="414"/>
        <v>Low</v>
      </c>
      <c r="L3269">
        <f t="shared" si="415"/>
        <v>0.55000000000000004</v>
      </c>
      <c r="M3269">
        <f>_xlfn.XLOOKUP(B3269, Dim_Hotel!$A$2:$A$11, Dim_Hotel!$I$2:$I$11)
 + (IF(J3269="",0,J3269)
    * _xlfn.XLOOKUP(B3269, Dim_Hotel!$A$2:$A$11, Dim_Hotel!$J$2:$J$11))</f>
        <v>140</v>
      </c>
    </row>
    <row r="3270" spans="1:13" x14ac:dyDescent="0.25">
      <c r="A3270" s="1">
        <f t="shared" si="408"/>
        <v>46349</v>
      </c>
      <c r="B3270" t="str" cm="1">
        <f t="array" ref="B3270">INDEX(HotelList,MOD(ROW()-2,10)+1)</f>
        <v>H009</v>
      </c>
      <c r="C3270">
        <f>_xlfn.XLOOKUP(B3270,Dim_Hotel!$A$2:$A$11,Dim_Hotel!$F$2:$F$11)</f>
        <v>114</v>
      </c>
      <c r="D3270">
        <f t="shared" si="409"/>
        <v>63</v>
      </c>
      <c r="E3270">
        <f t="shared" si="410"/>
        <v>0.55263157894736847</v>
      </c>
      <c r="F3270">
        <f t="shared" si="411"/>
        <v>185</v>
      </c>
      <c r="G3270">
        <f t="shared" si="412"/>
        <v>102.23684210526316</v>
      </c>
      <c r="H3270" t="str">
        <f>_xlfn.XLOOKUP(A3270,Fact_Events!$D$2:$D$20,Fact_Events!$A$2:$A$20, "")</f>
        <v/>
      </c>
      <c r="I3270">
        <f t="shared" si="413"/>
        <v>0</v>
      </c>
      <c r="J3270" t="str">
        <f>_xlfn.XLOOKUP(H3270, Fact_Events!$A$2:$A$20, Fact_Events!$F$2:$F$20, "")</f>
        <v/>
      </c>
      <c r="K3270" t="str">
        <f t="shared" si="414"/>
        <v>Low</v>
      </c>
      <c r="L3270">
        <f t="shared" si="415"/>
        <v>0.55000000000000004</v>
      </c>
      <c r="M3270">
        <f>_xlfn.XLOOKUP(B3270, Dim_Hotel!$A$2:$A$11, Dim_Hotel!$I$2:$I$11)
 + (IF(J3270="",0,J3270)
    * _xlfn.XLOOKUP(B3270, Dim_Hotel!$A$2:$A$11, Dim_Hotel!$J$2:$J$11))</f>
        <v>185</v>
      </c>
    </row>
    <row r="3271" spans="1:13" x14ac:dyDescent="0.25">
      <c r="A3271" s="1">
        <f t="shared" si="408"/>
        <v>46349</v>
      </c>
      <c r="B3271" t="str" cm="1">
        <f t="array" ref="B3271">INDEX(HotelList,MOD(ROW()-2,10)+1)</f>
        <v>H010</v>
      </c>
      <c r="C3271">
        <f>_xlfn.XLOOKUP(B3271,Dim_Hotel!$A$2:$A$11,Dim_Hotel!$F$2:$F$11)</f>
        <v>89</v>
      </c>
      <c r="D3271">
        <f t="shared" si="409"/>
        <v>49</v>
      </c>
      <c r="E3271">
        <f t="shared" si="410"/>
        <v>0.550561797752809</v>
      </c>
      <c r="F3271">
        <f t="shared" si="411"/>
        <v>150</v>
      </c>
      <c r="G3271">
        <f t="shared" si="412"/>
        <v>82.584269662921344</v>
      </c>
      <c r="H3271" t="str">
        <f>_xlfn.XLOOKUP(A3271,Fact_Events!$D$2:$D$20,Fact_Events!$A$2:$A$20, "")</f>
        <v/>
      </c>
      <c r="I3271">
        <f t="shared" si="413"/>
        <v>0</v>
      </c>
      <c r="J3271" t="str">
        <f>_xlfn.XLOOKUP(H3271, Fact_Events!$A$2:$A$20, Fact_Events!$F$2:$F$20, "")</f>
        <v/>
      </c>
      <c r="K3271" t="str">
        <f t="shared" si="414"/>
        <v>Low</v>
      </c>
      <c r="L3271">
        <f t="shared" si="415"/>
        <v>0.55000000000000004</v>
      </c>
      <c r="M3271">
        <f>_xlfn.XLOOKUP(B3271, Dim_Hotel!$A$2:$A$11, Dim_Hotel!$I$2:$I$11)
 + (IF(J3271="",0,J3271)
    * _xlfn.XLOOKUP(B3271, Dim_Hotel!$A$2:$A$11, Dim_Hotel!$J$2:$J$11))</f>
        <v>150</v>
      </c>
    </row>
    <row r="3272" spans="1:13" x14ac:dyDescent="0.25">
      <c r="A3272" s="1">
        <f t="shared" si="408"/>
        <v>46350</v>
      </c>
      <c r="B3272" t="str" cm="1">
        <f t="array" ref="B3272">INDEX(HotelList,MOD(ROW()-2,10)+1)</f>
        <v>H001</v>
      </c>
      <c r="C3272">
        <f>_xlfn.XLOOKUP(B3272,Dim_Hotel!$A$2:$A$11,Dim_Hotel!$F$2:$F$11)</f>
        <v>888</v>
      </c>
      <c r="D3272">
        <f t="shared" si="409"/>
        <v>488</v>
      </c>
      <c r="E3272">
        <f t="shared" si="410"/>
        <v>0.5495495495495496</v>
      </c>
      <c r="F3272">
        <f t="shared" si="411"/>
        <v>260</v>
      </c>
      <c r="G3272">
        <f t="shared" si="412"/>
        <v>142.88288288288288</v>
      </c>
      <c r="H3272" t="str">
        <f>_xlfn.XLOOKUP(A3272,Fact_Events!$D$2:$D$20,Fact_Events!$A$2:$A$20, "")</f>
        <v/>
      </c>
      <c r="I3272">
        <f t="shared" si="413"/>
        <v>0</v>
      </c>
      <c r="J3272" t="str">
        <f>_xlfn.XLOOKUP(H3272, Fact_Events!$A$2:$A$20, Fact_Events!$F$2:$F$20, "")</f>
        <v/>
      </c>
      <c r="K3272" t="str">
        <f t="shared" si="414"/>
        <v>Low</v>
      </c>
      <c r="L3272">
        <f t="shared" si="415"/>
        <v>0.55000000000000004</v>
      </c>
      <c r="M3272">
        <f>_xlfn.XLOOKUP(B3272, Dim_Hotel!$A$2:$A$11, Dim_Hotel!$I$2:$I$11)
 + (IF(J3272="",0,J3272)
    * _xlfn.XLOOKUP(B3272, Dim_Hotel!$A$2:$A$11, Dim_Hotel!$J$2:$J$11))</f>
        <v>260</v>
      </c>
    </row>
    <row r="3273" spans="1:13" x14ac:dyDescent="0.25">
      <c r="A3273" s="1">
        <f t="shared" si="408"/>
        <v>46350</v>
      </c>
      <c r="B3273" t="str" cm="1">
        <f t="array" ref="B3273">INDEX(HotelList,MOD(ROW()-2,10)+1)</f>
        <v>H002</v>
      </c>
      <c r="C3273">
        <f>_xlfn.XLOOKUP(B3273,Dim_Hotel!$A$2:$A$11,Dim_Hotel!$F$2:$F$11)</f>
        <v>147</v>
      </c>
      <c r="D3273">
        <f t="shared" si="409"/>
        <v>81</v>
      </c>
      <c r="E3273">
        <f t="shared" si="410"/>
        <v>0.55102040816326525</v>
      </c>
      <c r="F3273">
        <f t="shared" si="411"/>
        <v>175</v>
      </c>
      <c r="G3273">
        <f t="shared" si="412"/>
        <v>96.428571428571416</v>
      </c>
      <c r="H3273" t="str">
        <f>_xlfn.XLOOKUP(A3273,Fact_Events!$D$2:$D$20,Fact_Events!$A$2:$A$20, "")</f>
        <v/>
      </c>
      <c r="I3273">
        <f t="shared" si="413"/>
        <v>0</v>
      </c>
      <c r="J3273" t="str">
        <f>_xlfn.XLOOKUP(H3273, Fact_Events!$A$2:$A$20, Fact_Events!$F$2:$F$20, "")</f>
        <v/>
      </c>
      <c r="K3273" t="str">
        <f t="shared" si="414"/>
        <v>Low</v>
      </c>
      <c r="L3273">
        <f t="shared" si="415"/>
        <v>0.55000000000000004</v>
      </c>
      <c r="M3273">
        <f>_xlfn.XLOOKUP(B3273, Dim_Hotel!$A$2:$A$11, Dim_Hotel!$I$2:$I$11)
 + (IF(J3273="",0,J3273)
    * _xlfn.XLOOKUP(B3273, Dim_Hotel!$A$2:$A$11, Dim_Hotel!$J$2:$J$11))</f>
        <v>175</v>
      </c>
    </row>
    <row r="3274" spans="1:13" x14ac:dyDescent="0.25">
      <c r="A3274" s="1">
        <f t="shared" si="408"/>
        <v>46350</v>
      </c>
      <c r="B3274" t="str" cm="1">
        <f t="array" ref="B3274">INDEX(HotelList,MOD(ROW()-2,10)+1)</f>
        <v>H003</v>
      </c>
      <c r="C3274">
        <f>_xlfn.XLOOKUP(B3274,Dim_Hotel!$A$2:$A$11,Dim_Hotel!$F$2:$F$11)</f>
        <v>121</v>
      </c>
      <c r="D3274">
        <f t="shared" si="409"/>
        <v>67</v>
      </c>
      <c r="E3274">
        <f t="shared" si="410"/>
        <v>0.55371900826446285</v>
      </c>
      <c r="F3274">
        <f t="shared" si="411"/>
        <v>145</v>
      </c>
      <c r="G3274">
        <f t="shared" si="412"/>
        <v>80.289256198347118</v>
      </c>
      <c r="H3274" t="str">
        <f>_xlfn.XLOOKUP(A3274,Fact_Events!$D$2:$D$20,Fact_Events!$A$2:$A$20, "")</f>
        <v/>
      </c>
      <c r="I3274">
        <f t="shared" si="413"/>
        <v>0</v>
      </c>
      <c r="J3274" t="str">
        <f>_xlfn.XLOOKUP(H3274, Fact_Events!$A$2:$A$20, Fact_Events!$F$2:$F$20, "")</f>
        <v/>
      </c>
      <c r="K3274" t="str">
        <f t="shared" si="414"/>
        <v>Low</v>
      </c>
      <c r="L3274">
        <f t="shared" si="415"/>
        <v>0.55000000000000004</v>
      </c>
      <c r="M3274">
        <f>_xlfn.XLOOKUP(B3274, Dim_Hotel!$A$2:$A$11, Dim_Hotel!$I$2:$I$11)
 + (IF(J3274="",0,J3274)
    * _xlfn.XLOOKUP(B3274, Dim_Hotel!$A$2:$A$11, Dim_Hotel!$J$2:$J$11))</f>
        <v>145</v>
      </c>
    </row>
    <row r="3275" spans="1:13" x14ac:dyDescent="0.25">
      <c r="A3275" s="1">
        <f t="shared" si="408"/>
        <v>46350</v>
      </c>
      <c r="B3275" t="str" cm="1">
        <f t="array" ref="B3275">INDEX(HotelList,MOD(ROW()-2,10)+1)</f>
        <v>H004</v>
      </c>
      <c r="C3275">
        <f>_xlfn.XLOOKUP(B3275,Dim_Hotel!$A$2:$A$11,Dim_Hotel!$F$2:$F$11)</f>
        <v>108</v>
      </c>
      <c r="D3275">
        <f t="shared" si="409"/>
        <v>59</v>
      </c>
      <c r="E3275">
        <f t="shared" si="410"/>
        <v>0.54629629629629628</v>
      </c>
      <c r="F3275">
        <f t="shared" si="411"/>
        <v>135</v>
      </c>
      <c r="G3275">
        <f t="shared" si="412"/>
        <v>73.75</v>
      </c>
      <c r="H3275" t="str">
        <f>_xlfn.XLOOKUP(A3275,Fact_Events!$D$2:$D$20,Fact_Events!$A$2:$A$20, "")</f>
        <v/>
      </c>
      <c r="I3275">
        <f t="shared" si="413"/>
        <v>0</v>
      </c>
      <c r="J3275" t="str">
        <f>_xlfn.XLOOKUP(H3275, Fact_Events!$A$2:$A$20, Fact_Events!$F$2:$F$20, "")</f>
        <v/>
      </c>
      <c r="K3275" t="str">
        <f t="shared" si="414"/>
        <v>Low</v>
      </c>
      <c r="L3275">
        <f t="shared" si="415"/>
        <v>0.55000000000000004</v>
      </c>
      <c r="M3275">
        <f>_xlfn.XLOOKUP(B3275, Dim_Hotel!$A$2:$A$11, Dim_Hotel!$I$2:$I$11)
 + (IF(J3275="",0,J3275)
    * _xlfn.XLOOKUP(B3275, Dim_Hotel!$A$2:$A$11, Dim_Hotel!$J$2:$J$11))</f>
        <v>135</v>
      </c>
    </row>
    <row r="3276" spans="1:13" x14ac:dyDescent="0.25">
      <c r="A3276" s="1">
        <f t="shared" si="408"/>
        <v>46350</v>
      </c>
      <c r="B3276" t="str" cm="1">
        <f t="array" ref="B3276">INDEX(HotelList,MOD(ROW()-2,10)+1)</f>
        <v>H005</v>
      </c>
      <c r="C3276">
        <f>_xlfn.XLOOKUP(B3276,Dim_Hotel!$A$2:$A$11,Dim_Hotel!$F$2:$F$11)</f>
        <v>66</v>
      </c>
      <c r="D3276">
        <f t="shared" si="409"/>
        <v>36</v>
      </c>
      <c r="E3276">
        <f t="shared" si="410"/>
        <v>0.54545454545454541</v>
      </c>
      <c r="F3276">
        <f t="shared" si="411"/>
        <v>82</v>
      </c>
      <c r="G3276">
        <f t="shared" si="412"/>
        <v>44.727272727272727</v>
      </c>
      <c r="H3276" t="str">
        <f>_xlfn.XLOOKUP(A3276,Fact_Events!$D$2:$D$20,Fact_Events!$A$2:$A$20, "")</f>
        <v/>
      </c>
      <c r="I3276">
        <f t="shared" si="413"/>
        <v>0</v>
      </c>
      <c r="J3276" t="str">
        <f>_xlfn.XLOOKUP(H3276, Fact_Events!$A$2:$A$20, Fact_Events!$F$2:$F$20, "")</f>
        <v/>
      </c>
      <c r="K3276" t="str">
        <f t="shared" si="414"/>
        <v>Low</v>
      </c>
      <c r="L3276">
        <f t="shared" si="415"/>
        <v>0.55000000000000004</v>
      </c>
      <c r="M3276">
        <f>_xlfn.XLOOKUP(B3276, Dim_Hotel!$A$2:$A$11, Dim_Hotel!$I$2:$I$11)
 + (IF(J3276="",0,J3276)
    * _xlfn.XLOOKUP(B3276, Dim_Hotel!$A$2:$A$11, Dim_Hotel!$J$2:$J$11))</f>
        <v>82</v>
      </c>
    </row>
    <row r="3277" spans="1:13" x14ac:dyDescent="0.25">
      <c r="A3277" s="1">
        <f t="shared" si="408"/>
        <v>46350</v>
      </c>
      <c r="B3277" t="str" cm="1">
        <f t="array" ref="B3277">INDEX(HotelList,MOD(ROW()-2,10)+1)</f>
        <v>H006</v>
      </c>
      <c r="C3277">
        <f>_xlfn.XLOOKUP(B3277,Dim_Hotel!$A$2:$A$11,Dim_Hotel!$F$2:$F$11)</f>
        <v>311</v>
      </c>
      <c r="D3277">
        <f t="shared" si="409"/>
        <v>171</v>
      </c>
      <c r="E3277">
        <f t="shared" si="410"/>
        <v>0.54983922829581988</v>
      </c>
      <c r="F3277">
        <f t="shared" si="411"/>
        <v>190</v>
      </c>
      <c r="G3277">
        <f t="shared" si="412"/>
        <v>104.46945337620578</v>
      </c>
      <c r="H3277" t="str">
        <f>_xlfn.XLOOKUP(A3277,Fact_Events!$D$2:$D$20,Fact_Events!$A$2:$A$20, "")</f>
        <v/>
      </c>
      <c r="I3277">
        <f t="shared" si="413"/>
        <v>0</v>
      </c>
      <c r="J3277" t="str">
        <f>_xlfn.XLOOKUP(H3277, Fact_Events!$A$2:$A$20, Fact_Events!$F$2:$F$20, "")</f>
        <v/>
      </c>
      <c r="K3277" t="str">
        <f t="shared" si="414"/>
        <v>Low</v>
      </c>
      <c r="L3277">
        <f t="shared" si="415"/>
        <v>0.55000000000000004</v>
      </c>
      <c r="M3277">
        <f>_xlfn.XLOOKUP(B3277, Dim_Hotel!$A$2:$A$11, Dim_Hotel!$I$2:$I$11)
 + (IF(J3277="",0,J3277)
    * _xlfn.XLOOKUP(B3277, Dim_Hotel!$A$2:$A$11, Dim_Hotel!$J$2:$J$11))</f>
        <v>190</v>
      </c>
    </row>
    <row r="3278" spans="1:13" x14ac:dyDescent="0.25">
      <c r="A3278" s="1">
        <f t="shared" si="408"/>
        <v>46350</v>
      </c>
      <c r="B3278" t="str" cm="1">
        <f t="array" ref="B3278">INDEX(HotelList,MOD(ROW()-2,10)+1)</f>
        <v>H007</v>
      </c>
      <c r="C3278">
        <f>_xlfn.XLOOKUP(B3278,Dim_Hotel!$A$2:$A$11,Dim_Hotel!$F$2:$F$11)</f>
        <v>132</v>
      </c>
      <c r="D3278">
        <f t="shared" si="409"/>
        <v>73</v>
      </c>
      <c r="E3278">
        <f t="shared" si="410"/>
        <v>0.55303030303030298</v>
      </c>
      <c r="F3278">
        <f t="shared" si="411"/>
        <v>165</v>
      </c>
      <c r="G3278">
        <f t="shared" si="412"/>
        <v>91.249999999999986</v>
      </c>
      <c r="H3278" t="str">
        <f>_xlfn.XLOOKUP(A3278,Fact_Events!$D$2:$D$20,Fact_Events!$A$2:$A$20, "")</f>
        <v/>
      </c>
      <c r="I3278">
        <f t="shared" si="413"/>
        <v>0</v>
      </c>
      <c r="J3278" t="str">
        <f>_xlfn.XLOOKUP(H3278, Fact_Events!$A$2:$A$20, Fact_Events!$F$2:$F$20, "")</f>
        <v/>
      </c>
      <c r="K3278" t="str">
        <f t="shared" si="414"/>
        <v>Low</v>
      </c>
      <c r="L3278">
        <f t="shared" si="415"/>
        <v>0.55000000000000004</v>
      </c>
      <c r="M3278">
        <f>_xlfn.XLOOKUP(B3278, Dim_Hotel!$A$2:$A$11, Dim_Hotel!$I$2:$I$11)
 + (IF(J3278="",0,J3278)
    * _xlfn.XLOOKUP(B3278, Dim_Hotel!$A$2:$A$11, Dim_Hotel!$J$2:$J$11))</f>
        <v>165</v>
      </c>
    </row>
    <row r="3279" spans="1:13" x14ac:dyDescent="0.25">
      <c r="A3279" s="1">
        <f t="shared" si="408"/>
        <v>46350</v>
      </c>
      <c r="B3279" t="str" cm="1">
        <f t="array" ref="B3279">INDEX(HotelList,MOD(ROW()-2,10)+1)</f>
        <v>H008</v>
      </c>
      <c r="C3279">
        <f>_xlfn.XLOOKUP(B3279,Dim_Hotel!$A$2:$A$11,Dim_Hotel!$F$2:$F$11)</f>
        <v>103</v>
      </c>
      <c r="D3279">
        <f t="shared" si="409"/>
        <v>57</v>
      </c>
      <c r="E3279">
        <f t="shared" si="410"/>
        <v>0.55339805825242716</v>
      </c>
      <c r="F3279">
        <f t="shared" si="411"/>
        <v>140</v>
      </c>
      <c r="G3279">
        <f t="shared" si="412"/>
        <v>77.475728155339809</v>
      </c>
      <c r="H3279" t="str">
        <f>_xlfn.XLOOKUP(A3279,Fact_Events!$D$2:$D$20,Fact_Events!$A$2:$A$20, "")</f>
        <v/>
      </c>
      <c r="I3279">
        <f t="shared" si="413"/>
        <v>0</v>
      </c>
      <c r="J3279" t="str">
        <f>_xlfn.XLOOKUP(H3279, Fact_Events!$A$2:$A$20, Fact_Events!$F$2:$F$20, "")</f>
        <v/>
      </c>
      <c r="K3279" t="str">
        <f t="shared" si="414"/>
        <v>Low</v>
      </c>
      <c r="L3279">
        <f t="shared" si="415"/>
        <v>0.55000000000000004</v>
      </c>
      <c r="M3279">
        <f>_xlfn.XLOOKUP(B3279, Dim_Hotel!$A$2:$A$11, Dim_Hotel!$I$2:$I$11)
 + (IF(J3279="",0,J3279)
    * _xlfn.XLOOKUP(B3279, Dim_Hotel!$A$2:$A$11, Dim_Hotel!$J$2:$J$11))</f>
        <v>140</v>
      </c>
    </row>
    <row r="3280" spans="1:13" x14ac:dyDescent="0.25">
      <c r="A3280" s="1">
        <f t="shared" si="408"/>
        <v>46350</v>
      </c>
      <c r="B3280" t="str" cm="1">
        <f t="array" ref="B3280">INDEX(HotelList,MOD(ROW()-2,10)+1)</f>
        <v>H009</v>
      </c>
      <c r="C3280">
        <f>_xlfn.XLOOKUP(B3280,Dim_Hotel!$A$2:$A$11,Dim_Hotel!$F$2:$F$11)</f>
        <v>114</v>
      </c>
      <c r="D3280">
        <f t="shared" si="409"/>
        <v>63</v>
      </c>
      <c r="E3280">
        <f t="shared" si="410"/>
        <v>0.55263157894736847</v>
      </c>
      <c r="F3280">
        <f t="shared" si="411"/>
        <v>185</v>
      </c>
      <c r="G3280">
        <f t="shared" si="412"/>
        <v>102.23684210526316</v>
      </c>
      <c r="H3280" t="str">
        <f>_xlfn.XLOOKUP(A3280,Fact_Events!$D$2:$D$20,Fact_Events!$A$2:$A$20, "")</f>
        <v/>
      </c>
      <c r="I3280">
        <f t="shared" si="413"/>
        <v>0</v>
      </c>
      <c r="J3280" t="str">
        <f>_xlfn.XLOOKUP(H3280, Fact_Events!$A$2:$A$20, Fact_Events!$F$2:$F$20, "")</f>
        <v/>
      </c>
      <c r="K3280" t="str">
        <f t="shared" si="414"/>
        <v>Low</v>
      </c>
      <c r="L3280">
        <f t="shared" si="415"/>
        <v>0.55000000000000004</v>
      </c>
      <c r="M3280">
        <f>_xlfn.XLOOKUP(B3280, Dim_Hotel!$A$2:$A$11, Dim_Hotel!$I$2:$I$11)
 + (IF(J3280="",0,J3280)
    * _xlfn.XLOOKUP(B3280, Dim_Hotel!$A$2:$A$11, Dim_Hotel!$J$2:$J$11))</f>
        <v>185</v>
      </c>
    </row>
    <row r="3281" spans="1:13" x14ac:dyDescent="0.25">
      <c r="A3281" s="1">
        <f t="shared" si="408"/>
        <v>46350</v>
      </c>
      <c r="B3281" t="str" cm="1">
        <f t="array" ref="B3281">INDEX(HotelList,MOD(ROW()-2,10)+1)</f>
        <v>H010</v>
      </c>
      <c r="C3281">
        <f>_xlfn.XLOOKUP(B3281,Dim_Hotel!$A$2:$A$11,Dim_Hotel!$F$2:$F$11)</f>
        <v>89</v>
      </c>
      <c r="D3281">
        <f t="shared" si="409"/>
        <v>49</v>
      </c>
      <c r="E3281">
        <f t="shared" si="410"/>
        <v>0.550561797752809</v>
      </c>
      <c r="F3281">
        <f t="shared" si="411"/>
        <v>150</v>
      </c>
      <c r="G3281">
        <f t="shared" si="412"/>
        <v>82.584269662921344</v>
      </c>
      <c r="H3281" t="str">
        <f>_xlfn.XLOOKUP(A3281,Fact_Events!$D$2:$D$20,Fact_Events!$A$2:$A$20, "")</f>
        <v/>
      </c>
      <c r="I3281">
        <f t="shared" si="413"/>
        <v>0</v>
      </c>
      <c r="J3281" t="str">
        <f>_xlfn.XLOOKUP(H3281, Fact_Events!$A$2:$A$20, Fact_Events!$F$2:$F$20, "")</f>
        <v/>
      </c>
      <c r="K3281" t="str">
        <f t="shared" si="414"/>
        <v>Low</v>
      </c>
      <c r="L3281">
        <f t="shared" si="415"/>
        <v>0.55000000000000004</v>
      </c>
      <c r="M3281">
        <f>_xlfn.XLOOKUP(B3281, Dim_Hotel!$A$2:$A$11, Dim_Hotel!$I$2:$I$11)
 + (IF(J3281="",0,J3281)
    * _xlfn.XLOOKUP(B3281, Dim_Hotel!$A$2:$A$11, Dim_Hotel!$J$2:$J$11))</f>
        <v>150</v>
      </c>
    </row>
    <row r="3282" spans="1:13" x14ac:dyDescent="0.25">
      <c r="A3282" s="1">
        <f t="shared" si="408"/>
        <v>46351</v>
      </c>
      <c r="B3282" t="str" cm="1">
        <f t="array" ref="B3282">INDEX(HotelList,MOD(ROW()-2,10)+1)</f>
        <v>H001</v>
      </c>
      <c r="C3282">
        <f>_xlfn.XLOOKUP(B3282,Dim_Hotel!$A$2:$A$11,Dim_Hotel!$F$2:$F$11)</f>
        <v>888</v>
      </c>
      <c r="D3282">
        <f t="shared" si="409"/>
        <v>488</v>
      </c>
      <c r="E3282">
        <f t="shared" si="410"/>
        <v>0.5495495495495496</v>
      </c>
      <c r="F3282">
        <f t="shared" si="411"/>
        <v>260</v>
      </c>
      <c r="G3282">
        <f t="shared" si="412"/>
        <v>142.88288288288288</v>
      </c>
      <c r="H3282" t="str">
        <f>_xlfn.XLOOKUP(A3282,Fact_Events!$D$2:$D$20,Fact_Events!$A$2:$A$20, "")</f>
        <v/>
      </c>
      <c r="I3282">
        <f t="shared" si="413"/>
        <v>0</v>
      </c>
      <c r="J3282" t="str">
        <f>_xlfn.XLOOKUP(H3282, Fact_Events!$A$2:$A$20, Fact_Events!$F$2:$F$20, "")</f>
        <v/>
      </c>
      <c r="K3282" t="str">
        <f t="shared" si="414"/>
        <v>Low</v>
      </c>
      <c r="L3282">
        <f t="shared" si="415"/>
        <v>0.55000000000000004</v>
      </c>
      <c r="M3282">
        <f>_xlfn.XLOOKUP(B3282, Dim_Hotel!$A$2:$A$11, Dim_Hotel!$I$2:$I$11)
 + (IF(J3282="",0,J3282)
    * _xlfn.XLOOKUP(B3282, Dim_Hotel!$A$2:$A$11, Dim_Hotel!$J$2:$J$11))</f>
        <v>260</v>
      </c>
    </row>
    <row r="3283" spans="1:13" x14ac:dyDescent="0.25">
      <c r="A3283" s="1">
        <f t="shared" si="408"/>
        <v>46351</v>
      </c>
      <c r="B3283" t="str" cm="1">
        <f t="array" ref="B3283">INDEX(HotelList,MOD(ROW()-2,10)+1)</f>
        <v>H002</v>
      </c>
      <c r="C3283">
        <f>_xlfn.XLOOKUP(B3283,Dim_Hotel!$A$2:$A$11,Dim_Hotel!$F$2:$F$11)</f>
        <v>147</v>
      </c>
      <c r="D3283">
        <f t="shared" si="409"/>
        <v>81</v>
      </c>
      <c r="E3283">
        <f t="shared" si="410"/>
        <v>0.55102040816326525</v>
      </c>
      <c r="F3283">
        <f t="shared" si="411"/>
        <v>175</v>
      </c>
      <c r="G3283">
        <f t="shared" si="412"/>
        <v>96.428571428571416</v>
      </c>
      <c r="H3283" t="str">
        <f>_xlfn.XLOOKUP(A3283,Fact_Events!$D$2:$D$20,Fact_Events!$A$2:$A$20, "")</f>
        <v/>
      </c>
      <c r="I3283">
        <f t="shared" si="413"/>
        <v>0</v>
      </c>
      <c r="J3283" t="str">
        <f>_xlfn.XLOOKUP(H3283, Fact_Events!$A$2:$A$20, Fact_Events!$F$2:$F$20, "")</f>
        <v/>
      </c>
      <c r="K3283" t="str">
        <f t="shared" si="414"/>
        <v>Low</v>
      </c>
      <c r="L3283">
        <f t="shared" si="415"/>
        <v>0.55000000000000004</v>
      </c>
      <c r="M3283">
        <f>_xlfn.XLOOKUP(B3283, Dim_Hotel!$A$2:$A$11, Dim_Hotel!$I$2:$I$11)
 + (IF(J3283="",0,J3283)
    * _xlfn.XLOOKUP(B3283, Dim_Hotel!$A$2:$A$11, Dim_Hotel!$J$2:$J$11))</f>
        <v>175</v>
      </c>
    </row>
    <row r="3284" spans="1:13" x14ac:dyDescent="0.25">
      <c r="A3284" s="1">
        <f t="shared" si="408"/>
        <v>46351</v>
      </c>
      <c r="B3284" t="str" cm="1">
        <f t="array" ref="B3284">INDEX(HotelList,MOD(ROW()-2,10)+1)</f>
        <v>H003</v>
      </c>
      <c r="C3284">
        <f>_xlfn.XLOOKUP(B3284,Dim_Hotel!$A$2:$A$11,Dim_Hotel!$F$2:$F$11)</f>
        <v>121</v>
      </c>
      <c r="D3284">
        <f t="shared" si="409"/>
        <v>67</v>
      </c>
      <c r="E3284">
        <f t="shared" si="410"/>
        <v>0.55371900826446285</v>
      </c>
      <c r="F3284">
        <f t="shared" si="411"/>
        <v>145</v>
      </c>
      <c r="G3284">
        <f t="shared" si="412"/>
        <v>80.289256198347118</v>
      </c>
      <c r="H3284" t="str">
        <f>_xlfn.XLOOKUP(A3284,Fact_Events!$D$2:$D$20,Fact_Events!$A$2:$A$20, "")</f>
        <v/>
      </c>
      <c r="I3284">
        <f t="shared" si="413"/>
        <v>0</v>
      </c>
      <c r="J3284" t="str">
        <f>_xlfn.XLOOKUP(H3284, Fact_Events!$A$2:$A$20, Fact_Events!$F$2:$F$20, "")</f>
        <v/>
      </c>
      <c r="K3284" t="str">
        <f t="shared" si="414"/>
        <v>Low</v>
      </c>
      <c r="L3284">
        <f t="shared" si="415"/>
        <v>0.55000000000000004</v>
      </c>
      <c r="M3284">
        <f>_xlfn.XLOOKUP(B3284, Dim_Hotel!$A$2:$A$11, Dim_Hotel!$I$2:$I$11)
 + (IF(J3284="",0,J3284)
    * _xlfn.XLOOKUP(B3284, Dim_Hotel!$A$2:$A$11, Dim_Hotel!$J$2:$J$11))</f>
        <v>145</v>
      </c>
    </row>
    <row r="3285" spans="1:13" x14ac:dyDescent="0.25">
      <c r="A3285" s="1">
        <f t="shared" si="408"/>
        <v>46351</v>
      </c>
      <c r="B3285" t="str" cm="1">
        <f t="array" ref="B3285">INDEX(HotelList,MOD(ROW()-2,10)+1)</f>
        <v>H004</v>
      </c>
      <c r="C3285">
        <f>_xlfn.XLOOKUP(B3285,Dim_Hotel!$A$2:$A$11,Dim_Hotel!$F$2:$F$11)</f>
        <v>108</v>
      </c>
      <c r="D3285">
        <f t="shared" si="409"/>
        <v>59</v>
      </c>
      <c r="E3285">
        <f t="shared" si="410"/>
        <v>0.54629629629629628</v>
      </c>
      <c r="F3285">
        <f t="shared" si="411"/>
        <v>135</v>
      </c>
      <c r="G3285">
        <f t="shared" si="412"/>
        <v>73.75</v>
      </c>
      <c r="H3285" t="str">
        <f>_xlfn.XLOOKUP(A3285,Fact_Events!$D$2:$D$20,Fact_Events!$A$2:$A$20, "")</f>
        <v/>
      </c>
      <c r="I3285">
        <f t="shared" si="413"/>
        <v>0</v>
      </c>
      <c r="J3285" t="str">
        <f>_xlfn.XLOOKUP(H3285, Fact_Events!$A$2:$A$20, Fact_Events!$F$2:$F$20, "")</f>
        <v/>
      </c>
      <c r="K3285" t="str">
        <f t="shared" si="414"/>
        <v>Low</v>
      </c>
      <c r="L3285">
        <f t="shared" si="415"/>
        <v>0.55000000000000004</v>
      </c>
      <c r="M3285">
        <f>_xlfn.XLOOKUP(B3285, Dim_Hotel!$A$2:$A$11, Dim_Hotel!$I$2:$I$11)
 + (IF(J3285="",0,J3285)
    * _xlfn.XLOOKUP(B3285, Dim_Hotel!$A$2:$A$11, Dim_Hotel!$J$2:$J$11))</f>
        <v>135</v>
      </c>
    </row>
    <row r="3286" spans="1:13" x14ac:dyDescent="0.25">
      <c r="A3286" s="1">
        <f t="shared" si="408"/>
        <v>46351</v>
      </c>
      <c r="B3286" t="str" cm="1">
        <f t="array" ref="B3286">INDEX(HotelList,MOD(ROW()-2,10)+1)</f>
        <v>H005</v>
      </c>
      <c r="C3286">
        <f>_xlfn.XLOOKUP(B3286,Dim_Hotel!$A$2:$A$11,Dim_Hotel!$F$2:$F$11)</f>
        <v>66</v>
      </c>
      <c r="D3286">
        <f t="shared" si="409"/>
        <v>36</v>
      </c>
      <c r="E3286">
        <f t="shared" si="410"/>
        <v>0.54545454545454541</v>
      </c>
      <c r="F3286">
        <f t="shared" si="411"/>
        <v>82</v>
      </c>
      <c r="G3286">
        <f t="shared" si="412"/>
        <v>44.727272727272727</v>
      </c>
      <c r="H3286" t="str">
        <f>_xlfn.XLOOKUP(A3286,Fact_Events!$D$2:$D$20,Fact_Events!$A$2:$A$20, "")</f>
        <v/>
      </c>
      <c r="I3286">
        <f t="shared" si="413"/>
        <v>0</v>
      </c>
      <c r="J3286" t="str">
        <f>_xlfn.XLOOKUP(H3286, Fact_Events!$A$2:$A$20, Fact_Events!$F$2:$F$20, "")</f>
        <v/>
      </c>
      <c r="K3286" t="str">
        <f t="shared" si="414"/>
        <v>Low</v>
      </c>
      <c r="L3286">
        <f t="shared" si="415"/>
        <v>0.55000000000000004</v>
      </c>
      <c r="M3286">
        <f>_xlfn.XLOOKUP(B3286, Dim_Hotel!$A$2:$A$11, Dim_Hotel!$I$2:$I$11)
 + (IF(J3286="",0,J3286)
    * _xlfn.XLOOKUP(B3286, Dim_Hotel!$A$2:$A$11, Dim_Hotel!$J$2:$J$11))</f>
        <v>82</v>
      </c>
    </row>
    <row r="3287" spans="1:13" x14ac:dyDescent="0.25">
      <c r="A3287" s="1">
        <f t="shared" si="408"/>
        <v>46351</v>
      </c>
      <c r="B3287" t="str" cm="1">
        <f t="array" ref="B3287">INDEX(HotelList,MOD(ROW()-2,10)+1)</f>
        <v>H006</v>
      </c>
      <c r="C3287">
        <f>_xlfn.XLOOKUP(B3287,Dim_Hotel!$A$2:$A$11,Dim_Hotel!$F$2:$F$11)</f>
        <v>311</v>
      </c>
      <c r="D3287">
        <f t="shared" si="409"/>
        <v>171</v>
      </c>
      <c r="E3287">
        <f t="shared" si="410"/>
        <v>0.54983922829581988</v>
      </c>
      <c r="F3287">
        <f t="shared" si="411"/>
        <v>190</v>
      </c>
      <c r="G3287">
        <f t="shared" si="412"/>
        <v>104.46945337620578</v>
      </c>
      <c r="H3287" t="str">
        <f>_xlfn.XLOOKUP(A3287,Fact_Events!$D$2:$D$20,Fact_Events!$A$2:$A$20, "")</f>
        <v/>
      </c>
      <c r="I3287">
        <f t="shared" si="413"/>
        <v>0</v>
      </c>
      <c r="J3287" t="str">
        <f>_xlfn.XLOOKUP(H3287, Fact_Events!$A$2:$A$20, Fact_Events!$F$2:$F$20, "")</f>
        <v/>
      </c>
      <c r="K3287" t="str">
        <f t="shared" si="414"/>
        <v>Low</v>
      </c>
      <c r="L3287">
        <f t="shared" si="415"/>
        <v>0.55000000000000004</v>
      </c>
      <c r="M3287">
        <f>_xlfn.XLOOKUP(B3287, Dim_Hotel!$A$2:$A$11, Dim_Hotel!$I$2:$I$11)
 + (IF(J3287="",0,J3287)
    * _xlfn.XLOOKUP(B3287, Dim_Hotel!$A$2:$A$11, Dim_Hotel!$J$2:$J$11))</f>
        <v>190</v>
      </c>
    </row>
    <row r="3288" spans="1:13" x14ac:dyDescent="0.25">
      <c r="A3288" s="1">
        <f t="shared" si="408"/>
        <v>46351</v>
      </c>
      <c r="B3288" t="str" cm="1">
        <f t="array" ref="B3288">INDEX(HotelList,MOD(ROW()-2,10)+1)</f>
        <v>H007</v>
      </c>
      <c r="C3288">
        <f>_xlfn.XLOOKUP(B3288,Dim_Hotel!$A$2:$A$11,Dim_Hotel!$F$2:$F$11)</f>
        <v>132</v>
      </c>
      <c r="D3288">
        <f t="shared" si="409"/>
        <v>73</v>
      </c>
      <c r="E3288">
        <f t="shared" si="410"/>
        <v>0.55303030303030298</v>
      </c>
      <c r="F3288">
        <f t="shared" si="411"/>
        <v>165</v>
      </c>
      <c r="G3288">
        <f t="shared" si="412"/>
        <v>91.249999999999986</v>
      </c>
      <c r="H3288" t="str">
        <f>_xlfn.XLOOKUP(A3288,Fact_Events!$D$2:$D$20,Fact_Events!$A$2:$A$20, "")</f>
        <v/>
      </c>
      <c r="I3288">
        <f t="shared" si="413"/>
        <v>0</v>
      </c>
      <c r="J3288" t="str">
        <f>_xlfn.XLOOKUP(H3288, Fact_Events!$A$2:$A$20, Fact_Events!$F$2:$F$20, "")</f>
        <v/>
      </c>
      <c r="K3288" t="str">
        <f t="shared" si="414"/>
        <v>Low</v>
      </c>
      <c r="L3288">
        <f t="shared" si="415"/>
        <v>0.55000000000000004</v>
      </c>
      <c r="M3288">
        <f>_xlfn.XLOOKUP(B3288, Dim_Hotel!$A$2:$A$11, Dim_Hotel!$I$2:$I$11)
 + (IF(J3288="",0,J3288)
    * _xlfn.XLOOKUP(B3288, Dim_Hotel!$A$2:$A$11, Dim_Hotel!$J$2:$J$11))</f>
        <v>165</v>
      </c>
    </row>
    <row r="3289" spans="1:13" x14ac:dyDescent="0.25">
      <c r="A3289" s="1">
        <f t="shared" si="408"/>
        <v>46351</v>
      </c>
      <c r="B3289" t="str" cm="1">
        <f t="array" ref="B3289">INDEX(HotelList,MOD(ROW()-2,10)+1)</f>
        <v>H008</v>
      </c>
      <c r="C3289">
        <f>_xlfn.XLOOKUP(B3289,Dim_Hotel!$A$2:$A$11,Dim_Hotel!$F$2:$F$11)</f>
        <v>103</v>
      </c>
      <c r="D3289">
        <f t="shared" si="409"/>
        <v>57</v>
      </c>
      <c r="E3289">
        <f t="shared" si="410"/>
        <v>0.55339805825242716</v>
      </c>
      <c r="F3289">
        <f t="shared" si="411"/>
        <v>140</v>
      </c>
      <c r="G3289">
        <f t="shared" si="412"/>
        <v>77.475728155339809</v>
      </c>
      <c r="H3289" t="str">
        <f>_xlfn.XLOOKUP(A3289,Fact_Events!$D$2:$D$20,Fact_Events!$A$2:$A$20, "")</f>
        <v/>
      </c>
      <c r="I3289">
        <f t="shared" si="413"/>
        <v>0</v>
      </c>
      <c r="J3289" t="str">
        <f>_xlfn.XLOOKUP(H3289, Fact_Events!$A$2:$A$20, Fact_Events!$F$2:$F$20, "")</f>
        <v/>
      </c>
      <c r="K3289" t="str">
        <f t="shared" si="414"/>
        <v>Low</v>
      </c>
      <c r="L3289">
        <f t="shared" si="415"/>
        <v>0.55000000000000004</v>
      </c>
      <c r="M3289">
        <f>_xlfn.XLOOKUP(B3289, Dim_Hotel!$A$2:$A$11, Dim_Hotel!$I$2:$I$11)
 + (IF(J3289="",0,J3289)
    * _xlfn.XLOOKUP(B3289, Dim_Hotel!$A$2:$A$11, Dim_Hotel!$J$2:$J$11))</f>
        <v>140</v>
      </c>
    </row>
    <row r="3290" spans="1:13" x14ac:dyDescent="0.25">
      <c r="A3290" s="1">
        <f t="shared" si="408"/>
        <v>46351</v>
      </c>
      <c r="B3290" t="str" cm="1">
        <f t="array" ref="B3290">INDEX(HotelList,MOD(ROW()-2,10)+1)</f>
        <v>H009</v>
      </c>
      <c r="C3290">
        <f>_xlfn.XLOOKUP(B3290,Dim_Hotel!$A$2:$A$11,Dim_Hotel!$F$2:$F$11)</f>
        <v>114</v>
      </c>
      <c r="D3290">
        <f t="shared" si="409"/>
        <v>63</v>
      </c>
      <c r="E3290">
        <f t="shared" si="410"/>
        <v>0.55263157894736847</v>
      </c>
      <c r="F3290">
        <f t="shared" si="411"/>
        <v>185</v>
      </c>
      <c r="G3290">
        <f t="shared" si="412"/>
        <v>102.23684210526316</v>
      </c>
      <c r="H3290" t="str">
        <f>_xlfn.XLOOKUP(A3290,Fact_Events!$D$2:$D$20,Fact_Events!$A$2:$A$20, "")</f>
        <v/>
      </c>
      <c r="I3290">
        <f t="shared" si="413"/>
        <v>0</v>
      </c>
      <c r="J3290" t="str">
        <f>_xlfn.XLOOKUP(H3290, Fact_Events!$A$2:$A$20, Fact_Events!$F$2:$F$20, "")</f>
        <v/>
      </c>
      <c r="K3290" t="str">
        <f t="shared" si="414"/>
        <v>Low</v>
      </c>
      <c r="L3290">
        <f t="shared" si="415"/>
        <v>0.55000000000000004</v>
      </c>
      <c r="M3290">
        <f>_xlfn.XLOOKUP(B3290, Dim_Hotel!$A$2:$A$11, Dim_Hotel!$I$2:$I$11)
 + (IF(J3290="",0,J3290)
    * _xlfn.XLOOKUP(B3290, Dim_Hotel!$A$2:$A$11, Dim_Hotel!$J$2:$J$11))</f>
        <v>185</v>
      </c>
    </row>
    <row r="3291" spans="1:13" x14ac:dyDescent="0.25">
      <c r="A3291" s="1">
        <f t="shared" si="408"/>
        <v>46351</v>
      </c>
      <c r="B3291" t="str" cm="1">
        <f t="array" ref="B3291">INDEX(HotelList,MOD(ROW()-2,10)+1)</f>
        <v>H010</v>
      </c>
      <c r="C3291">
        <f>_xlfn.XLOOKUP(B3291,Dim_Hotel!$A$2:$A$11,Dim_Hotel!$F$2:$F$11)</f>
        <v>89</v>
      </c>
      <c r="D3291">
        <f t="shared" si="409"/>
        <v>49</v>
      </c>
      <c r="E3291">
        <f t="shared" si="410"/>
        <v>0.550561797752809</v>
      </c>
      <c r="F3291">
        <f t="shared" si="411"/>
        <v>150</v>
      </c>
      <c r="G3291">
        <f t="shared" si="412"/>
        <v>82.584269662921344</v>
      </c>
      <c r="H3291" t="str">
        <f>_xlfn.XLOOKUP(A3291,Fact_Events!$D$2:$D$20,Fact_Events!$A$2:$A$20, "")</f>
        <v/>
      </c>
      <c r="I3291">
        <f t="shared" si="413"/>
        <v>0</v>
      </c>
      <c r="J3291" t="str">
        <f>_xlfn.XLOOKUP(H3291, Fact_Events!$A$2:$A$20, Fact_Events!$F$2:$F$20, "")</f>
        <v/>
      </c>
      <c r="K3291" t="str">
        <f t="shared" si="414"/>
        <v>Low</v>
      </c>
      <c r="L3291">
        <f t="shared" si="415"/>
        <v>0.55000000000000004</v>
      </c>
      <c r="M3291">
        <f>_xlfn.XLOOKUP(B3291, Dim_Hotel!$A$2:$A$11, Dim_Hotel!$I$2:$I$11)
 + (IF(J3291="",0,J3291)
    * _xlfn.XLOOKUP(B3291, Dim_Hotel!$A$2:$A$11, Dim_Hotel!$J$2:$J$11))</f>
        <v>150</v>
      </c>
    </row>
    <row r="3292" spans="1:13" x14ac:dyDescent="0.25">
      <c r="A3292" s="1">
        <f t="shared" si="408"/>
        <v>46352</v>
      </c>
      <c r="B3292" t="str" cm="1">
        <f t="array" ref="B3292">INDEX(HotelList,MOD(ROW()-2,10)+1)</f>
        <v>H001</v>
      </c>
      <c r="C3292">
        <f>_xlfn.XLOOKUP(B3292,Dim_Hotel!$A$2:$A$11,Dim_Hotel!$F$2:$F$11)</f>
        <v>888</v>
      </c>
      <c r="D3292">
        <f t="shared" si="409"/>
        <v>488</v>
      </c>
      <c r="E3292">
        <f t="shared" si="410"/>
        <v>0.5495495495495496</v>
      </c>
      <c r="F3292">
        <f t="shared" si="411"/>
        <v>260</v>
      </c>
      <c r="G3292">
        <f t="shared" si="412"/>
        <v>142.88288288288288</v>
      </c>
      <c r="H3292" t="str">
        <f>_xlfn.XLOOKUP(A3292,Fact_Events!$D$2:$D$20,Fact_Events!$A$2:$A$20, "")</f>
        <v/>
      </c>
      <c r="I3292">
        <f t="shared" si="413"/>
        <v>0</v>
      </c>
      <c r="J3292" t="str">
        <f>_xlfn.XLOOKUP(H3292, Fact_Events!$A$2:$A$20, Fact_Events!$F$2:$F$20, "")</f>
        <v/>
      </c>
      <c r="K3292" t="str">
        <f t="shared" si="414"/>
        <v>Low</v>
      </c>
      <c r="L3292">
        <f t="shared" si="415"/>
        <v>0.55000000000000004</v>
      </c>
      <c r="M3292">
        <f>_xlfn.XLOOKUP(B3292, Dim_Hotel!$A$2:$A$11, Dim_Hotel!$I$2:$I$11)
 + (IF(J3292="",0,J3292)
    * _xlfn.XLOOKUP(B3292, Dim_Hotel!$A$2:$A$11, Dim_Hotel!$J$2:$J$11))</f>
        <v>260</v>
      </c>
    </row>
    <row r="3293" spans="1:13" x14ac:dyDescent="0.25">
      <c r="A3293" s="1">
        <f t="shared" si="408"/>
        <v>46352</v>
      </c>
      <c r="B3293" t="str" cm="1">
        <f t="array" ref="B3293">INDEX(HotelList,MOD(ROW()-2,10)+1)</f>
        <v>H002</v>
      </c>
      <c r="C3293">
        <f>_xlfn.XLOOKUP(B3293,Dim_Hotel!$A$2:$A$11,Dim_Hotel!$F$2:$F$11)</f>
        <v>147</v>
      </c>
      <c r="D3293">
        <f t="shared" si="409"/>
        <v>81</v>
      </c>
      <c r="E3293">
        <f t="shared" si="410"/>
        <v>0.55102040816326525</v>
      </c>
      <c r="F3293">
        <f t="shared" si="411"/>
        <v>175</v>
      </c>
      <c r="G3293">
        <f t="shared" si="412"/>
        <v>96.428571428571416</v>
      </c>
      <c r="H3293" t="str">
        <f>_xlfn.XLOOKUP(A3293,Fact_Events!$D$2:$D$20,Fact_Events!$A$2:$A$20, "")</f>
        <v/>
      </c>
      <c r="I3293">
        <f t="shared" si="413"/>
        <v>0</v>
      </c>
      <c r="J3293" t="str">
        <f>_xlfn.XLOOKUP(H3293, Fact_Events!$A$2:$A$20, Fact_Events!$F$2:$F$20, "")</f>
        <v/>
      </c>
      <c r="K3293" t="str">
        <f t="shared" si="414"/>
        <v>Low</v>
      </c>
      <c r="L3293">
        <f t="shared" si="415"/>
        <v>0.55000000000000004</v>
      </c>
      <c r="M3293">
        <f>_xlfn.XLOOKUP(B3293, Dim_Hotel!$A$2:$A$11, Dim_Hotel!$I$2:$I$11)
 + (IF(J3293="",0,J3293)
    * _xlfn.XLOOKUP(B3293, Dim_Hotel!$A$2:$A$11, Dim_Hotel!$J$2:$J$11))</f>
        <v>175</v>
      </c>
    </row>
    <row r="3294" spans="1:13" x14ac:dyDescent="0.25">
      <c r="A3294" s="1">
        <f t="shared" si="408"/>
        <v>46352</v>
      </c>
      <c r="B3294" t="str" cm="1">
        <f t="array" ref="B3294">INDEX(HotelList,MOD(ROW()-2,10)+1)</f>
        <v>H003</v>
      </c>
      <c r="C3294">
        <f>_xlfn.XLOOKUP(B3294,Dim_Hotel!$A$2:$A$11,Dim_Hotel!$F$2:$F$11)</f>
        <v>121</v>
      </c>
      <c r="D3294">
        <f t="shared" si="409"/>
        <v>67</v>
      </c>
      <c r="E3294">
        <f t="shared" si="410"/>
        <v>0.55371900826446285</v>
      </c>
      <c r="F3294">
        <f t="shared" si="411"/>
        <v>145</v>
      </c>
      <c r="G3294">
        <f t="shared" si="412"/>
        <v>80.289256198347118</v>
      </c>
      <c r="H3294" t="str">
        <f>_xlfn.XLOOKUP(A3294,Fact_Events!$D$2:$D$20,Fact_Events!$A$2:$A$20, "")</f>
        <v/>
      </c>
      <c r="I3294">
        <f t="shared" si="413"/>
        <v>0</v>
      </c>
      <c r="J3294" t="str">
        <f>_xlfn.XLOOKUP(H3294, Fact_Events!$A$2:$A$20, Fact_Events!$F$2:$F$20, "")</f>
        <v/>
      </c>
      <c r="K3294" t="str">
        <f t="shared" si="414"/>
        <v>Low</v>
      </c>
      <c r="L3294">
        <f t="shared" si="415"/>
        <v>0.55000000000000004</v>
      </c>
      <c r="M3294">
        <f>_xlfn.XLOOKUP(B3294, Dim_Hotel!$A$2:$A$11, Dim_Hotel!$I$2:$I$11)
 + (IF(J3294="",0,J3294)
    * _xlfn.XLOOKUP(B3294, Dim_Hotel!$A$2:$A$11, Dim_Hotel!$J$2:$J$11))</f>
        <v>145</v>
      </c>
    </row>
    <row r="3295" spans="1:13" x14ac:dyDescent="0.25">
      <c r="A3295" s="1">
        <f t="shared" si="408"/>
        <v>46352</v>
      </c>
      <c r="B3295" t="str" cm="1">
        <f t="array" ref="B3295">INDEX(HotelList,MOD(ROW()-2,10)+1)</f>
        <v>H004</v>
      </c>
      <c r="C3295">
        <f>_xlfn.XLOOKUP(B3295,Dim_Hotel!$A$2:$A$11,Dim_Hotel!$F$2:$F$11)</f>
        <v>108</v>
      </c>
      <c r="D3295">
        <f t="shared" si="409"/>
        <v>59</v>
      </c>
      <c r="E3295">
        <f t="shared" si="410"/>
        <v>0.54629629629629628</v>
      </c>
      <c r="F3295">
        <f t="shared" si="411"/>
        <v>135</v>
      </c>
      <c r="G3295">
        <f t="shared" si="412"/>
        <v>73.75</v>
      </c>
      <c r="H3295" t="str">
        <f>_xlfn.XLOOKUP(A3295,Fact_Events!$D$2:$D$20,Fact_Events!$A$2:$A$20, "")</f>
        <v/>
      </c>
      <c r="I3295">
        <f t="shared" si="413"/>
        <v>0</v>
      </c>
      <c r="J3295" t="str">
        <f>_xlfn.XLOOKUP(H3295, Fact_Events!$A$2:$A$20, Fact_Events!$F$2:$F$20, "")</f>
        <v/>
      </c>
      <c r="K3295" t="str">
        <f t="shared" si="414"/>
        <v>Low</v>
      </c>
      <c r="L3295">
        <f t="shared" si="415"/>
        <v>0.55000000000000004</v>
      </c>
      <c r="M3295">
        <f>_xlfn.XLOOKUP(B3295, Dim_Hotel!$A$2:$A$11, Dim_Hotel!$I$2:$I$11)
 + (IF(J3295="",0,J3295)
    * _xlfn.XLOOKUP(B3295, Dim_Hotel!$A$2:$A$11, Dim_Hotel!$J$2:$J$11))</f>
        <v>135</v>
      </c>
    </row>
    <row r="3296" spans="1:13" x14ac:dyDescent="0.25">
      <c r="A3296" s="1">
        <f t="shared" si="408"/>
        <v>46352</v>
      </c>
      <c r="B3296" t="str" cm="1">
        <f t="array" ref="B3296">INDEX(HotelList,MOD(ROW()-2,10)+1)</f>
        <v>H005</v>
      </c>
      <c r="C3296">
        <f>_xlfn.XLOOKUP(B3296,Dim_Hotel!$A$2:$A$11,Dim_Hotel!$F$2:$F$11)</f>
        <v>66</v>
      </c>
      <c r="D3296">
        <f t="shared" si="409"/>
        <v>36</v>
      </c>
      <c r="E3296">
        <f t="shared" si="410"/>
        <v>0.54545454545454541</v>
      </c>
      <c r="F3296">
        <f t="shared" si="411"/>
        <v>82</v>
      </c>
      <c r="G3296">
        <f t="shared" si="412"/>
        <v>44.727272727272727</v>
      </c>
      <c r="H3296" t="str">
        <f>_xlfn.XLOOKUP(A3296,Fact_Events!$D$2:$D$20,Fact_Events!$A$2:$A$20, "")</f>
        <v/>
      </c>
      <c r="I3296">
        <f t="shared" si="413"/>
        <v>0</v>
      </c>
      <c r="J3296" t="str">
        <f>_xlfn.XLOOKUP(H3296, Fact_Events!$A$2:$A$20, Fact_Events!$F$2:$F$20, "")</f>
        <v/>
      </c>
      <c r="K3296" t="str">
        <f t="shared" si="414"/>
        <v>Low</v>
      </c>
      <c r="L3296">
        <f t="shared" si="415"/>
        <v>0.55000000000000004</v>
      </c>
      <c r="M3296">
        <f>_xlfn.XLOOKUP(B3296, Dim_Hotel!$A$2:$A$11, Dim_Hotel!$I$2:$I$11)
 + (IF(J3296="",0,J3296)
    * _xlfn.XLOOKUP(B3296, Dim_Hotel!$A$2:$A$11, Dim_Hotel!$J$2:$J$11))</f>
        <v>82</v>
      </c>
    </row>
    <row r="3297" spans="1:13" x14ac:dyDescent="0.25">
      <c r="A3297" s="1">
        <f t="shared" si="408"/>
        <v>46352</v>
      </c>
      <c r="B3297" t="str" cm="1">
        <f t="array" ref="B3297">INDEX(HotelList,MOD(ROW()-2,10)+1)</f>
        <v>H006</v>
      </c>
      <c r="C3297">
        <f>_xlfn.XLOOKUP(B3297,Dim_Hotel!$A$2:$A$11,Dim_Hotel!$F$2:$F$11)</f>
        <v>311</v>
      </c>
      <c r="D3297">
        <f t="shared" si="409"/>
        <v>171</v>
      </c>
      <c r="E3297">
        <f t="shared" si="410"/>
        <v>0.54983922829581988</v>
      </c>
      <c r="F3297">
        <f t="shared" si="411"/>
        <v>190</v>
      </c>
      <c r="G3297">
        <f t="shared" si="412"/>
        <v>104.46945337620578</v>
      </c>
      <c r="H3297" t="str">
        <f>_xlfn.XLOOKUP(A3297,Fact_Events!$D$2:$D$20,Fact_Events!$A$2:$A$20, "")</f>
        <v/>
      </c>
      <c r="I3297">
        <f t="shared" si="413"/>
        <v>0</v>
      </c>
      <c r="J3297" t="str">
        <f>_xlfn.XLOOKUP(H3297, Fact_Events!$A$2:$A$20, Fact_Events!$F$2:$F$20, "")</f>
        <v/>
      </c>
      <c r="K3297" t="str">
        <f t="shared" si="414"/>
        <v>Low</v>
      </c>
      <c r="L3297">
        <f t="shared" si="415"/>
        <v>0.55000000000000004</v>
      </c>
      <c r="M3297">
        <f>_xlfn.XLOOKUP(B3297, Dim_Hotel!$A$2:$A$11, Dim_Hotel!$I$2:$I$11)
 + (IF(J3297="",0,J3297)
    * _xlfn.XLOOKUP(B3297, Dim_Hotel!$A$2:$A$11, Dim_Hotel!$J$2:$J$11))</f>
        <v>190</v>
      </c>
    </row>
    <row r="3298" spans="1:13" x14ac:dyDescent="0.25">
      <c r="A3298" s="1">
        <f t="shared" si="408"/>
        <v>46352</v>
      </c>
      <c r="B3298" t="str" cm="1">
        <f t="array" ref="B3298">INDEX(HotelList,MOD(ROW()-2,10)+1)</f>
        <v>H007</v>
      </c>
      <c r="C3298">
        <f>_xlfn.XLOOKUP(B3298,Dim_Hotel!$A$2:$A$11,Dim_Hotel!$F$2:$F$11)</f>
        <v>132</v>
      </c>
      <c r="D3298">
        <f t="shared" si="409"/>
        <v>73</v>
      </c>
      <c r="E3298">
        <f t="shared" si="410"/>
        <v>0.55303030303030298</v>
      </c>
      <c r="F3298">
        <f t="shared" si="411"/>
        <v>165</v>
      </c>
      <c r="G3298">
        <f t="shared" si="412"/>
        <v>91.249999999999986</v>
      </c>
      <c r="H3298" t="str">
        <f>_xlfn.XLOOKUP(A3298,Fact_Events!$D$2:$D$20,Fact_Events!$A$2:$A$20, "")</f>
        <v/>
      </c>
      <c r="I3298">
        <f t="shared" si="413"/>
        <v>0</v>
      </c>
      <c r="J3298" t="str">
        <f>_xlfn.XLOOKUP(H3298, Fact_Events!$A$2:$A$20, Fact_Events!$F$2:$F$20, "")</f>
        <v/>
      </c>
      <c r="K3298" t="str">
        <f t="shared" si="414"/>
        <v>Low</v>
      </c>
      <c r="L3298">
        <f t="shared" si="415"/>
        <v>0.55000000000000004</v>
      </c>
      <c r="M3298">
        <f>_xlfn.XLOOKUP(B3298, Dim_Hotel!$A$2:$A$11, Dim_Hotel!$I$2:$I$11)
 + (IF(J3298="",0,J3298)
    * _xlfn.XLOOKUP(B3298, Dim_Hotel!$A$2:$A$11, Dim_Hotel!$J$2:$J$11))</f>
        <v>165</v>
      </c>
    </row>
    <row r="3299" spans="1:13" x14ac:dyDescent="0.25">
      <c r="A3299" s="1">
        <f t="shared" si="408"/>
        <v>46352</v>
      </c>
      <c r="B3299" t="str" cm="1">
        <f t="array" ref="B3299">INDEX(HotelList,MOD(ROW()-2,10)+1)</f>
        <v>H008</v>
      </c>
      <c r="C3299">
        <f>_xlfn.XLOOKUP(B3299,Dim_Hotel!$A$2:$A$11,Dim_Hotel!$F$2:$F$11)</f>
        <v>103</v>
      </c>
      <c r="D3299">
        <f t="shared" si="409"/>
        <v>57</v>
      </c>
      <c r="E3299">
        <f t="shared" si="410"/>
        <v>0.55339805825242716</v>
      </c>
      <c r="F3299">
        <f t="shared" si="411"/>
        <v>140</v>
      </c>
      <c r="G3299">
        <f t="shared" si="412"/>
        <v>77.475728155339809</v>
      </c>
      <c r="H3299" t="str">
        <f>_xlfn.XLOOKUP(A3299,Fact_Events!$D$2:$D$20,Fact_Events!$A$2:$A$20, "")</f>
        <v/>
      </c>
      <c r="I3299">
        <f t="shared" si="413"/>
        <v>0</v>
      </c>
      <c r="J3299" t="str">
        <f>_xlfn.XLOOKUP(H3299, Fact_Events!$A$2:$A$20, Fact_Events!$F$2:$F$20, "")</f>
        <v/>
      </c>
      <c r="K3299" t="str">
        <f t="shared" si="414"/>
        <v>Low</v>
      </c>
      <c r="L3299">
        <f t="shared" si="415"/>
        <v>0.55000000000000004</v>
      </c>
      <c r="M3299">
        <f>_xlfn.XLOOKUP(B3299, Dim_Hotel!$A$2:$A$11, Dim_Hotel!$I$2:$I$11)
 + (IF(J3299="",0,J3299)
    * _xlfn.XLOOKUP(B3299, Dim_Hotel!$A$2:$A$11, Dim_Hotel!$J$2:$J$11))</f>
        <v>140</v>
      </c>
    </row>
    <row r="3300" spans="1:13" x14ac:dyDescent="0.25">
      <c r="A3300" s="1">
        <f t="shared" si="408"/>
        <v>46352</v>
      </c>
      <c r="B3300" t="str" cm="1">
        <f t="array" ref="B3300">INDEX(HotelList,MOD(ROW()-2,10)+1)</f>
        <v>H009</v>
      </c>
      <c r="C3300">
        <f>_xlfn.XLOOKUP(B3300,Dim_Hotel!$A$2:$A$11,Dim_Hotel!$F$2:$F$11)</f>
        <v>114</v>
      </c>
      <c r="D3300">
        <f t="shared" si="409"/>
        <v>63</v>
      </c>
      <c r="E3300">
        <f t="shared" si="410"/>
        <v>0.55263157894736847</v>
      </c>
      <c r="F3300">
        <f t="shared" si="411"/>
        <v>185</v>
      </c>
      <c r="G3300">
        <f t="shared" si="412"/>
        <v>102.23684210526316</v>
      </c>
      <c r="H3300" t="str">
        <f>_xlfn.XLOOKUP(A3300,Fact_Events!$D$2:$D$20,Fact_Events!$A$2:$A$20, "")</f>
        <v/>
      </c>
      <c r="I3300">
        <f t="shared" si="413"/>
        <v>0</v>
      </c>
      <c r="J3300" t="str">
        <f>_xlfn.XLOOKUP(H3300, Fact_Events!$A$2:$A$20, Fact_Events!$F$2:$F$20, "")</f>
        <v/>
      </c>
      <c r="K3300" t="str">
        <f t="shared" si="414"/>
        <v>Low</v>
      </c>
      <c r="L3300">
        <f t="shared" si="415"/>
        <v>0.55000000000000004</v>
      </c>
      <c r="M3300">
        <f>_xlfn.XLOOKUP(B3300, Dim_Hotel!$A$2:$A$11, Dim_Hotel!$I$2:$I$11)
 + (IF(J3300="",0,J3300)
    * _xlfn.XLOOKUP(B3300, Dim_Hotel!$A$2:$A$11, Dim_Hotel!$J$2:$J$11))</f>
        <v>185</v>
      </c>
    </row>
    <row r="3301" spans="1:13" x14ac:dyDescent="0.25">
      <c r="A3301" s="1">
        <f t="shared" si="408"/>
        <v>46352</v>
      </c>
      <c r="B3301" t="str" cm="1">
        <f t="array" ref="B3301">INDEX(HotelList,MOD(ROW()-2,10)+1)</f>
        <v>H010</v>
      </c>
      <c r="C3301">
        <f>_xlfn.XLOOKUP(B3301,Dim_Hotel!$A$2:$A$11,Dim_Hotel!$F$2:$F$11)</f>
        <v>89</v>
      </c>
      <c r="D3301">
        <f t="shared" si="409"/>
        <v>49</v>
      </c>
      <c r="E3301">
        <f t="shared" si="410"/>
        <v>0.550561797752809</v>
      </c>
      <c r="F3301">
        <f t="shared" si="411"/>
        <v>150</v>
      </c>
      <c r="G3301">
        <f t="shared" si="412"/>
        <v>82.584269662921344</v>
      </c>
      <c r="H3301" t="str">
        <f>_xlfn.XLOOKUP(A3301,Fact_Events!$D$2:$D$20,Fact_Events!$A$2:$A$20, "")</f>
        <v/>
      </c>
      <c r="I3301">
        <f t="shared" si="413"/>
        <v>0</v>
      </c>
      <c r="J3301" t="str">
        <f>_xlfn.XLOOKUP(H3301, Fact_Events!$A$2:$A$20, Fact_Events!$F$2:$F$20, "")</f>
        <v/>
      </c>
      <c r="K3301" t="str">
        <f t="shared" si="414"/>
        <v>Low</v>
      </c>
      <c r="L3301">
        <f t="shared" si="415"/>
        <v>0.55000000000000004</v>
      </c>
      <c r="M3301">
        <f>_xlfn.XLOOKUP(B3301, Dim_Hotel!$A$2:$A$11, Dim_Hotel!$I$2:$I$11)
 + (IF(J3301="",0,J3301)
    * _xlfn.XLOOKUP(B3301, Dim_Hotel!$A$2:$A$11, Dim_Hotel!$J$2:$J$11))</f>
        <v>150</v>
      </c>
    </row>
    <row r="3302" spans="1:13" x14ac:dyDescent="0.25">
      <c r="A3302" s="1">
        <f t="shared" si="408"/>
        <v>46353</v>
      </c>
      <c r="B3302" t="str" cm="1">
        <f t="array" ref="B3302">INDEX(HotelList,MOD(ROW()-2,10)+1)</f>
        <v>H001</v>
      </c>
      <c r="C3302">
        <f>_xlfn.XLOOKUP(B3302,Dim_Hotel!$A$2:$A$11,Dim_Hotel!$F$2:$F$11)</f>
        <v>888</v>
      </c>
      <c r="D3302">
        <f t="shared" si="409"/>
        <v>488</v>
      </c>
      <c r="E3302">
        <f t="shared" si="410"/>
        <v>0.5495495495495496</v>
      </c>
      <c r="F3302">
        <f t="shared" si="411"/>
        <v>260</v>
      </c>
      <c r="G3302">
        <f t="shared" si="412"/>
        <v>142.88288288288288</v>
      </c>
      <c r="H3302" t="str">
        <f>_xlfn.XLOOKUP(A3302,Fact_Events!$D$2:$D$20,Fact_Events!$A$2:$A$20, "")</f>
        <v/>
      </c>
      <c r="I3302">
        <f t="shared" si="413"/>
        <v>0</v>
      </c>
      <c r="J3302" t="str">
        <f>_xlfn.XLOOKUP(H3302, Fact_Events!$A$2:$A$20, Fact_Events!$F$2:$F$20, "")</f>
        <v/>
      </c>
      <c r="K3302" t="str">
        <f t="shared" si="414"/>
        <v>Low</v>
      </c>
      <c r="L3302">
        <f t="shared" si="415"/>
        <v>0.55000000000000004</v>
      </c>
      <c r="M3302">
        <f>_xlfn.XLOOKUP(B3302, Dim_Hotel!$A$2:$A$11, Dim_Hotel!$I$2:$I$11)
 + (IF(J3302="",0,J3302)
    * _xlfn.XLOOKUP(B3302, Dim_Hotel!$A$2:$A$11, Dim_Hotel!$J$2:$J$11))</f>
        <v>260</v>
      </c>
    </row>
    <row r="3303" spans="1:13" x14ac:dyDescent="0.25">
      <c r="A3303" s="1">
        <f t="shared" si="408"/>
        <v>46353</v>
      </c>
      <c r="B3303" t="str" cm="1">
        <f t="array" ref="B3303">INDEX(HotelList,MOD(ROW()-2,10)+1)</f>
        <v>H002</v>
      </c>
      <c r="C3303">
        <f>_xlfn.XLOOKUP(B3303,Dim_Hotel!$A$2:$A$11,Dim_Hotel!$F$2:$F$11)</f>
        <v>147</v>
      </c>
      <c r="D3303">
        <f t="shared" si="409"/>
        <v>81</v>
      </c>
      <c r="E3303">
        <f t="shared" si="410"/>
        <v>0.55102040816326525</v>
      </c>
      <c r="F3303">
        <f t="shared" si="411"/>
        <v>175</v>
      </c>
      <c r="G3303">
        <f t="shared" si="412"/>
        <v>96.428571428571416</v>
      </c>
      <c r="H3303" t="str">
        <f>_xlfn.XLOOKUP(A3303,Fact_Events!$D$2:$D$20,Fact_Events!$A$2:$A$20, "")</f>
        <v/>
      </c>
      <c r="I3303">
        <f t="shared" si="413"/>
        <v>0</v>
      </c>
      <c r="J3303" t="str">
        <f>_xlfn.XLOOKUP(H3303, Fact_Events!$A$2:$A$20, Fact_Events!$F$2:$F$20, "")</f>
        <v/>
      </c>
      <c r="K3303" t="str">
        <f t="shared" si="414"/>
        <v>Low</v>
      </c>
      <c r="L3303">
        <f t="shared" si="415"/>
        <v>0.55000000000000004</v>
      </c>
      <c r="M3303">
        <f>_xlfn.XLOOKUP(B3303, Dim_Hotel!$A$2:$A$11, Dim_Hotel!$I$2:$I$11)
 + (IF(J3303="",0,J3303)
    * _xlfn.XLOOKUP(B3303, Dim_Hotel!$A$2:$A$11, Dim_Hotel!$J$2:$J$11))</f>
        <v>175</v>
      </c>
    </row>
    <row r="3304" spans="1:13" x14ac:dyDescent="0.25">
      <c r="A3304" s="1">
        <f t="shared" si="408"/>
        <v>46353</v>
      </c>
      <c r="B3304" t="str" cm="1">
        <f t="array" ref="B3304">INDEX(HotelList,MOD(ROW()-2,10)+1)</f>
        <v>H003</v>
      </c>
      <c r="C3304">
        <f>_xlfn.XLOOKUP(B3304,Dim_Hotel!$A$2:$A$11,Dim_Hotel!$F$2:$F$11)</f>
        <v>121</v>
      </c>
      <c r="D3304">
        <f t="shared" si="409"/>
        <v>67</v>
      </c>
      <c r="E3304">
        <f t="shared" si="410"/>
        <v>0.55371900826446285</v>
      </c>
      <c r="F3304">
        <f t="shared" si="411"/>
        <v>145</v>
      </c>
      <c r="G3304">
        <f t="shared" si="412"/>
        <v>80.289256198347118</v>
      </c>
      <c r="H3304" t="str">
        <f>_xlfn.XLOOKUP(A3304,Fact_Events!$D$2:$D$20,Fact_Events!$A$2:$A$20, "")</f>
        <v/>
      </c>
      <c r="I3304">
        <f t="shared" si="413"/>
        <v>0</v>
      </c>
      <c r="J3304" t="str">
        <f>_xlfn.XLOOKUP(H3304, Fact_Events!$A$2:$A$20, Fact_Events!$F$2:$F$20, "")</f>
        <v/>
      </c>
      <c r="K3304" t="str">
        <f t="shared" si="414"/>
        <v>Low</v>
      </c>
      <c r="L3304">
        <f t="shared" si="415"/>
        <v>0.55000000000000004</v>
      </c>
      <c r="M3304">
        <f>_xlfn.XLOOKUP(B3304, Dim_Hotel!$A$2:$A$11, Dim_Hotel!$I$2:$I$11)
 + (IF(J3304="",0,J3304)
    * _xlfn.XLOOKUP(B3304, Dim_Hotel!$A$2:$A$11, Dim_Hotel!$J$2:$J$11))</f>
        <v>145</v>
      </c>
    </row>
    <row r="3305" spans="1:13" x14ac:dyDescent="0.25">
      <c r="A3305" s="1">
        <f t="shared" si="408"/>
        <v>46353</v>
      </c>
      <c r="B3305" t="str" cm="1">
        <f t="array" ref="B3305">INDEX(HotelList,MOD(ROW()-2,10)+1)</f>
        <v>H004</v>
      </c>
      <c r="C3305">
        <f>_xlfn.XLOOKUP(B3305,Dim_Hotel!$A$2:$A$11,Dim_Hotel!$F$2:$F$11)</f>
        <v>108</v>
      </c>
      <c r="D3305">
        <f t="shared" si="409"/>
        <v>59</v>
      </c>
      <c r="E3305">
        <f t="shared" si="410"/>
        <v>0.54629629629629628</v>
      </c>
      <c r="F3305">
        <f t="shared" si="411"/>
        <v>135</v>
      </c>
      <c r="G3305">
        <f t="shared" si="412"/>
        <v>73.75</v>
      </c>
      <c r="H3305" t="str">
        <f>_xlfn.XLOOKUP(A3305,Fact_Events!$D$2:$D$20,Fact_Events!$A$2:$A$20, "")</f>
        <v/>
      </c>
      <c r="I3305">
        <f t="shared" si="413"/>
        <v>0</v>
      </c>
      <c r="J3305" t="str">
        <f>_xlfn.XLOOKUP(H3305, Fact_Events!$A$2:$A$20, Fact_Events!$F$2:$F$20, "")</f>
        <v/>
      </c>
      <c r="K3305" t="str">
        <f t="shared" si="414"/>
        <v>Low</v>
      </c>
      <c r="L3305">
        <f t="shared" si="415"/>
        <v>0.55000000000000004</v>
      </c>
      <c r="M3305">
        <f>_xlfn.XLOOKUP(B3305, Dim_Hotel!$A$2:$A$11, Dim_Hotel!$I$2:$I$11)
 + (IF(J3305="",0,J3305)
    * _xlfn.XLOOKUP(B3305, Dim_Hotel!$A$2:$A$11, Dim_Hotel!$J$2:$J$11))</f>
        <v>135</v>
      </c>
    </row>
    <row r="3306" spans="1:13" x14ac:dyDescent="0.25">
      <c r="A3306" s="1">
        <f t="shared" si="408"/>
        <v>46353</v>
      </c>
      <c r="B3306" t="str" cm="1">
        <f t="array" ref="B3306">INDEX(HotelList,MOD(ROW()-2,10)+1)</f>
        <v>H005</v>
      </c>
      <c r="C3306">
        <f>_xlfn.XLOOKUP(B3306,Dim_Hotel!$A$2:$A$11,Dim_Hotel!$F$2:$F$11)</f>
        <v>66</v>
      </c>
      <c r="D3306">
        <f t="shared" si="409"/>
        <v>36</v>
      </c>
      <c r="E3306">
        <f t="shared" si="410"/>
        <v>0.54545454545454541</v>
      </c>
      <c r="F3306">
        <f t="shared" si="411"/>
        <v>82</v>
      </c>
      <c r="G3306">
        <f t="shared" si="412"/>
        <v>44.727272727272727</v>
      </c>
      <c r="H3306" t="str">
        <f>_xlfn.XLOOKUP(A3306,Fact_Events!$D$2:$D$20,Fact_Events!$A$2:$A$20, "")</f>
        <v/>
      </c>
      <c r="I3306">
        <f t="shared" si="413"/>
        <v>0</v>
      </c>
      <c r="J3306" t="str">
        <f>_xlfn.XLOOKUP(H3306, Fact_Events!$A$2:$A$20, Fact_Events!$F$2:$F$20, "")</f>
        <v/>
      </c>
      <c r="K3306" t="str">
        <f t="shared" si="414"/>
        <v>Low</v>
      </c>
      <c r="L3306">
        <f t="shared" si="415"/>
        <v>0.55000000000000004</v>
      </c>
      <c r="M3306">
        <f>_xlfn.XLOOKUP(B3306, Dim_Hotel!$A$2:$A$11, Dim_Hotel!$I$2:$I$11)
 + (IF(J3306="",0,J3306)
    * _xlfn.XLOOKUP(B3306, Dim_Hotel!$A$2:$A$11, Dim_Hotel!$J$2:$J$11))</f>
        <v>82</v>
      </c>
    </row>
    <row r="3307" spans="1:13" x14ac:dyDescent="0.25">
      <c r="A3307" s="1">
        <f t="shared" si="408"/>
        <v>46353</v>
      </c>
      <c r="B3307" t="str" cm="1">
        <f t="array" ref="B3307">INDEX(HotelList,MOD(ROW()-2,10)+1)</f>
        <v>H006</v>
      </c>
      <c r="C3307">
        <f>_xlfn.XLOOKUP(B3307,Dim_Hotel!$A$2:$A$11,Dim_Hotel!$F$2:$F$11)</f>
        <v>311</v>
      </c>
      <c r="D3307">
        <f t="shared" si="409"/>
        <v>171</v>
      </c>
      <c r="E3307">
        <f t="shared" si="410"/>
        <v>0.54983922829581988</v>
      </c>
      <c r="F3307">
        <f t="shared" si="411"/>
        <v>190</v>
      </c>
      <c r="G3307">
        <f t="shared" si="412"/>
        <v>104.46945337620578</v>
      </c>
      <c r="H3307" t="str">
        <f>_xlfn.XLOOKUP(A3307,Fact_Events!$D$2:$D$20,Fact_Events!$A$2:$A$20, "")</f>
        <v/>
      </c>
      <c r="I3307">
        <f t="shared" si="413"/>
        <v>0</v>
      </c>
      <c r="J3307" t="str">
        <f>_xlfn.XLOOKUP(H3307, Fact_Events!$A$2:$A$20, Fact_Events!$F$2:$F$20, "")</f>
        <v/>
      </c>
      <c r="K3307" t="str">
        <f t="shared" si="414"/>
        <v>Low</v>
      </c>
      <c r="L3307">
        <f t="shared" si="415"/>
        <v>0.55000000000000004</v>
      </c>
      <c r="M3307">
        <f>_xlfn.XLOOKUP(B3307, Dim_Hotel!$A$2:$A$11, Dim_Hotel!$I$2:$I$11)
 + (IF(J3307="",0,J3307)
    * _xlfn.XLOOKUP(B3307, Dim_Hotel!$A$2:$A$11, Dim_Hotel!$J$2:$J$11))</f>
        <v>190</v>
      </c>
    </row>
    <row r="3308" spans="1:13" x14ac:dyDescent="0.25">
      <c r="A3308" s="1">
        <f t="shared" si="408"/>
        <v>46353</v>
      </c>
      <c r="B3308" t="str" cm="1">
        <f t="array" ref="B3308">INDEX(HotelList,MOD(ROW()-2,10)+1)</f>
        <v>H007</v>
      </c>
      <c r="C3308">
        <f>_xlfn.XLOOKUP(B3308,Dim_Hotel!$A$2:$A$11,Dim_Hotel!$F$2:$F$11)</f>
        <v>132</v>
      </c>
      <c r="D3308">
        <f t="shared" si="409"/>
        <v>73</v>
      </c>
      <c r="E3308">
        <f t="shared" si="410"/>
        <v>0.55303030303030298</v>
      </c>
      <c r="F3308">
        <f t="shared" si="411"/>
        <v>165</v>
      </c>
      <c r="G3308">
        <f t="shared" si="412"/>
        <v>91.249999999999986</v>
      </c>
      <c r="H3308" t="str">
        <f>_xlfn.XLOOKUP(A3308,Fact_Events!$D$2:$D$20,Fact_Events!$A$2:$A$20, "")</f>
        <v/>
      </c>
      <c r="I3308">
        <f t="shared" si="413"/>
        <v>0</v>
      </c>
      <c r="J3308" t="str">
        <f>_xlfn.XLOOKUP(H3308, Fact_Events!$A$2:$A$20, Fact_Events!$F$2:$F$20, "")</f>
        <v/>
      </c>
      <c r="K3308" t="str">
        <f t="shared" si="414"/>
        <v>Low</v>
      </c>
      <c r="L3308">
        <f t="shared" si="415"/>
        <v>0.55000000000000004</v>
      </c>
      <c r="M3308">
        <f>_xlfn.XLOOKUP(B3308, Dim_Hotel!$A$2:$A$11, Dim_Hotel!$I$2:$I$11)
 + (IF(J3308="",0,J3308)
    * _xlfn.XLOOKUP(B3308, Dim_Hotel!$A$2:$A$11, Dim_Hotel!$J$2:$J$11))</f>
        <v>165</v>
      </c>
    </row>
    <row r="3309" spans="1:13" x14ac:dyDescent="0.25">
      <c r="A3309" s="1">
        <f t="shared" si="408"/>
        <v>46353</v>
      </c>
      <c r="B3309" t="str" cm="1">
        <f t="array" ref="B3309">INDEX(HotelList,MOD(ROW()-2,10)+1)</f>
        <v>H008</v>
      </c>
      <c r="C3309">
        <f>_xlfn.XLOOKUP(B3309,Dim_Hotel!$A$2:$A$11,Dim_Hotel!$F$2:$F$11)</f>
        <v>103</v>
      </c>
      <c r="D3309">
        <f t="shared" si="409"/>
        <v>57</v>
      </c>
      <c r="E3309">
        <f t="shared" si="410"/>
        <v>0.55339805825242716</v>
      </c>
      <c r="F3309">
        <f t="shared" si="411"/>
        <v>140</v>
      </c>
      <c r="G3309">
        <f t="shared" si="412"/>
        <v>77.475728155339809</v>
      </c>
      <c r="H3309" t="str">
        <f>_xlfn.XLOOKUP(A3309,Fact_Events!$D$2:$D$20,Fact_Events!$A$2:$A$20, "")</f>
        <v/>
      </c>
      <c r="I3309">
        <f t="shared" si="413"/>
        <v>0</v>
      </c>
      <c r="J3309" t="str">
        <f>_xlfn.XLOOKUP(H3309, Fact_Events!$A$2:$A$20, Fact_Events!$F$2:$F$20, "")</f>
        <v/>
      </c>
      <c r="K3309" t="str">
        <f t="shared" si="414"/>
        <v>Low</v>
      </c>
      <c r="L3309">
        <f t="shared" si="415"/>
        <v>0.55000000000000004</v>
      </c>
      <c r="M3309">
        <f>_xlfn.XLOOKUP(B3309, Dim_Hotel!$A$2:$A$11, Dim_Hotel!$I$2:$I$11)
 + (IF(J3309="",0,J3309)
    * _xlfn.XLOOKUP(B3309, Dim_Hotel!$A$2:$A$11, Dim_Hotel!$J$2:$J$11))</f>
        <v>140</v>
      </c>
    </row>
    <row r="3310" spans="1:13" x14ac:dyDescent="0.25">
      <c r="A3310" s="1">
        <f t="shared" si="408"/>
        <v>46353</v>
      </c>
      <c r="B3310" t="str" cm="1">
        <f t="array" ref="B3310">INDEX(HotelList,MOD(ROW()-2,10)+1)</f>
        <v>H009</v>
      </c>
      <c r="C3310">
        <f>_xlfn.XLOOKUP(B3310,Dim_Hotel!$A$2:$A$11,Dim_Hotel!$F$2:$F$11)</f>
        <v>114</v>
      </c>
      <c r="D3310">
        <f t="shared" si="409"/>
        <v>63</v>
      </c>
      <c r="E3310">
        <f t="shared" si="410"/>
        <v>0.55263157894736847</v>
      </c>
      <c r="F3310">
        <f t="shared" si="411"/>
        <v>185</v>
      </c>
      <c r="G3310">
        <f t="shared" si="412"/>
        <v>102.23684210526316</v>
      </c>
      <c r="H3310" t="str">
        <f>_xlfn.XLOOKUP(A3310,Fact_Events!$D$2:$D$20,Fact_Events!$A$2:$A$20, "")</f>
        <v/>
      </c>
      <c r="I3310">
        <f t="shared" si="413"/>
        <v>0</v>
      </c>
      <c r="J3310" t="str">
        <f>_xlfn.XLOOKUP(H3310, Fact_Events!$A$2:$A$20, Fact_Events!$F$2:$F$20, "")</f>
        <v/>
      </c>
      <c r="K3310" t="str">
        <f t="shared" si="414"/>
        <v>Low</v>
      </c>
      <c r="L3310">
        <f t="shared" si="415"/>
        <v>0.55000000000000004</v>
      </c>
      <c r="M3310">
        <f>_xlfn.XLOOKUP(B3310, Dim_Hotel!$A$2:$A$11, Dim_Hotel!$I$2:$I$11)
 + (IF(J3310="",0,J3310)
    * _xlfn.XLOOKUP(B3310, Dim_Hotel!$A$2:$A$11, Dim_Hotel!$J$2:$J$11))</f>
        <v>185</v>
      </c>
    </row>
    <row r="3311" spans="1:13" x14ac:dyDescent="0.25">
      <c r="A3311" s="1">
        <f t="shared" si="408"/>
        <v>46353</v>
      </c>
      <c r="B3311" t="str" cm="1">
        <f t="array" ref="B3311">INDEX(HotelList,MOD(ROW()-2,10)+1)</f>
        <v>H010</v>
      </c>
      <c r="C3311">
        <f>_xlfn.XLOOKUP(B3311,Dim_Hotel!$A$2:$A$11,Dim_Hotel!$F$2:$F$11)</f>
        <v>89</v>
      </c>
      <c r="D3311">
        <f t="shared" si="409"/>
        <v>49</v>
      </c>
      <c r="E3311">
        <f t="shared" si="410"/>
        <v>0.550561797752809</v>
      </c>
      <c r="F3311">
        <f t="shared" si="411"/>
        <v>150</v>
      </c>
      <c r="G3311">
        <f t="shared" si="412"/>
        <v>82.584269662921344</v>
      </c>
      <c r="H3311" t="str">
        <f>_xlfn.XLOOKUP(A3311,Fact_Events!$D$2:$D$20,Fact_Events!$A$2:$A$20, "")</f>
        <v/>
      </c>
      <c r="I3311">
        <f t="shared" si="413"/>
        <v>0</v>
      </c>
      <c r="J3311" t="str">
        <f>_xlfn.XLOOKUP(H3311, Fact_Events!$A$2:$A$20, Fact_Events!$F$2:$F$20, "")</f>
        <v/>
      </c>
      <c r="K3311" t="str">
        <f t="shared" si="414"/>
        <v>Low</v>
      </c>
      <c r="L3311">
        <f t="shared" si="415"/>
        <v>0.55000000000000004</v>
      </c>
      <c r="M3311">
        <f>_xlfn.XLOOKUP(B3311, Dim_Hotel!$A$2:$A$11, Dim_Hotel!$I$2:$I$11)
 + (IF(J3311="",0,J3311)
    * _xlfn.XLOOKUP(B3311, Dim_Hotel!$A$2:$A$11, Dim_Hotel!$J$2:$J$11))</f>
        <v>150</v>
      </c>
    </row>
    <row r="3312" spans="1:13" x14ac:dyDescent="0.25">
      <c r="A3312" s="1">
        <f t="shared" si="408"/>
        <v>46354</v>
      </c>
      <c r="B3312" t="str" cm="1">
        <f t="array" ref="B3312">INDEX(HotelList,MOD(ROW()-2,10)+1)</f>
        <v>H001</v>
      </c>
      <c r="C3312">
        <f>_xlfn.XLOOKUP(B3312,Dim_Hotel!$A$2:$A$11,Dim_Hotel!$F$2:$F$11)</f>
        <v>888</v>
      </c>
      <c r="D3312">
        <f t="shared" si="409"/>
        <v>488</v>
      </c>
      <c r="E3312">
        <f t="shared" si="410"/>
        <v>0.5495495495495496</v>
      </c>
      <c r="F3312">
        <f t="shared" si="411"/>
        <v>260</v>
      </c>
      <c r="G3312">
        <f t="shared" si="412"/>
        <v>142.88288288288288</v>
      </c>
      <c r="H3312" t="str">
        <f>_xlfn.XLOOKUP(A3312,Fact_Events!$D$2:$D$20,Fact_Events!$A$2:$A$20, "")</f>
        <v/>
      </c>
      <c r="I3312">
        <f t="shared" si="413"/>
        <v>0</v>
      </c>
      <c r="J3312" t="str">
        <f>_xlfn.XLOOKUP(H3312, Fact_Events!$A$2:$A$20, Fact_Events!$F$2:$F$20, "")</f>
        <v/>
      </c>
      <c r="K3312" t="str">
        <f t="shared" si="414"/>
        <v>Low</v>
      </c>
      <c r="L3312">
        <f t="shared" si="415"/>
        <v>0.55000000000000004</v>
      </c>
      <c r="M3312">
        <f>_xlfn.XLOOKUP(B3312, Dim_Hotel!$A$2:$A$11, Dim_Hotel!$I$2:$I$11)
 + (IF(J3312="",0,J3312)
    * _xlfn.XLOOKUP(B3312, Dim_Hotel!$A$2:$A$11, Dim_Hotel!$J$2:$J$11))</f>
        <v>260</v>
      </c>
    </row>
    <row r="3313" spans="1:13" x14ac:dyDescent="0.25">
      <c r="A3313" s="1">
        <f t="shared" si="408"/>
        <v>46354</v>
      </c>
      <c r="B3313" t="str" cm="1">
        <f t="array" ref="B3313">INDEX(HotelList,MOD(ROW()-2,10)+1)</f>
        <v>H002</v>
      </c>
      <c r="C3313">
        <f>_xlfn.XLOOKUP(B3313,Dim_Hotel!$A$2:$A$11,Dim_Hotel!$F$2:$F$11)</f>
        <v>147</v>
      </c>
      <c r="D3313">
        <f t="shared" si="409"/>
        <v>81</v>
      </c>
      <c r="E3313">
        <f t="shared" si="410"/>
        <v>0.55102040816326525</v>
      </c>
      <c r="F3313">
        <f t="shared" si="411"/>
        <v>175</v>
      </c>
      <c r="G3313">
        <f t="shared" si="412"/>
        <v>96.428571428571416</v>
      </c>
      <c r="H3313" t="str">
        <f>_xlfn.XLOOKUP(A3313,Fact_Events!$D$2:$D$20,Fact_Events!$A$2:$A$20, "")</f>
        <v/>
      </c>
      <c r="I3313">
        <f t="shared" si="413"/>
        <v>0</v>
      </c>
      <c r="J3313" t="str">
        <f>_xlfn.XLOOKUP(H3313, Fact_Events!$A$2:$A$20, Fact_Events!$F$2:$F$20, "")</f>
        <v/>
      </c>
      <c r="K3313" t="str">
        <f t="shared" si="414"/>
        <v>Low</v>
      </c>
      <c r="L3313">
        <f t="shared" si="415"/>
        <v>0.55000000000000004</v>
      </c>
      <c r="M3313">
        <f>_xlfn.XLOOKUP(B3313, Dim_Hotel!$A$2:$A$11, Dim_Hotel!$I$2:$I$11)
 + (IF(J3313="",0,J3313)
    * _xlfn.XLOOKUP(B3313, Dim_Hotel!$A$2:$A$11, Dim_Hotel!$J$2:$J$11))</f>
        <v>175</v>
      </c>
    </row>
    <row r="3314" spans="1:13" x14ac:dyDescent="0.25">
      <c r="A3314" s="1">
        <f t="shared" si="408"/>
        <v>46354</v>
      </c>
      <c r="B3314" t="str" cm="1">
        <f t="array" ref="B3314">INDEX(HotelList,MOD(ROW()-2,10)+1)</f>
        <v>H003</v>
      </c>
      <c r="C3314">
        <f>_xlfn.XLOOKUP(B3314,Dim_Hotel!$A$2:$A$11,Dim_Hotel!$F$2:$F$11)</f>
        <v>121</v>
      </c>
      <c r="D3314">
        <f t="shared" si="409"/>
        <v>67</v>
      </c>
      <c r="E3314">
        <f t="shared" si="410"/>
        <v>0.55371900826446285</v>
      </c>
      <c r="F3314">
        <f t="shared" si="411"/>
        <v>145</v>
      </c>
      <c r="G3314">
        <f t="shared" si="412"/>
        <v>80.289256198347118</v>
      </c>
      <c r="H3314" t="str">
        <f>_xlfn.XLOOKUP(A3314,Fact_Events!$D$2:$D$20,Fact_Events!$A$2:$A$20, "")</f>
        <v/>
      </c>
      <c r="I3314">
        <f t="shared" si="413"/>
        <v>0</v>
      </c>
      <c r="J3314" t="str">
        <f>_xlfn.XLOOKUP(H3314, Fact_Events!$A$2:$A$20, Fact_Events!$F$2:$F$20, "")</f>
        <v/>
      </c>
      <c r="K3314" t="str">
        <f t="shared" si="414"/>
        <v>Low</v>
      </c>
      <c r="L3314">
        <f t="shared" si="415"/>
        <v>0.55000000000000004</v>
      </c>
      <c r="M3314">
        <f>_xlfn.XLOOKUP(B3314, Dim_Hotel!$A$2:$A$11, Dim_Hotel!$I$2:$I$11)
 + (IF(J3314="",0,J3314)
    * _xlfn.XLOOKUP(B3314, Dim_Hotel!$A$2:$A$11, Dim_Hotel!$J$2:$J$11))</f>
        <v>145</v>
      </c>
    </row>
    <row r="3315" spans="1:13" x14ac:dyDescent="0.25">
      <c r="A3315" s="1">
        <f t="shared" si="408"/>
        <v>46354</v>
      </c>
      <c r="B3315" t="str" cm="1">
        <f t="array" ref="B3315">INDEX(HotelList,MOD(ROW()-2,10)+1)</f>
        <v>H004</v>
      </c>
      <c r="C3315">
        <f>_xlfn.XLOOKUP(B3315,Dim_Hotel!$A$2:$A$11,Dim_Hotel!$F$2:$F$11)</f>
        <v>108</v>
      </c>
      <c r="D3315">
        <f t="shared" si="409"/>
        <v>59</v>
      </c>
      <c r="E3315">
        <f t="shared" si="410"/>
        <v>0.54629629629629628</v>
      </c>
      <c r="F3315">
        <f t="shared" si="411"/>
        <v>135</v>
      </c>
      <c r="G3315">
        <f t="shared" si="412"/>
        <v>73.75</v>
      </c>
      <c r="H3315" t="str">
        <f>_xlfn.XLOOKUP(A3315,Fact_Events!$D$2:$D$20,Fact_Events!$A$2:$A$20, "")</f>
        <v/>
      </c>
      <c r="I3315">
        <f t="shared" si="413"/>
        <v>0</v>
      </c>
      <c r="J3315" t="str">
        <f>_xlfn.XLOOKUP(H3315, Fact_Events!$A$2:$A$20, Fact_Events!$F$2:$F$20, "")</f>
        <v/>
      </c>
      <c r="K3315" t="str">
        <f t="shared" si="414"/>
        <v>Low</v>
      </c>
      <c r="L3315">
        <f t="shared" si="415"/>
        <v>0.55000000000000004</v>
      </c>
      <c r="M3315">
        <f>_xlfn.XLOOKUP(B3315, Dim_Hotel!$A$2:$A$11, Dim_Hotel!$I$2:$I$11)
 + (IF(J3315="",0,J3315)
    * _xlfn.XLOOKUP(B3315, Dim_Hotel!$A$2:$A$11, Dim_Hotel!$J$2:$J$11))</f>
        <v>135</v>
      </c>
    </row>
    <row r="3316" spans="1:13" x14ac:dyDescent="0.25">
      <c r="A3316" s="1">
        <f t="shared" si="408"/>
        <v>46354</v>
      </c>
      <c r="B3316" t="str" cm="1">
        <f t="array" ref="B3316">INDEX(HotelList,MOD(ROW()-2,10)+1)</f>
        <v>H005</v>
      </c>
      <c r="C3316">
        <f>_xlfn.XLOOKUP(B3316,Dim_Hotel!$A$2:$A$11,Dim_Hotel!$F$2:$F$11)</f>
        <v>66</v>
      </c>
      <c r="D3316">
        <f t="shared" si="409"/>
        <v>36</v>
      </c>
      <c r="E3316">
        <f t="shared" si="410"/>
        <v>0.54545454545454541</v>
      </c>
      <c r="F3316">
        <f t="shared" si="411"/>
        <v>82</v>
      </c>
      <c r="G3316">
        <f t="shared" si="412"/>
        <v>44.727272727272727</v>
      </c>
      <c r="H3316" t="str">
        <f>_xlfn.XLOOKUP(A3316,Fact_Events!$D$2:$D$20,Fact_Events!$A$2:$A$20, "")</f>
        <v/>
      </c>
      <c r="I3316">
        <f t="shared" si="413"/>
        <v>0</v>
      </c>
      <c r="J3316" t="str">
        <f>_xlfn.XLOOKUP(H3316, Fact_Events!$A$2:$A$20, Fact_Events!$F$2:$F$20, "")</f>
        <v/>
      </c>
      <c r="K3316" t="str">
        <f t="shared" si="414"/>
        <v>Low</v>
      </c>
      <c r="L3316">
        <f t="shared" si="415"/>
        <v>0.55000000000000004</v>
      </c>
      <c r="M3316">
        <f>_xlfn.XLOOKUP(B3316, Dim_Hotel!$A$2:$A$11, Dim_Hotel!$I$2:$I$11)
 + (IF(J3316="",0,J3316)
    * _xlfn.XLOOKUP(B3316, Dim_Hotel!$A$2:$A$11, Dim_Hotel!$J$2:$J$11))</f>
        <v>82</v>
      </c>
    </row>
    <row r="3317" spans="1:13" x14ac:dyDescent="0.25">
      <c r="A3317" s="1">
        <f t="shared" si="408"/>
        <v>46354</v>
      </c>
      <c r="B3317" t="str" cm="1">
        <f t="array" ref="B3317">INDEX(HotelList,MOD(ROW()-2,10)+1)</f>
        <v>H006</v>
      </c>
      <c r="C3317">
        <f>_xlfn.XLOOKUP(B3317,Dim_Hotel!$A$2:$A$11,Dim_Hotel!$F$2:$F$11)</f>
        <v>311</v>
      </c>
      <c r="D3317">
        <f t="shared" si="409"/>
        <v>171</v>
      </c>
      <c r="E3317">
        <f t="shared" si="410"/>
        <v>0.54983922829581988</v>
      </c>
      <c r="F3317">
        <f t="shared" si="411"/>
        <v>190</v>
      </c>
      <c r="G3317">
        <f t="shared" si="412"/>
        <v>104.46945337620578</v>
      </c>
      <c r="H3317" t="str">
        <f>_xlfn.XLOOKUP(A3317,Fact_Events!$D$2:$D$20,Fact_Events!$A$2:$A$20, "")</f>
        <v/>
      </c>
      <c r="I3317">
        <f t="shared" si="413"/>
        <v>0</v>
      </c>
      <c r="J3317" t="str">
        <f>_xlfn.XLOOKUP(H3317, Fact_Events!$A$2:$A$20, Fact_Events!$F$2:$F$20, "")</f>
        <v/>
      </c>
      <c r="K3317" t="str">
        <f t="shared" si="414"/>
        <v>Low</v>
      </c>
      <c r="L3317">
        <f t="shared" si="415"/>
        <v>0.55000000000000004</v>
      </c>
      <c r="M3317">
        <f>_xlfn.XLOOKUP(B3317, Dim_Hotel!$A$2:$A$11, Dim_Hotel!$I$2:$I$11)
 + (IF(J3317="",0,J3317)
    * _xlfn.XLOOKUP(B3317, Dim_Hotel!$A$2:$A$11, Dim_Hotel!$J$2:$J$11))</f>
        <v>190</v>
      </c>
    </row>
    <row r="3318" spans="1:13" x14ac:dyDescent="0.25">
      <c r="A3318" s="1">
        <f t="shared" si="408"/>
        <v>46354</v>
      </c>
      <c r="B3318" t="str" cm="1">
        <f t="array" ref="B3318">INDEX(HotelList,MOD(ROW()-2,10)+1)</f>
        <v>H007</v>
      </c>
      <c r="C3318">
        <f>_xlfn.XLOOKUP(B3318,Dim_Hotel!$A$2:$A$11,Dim_Hotel!$F$2:$F$11)</f>
        <v>132</v>
      </c>
      <c r="D3318">
        <f t="shared" si="409"/>
        <v>73</v>
      </c>
      <c r="E3318">
        <f t="shared" si="410"/>
        <v>0.55303030303030298</v>
      </c>
      <c r="F3318">
        <f t="shared" si="411"/>
        <v>165</v>
      </c>
      <c r="G3318">
        <f t="shared" si="412"/>
        <v>91.249999999999986</v>
      </c>
      <c r="H3318" t="str">
        <f>_xlfn.XLOOKUP(A3318,Fact_Events!$D$2:$D$20,Fact_Events!$A$2:$A$20, "")</f>
        <v/>
      </c>
      <c r="I3318">
        <f t="shared" si="413"/>
        <v>0</v>
      </c>
      <c r="J3318" t="str">
        <f>_xlfn.XLOOKUP(H3318, Fact_Events!$A$2:$A$20, Fact_Events!$F$2:$F$20, "")</f>
        <v/>
      </c>
      <c r="K3318" t="str">
        <f t="shared" si="414"/>
        <v>Low</v>
      </c>
      <c r="L3318">
        <f t="shared" si="415"/>
        <v>0.55000000000000004</v>
      </c>
      <c r="M3318">
        <f>_xlfn.XLOOKUP(B3318, Dim_Hotel!$A$2:$A$11, Dim_Hotel!$I$2:$I$11)
 + (IF(J3318="",0,J3318)
    * _xlfn.XLOOKUP(B3318, Dim_Hotel!$A$2:$A$11, Dim_Hotel!$J$2:$J$11))</f>
        <v>165</v>
      </c>
    </row>
    <row r="3319" spans="1:13" x14ac:dyDescent="0.25">
      <c r="A3319" s="1">
        <f t="shared" si="408"/>
        <v>46354</v>
      </c>
      <c r="B3319" t="str" cm="1">
        <f t="array" ref="B3319">INDEX(HotelList,MOD(ROW()-2,10)+1)</f>
        <v>H008</v>
      </c>
      <c r="C3319">
        <f>_xlfn.XLOOKUP(B3319,Dim_Hotel!$A$2:$A$11,Dim_Hotel!$F$2:$F$11)</f>
        <v>103</v>
      </c>
      <c r="D3319">
        <f t="shared" si="409"/>
        <v>57</v>
      </c>
      <c r="E3319">
        <f t="shared" si="410"/>
        <v>0.55339805825242716</v>
      </c>
      <c r="F3319">
        <f t="shared" si="411"/>
        <v>140</v>
      </c>
      <c r="G3319">
        <f t="shared" si="412"/>
        <v>77.475728155339809</v>
      </c>
      <c r="H3319" t="str">
        <f>_xlfn.XLOOKUP(A3319,Fact_Events!$D$2:$D$20,Fact_Events!$A$2:$A$20, "")</f>
        <v/>
      </c>
      <c r="I3319">
        <f t="shared" si="413"/>
        <v>0</v>
      </c>
      <c r="J3319" t="str">
        <f>_xlfn.XLOOKUP(H3319, Fact_Events!$A$2:$A$20, Fact_Events!$F$2:$F$20, "")</f>
        <v/>
      </c>
      <c r="K3319" t="str">
        <f t="shared" si="414"/>
        <v>Low</v>
      </c>
      <c r="L3319">
        <f t="shared" si="415"/>
        <v>0.55000000000000004</v>
      </c>
      <c r="M3319">
        <f>_xlfn.XLOOKUP(B3319, Dim_Hotel!$A$2:$A$11, Dim_Hotel!$I$2:$I$11)
 + (IF(J3319="",0,J3319)
    * _xlfn.XLOOKUP(B3319, Dim_Hotel!$A$2:$A$11, Dim_Hotel!$J$2:$J$11))</f>
        <v>140</v>
      </c>
    </row>
    <row r="3320" spans="1:13" x14ac:dyDescent="0.25">
      <c r="A3320" s="1">
        <f t="shared" si="408"/>
        <v>46354</v>
      </c>
      <c r="B3320" t="str" cm="1">
        <f t="array" ref="B3320">INDEX(HotelList,MOD(ROW()-2,10)+1)</f>
        <v>H009</v>
      </c>
      <c r="C3320">
        <f>_xlfn.XLOOKUP(B3320,Dim_Hotel!$A$2:$A$11,Dim_Hotel!$F$2:$F$11)</f>
        <v>114</v>
      </c>
      <c r="D3320">
        <f t="shared" si="409"/>
        <v>63</v>
      </c>
      <c r="E3320">
        <f t="shared" si="410"/>
        <v>0.55263157894736847</v>
      </c>
      <c r="F3320">
        <f t="shared" si="411"/>
        <v>185</v>
      </c>
      <c r="G3320">
        <f t="shared" si="412"/>
        <v>102.23684210526316</v>
      </c>
      <c r="H3320" t="str">
        <f>_xlfn.XLOOKUP(A3320,Fact_Events!$D$2:$D$20,Fact_Events!$A$2:$A$20, "")</f>
        <v/>
      </c>
      <c r="I3320">
        <f t="shared" si="413"/>
        <v>0</v>
      </c>
      <c r="J3320" t="str">
        <f>_xlfn.XLOOKUP(H3320, Fact_Events!$A$2:$A$20, Fact_Events!$F$2:$F$20, "")</f>
        <v/>
      </c>
      <c r="K3320" t="str">
        <f t="shared" si="414"/>
        <v>Low</v>
      </c>
      <c r="L3320">
        <f t="shared" si="415"/>
        <v>0.55000000000000004</v>
      </c>
      <c r="M3320">
        <f>_xlfn.XLOOKUP(B3320, Dim_Hotel!$A$2:$A$11, Dim_Hotel!$I$2:$I$11)
 + (IF(J3320="",0,J3320)
    * _xlfn.XLOOKUP(B3320, Dim_Hotel!$A$2:$A$11, Dim_Hotel!$J$2:$J$11))</f>
        <v>185</v>
      </c>
    </row>
    <row r="3321" spans="1:13" x14ac:dyDescent="0.25">
      <c r="A3321" s="1">
        <f t="shared" si="408"/>
        <v>46354</v>
      </c>
      <c r="B3321" t="str" cm="1">
        <f t="array" ref="B3321">INDEX(HotelList,MOD(ROW()-2,10)+1)</f>
        <v>H010</v>
      </c>
      <c r="C3321">
        <f>_xlfn.XLOOKUP(B3321,Dim_Hotel!$A$2:$A$11,Dim_Hotel!$F$2:$F$11)</f>
        <v>89</v>
      </c>
      <c r="D3321">
        <f t="shared" si="409"/>
        <v>49</v>
      </c>
      <c r="E3321">
        <f t="shared" si="410"/>
        <v>0.550561797752809</v>
      </c>
      <c r="F3321">
        <f t="shared" si="411"/>
        <v>150</v>
      </c>
      <c r="G3321">
        <f t="shared" si="412"/>
        <v>82.584269662921344</v>
      </c>
      <c r="H3321" t="str">
        <f>_xlfn.XLOOKUP(A3321,Fact_Events!$D$2:$D$20,Fact_Events!$A$2:$A$20, "")</f>
        <v/>
      </c>
      <c r="I3321">
        <f t="shared" si="413"/>
        <v>0</v>
      </c>
      <c r="J3321" t="str">
        <f>_xlfn.XLOOKUP(H3321, Fact_Events!$A$2:$A$20, Fact_Events!$F$2:$F$20, "")</f>
        <v/>
      </c>
      <c r="K3321" t="str">
        <f t="shared" si="414"/>
        <v>Low</v>
      </c>
      <c r="L3321">
        <f t="shared" si="415"/>
        <v>0.55000000000000004</v>
      </c>
      <c r="M3321">
        <f>_xlfn.XLOOKUP(B3321, Dim_Hotel!$A$2:$A$11, Dim_Hotel!$I$2:$I$11)
 + (IF(J3321="",0,J3321)
    * _xlfn.XLOOKUP(B3321, Dim_Hotel!$A$2:$A$11, Dim_Hotel!$J$2:$J$11))</f>
        <v>150</v>
      </c>
    </row>
    <row r="3322" spans="1:13" x14ac:dyDescent="0.25">
      <c r="A3322" s="1">
        <f t="shared" si="408"/>
        <v>46355</v>
      </c>
      <c r="B3322" t="str" cm="1">
        <f t="array" ref="B3322">INDEX(HotelList,MOD(ROW()-2,10)+1)</f>
        <v>H001</v>
      </c>
      <c r="C3322">
        <f>_xlfn.XLOOKUP(B3322,Dim_Hotel!$A$2:$A$11,Dim_Hotel!$F$2:$F$11)</f>
        <v>888</v>
      </c>
      <c r="D3322">
        <f t="shared" si="409"/>
        <v>488</v>
      </c>
      <c r="E3322">
        <f t="shared" si="410"/>
        <v>0.5495495495495496</v>
      </c>
      <c r="F3322">
        <f t="shared" si="411"/>
        <v>260</v>
      </c>
      <c r="G3322">
        <f t="shared" si="412"/>
        <v>142.88288288288288</v>
      </c>
      <c r="H3322" t="str">
        <f>_xlfn.XLOOKUP(A3322,Fact_Events!$D$2:$D$20,Fact_Events!$A$2:$A$20, "")</f>
        <v/>
      </c>
      <c r="I3322">
        <f t="shared" si="413"/>
        <v>0</v>
      </c>
      <c r="J3322" t="str">
        <f>_xlfn.XLOOKUP(H3322, Fact_Events!$A$2:$A$20, Fact_Events!$F$2:$F$20, "")</f>
        <v/>
      </c>
      <c r="K3322" t="str">
        <f t="shared" si="414"/>
        <v>Low</v>
      </c>
      <c r="L3322">
        <f t="shared" si="415"/>
        <v>0.55000000000000004</v>
      </c>
      <c r="M3322">
        <f>_xlfn.XLOOKUP(B3322, Dim_Hotel!$A$2:$A$11, Dim_Hotel!$I$2:$I$11)
 + (IF(J3322="",0,J3322)
    * _xlfn.XLOOKUP(B3322, Dim_Hotel!$A$2:$A$11, Dim_Hotel!$J$2:$J$11))</f>
        <v>260</v>
      </c>
    </row>
    <row r="3323" spans="1:13" x14ac:dyDescent="0.25">
      <c r="A3323" s="1">
        <f t="shared" si="408"/>
        <v>46355</v>
      </c>
      <c r="B3323" t="str" cm="1">
        <f t="array" ref="B3323">INDEX(HotelList,MOD(ROW()-2,10)+1)</f>
        <v>H002</v>
      </c>
      <c r="C3323">
        <f>_xlfn.XLOOKUP(B3323,Dim_Hotel!$A$2:$A$11,Dim_Hotel!$F$2:$F$11)</f>
        <v>147</v>
      </c>
      <c r="D3323">
        <f t="shared" si="409"/>
        <v>81</v>
      </c>
      <c r="E3323">
        <f t="shared" si="410"/>
        <v>0.55102040816326525</v>
      </c>
      <c r="F3323">
        <f t="shared" si="411"/>
        <v>175</v>
      </c>
      <c r="G3323">
        <f t="shared" si="412"/>
        <v>96.428571428571416</v>
      </c>
      <c r="H3323" t="str">
        <f>_xlfn.XLOOKUP(A3323,Fact_Events!$D$2:$D$20,Fact_Events!$A$2:$A$20, "")</f>
        <v/>
      </c>
      <c r="I3323">
        <f t="shared" si="413"/>
        <v>0</v>
      </c>
      <c r="J3323" t="str">
        <f>_xlfn.XLOOKUP(H3323, Fact_Events!$A$2:$A$20, Fact_Events!$F$2:$F$20, "")</f>
        <v/>
      </c>
      <c r="K3323" t="str">
        <f t="shared" si="414"/>
        <v>Low</v>
      </c>
      <c r="L3323">
        <f t="shared" si="415"/>
        <v>0.55000000000000004</v>
      </c>
      <c r="M3323">
        <f>_xlfn.XLOOKUP(B3323, Dim_Hotel!$A$2:$A$11, Dim_Hotel!$I$2:$I$11)
 + (IF(J3323="",0,J3323)
    * _xlfn.XLOOKUP(B3323, Dim_Hotel!$A$2:$A$11, Dim_Hotel!$J$2:$J$11))</f>
        <v>175</v>
      </c>
    </row>
    <row r="3324" spans="1:13" x14ac:dyDescent="0.25">
      <c r="A3324" s="1">
        <f t="shared" si="408"/>
        <v>46355</v>
      </c>
      <c r="B3324" t="str" cm="1">
        <f t="array" ref="B3324">INDEX(HotelList,MOD(ROW()-2,10)+1)</f>
        <v>H003</v>
      </c>
      <c r="C3324">
        <f>_xlfn.XLOOKUP(B3324,Dim_Hotel!$A$2:$A$11,Dim_Hotel!$F$2:$F$11)</f>
        <v>121</v>
      </c>
      <c r="D3324">
        <f t="shared" si="409"/>
        <v>67</v>
      </c>
      <c r="E3324">
        <f t="shared" si="410"/>
        <v>0.55371900826446285</v>
      </c>
      <c r="F3324">
        <f t="shared" si="411"/>
        <v>145</v>
      </c>
      <c r="G3324">
        <f t="shared" si="412"/>
        <v>80.289256198347118</v>
      </c>
      <c r="H3324" t="str">
        <f>_xlfn.XLOOKUP(A3324,Fact_Events!$D$2:$D$20,Fact_Events!$A$2:$A$20, "")</f>
        <v/>
      </c>
      <c r="I3324">
        <f t="shared" si="413"/>
        <v>0</v>
      </c>
      <c r="J3324" t="str">
        <f>_xlfn.XLOOKUP(H3324, Fact_Events!$A$2:$A$20, Fact_Events!$F$2:$F$20, "")</f>
        <v/>
      </c>
      <c r="K3324" t="str">
        <f t="shared" si="414"/>
        <v>Low</v>
      </c>
      <c r="L3324">
        <f t="shared" si="415"/>
        <v>0.55000000000000004</v>
      </c>
      <c r="M3324">
        <f>_xlfn.XLOOKUP(B3324, Dim_Hotel!$A$2:$A$11, Dim_Hotel!$I$2:$I$11)
 + (IF(J3324="",0,J3324)
    * _xlfn.XLOOKUP(B3324, Dim_Hotel!$A$2:$A$11, Dim_Hotel!$J$2:$J$11))</f>
        <v>145</v>
      </c>
    </row>
    <row r="3325" spans="1:13" x14ac:dyDescent="0.25">
      <c r="A3325" s="1">
        <f t="shared" si="408"/>
        <v>46355</v>
      </c>
      <c r="B3325" t="str" cm="1">
        <f t="array" ref="B3325">INDEX(HotelList,MOD(ROW()-2,10)+1)</f>
        <v>H004</v>
      </c>
      <c r="C3325">
        <f>_xlfn.XLOOKUP(B3325,Dim_Hotel!$A$2:$A$11,Dim_Hotel!$F$2:$F$11)</f>
        <v>108</v>
      </c>
      <c r="D3325">
        <f t="shared" si="409"/>
        <v>59</v>
      </c>
      <c r="E3325">
        <f t="shared" si="410"/>
        <v>0.54629629629629628</v>
      </c>
      <c r="F3325">
        <f t="shared" si="411"/>
        <v>135</v>
      </c>
      <c r="G3325">
        <f t="shared" si="412"/>
        <v>73.75</v>
      </c>
      <c r="H3325" t="str">
        <f>_xlfn.XLOOKUP(A3325,Fact_Events!$D$2:$D$20,Fact_Events!$A$2:$A$20, "")</f>
        <v/>
      </c>
      <c r="I3325">
        <f t="shared" si="413"/>
        <v>0</v>
      </c>
      <c r="J3325" t="str">
        <f>_xlfn.XLOOKUP(H3325, Fact_Events!$A$2:$A$20, Fact_Events!$F$2:$F$20, "")</f>
        <v/>
      </c>
      <c r="K3325" t="str">
        <f t="shared" si="414"/>
        <v>Low</v>
      </c>
      <c r="L3325">
        <f t="shared" si="415"/>
        <v>0.55000000000000004</v>
      </c>
      <c r="M3325">
        <f>_xlfn.XLOOKUP(B3325, Dim_Hotel!$A$2:$A$11, Dim_Hotel!$I$2:$I$11)
 + (IF(J3325="",0,J3325)
    * _xlfn.XLOOKUP(B3325, Dim_Hotel!$A$2:$A$11, Dim_Hotel!$J$2:$J$11))</f>
        <v>135</v>
      </c>
    </row>
    <row r="3326" spans="1:13" x14ac:dyDescent="0.25">
      <c r="A3326" s="1">
        <f t="shared" si="408"/>
        <v>46355</v>
      </c>
      <c r="B3326" t="str" cm="1">
        <f t="array" ref="B3326">INDEX(HotelList,MOD(ROW()-2,10)+1)</f>
        <v>H005</v>
      </c>
      <c r="C3326">
        <f>_xlfn.XLOOKUP(B3326,Dim_Hotel!$A$2:$A$11,Dim_Hotel!$F$2:$F$11)</f>
        <v>66</v>
      </c>
      <c r="D3326">
        <f t="shared" si="409"/>
        <v>36</v>
      </c>
      <c r="E3326">
        <f t="shared" si="410"/>
        <v>0.54545454545454541</v>
      </c>
      <c r="F3326">
        <f t="shared" si="411"/>
        <v>82</v>
      </c>
      <c r="G3326">
        <f t="shared" si="412"/>
        <v>44.727272727272727</v>
      </c>
      <c r="H3326" t="str">
        <f>_xlfn.XLOOKUP(A3326,Fact_Events!$D$2:$D$20,Fact_Events!$A$2:$A$20, "")</f>
        <v/>
      </c>
      <c r="I3326">
        <f t="shared" si="413"/>
        <v>0</v>
      </c>
      <c r="J3326" t="str">
        <f>_xlfn.XLOOKUP(H3326, Fact_Events!$A$2:$A$20, Fact_Events!$F$2:$F$20, "")</f>
        <v/>
      </c>
      <c r="K3326" t="str">
        <f t="shared" si="414"/>
        <v>Low</v>
      </c>
      <c r="L3326">
        <f t="shared" si="415"/>
        <v>0.55000000000000004</v>
      </c>
      <c r="M3326">
        <f>_xlfn.XLOOKUP(B3326, Dim_Hotel!$A$2:$A$11, Dim_Hotel!$I$2:$I$11)
 + (IF(J3326="",0,J3326)
    * _xlfn.XLOOKUP(B3326, Dim_Hotel!$A$2:$A$11, Dim_Hotel!$J$2:$J$11))</f>
        <v>82</v>
      </c>
    </row>
    <row r="3327" spans="1:13" x14ac:dyDescent="0.25">
      <c r="A3327" s="1">
        <f t="shared" si="408"/>
        <v>46355</v>
      </c>
      <c r="B3327" t="str" cm="1">
        <f t="array" ref="B3327">INDEX(HotelList,MOD(ROW()-2,10)+1)</f>
        <v>H006</v>
      </c>
      <c r="C3327">
        <f>_xlfn.XLOOKUP(B3327,Dim_Hotel!$A$2:$A$11,Dim_Hotel!$F$2:$F$11)</f>
        <v>311</v>
      </c>
      <c r="D3327">
        <f t="shared" si="409"/>
        <v>171</v>
      </c>
      <c r="E3327">
        <f t="shared" si="410"/>
        <v>0.54983922829581988</v>
      </c>
      <c r="F3327">
        <f t="shared" si="411"/>
        <v>190</v>
      </c>
      <c r="G3327">
        <f t="shared" si="412"/>
        <v>104.46945337620578</v>
      </c>
      <c r="H3327" t="str">
        <f>_xlfn.XLOOKUP(A3327,Fact_Events!$D$2:$D$20,Fact_Events!$A$2:$A$20, "")</f>
        <v/>
      </c>
      <c r="I3327">
        <f t="shared" si="413"/>
        <v>0</v>
      </c>
      <c r="J3327" t="str">
        <f>_xlfn.XLOOKUP(H3327, Fact_Events!$A$2:$A$20, Fact_Events!$F$2:$F$20, "")</f>
        <v/>
      </c>
      <c r="K3327" t="str">
        <f t="shared" si="414"/>
        <v>Low</v>
      </c>
      <c r="L3327">
        <f t="shared" si="415"/>
        <v>0.55000000000000004</v>
      </c>
      <c r="M3327">
        <f>_xlfn.XLOOKUP(B3327, Dim_Hotel!$A$2:$A$11, Dim_Hotel!$I$2:$I$11)
 + (IF(J3327="",0,J3327)
    * _xlfn.XLOOKUP(B3327, Dim_Hotel!$A$2:$A$11, Dim_Hotel!$J$2:$J$11))</f>
        <v>190</v>
      </c>
    </row>
    <row r="3328" spans="1:13" x14ac:dyDescent="0.25">
      <c r="A3328" s="1">
        <f t="shared" si="408"/>
        <v>46355</v>
      </c>
      <c r="B3328" t="str" cm="1">
        <f t="array" ref="B3328">INDEX(HotelList,MOD(ROW()-2,10)+1)</f>
        <v>H007</v>
      </c>
      <c r="C3328">
        <f>_xlfn.XLOOKUP(B3328,Dim_Hotel!$A$2:$A$11,Dim_Hotel!$F$2:$F$11)</f>
        <v>132</v>
      </c>
      <c r="D3328">
        <f t="shared" si="409"/>
        <v>73</v>
      </c>
      <c r="E3328">
        <f t="shared" si="410"/>
        <v>0.55303030303030298</v>
      </c>
      <c r="F3328">
        <f t="shared" si="411"/>
        <v>165</v>
      </c>
      <c r="G3328">
        <f t="shared" si="412"/>
        <v>91.249999999999986</v>
      </c>
      <c r="H3328" t="str">
        <f>_xlfn.XLOOKUP(A3328,Fact_Events!$D$2:$D$20,Fact_Events!$A$2:$A$20, "")</f>
        <v/>
      </c>
      <c r="I3328">
        <f t="shared" si="413"/>
        <v>0</v>
      </c>
      <c r="J3328" t="str">
        <f>_xlfn.XLOOKUP(H3328, Fact_Events!$A$2:$A$20, Fact_Events!$F$2:$F$20, "")</f>
        <v/>
      </c>
      <c r="K3328" t="str">
        <f t="shared" si="414"/>
        <v>Low</v>
      </c>
      <c r="L3328">
        <f t="shared" si="415"/>
        <v>0.55000000000000004</v>
      </c>
      <c r="M3328">
        <f>_xlfn.XLOOKUP(B3328, Dim_Hotel!$A$2:$A$11, Dim_Hotel!$I$2:$I$11)
 + (IF(J3328="",0,J3328)
    * _xlfn.XLOOKUP(B3328, Dim_Hotel!$A$2:$A$11, Dim_Hotel!$J$2:$J$11))</f>
        <v>165</v>
      </c>
    </row>
    <row r="3329" spans="1:13" x14ac:dyDescent="0.25">
      <c r="A3329" s="1">
        <f t="shared" si="408"/>
        <v>46355</v>
      </c>
      <c r="B3329" t="str" cm="1">
        <f t="array" ref="B3329">INDEX(HotelList,MOD(ROW()-2,10)+1)</f>
        <v>H008</v>
      </c>
      <c r="C3329">
        <f>_xlfn.XLOOKUP(B3329,Dim_Hotel!$A$2:$A$11,Dim_Hotel!$F$2:$F$11)</f>
        <v>103</v>
      </c>
      <c r="D3329">
        <f t="shared" si="409"/>
        <v>57</v>
      </c>
      <c r="E3329">
        <f t="shared" si="410"/>
        <v>0.55339805825242716</v>
      </c>
      <c r="F3329">
        <f t="shared" si="411"/>
        <v>140</v>
      </c>
      <c r="G3329">
        <f t="shared" si="412"/>
        <v>77.475728155339809</v>
      </c>
      <c r="H3329" t="str">
        <f>_xlfn.XLOOKUP(A3329,Fact_Events!$D$2:$D$20,Fact_Events!$A$2:$A$20, "")</f>
        <v/>
      </c>
      <c r="I3329">
        <f t="shared" si="413"/>
        <v>0</v>
      </c>
      <c r="J3329" t="str">
        <f>_xlfn.XLOOKUP(H3329, Fact_Events!$A$2:$A$20, Fact_Events!$F$2:$F$20, "")</f>
        <v/>
      </c>
      <c r="K3329" t="str">
        <f t="shared" si="414"/>
        <v>Low</v>
      </c>
      <c r="L3329">
        <f t="shared" si="415"/>
        <v>0.55000000000000004</v>
      </c>
      <c r="M3329">
        <f>_xlfn.XLOOKUP(B3329, Dim_Hotel!$A$2:$A$11, Dim_Hotel!$I$2:$I$11)
 + (IF(J3329="",0,J3329)
    * _xlfn.XLOOKUP(B3329, Dim_Hotel!$A$2:$A$11, Dim_Hotel!$J$2:$J$11))</f>
        <v>140</v>
      </c>
    </row>
    <row r="3330" spans="1:13" x14ac:dyDescent="0.25">
      <c r="A3330" s="1">
        <f t="shared" si="408"/>
        <v>46355</v>
      </c>
      <c r="B3330" t="str" cm="1">
        <f t="array" ref="B3330">INDEX(HotelList,MOD(ROW()-2,10)+1)</f>
        <v>H009</v>
      </c>
      <c r="C3330">
        <f>_xlfn.XLOOKUP(B3330,Dim_Hotel!$A$2:$A$11,Dim_Hotel!$F$2:$F$11)</f>
        <v>114</v>
      </c>
      <c r="D3330">
        <f t="shared" si="409"/>
        <v>63</v>
      </c>
      <c r="E3330">
        <f t="shared" si="410"/>
        <v>0.55263157894736847</v>
      </c>
      <c r="F3330">
        <f t="shared" si="411"/>
        <v>185</v>
      </c>
      <c r="G3330">
        <f t="shared" si="412"/>
        <v>102.23684210526316</v>
      </c>
      <c r="H3330" t="str">
        <f>_xlfn.XLOOKUP(A3330,Fact_Events!$D$2:$D$20,Fact_Events!$A$2:$A$20, "")</f>
        <v/>
      </c>
      <c r="I3330">
        <f t="shared" si="413"/>
        <v>0</v>
      </c>
      <c r="J3330" t="str">
        <f>_xlfn.XLOOKUP(H3330, Fact_Events!$A$2:$A$20, Fact_Events!$F$2:$F$20, "")</f>
        <v/>
      </c>
      <c r="K3330" t="str">
        <f t="shared" si="414"/>
        <v>Low</v>
      </c>
      <c r="L3330">
        <f t="shared" si="415"/>
        <v>0.55000000000000004</v>
      </c>
      <c r="M3330">
        <f>_xlfn.XLOOKUP(B3330, Dim_Hotel!$A$2:$A$11, Dim_Hotel!$I$2:$I$11)
 + (IF(J3330="",0,J3330)
    * _xlfn.XLOOKUP(B3330, Dim_Hotel!$A$2:$A$11, Dim_Hotel!$J$2:$J$11))</f>
        <v>185</v>
      </c>
    </row>
    <row r="3331" spans="1:13" x14ac:dyDescent="0.25">
      <c r="A3331" s="1">
        <f t="shared" ref="A3331:A3394" si="416">DATE(2026,1,1) + INT((ROW()-2)/10)</f>
        <v>46355</v>
      </c>
      <c r="B3331" t="str" cm="1">
        <f t="array" ref="B3331">INDEX(HotelList,MOD(ROW()-2,10)+1)</f>
        <v>H010</v>
      </c>
      <c r="C3331">
        <f>_xlfn.XLOOKUP(B3331,Dim_Hotel!$A$2:$A$11,Dim_Hotel!$F$2:$F$11)</f>
        <v>89</v>
      </c>
      <c r="D3331">
        <f t="shared" ref="D3331:D3394" si="417">ROUND(L3331 * C3331, 0)</f>
        <v>49</v>
      </c>
      <c r="E3331">
        <f t="shared" ref="E3331:E3394" si="418">D3331/C3331</f>
        <v>0.550561797752809</v>
      </c>
      <c r="F3331">
        <f t="shared" ref="F3331:F3394" si="419">M3331</f>
        <v>150</v>
      </c>
      <c r="G3331">
        <f t="shared" ref="G3331:G3394" si="420">E3331*F3331</f>
        <v>82.584269662921344</v>
      </c>
      <c r="H3331" t="str">
        <f>_xlfn.XLOOKUP(A3331,Fact_Events!$D$2:$D$20,Fact_Events!$A$2:$A$20, "")</f>
        <v/>
      </c>
      <c r="I3331">
        <f t="shared" ref="I3331:I3394" si="421">IF(H3331="",0,1)</f>
        <v>0</v>
      </c>
      <c r="J3331" t="str">
        <f>_xlfn.XLOOKUP(H3331, Fact_Events!$A$2:$A$20, Fact_Events!$F$2:$F$20, "")</f>
        <v/>
      </c>
      <c r="K3331" t="str">
        <f t="shared" ref="K3331:K3394" si="422">IF(I3331=0,"Low",
   IF(J3331&gt;=9,"High","Medium"))</f>
        <v>Low</v>
      </c>
      <c r="L3331">
        <f t="shared" ref="L3331:L3394" si="423">MIN(1,
  0.55
  + (I3331 * 0.25)
  + (IF(J3331="",0,J3331) / 100)
)</f>
        <v>0.55000000000000004</v>
      </c>
      <c r="M3331">
        <f>_xlfn.XLOOKUP(B3331, Dim_Hotel!$A$2:$A$11, Dim_Hotel!$I$2:$I$11)
 + (IF(J3331="",0,J3331)
    * _xlfn.XLOOKUP(B3331, Dim_Hotel!$A$2:$A$11, Dim_Hotel!$J$2:$J$11))</f>
        <v>150</v>
      </c>
    </row>
    <row r="3332" spans="1:13" x14ac:dyDescent="0.25">
      <c r="A3332" s="1">
        <f t="shared" si="416"/>
        <v>46356</v>
      </c>
      <c r="B3332" t="str" cm="1">
        <f t="array" ref="B3332">INDEX(HotelList,MOD(ROW()-2,10)+1)</f>
        <v>H001</v>
      </c>
      <c r="C3332">
        <f>_xlfn.XLOOKUP(B3332,Dim_Hotel!$A$2:$A$11,Dim_Hotel!$F$2:$F$11)</f>
        <v>888</v>
      </c>
      <c r="D3332">
        <f t="shared" si="417"/>
        <v>488</v>
      </c>
      <c r="E3332">
        <f t="shared" si="418"/>
        <v>0.5495495495495496</v>
      </c>
      <c r="F3332">
        <f t="shared" si="419"/>
        <v>260</v>
      </c>
      <c r="G3332">
        <f t="shared" si="420"/>
        <v>142.88288288288288</v>
      </c>
      <c r="H3332" t="str">
        <f>_xlfn.XLOOKUP(A3332,Fact_Events!$D$2:$D$20,Fact_Events!$A$2:$A$20, "")</f>
        <v/>
      </c>
      <c r="I3332">
        <f t="shared" si="421"/>
        <v>0</v>
      </c>
      <c r="J3332" t="str">
        <f>_xlfn.XLOOKUP(H3332, Fact_Events!$A$2:$A$20, Fact_Events!$F$2:$F$20, "")</f>
        <v/>
      </c>
      <c r="K3332" t="str">
        <f t="shared" si="422"/>
        <v>Low</v>
      </c>
      <c r="L3332">
        <f t="shared" si="423"/>
        <v>0.55000000000000004</v>
      </c>
      <c r="M3332">
        <f>_xlfn.XLOOKUP(B3332, Dim_Hotel!$A$2:$A$11, Dim_Hotel!$I$2:$I$11)
 + (IF(J3332="",0,J3332)
    * _xlfn.XLOOKUP(B3332, Dim_Hotel!$A$2:$A$11, Dim_Hotel!$J$2:$J$11))</f>
        <v>260</v>
      </c>
    </row>
    <row r="3333" spans="1:13" x14ac:dyDescent="0.25">
      <c r="A3333" s="1">
        <f t="shared" si="416"/>
        <v>46356</v>
      </c>
      <c r="B3333" t="str" cm="1">
        <f t="array" ref="B3333">INDEX(HotelList,MOD(ROW()-2,10)+1)</f>
        <v>H002</v>
      </c>
      <c r="C3333">
        <f>_xlfn.XLOOKUP(B3333,Dim_Hotel!$A$2:$A$11,Dim_Hotel!$F$2:$F$11)</f>
        <v>147</v>
      </c>
      <c r="D3333">
        <f t="shared" si="417"/>
        <v>81</v>
      </c>
      <c r="E3333">
        <f t="shared" si="418"/>
        <v>0.55102040816326525</v>
      </c>
      <c r="F3333">
        <f t="shared" si="419"/>
        <v>175</v>
      </c>
      <c r="G3333">
        <f t="shared" si="420"/>
        <v>96.428571428571416</v>
      </c>
      <c r="H3333" t="str">
        <f>_xlfn.XLOOKUP(A3333,Fact_Events!$D$2:$D$20,Fact_Events!$A$2:$A$20, "")</f>
        <v/>
      </c>
      <c r="I3333">
        <f t="shared" si="421"/>
        <v>0</v>
      </c>
      <c r="J3333" t="str">
        <f>_xlfn.XLOOKUP(H3333, Fact_Events!$A$2:$A$20, Fact_Events!$F$2:$F$20, "")</f>
        <v/>
      </c>
      <c r="K3333" t="str">
        <f t="shared" si="422"/>
        <v>Low</v>
      </c>
      <c r="L3333">
        <f t="shared" si="423"/>
        <v>0.55000000000000004</v>
      </c>
      <c r="M3333">
        <f>_xlfn.XLOOKUP(B3333, Dim_Hotel!$A$2:$A$11, Dim_Hotel!$I$2:$I$11)
 + (IF(J3333="",0,J3333)
    * _xlfn.XLOOKUP(B3333, Dim_Hotel!$A$2:$A$11, Dim_Hotel!$J$2:$J$11))</f>
        <v>175</v>
      </c>
    </row>
    <row r="3334" spans="1:13" x14ac:dyDescent="0.25">
      <c r="A3334" s="1">
        <f t="shared" si="416"/>
        <v>46356</v>
      </c>
      <c r="B3334" t="str" cm="1">
        <f t="array" ref="B3334">INDEX(HotelList,MOD(ROW()-2,10)+1)</f>
        <v>H003</v>
      </c>
      <c r="C3334">
        <f>_xlfn.XLOOKUP(B3334,Dim_Hotel!$A$2:$A$11,Dim_Hotel!$F$2:$F$11)</f>
        <v>121</v>
      </c>
      <c r="D3334">
        <f t="shared" si="417"/>
        <v>67</v>
      </c>
      <c r="E3334">
        <f t="shared" si="418"/>
        <v>0.55371900826446285</v>
      </c>
      <c r="F3334">
        <f t="shared" si="419"/>
        <v>145</v>
      </c>
      <c r="G3334">
        <f t="shared" si="420"/>
        <v>80.289256198347118</v>
      </c>
      <c r="H3334" t="str">
        <f>_xlfn.XLOOKUP(A3334,Fact_Events!$D$2:$D$20,Fact_Events!$A$2:$A$20, "")</f>
        <v/>
      </c>
      <c r="I3334">
        <f t="shared" si="421"/>
        <v>0</v>
      </c>
      <c r="J3334" t="str">
        <f>_xlfn.XLOOKUP(H3334, Fact_Events!$A$2:$A$20, Fact_Events!$F$2:$F$20, "")</f>
        <v/>
      </c>
      <c r="K3334" t="str">
        <f t="shared" si="422"/>
        <v>Low</v>
      </c>
      <c r="L3334">
        <f t="shared" si="423"/>
        <v>0.55000000000000004</v>
      </c>
      <c r="M3334">
        <f>_xlfn.XLOOKUP(B3334, Dim_Hotel!$A$2:$A$11, Dim_Hotel!$I$2:$I$11)
 + (IF(J3334="",0,J3334)
    * _xlfn.XLOOKUP(B3334, Dim_Hotel!$A$2:$A$11, Dim_Hotel!$J$2:$J$11))</f>
        <v>145</v>
      </c>
    </row>
    <row r="3335" spans="1:13" x14ac:dyDescent="0.25">
      <c r="A3335" s="1">
        <f t="shared" si="416"/>
        <v>46356</v>
      </c>
      <c r="B3335" t="str" cm="1">
        <f t="array" ref="B3335">INDEX(HotelList,MOD(ROW()-2,10)+1)</f>
        <v>H004</v>
      </c>
      <c r="C3335">
        <f>_xlfn.XLOOKUP(B3335,Dim_Hotel!$A$2:$A$11,Dim_Hotel!$F$2:$F$11)</f>
        <v>108</v>
      </c>
      <c r="D3335">
        <f t="shared" si="417"/>
        <v>59</v>
      </c>
      <c r="E3335">
        <f t="shared" si="418"/>
        <v>0.54629629629629628</v>
      </c>
      <c r="F3335">
        <f t="shared" si="419"/>
        <v>135</v>
      </c>
      <c r="G3335">
        <f t="shared" si="420"/>
        <v>73.75</v>
      </c>
      <c r="H3335" t="str">
        <f>_xlfn.XLOOKUP(A3335,Fact_Events!$D$2:$D$20,Fact_Events!$A$2:$A$20, "")</f>
        <v/>
      </c>
      <c r="I3335">
        <f t="shared" si="421"/>
        <v>0</v>
      </c>
      <c r="J3335" t="str">
        <f>_xlfn.XLOOKUP(H3335, Fact_Events!$A$2:$A$20, Fact_Events!$F$2:$F$20, "")</f>
        <v/>
      </c>
      <c r="K3335" t="str">
        <f t="shared" si="422"/>
        <v>Low</v>
      </c>
      <c r="L3335">
        <f t="shared" si="423"/>
        <v>0.55000000000000004</v>
      </c>
      <c r="M3335">
        <f>_xlfn.XLOOKUP(B3335, Dim_Hotel!$A$2:$A$11, Dim_Hotel!$I$2:$I$11)
 + (IF(J3335="",0,J3335)
    * _xlfn.XLOOKUP(B3335, Dim_Hotel!$A$2:$A$11, Dim_Hotel!$J$2:$J$11))</f>
        <v>135</v>
      </c>
    </row>
    <row r="3336" spans="1:13" x14ac:dyDescent="0.25">
      <c r="A3336" s="1">
        <f t="shared" si="416"/>
        <v>46356</v>
      </c>
      <c r="B3336" t="str" cm="1">
        <f t="array" ref="B3336">INDEX(HotelList,MOD(ROW()-2,10)+1)</f>
        <v>H005</v>
      </c>
      <c r="C3336">
        <f>_xlfn.XLOOKUP(B3336,Dim_Hotel!$A$2:$A$11,Dim_Hotel!$F$2:$F$11)</f>
        <v>66</v>
      </c>
      <c r="D3336">
        <f t="shared" si="417"/>
        <v>36</v>
      </c>
      <c r="E3336">
        <f t="shared" si="418"/>
        <v>0.54545454545454541</v>
      </c>
      <c r="F3336">
        <f t="shared" si="419"/>
        <v>82</v>
      </c>
      <c r="G3336">
        <f t="shared" si="420"/>
        <v>44.727272727272727</v>
      </c>
      <c r="H3336" t="str">
        <f>_xlfn.XLOOKUP(A3336,Fact_Events!$D$2:$D$20,Fact_Events!$A$2:$A$20, "")</f>
        <v/>
      </c>
      <c r="I3336">
        <f t="shared" si="421"/>
        <v>0</v>
      </c>
      <c r="J3336" t="str">
        <f>_xlfn.XLOOKUP(H3336, Fact_Events!$A$2:$A$20, Fact_Events!$F$2:$F$20, "")</f>
        <v/>
      </c>
      <c r="K3336" t="str">
        <f t="shared" si="422"/>
        <v>Low</v>
      </c>
      <c r="L3336">
        <f t="shared" si="423"/>
        <v>0.55000000000000004</v>
      </c>
      <c r="M3336">
        <f>_xlfn.XLOOKUP(B3336, Dim_Hotel!$A$2:$A$11, Dim_Hotel!$I$2:$I$11)
 + (IF(J3336="",0,J3336)
    * _xlfn.XLOOKUP(B3336, Dim_Hotel!$A$2:$A$11, Dim_Hotel!$J$2:$J$11))</f>
        <v>82</v>
      </c>
    </row>
    <row r="3337" spans="1:13" x14ac:dyDescent="0.25">
      <c r="A3337" s="1">
        <f t="shared" si="416"/>
        <v>46356</v>
      </c>
      <c r="B3337" t="str" cm="1">
        <f t="array" ref="B3337">INDEX(HotelList,MOD(ROW()-2,10)+1)</f>
        <v>H006</v>
      </c>
      <c r="C3337">
        <f>_xlfn.XLOOKUP(B3337,Dim_Hotel!$A$2:$A$11,Dim_Hotel!$F$2:$F$11)</f>
        <v>311</v>
      </c>
      <c r="D3337">
        <f t="shared" si="417"/>
        <v>171</v>
      </c>
      <c r="E3337">
        <f t="shared" si="418"/>
        <v>0.54983922829581988</v>
      </c>
      <c r="F3337">
        <f t="shared" si="419"/>
        <v>190</v>
      </c>
      <c r="G3337">
        <f t="shared" si="420"/>
        <v>104.46945337620578</v>
      </c>
      <c r="H3337" t="str">
        <f>_xlfn.XLOOKUP(A3337,Fact_Events!$D$2:$D$20,Fact_Events!$A$2:$A$20, "")</f>
        <v/>
      </c>
      <c r="I3337">
        <f t="shared" si="421"/>
        <v>0</v>
      </c>
      <c r="J3337" t="str">
        <f>_xlfn.XLOOKUP(H3337, Fact_Events!$A$2:$A$20, Fact_Events!$F$2:$F$20, "")</f>
        <v/>
      </c>
      <c r="K3337" t="str">
        <f t="shared" si="422"/>
        <v>Low</v>
      </c>
      <c r="L3337">
        <f t="shared" si="423"/>
        <v>0.55000000000000004</v>
      </c>
      <c r="M3337">
        <f>_xlfn.XLOOKUP(B3337, Dim_Hotel!$A$2:$A$11, Dim_Hotel!$I$2:$I$11)
 + (IF(J3337="",0,J3337)
    * _xlfn.XLOOKUP(B3337, Dim_Hotel!$A$2:$A$11, Dim_Hotel!$J$2:$J$11))</f>
        <v>190</v>
      </c>
    </row>
    <row r="3338" spans="1:13" x14ac:dyDescent="0.25">
      <c r="A3338" s="1">
        <f t="shared" si="416"/>
        <v>46356</v>
      </c>
      <c r="B3338" t="str" cm="1">
        <f t="array" ref="B3338">INDEX(HotelList,MOD(ROW()-2,10)+1)</f>
        <v>H007</v>
      </c>
      <c r="C3338">
        <f>_xlfn.XLOOKUP(B3338,Dim_Hotel!$A$2:$A$11,Dim_Hotel!$F$2:$F$11)</f>
        <v>132</v>
      </c>
      <c r="D3338">
        <f t="shared" si="417"/>
        <v>73</v>
      </c>
      <c r="E3338">
        <f t="shared" si="418"/>
        <v>0.55303030303030298</v>
      </c>
      <c r="F3338">
        <f t="shared" si="419"/>
        <v>165</v>
      </c>
      <c r="G3338">
        <f t="shared" si="420"/>
        <v>91.249999999999986</v>
      </c>
      <c r="H3338" t="str">
        <f>_xlfn.XLOOKUP(A3338,Fact_Events!$D$2:$D$20,Fact_Events!$A$2:$A$20, "")</f>
        <v/>
      </c>
      <c r="I3338">
        <f t="shared" si="421"/>
        <v>0</v>
      </c>
      <c r="J3338" t="str">
        <f>_xlfn.XLOOKUP(H3338, Fact_Events!$A$2:$A$20, Fact_Events!$F$2:$F$20, "")</f>
        <v/>
      </c>
      <c r="K3338" t="str">
        <f t="shared" si="422"/>
        <v>Low</v>
      </c>
      <c r="L3338">
        <f t="shared" si="423"/>
        <v>0.55000000000000004</v>
      </c>
      <c r="M3338">
        <f>_xlfn.XLOOKUP(B3338, Dim_Hotel!$A$2:$A$11, Dim_Hotel!$I$2:$I$11)
 + (IF(J3338="",0,J3338)
    * _xlfn.XLOOKUP(B3338, Dim_Hotel!$A$2:$A$11, Dim_Hotel!$J$2:$J$11))</f>
        <v>165</v>
      </c>
    </row>
    <row r="3339" spans="1:13" x14ac:dyDescent="0.25">
      <c r="A3339" s="1">
        <f t="shared" si="416"/>
        <v>46356</v>
      </c>
      <c r="B3339" t="str" cm="1">
        <f t="array" ref="B3339">INDEX(HotelList,MOD(ROW()-2,10)+1)</f>
        <v>H008</v>
      </c>
      <c r="C3339">
        <f>_xlfn.XLOOKUP(B3339,Dim_Hotel!$A$2:$A$11,Dim_Hotel!$F$2:$F$11)</f>
        <v>103</v>
      </c>
      <c r="D3339">
        <f t="shared" si="417"/>
        <v>57</v>
      </c>
      <c r="E3339">
        <f t="shared" si="418"/>
        <v>0.55339805825242716</v>
      </c>
      <c r="F3339">
        <f t="shared" si="419"/>
        <v>140</v>
      </c>
      <c r="G3339">
        <f t="shared" si="420"/>
        <v>77.475728155339809</v>
      </c>
      <c r="H3339" t="str">
        <f>_xlfn.XLOOKUP(A3339,Fact_Events!$D$2:$D$20,Fact_Events!$A$2:$A$20, "")</f>
        <v/>
      </c>
      <c r="I3339">
        <f t="shared" si="421"/>
        <v>0</v>
      </c>
      <c r="J3339" t="str">
        <f>_xlfn.XLOOKUP(H3339, Fact_Events!$A$2:$A$20, Fact_Events!$F$2:$F$20, "")</f>
        <v/>
      </c>
      <c r="K3339" t="str">
        <f t="shared" si="422"/>
        <v>Low</v>
      </c>
      <c r="L3339">
        <f t="shared" si="423"/>
        <v>0.55000000000000004</v>
      </c>
      <c r="M3339">
        <f>_xlfn.XLOOKUP(B3339, Dim_Hotel!$A$2:$A$11, Dim_Hotel!$I$2:$I$11)
 + (IF(J3339="",0,J3339)
    * _xlfn.XLOOKUP(B3339, Dim_Hotel!$A$2:$A$11, Dim_Hotel!$J$2:$J$11))</f>
        <v>140</v>
      </c>
    </row>
    <row r="3340" spans="1:13" x14ac:dyDescent="0.25">
      <c r="A3340" s="1">
        <f t="shared" si="416"/>
        <v>46356</v>
      </c>
      <c r="B3340" t="str" cm="1">
        <f t="array" ref="B3340">INDEX(HotelList,MOD(ROW()-2,10)+1)</f>
        <v>H009</v>
      </c>
      <c r="C3340">
        <f>_xlfn.XLOOKUP(B3340,Dim_Hotel!$A$2:$A$11,Dim_Hotel!$F$2:$F$11)</f>
        <v>114</v>
      </c>
      <c r="D3340">
        <f t="shared" si="417"/>
        <v>63</v>
      </c>
      <c r="E3340">
        <f t="shared" si="418"/>
        <v>0.55263157894736847</v>
      </c>
      <c r="F3340">
        <f t="shared" si="419"/>
        <v>185</v>
      </c>
      <c r="G3340">
        <f t="shared" si="420"/>
        <v>102.23684210526316</v>
      </c>
      <c r="H3340" t="str">
        <f>_xlfn.XLOOKUP(A3340,Fact_Events!$D$2:$D$20,Fact_Events!$A$2:$A$20, "")</f>
        <v/>
      </c>
      <c r="I3340">
        <f t="shared" si="421"/>
        <v>0</v>
      </c>
      <c r="J3340" t="str">
        <f>_xlfn.XLOOKUP(H3340, Fact_Events!$A$2:$A$20, Fact_Events!$F$2:$F$20, "")</f>
        <v/>
      </c>
      <c r="K3340" t="str">
        <f t="shared" si="422"/>
        <v>Low</v>
      </c>
      <c r="L3340">
        <f t="shared" si="423"/>
        <v>0.55000000000000004</v>
      </c>
      <c r="M3340">
        <f>_xlfn.XLOOKUP(B3340, Dim_Hotel!$A$2:$A$11, Dim_Hotel!$I$2:$I$11)
 + (IF(J3340="",0,J3340)
    * _xlfn.XLOOKUP(B3340, Dim_Hotel!$A$2:$A$11, Dim_Hotel!$J$2:$J$11))</f>
        <v>185</v>
      </c>
    </row>
    <row r="3341" spans="1:13" x14ac:dyDescent="0.25">
      <c r="A3341" s="1">
        <f t="shared" si="416"/>
        <v>46356</v>
      </c>
      <c r="B3341" t="str" cm="1">
        <f t="array" ref="B3341">INDEX(HotelList,MOD(ROW()-2,10)+1)</f>
        <v>H010</v>
      </c>
      <c r="C3341">
        <f>_xlfn.XLOOKUP(B3341,Dim_Hotel!$A$2:$A$11,Dim_Hotel!$F$2:$F$11)</f>
        <v>89</v>
      </c>
      <c r="D3341">
        <f t="shared" si="417"/>
        <v>49</v>
      </c>
      <c r="E3341">
        <f t="shared" si="418"/>
        <v>0.550561797752809</v>
      </c>
      <c r="F3341">
        <f t="shared" si="419"/>
        <v>150</v>
      </c>
      <c r="G3341">
        <f t="shared" si="420"/>
        <v>82.584269662921344</v>
      </c>
      <c r="H3341" t="str">
        <f>_xlfn.XLOOKUP(A3341,Fact_Events!$D$2:$D$20,Fact_Events!$A$2:$A$20, "")</f>
        <v/>
      </c>
      <c r="I3341">
        <f t="shared" si="421"/>
        <v>0</v>
      </c>
      <c r="J3341" t="str">
        <f>_xlfn.XLOOKUP(H3341, Fact_Events!$A$2:$A$20, Fact_Events!$F$2:$F$20, "")</f>
        <v/>
      </c>
      <c r="K3341" t="str">
        <f t="shared" si="422"/>
        <v>Low</v>
      </c>
      <c r="L3341">
        <f t="shared" si="423"/>
        <v>0.55000000000000004</v>
      </c>
      <c r="M3341">
        <f>_xlfn.XLOOKUP(B3341, Dim_Hotel!$A$2:$A$11, Dim_Hotel!$I$2:$I$11)
 + (IF(J3341="",0,J3341)
    * _xlfn.XLOOKUP(B3341, Dim_Hotel!$A$2:$A$11, Dim_Hotel!$J$2:$J$11))</f>
        <v>150</v>
      </c>
    </row>
    <row r="3342" spans="1:13" x14ac:dyDescent="0.25">
      <c r="A3342" s="1">
        <f t="shared" si="416"/>
        <v>46357</v>
      </c>
      <c r="B3342" t="str" cm="1">
        <f t="array" ref="B3342">INDEX(HotelList,MOD(ROW()-2,10)+1)</f>
        <v>H001</v>
      </c>
      <c r="C3342">
        <f>_xlfn.XLOOKUP(B3342,Dim_Hotel!$A$2:$A$11,Dim_Hotel!$F$2:$F$11)</f>
        <v>888</v>
      </c>
      <c r="D3342">
        <f t="shared" si="417"/>
        <v>488</v>
      </c>
      <c r="E3342">
        <f t="shared" si="418"/>
        <v>0.5495495495495496</v>
      </c>
      <c r="F3342">
        <f t="shared" si="419"/>
        <v>260</v>
      </c>
      <c r="G3342">
        <f t="shared" si="420"/>
        <v>142.88288288288288</v>
      </c>
      <c r="H3342" t="str">
        <f>_xlfn.XLOOKUP(A3342,Fact_Events!$D$2:$D$20,Fact_Events!$A$2:$A$20, "")</f>
        <v/>
      </c>
      <c r="I3342">
        <f t="shared" si="421"/>
        <v>0</v>
      </c>
      <c r="J3342" t="str">
        <f>_xlfn.XLOOKUP(H3342, Fact_Events!$A$2:$A$20, Fact_Events!$F$2:$F$20, "")</f>
        <v/>
      </c>
      <c r="K3342" t="str">
        <f t="shared" si="422"/>
        <v>Low</v>
      </c>
      <c r="L3342">
        <f t="shared" si="423"/>
        <v>0.55000000000000004</v>
      </c>
      <c r="M3342">
        <f>_xlfn.XLOOKUP(B3342, Dim_Hotel!$A$2:$A$11, Dim_Hotel!$I$2:$I$11)
 + (IF(J3342="",0,J3342)
    * _xlfn.XLOOKUP(B3342, Dim_Hotel!$A$2:$A$11, Dim_Hotel!$J$2:$J$11))</f>
        <v>260</v>
      </c>
    </row>
    <row r="3343" spans="1:13" x14ac:dyDescent="0.25">
      <c r="A3343" s="1">
        <f t="shared" si="416"/>
        <v>46357</v>
      </c>
      <c r="B3343" t="str" cm="1">
        <f t="array" ref="B3343">INDEX(HotelList,MOD(ROW()-2,10)+1)</f>
        <v>H002</v>
      </c>
      <c r="C3343">
        <f>_xlfn.XLOOKUP(B3343,Dim_Hotel!$A$2:$A$11,Dim_Hotel!$F$2:$F$11)</f>
        <v>147</v>
      </c>
      <c r="D3343">
        <f t="shared" si="417"/>
        <v>81</v>
      </c>
      <c r="E3343">
        <f t="shared" si="418"/>
        <v>0.55102040816326525</v>
      </c>
      <c r="F3343">
        <f t="shared" si="419"/>
        <v>175</v>
      </c>
      <c r="G3343">
        <f t="shared" si="420"/>
        <v>96.428571428571416</v>
      </c>
      <c r="H3343" t="str">
        <f>_xlfn.XLOOKUP(A3343,Fact_Events!$D$2:$D$20,Fact_Events!$A$2:$A$20, "")</f>
        <v/>
      </c>
      <c r="I3343">
        <f t="shared" si="421"/>
        <v>0</v>
      </c>
      <c r="J3343" t="str">
        <f>_xlfn.XLOOKUP(H3343, Fact_Events!$A$2:$A$20, Fact_Events!$F$2:$F$20, "")</f>
        <v/>
      </c>
      <c r="K3343" t="str">
        <f t="shared" si="422"/>
        <v>Low</v>
      </c>
      <c r="L3343">
        <f t="shared" si="423"/>
        <v>0.55000000000000004</v>
      </c>
      <c r="M3343">
        <f>_xlfn.XLOOKUP(B3343, Dim_Hotel!$A$2:$A$11, Dim_Hotel!$I$2:$I$11)
 + (IF(J3343="",0,J3343)
    * _xlfn.XLOOKUP(B3343, Dim_Hotel!$A$2:$A$11, Dim_Hotel!$J$2:$J$11))</f>
        <v>175</v>
      </c>
    </row>
    <row r="3344" spans="1:13" x14ac:dyDescent="0.25">
      <c r="A3344" s="1">
        <f t="shared" si="416"/>
        <v>46357</v>
      </c>
      <c r="B3344" t="str" cm="1">
        <f t="array" ref="B3344">INDEX(HotelList,MOD(ROW()-2,10)+1)</f>
        <v>H003</v>
      </c>
      <c r="C3344">
        <f>_xlfn.XLOOKUP(B3344,Dim_Hotel!$A$2:$A$11,Dim_Hotel!$F$2:$F$11)</f>
        <v>121</v>
      </c>
      <c r="D3344">
        <f t="shared" si="417"/>
        <v>67</v>
      </c>
      <c r="E3344">
        <f t="shared" si="418"/>
        <v>0.55371900826446285</v>
      </c>
      <c r="F3344">
        <f t="shared" si="419"/>
        <v>145</v>
      </c>
      <c r="G3344">
        <f t="shared" si="420"/>
        <v>80.289256198347118</v>
      </c>
      <c r="H3344" t="str">
        <f>_xlfn.XLOOKUP(A3344,Fact_Events!$D$2:$D$20,Fact_Events!$A$2:$A$20, "")</f>
        <v/>
      </c>
      <c r="I3344">
        <f t="shared" si="421"/>
        <v>0</v>
      </c>
      <c r="J3344" t="str">
        <f>_xlfn.XLOOKUP(H3344, Fact_Events!$A$2:$A$20, Fact_Events!$F$2:$F$20, "")</f>
        <v/>
      </c>
      <c r="K3344" t="str">
        <f t="shared" si="422"/>
        <v>Low</v>
      </c>
      <c r="L3344">
        <f t="shared" si="423"/>
        <v>0.55000000000000004</v>
      </c>
      <c r="M3344">
        <f>_xlfn.XLOOKUP(B3344, Dim_Hotel!$A$2:$A$11, Dim_Hotel!$I$2:$I$11)
 + (IF(J3344="",0,J3344)
    * _xlfn.XLOOKUP(B3344, Dim_Hotel!$A$2:$A$11, Dim_Hotel!$J$2:$J$11))</f>
        <v>145</v>
      </c>
    </row>
    <row r="3345" spans="1:13" x14ac:dyDescent="0.25">
      <c r="A3345" s="1">
        <f t="shared" si="416"/>
        <v>46357</v>
      </c>
      <c r="B3345" t="str" cm="1">
        <f t="array" ref="B3345">INDEX(HotelList,MOD(ROW()-2,10)+1)</f>
        <v>H004</v>
      </c>
      <c r="C3345">
        <f>_xlfn.XLOOKUP(B3345,Dim_Hotel!$A$2:$A$11,Dim_Hotel!$F$2:$F$11)</f>
        <v>108</v>
      </c>
      <c r="D3345">
        <f t="shared" si="417"/>
        <v>59</v>
      </c>
      <c r="E3345">
        <f t="shared" si="418"/>
        <v>0.54629629629629628</v>
      </c>
      <c r="F3345">
        <f t="shared" si="419"/>
        <v>135</v>
      </c>
      <c r="G3345">
        <f t="shared" si="420"/>
        <v>73.75</v>
      </c>
      <c r="H3345" t="str">
        <f>_xlfn.XLOOKUP(A3345,Fact_Events!$D$2:$D$20,Fact_Events!$A$2:$A$20, "")</f>
        <v/>
      </c>
      <c r="I3345">
        <f t="shared" si="421"/>
        <v>0</v>
      </c>
      <c r="J3345" t="str">
        <f>_xlfn.XLOOKUP(H3345, Fact_Events!$A$2:$A$20, Fact_Events!$F$2:$F$20, "")</f>
        <v/>
      </c>
      <c r="K3345" t="str">
        <f t="shared" si="422"/>
        <v>Low</v>
      </c>
      <c r="L3345">
        <f t="shared" si="423"/>
        <v>0.55000000000000004</v>
      </c>
      <c r="M3345">
        <f>_xlfn.XLOOKUP(B3345, Dim_Hotel!$A$2:$A$11, Dim_Hotel!$I$2:$I$11)
 + (IF(J3345="",0,J3345)
    * _xlfn.XLOOKUP(B3345, Dim_Hotel!$A$2:$A$11, Dim_Hotel!$J$2:$J$11))</f>
        <v>135</v>
      </c>
    </row>
    <row r="3346" spans="1:13" x14ac:dyDescent="0.25">
      <c r="A3346" s="1">
        <f t="shared" si="416"/>
        <v>46357</v>
      </c>
      <c r="B3346" t="str" cm="1">
        <f t="array" ref="B3346">INDEX(HotelList,MOD(ROW()-2,10)+1)</f>
        <v>H005</v>
      </c>
      <c r="C3346">
        <f>_xlfn.XLOOKUP(B3346,Dim_Hotel!$A$2:$A$11,Dim_Hotel!$F$2:$F$11)</f>
        <v>66</v>
      </c>
      <c r="D3346">
        <f t="shared" si="417"/>
        <v>36</v>
      </c>
      <c r="E3346">
        <f t="shared" si="418"/>
        <v>0.54545454545454541</v>
      </c>
      <c r="F3346">
        <f t="shared" si="419"/>
        <v>82</v>
      </c>
      <c r="G3346">
        <f t="shared" si="420"/>
        <v>44.727272727272727</v>
      </c>
      <c r="H3346" t="str">
        <f>_xlfn.XLOOKUP(A3346,Fact_Events!$D$2:$D$20,Fact_Events!$A$2:$A$20, "")</f>
        <v/>
      </c>
      <c r="I3346">
        <f t="shared" si="421"/>
        <v>0</v>
      </c>
      <c r="J3346" t="str">
        <f>_xlfn.XLOOKUP(H3346, Fact_Events!$A$2:$A$20, Fact_Events!$F$2:$F$20, "")</f>
        <v/>
      </c>
      <c r="K3346" t="str">
        <f t="shared" si="422"/>
        <v>Low</v>
      </c>
      <c r="L3346">
        <f t="shared" si="423"/>
        <v>0.55000000000000004</v>
      </c>
      <c r="M3346">
        <f>_xlfn.XLOOKUP(B3346, Dim_Hotel!$A$2:$A$11, Dim_Hotel!$I$2:$I$11)
 + (IF(J3346="",0,J3346)
    * _xlfn.XLOOKUP(B3346, Dim_Hotel!$A$2:$A$11, Dim_Hotel!$J$2:$J$11))</f>
        <v>82</v>
      </c>
    </row>
    <row r="3347" spans="1:13" x14ac:dyDescent="0.25">
      <c r="A3347" s="1">
        <f t="shared" si="416"/>
        <v>46357</v>
      </c>
      <c r="B3347" t="str" cm="1">
        <f t="array" ref="B3347">INDEX(HotelList,MOD(ROW()-2,10)+1)</f>
        <v>H006</v>
      </c>
      <c r="C3347">
        <f>_xlfn.XLOOKUP(B3347,Dim_Hotel!$A$2:$A$11,Dim_Hotel!$F$2:$F$11)</f>
        <v>311</v>
      </c>
      <c r="D3347">
        <f t="shared" si="417"/>
        <v>171</v>
      </c>
      <c r="E3347">
        <f t="shared" si="418"/>
        <v>0.54983922829581988</v>
      </c>
      <c r="F3347">
        <f t="shared" si="419"/>
        <v>190</v>
      </c>
      <c r="G3347">
        <f t="shared" si="420"/>
        <v>104.46945337620578</v>
      </c>
      <c r="H3347" t="str">
        <f>_xlfn.XLOOKUP(A3347,Fact_Events!$D$2:$D$20,Fact_Events!$A$2:$A$20, "")</f>
        <v/>
      </c>
      <c r="I3347">
        <f t="shared" si="421"/>
        <v>0</v>
      </c>
      <c r="J3347" t="str">
        <f>_xlfn.XLOOKUP(H3347, Fact_Events!$A$2:$A$20, Fact_Events!$F$2:$F$20, "")</f>
        <v/>
      </c>
      <c r="K3347" t="str">
        <f t="shared" si="422"/>
        <v>Low</v>
      </c>
      <c r="L3347">
        <f t="shared" si="423"/>
        <v>0.55000000000000004</v>
      </c>
      <c r="M3347">
        <f>_xlfn.XLOOKUP(B3347, Dim_Hotel!$A$2:$A$11, Dim_Hotel!$I$2:$I$11)
 + (IF(J3347="",0,J3347)
    * _xlfn.XLOOKUP(B3347, Dim_Hotel!$A$2:$A$11, Dim_Hotel!$J$2:$J$11))</f>
        <v>190</v>
      </c>
    </row>
    <row r="3348" spans="1:13" x14ac:dyDescent="0.25">
      <c r="A3348" s="1">
        <f t="shared" si="416"/>
        <v>46357</v>
      </c>
      <c r="B3348" t="str" cm="1">
        <f t="array" ref="B3348">INDEX(HotelList,MOD(ROW()-2,10)+1)</f>
        <v>H007</v>
      </c>
      <c r="C3348">
        <f>_xlfn.XLOOKUP(B3348,Dim_Hotel!$A$2:$A$11,Dim_Hotel!$F$2:$F$11)</f>
        <v>132</v>
      </c>
      <c r="D3348">
        <f t="shared" si="417"/>
        <v>73</v>
      </c>
      <c r="E3348">
        <f t="shared" si="418"/>
        <v>0.55303030303030298</v>
      </c>
      <c r="F3348">
        <f t="shared" si="419"/>
        <v>165</v>
      </c>
      <c r="G3348">
        <f t="shared" si="420"/>
        <v>91.249999999999986</v>
      </c>
      <c r="H3348" t="str">
        <f>_xlfn.XLOOKUP(A3348,Fact_Events!$D$2:$D$20,Fact_Events!$A$2:$A$20, "")</f>
        <v/>
      </c>
      <c r="I3348">
        <f t="shared" si="421"/>
        <v>0</v>
      </c>
      <c r="J3348" t="str">
        <f>_xlfn.XLOOKUP(H3348, Fact_Events!$A$2:$A$20, Fact_Events!$F$2:$F$20, "")</f>
        <v/>
      </c>
      <c r="K3348" t="str">
        <f t="shared" si="422"/>
        <v>Low</v>
      </c>
      <c r="L3348">
        <f t="shared" si="423"/>
        <v>0.55000000000000004</v>
      </c>
      <c r="M3348">
        <f>_xlfn.XLOOKUP(B3348, Dim_Hotel!$A$2:$A$11, Dim_Hotel!$I$2:$I$11)
 + (IF(J3348="",0,J3348)
    * _xlfn.XLOOKUP(B3348, Dim_Hotel!$A$2:$A$11, Dim_Hotel!$J$2:$J$11))</f>
        <v>165</v>
      </c>
    </row>
    <row r="3349" spans="1:13" x14ac:dyDescent="0.25">
      <c r="A3349" s="1">
        <f t="shared" si="416"/>
        <v>46357</v>
      </c>
      <c r="B3349" t="str" cm="1">
        <f t="array" ref="B3349">INDEX(HotelList,MOD(ROW()-2,10)+1)</f>
        <v>H008</v>
      </c>
      <c r="C3349">
        <f>_xlfn.XLOOKUP(B3349,Dim_Hotel!$A$2:$A$11,Dim_Hotel!$F$2:$F$11)</f>
        <v>103</v>
      </c>
      <c r="D3349">
        <f t="shared" si="417"/>
        <v>57</v>
      </c>
      <c r="E3349">
        <f t="shared" si="418"/>
        <v>0.55339805825242716</v>
      </c>
      <c r="F3349">
        <f t="shared" si="419"/>
        <v>140</v>
      </c>
      <c r="G3349">
        <f t="shared" si="420"/>
        <v>77.475728155339809</v>
      </c>
      <c r="H3349" t="str">
        <f>_xlfn.XLOOKUP(A3349,Fact_Events!$D$2:$D$20,Fact_Events!$A$2:$A$20, "")</f>
        <v/>
      </c>
      <c r="I3349">
        <f t="shared" si="421"/>
        <v>0</v>
      </c>
      <c r="J3349" t="str">
        <f>_xlfn.XLOOKUP(H3349, Fact_Events!$A$2:$A$20, Fact_Events!$F$2:$F$20, "")</f>
        <v/>
      </c>
      <c r="K3349" t="str">
        <f t="shared" si="422"/>
        <v>Low</v>
      </c>
      <c r="L3349">
        <f t="shared" si="423"/>
        <v>0.55000000000000004</v>
      </c>
      <c r="M3349">
        <f>_xlfn.XLOOKUP(B3349, Dim_Hotel!$A$2:$A$11, Dim_Hotel!$I$2:$I$11)
 + (IF(J3349="",0,J3349)
    * _xlfn.XLOOKUP(B3349, Dim_Hotel!$A$2:$A$11, Dim_Hotel!$J$2:$J$11))</f>
        <v>140</v>
      </c>
    </row>
    <row r="3350" spans="1:13" x14ac:dyDescent="0.25">
      <c r="A3350" s="1">
        <f t="shared" si="416"/>
        <v>46357</v>
      </c>
      <c r="B3350" t="str" cm="1">
        <f t="array" ref="B3350">INDEX(HotelList,MOD(ROW()-2,10)+1)</f>
        <v>H009</v>
      </c>
      <c r="C3350">
        <f>_xlfn.XLOOKUP(B3350,Dim_Hotel!$A$2:$A$11,Dim_Hotel!$F$2:$F$11)</f>
        <v>114</v>
      </c>
      <c r="D3350">
        <f t="shared" si="417"/>
        <v>63</v>
      </c>
      <c r="E3350">
        <f t="shared" si="418"/>
        <v>0.55263157894736847</v>
      </c>
      <c r="F3350">
        <f t="shared" si="419"/>
        <v>185</v>
      </c>
      <c r="G3350">
        <f t="shared" si="420"/>
        <v>102.23684210526316</v>
      </c>
      <c r="H3350" t="str">
        <f>_xlfn.XLOOKUP(A3350,Fact_Events!$D$2:$D$20,Fact_Events!$A$2:$A$20, "")</f>
        <v/>
      </c>
      <c r="I3350">
        <f t="shared" si="421"/>
        <v>0</v>
      </c>
      <c r="J3350" t="str">
        <f>_xlfn.XLOOKUP(H3350, Fact_Events!$A$2:$A$20, Fact_Events!$F$2:$F$20, "")</f>
        <v/>
      </c>
      <c r="K3350" t="str">
        <f t="shared" si="422"/>
        <v>Low</v>
      </c>
      <c r="L3350">
        <f t="shared" si="423"/>
        <v>0.55000000000000004</v>
      </c>
      <c r="M3350">
        <f>_xlfn.XLOOKUP(B3350, Dim_Hotel!$A$2:$A$11, Dim_Hotel!$I$2:$I$11)
 + (IF(J3350="",0,J3350)
    * _xlfn.XLOOKUP(B3350, Dim_Hotel!$A$2:$A$11, Dim_Hotel!$J$2:$J$11))</f>
        <v>185</v>
      </c>
    </row>
    <row r="3351" spans="1:13" x14ac:dyDescent="0.25">
      <c r="A3351" s="1">
        <f t="shared" si="416"/>
        <v>46357</v>
      </c>
      <c r="B3351" t="str" cm="1">
        <f t="array" ref="B3351">INDEX(HotelList,MOD(ROW()-2,10)+1)</f>
        <v>H010</v>
      </c>
      <c r="C3351">
        <f>_xlfn.XLOOKUP(B3351,Dim_Hotel!$A$2:$A$11,Dim_Hotel!$F$2:$F$11)</f>
        <v>89</v>
      </c>
      <c r="D3351">
        <f t="shared" si="417"/>
        <v>49</v>
      </c>
      <c r="E3351">
        <f t="shared" si="418"/>
        <v>0.550561797752809</v>
      </c>
      <c r="F3351">
        <f t="shared" si="419"/>
        <v>150</v>
      </c>
      <c r="G3351">
        <f t="shared" si="420"/>
        <v>82.584269662921344</v>
      </c>
      <c r="H3351" t="str">
        <f>_xlfn.XLOOKUP(A3351,Fact_Events!$D$2:$D$20,Fact_Events!$A$2:$A$20, "")</f>
        <v/>
      </c>
      <c r="I3351">
        <f t="shared" si="421"/>
        <v>0</v>
      </c>
      <c r="J3351" t="str">
        <f>_xlfn.XLOOKUP(H3351, Fact_Events!$A$2:$A$20, Fact_Events!$F$2:$F$20, "")</f>
        <v/>
      </c>
      <c r="K3351" t="str">
        <f t="shared" si="422"/>
        <v>Low</v>
      </c>
      <c r="L3351">
        <f t="shared" si="423"/>
        <v>0.55000000000000004</v>
      </c>
      <c r="M3351">
        <f>_xlfn.XLOOKUP(B3351, Dim_Hotel!$A$2:$A$11, Dim_Hotel!$I$2:$I$11)
 + (IF(J3351="",0,J3351)
    * _xlfn.XLOOKUP(B3351, Dim_Hotel!$A$2:$A$11, Dim_Hotel!$J$2:$J$11))</f>
        <v>150</v>
      </c>
    </row>
    <row r="3352" spans="1:13" x14ac:dyDescent="0.25">
      <c r="A3352" s="1">
        <f t="shared" si="416"/>
        <v>46358</v>
      </c>
      <c r="B3352" t="str" cm="1">
        <f t="array" ref="B3352">INDEX(HotelList,MOD(ROW()-2,10)+1)</f>
        <v>H001</v>
      </c>
      <c r="C3352">
        <f>_xlfn.XLOOKUP(B3352,Dim_Hotel!$A$2:$A$11,Dim_Hotel!$F$2:$F$11)</f>
        <v>888</v>
      </c>
      <c r="D3352">
        <f t="shared" si="417"/>
        <v>488</v>
      </c>
      <c r="E3352">
        <f t="shared" si="418"/>
        <v>0.5495495495495496</v>
      </c>
      <c r="F3352">
        <f t="shared" si="419"/>
        <v>260</v>
      </c>
      <c r="G3352">
        <f t="shared" si="420"/>
        <v>142.88288288288288</v>
      </c>
      <c r="H3352" t="str">
        <f>_xlfn.XLOOKUP(A3352,Fact_Events!$D$2:$D$20,Fact_Events!$A$2:$A$20, "")</f>
        <v/>
      </c>
      <c r="I3352">
        <f t="shared" si="421"/>
        <v>0</v>
      </c>
      <c r="J3352" t="str">
        <f>_xlfn.XLOOKUP(H3352, Fact_Events!$A$2:$A$20, Fact_Events!$F$2:$F$20, "")</f>
        <v/>
      </c>
      <c r="K3352" t="str">
        <f t="shared" si="422"/>
        <v>Low</v>
      </c>
      <c r="L3352">
        <f t="shared" si="423"/>
        <v>0.55000000000000004</v>
      </c>
      <c r="M3352">
        <f>_xlfn.XLOOKUP(B3352, Dim_Hotel!$A$2:$A$11, Dim_Hotel!$I$2:$I$11)
 + (IF(J3352="",0,J3352)
    * _xlfn.XLOOKUP(B3352, Dim_Hotel!$A$2:$A$11, Dim_Hotel!$J$2:$J$11))</f>
        <v>260</v>
      </c>
    </row>
    <row r="3353" spans="1:13" x14ac:dyDescent="0.25">
      <c r="A3353" s="1">
        <f t="shared" si="416"/>
        <v>46358</v>
      </c>
      <c r="B3353" t="str" cm="1">
        <f t="array" ref="B3353">INDEX(HotelList,MOD(ROW()-2,10)+1)</f>
        <v>H002</v>
      </c>
      <c r="C3353">
        <f>_xlfn.XLOOKUP(B3353,Dim_Hotel!$A$2:$A$11,Dim_Hotel!$F$2:$F$11)</f>
        <v>147</v>
      </c>
      <c r="D3353">
        <f t="shared" si="417"/>
        <v>81</v>
      </c>
      <c r="E3353">
        <f t="shared" si="418"/>
        <v>0.55102040816326525</v>
      </c>
      <c r="F3353">
        <f t="shared" si="419"/>
        <v>175</v>
      </c>
      <c r="G3353">
        <f t="shared" si="420"/>
        <v>96.428571428571416</v>
      </c>
      <c r="H3353" t="str">
        <f>_xlfn.XLOOKUP(A3353,Fact_Events!$D$2:$D$20,Fact_Events!$A$2:$A$20, "")</f>
        <v/>
      </c>
      <c r="I3353">
        <f t="shared" si="421"/>
        <v>0</v>
      </c>
      <c r="J3353" t="str">
        <f>_xlfn.XLOOKUP(H3353, Fact_Events!$A$2:$A$20, Fact_Events!$F$2:$F$20, "")</f>
        <v/>
      </c>
      <c r="K3353" t="str">
        <f t="shared" si="422"/>
        <v>Low</v>
      </c>
      <c r="L3353">
        <f t="shared" si="423"/>
        <v>0.55000000000000004</v>
      </c>
      <c r="M3353">
        <f>_xlfn.XLOOKUP(B3353, Dim_Hotel!$A$2:$A$11, Dim_Hotel!$I$2:$I$11)
 + (IF(J3353="",0,J3353)
    * _xlfn.XLOOKUP(B3353, Dim_Hotel!$A$2:$A$11, Dim_Hotel!$J$2:$J$11))</f>
        <v>175</v>
      </c>
    </row>
    <row r="3354" spans="1:13" x14ac:dyDescent="0.25">
      <c r="A3354" s="1">
        <f t="shared" si="416"/>
        <v>46358</v>
      </c>
      <c r="B3354" t="str" cm="1">
        <f t="array" ref="B3354">INDEX(HotelList,MOD(ROW()-2,10)+1)</f>
        <v>H003</v>
      </c>
      <c r="C3354">
        <f>_xlfn.XLOOKUP(B3354,Dim_Hotel!$A$2:$A$11,Dim_Hotel!$F$2:$F$11)</f>
        <v>121</v>
      </c>
      <c r="D3354">
        <f t="shared" si="417"/>
        <v>67</v>
      </c>
      <c r="E3354">
        <f t="shared" si="418"/>
        <v>0.55371900826446285</v>
      </c>
      <c r="F3354">
        <f t="shared" si="419"/>
        <v>145</v>
      </c>
      <c r="G3354">
        <f t="shared" si="420"/>
        <v>80.289256198347118</v>
      </c>
      <c r="H3354" t="str">
        <f>_xlfn.XLOOKUP(A3354,Fact_Events!$D$2:$D$20,Fact_Events!$A$2:$A$20, "")</f>
        <v/>
      </c>
      <c r="I3354">
        <f t="shared" si="421"/>
        <v>0</v>
      </c>
      <c r="J3354" t="str">
        <f>_xlfn.XLOOKUP(H3354, Fact_Events!$A$2:$A$20, Fact_Events!$F$2:$F$20, "")</f>
        <v/>
      </c>
      <c r="K3354" t="str">
        <f t="shared" si="422"/>
        <v>Low</v>
      </c>
      <c r="L3354">
        <f t="shared" si="423"/>
        <v>0.55000000000000004</v>
      </c>
      <c r="M3354">
        <f>_xlfn.XLOOKUP(B3354, Dim_Hotel!$A$2:$A$11, Dim_Hotel!$I$2:$I$11)
 + (IF(J3354="",0,J3354)
    * _xlfn.XLOOKUP(B3354, Dim_Hotel!$A$2:$A$11, Dim_Hotel!$J$2:$J$11))</f>
        <v>145</v>
      </c>
    </row>
    <row r="3355" spans="1:13" x14ac:dyDescent="0.25">
      <c r="A3355" s="1">
        <f t="shared" si="416"/>
        <v>46358</v>
      </c>
      <c r="B3355" t="str" cm="1">
        <f t="array" ref="B3355">INDEX(HotelList,MOD(ROW()-2,10)+1)</f>
        <v>H004</v>
      </c>
      <c r="C3355">
        <f>_xlfn.XLOOKUP(B3355,Dim_Hotel!$A$2:$A$11,Dim_Hotel!$F$2:$F$11)</f>
        <v>108</v>
      </c>
      <c r="D3355">
        <f t="shared" si="417"/>
        <v>59</v>
      </c>
      <c r="E3355">
        <f t="shared" si="418"/>
        <v>0.54629629629629628</v>
      </c>
      <c r="F3355">
        <f t="shared" si="419"/>
        <v>135</v>
      </c>
      <c r="G3355">
        <f t="shared" si="420"/>
        <v>73.75</v>
      </c>
      <c r="H3355" t="str">
        <f>_xlfn.XLOOKUP(A3355,Fact_Events!$D$2:$D$20,Fact_Events!$A$2:$A$20, "")</f>
        <v/>
      </c>
      <c r="I3355">
        <f t="shared" si="421"/>
        <v>0</v>
      </c>
      <c r="J3355" t="str">
        <f>_xlfn.XLOOKUP(H3355, Fact_Events!$A$2:$A$20, Fact_Events!$F$2:$F$20, "")</f>
        <v/>
      </c>
      <c r="K3355" t="str">
        <f t="shared" si="422"/>
        <v>Low</v>
      </c>
      <c r="L3355">
        <f t="shared" si="423"/>
        <v>0.55000000000000004</v>
      </c>
      <c r="M3355">
        <f>_xlfn.XLOOKUP(B3355, Dim_Hotel!$A$2:$A$11, Dim_Hotel!$I$2:$I$11)
 + (IF(J3355="",0,J3355)
    * _xlfn.XLOOKUP(B3355, Dim_Hotel!$A$2:$A$11, Dim_Hotel!$J$2:$J$11))</f>
        <v>135</v>
      </c>
    </row>
    <row r="3356" spans="1:13" x14ac:dyDescent="0.25">
      <c r="A3356" s="1">
        <f t="shared" si="416"/>
        <v>46358</v>
      </c>
      <c r="B3356" t="str" cm="1">
        <f t="array" ref="B3356">INDEX(HotelList,MOD(ROW()-2,10)+1)</f>
        <v>H005</v>
      </c>
      <c r="C3356">
        <f>_xlfn.XLOOKUP(B3356,Dim_Hotel!$A$2:$A$11,Dim_Hotel!$F$2:$F$11)</f>
        <v>66</v>
      </c>
      <c r="D3356">
        <f t="shared" si="417"/>
        <v>36</v>
      </c>
      <c r="E3356">
        <f t="shared" si="418"/>
        <v>0.54545454545454541</v>
      </c>
      <c r="F3356">
        <f t="shared" si="419"/>
        <v>82</v>
      </c>
      <c r="G3356">
        <f t="shared" si="420"/>
        <v>44.727272727272727</v>
      </c>
      <c r="H3356" t="str">
        <f>_xlfn.XLOOKUP(A3356,Fact_Events!$D$2:$D$20,Fact_Events!$A$2:$A$20, "")</f>
        <v/>
      </c>
      <c r="I3356">
        <f t="shared" si="421"/>
        <v>0</v>
      </c>
      <c r="J3356" t="str">
        <f>_xlfn.XLOOKUP(H3356, Fact_Events!$A$2:$A$20, Fact_Events!$F$2:$F$20, "")</f>
        <v/>
      </c>
      <c r="K3356" t="str">
        <f t="shared" si="422"/>
        <v>Low</v>
      </c>
      <c r="L3356">
        <f t="shared" si="423"/>
        <v>0.55000000000000004</v>
      </c>
      <c r="M3356">
        <f>_xlfn.XLOOKUP(B3356, Dim_Hotel!$A$2:$A$11, Dim_Hotel!$I$2:$I$11)
 + (IF(J3356="",0,J3356)
    * _xlfn.XLOOKUP(B3356, Dim_Hotel!$A$2:$A$11, Dim_Hotel!$J$2:$J$11))</f>
        <v>82</v>
      </c>
    </row>
    <row r="3357" spans="1:13" x14ac:dyDescent="0.25">
      <c r="A3357" s="1">
        <f t="shared" si="416"/>
        <v>46358</v>
      </c>
      <c r="B3357" t="str" cm="1">
        <f t="array" ref="B3357">INDEX(HotelList,MOD(ROW()-2,10)+1)</f>
        <v>H006</v>
      </c>
      <c r="C3357">
        <f>_xlfn.XLOOKUP(B3357,Dim_Hotel!$A$2:$A$11,Dim_Hotel!$F$2:$F$11)</f>
        <v>311</v>
      </c>
      <c r="D3357">
        <f t="shared" si="417"/>
        <v>171</v>
      </c>
      <c r="E3357">
        <f t="shared" si="418"/>
        <v>0.54983922829581988</v>
      </c>
      <c r="F3357">
        <f t="shared" si="419"/>
        <v>190</v>
      </c>
      <c r="G3357">
        <f t="shared" si="420"/>
        <v>104.46945337620578</v>
      </c>
      <c r="H3357" t="str">
        <f>_xlfn.XLOOKUP(A3357,Fact_Events!$D$2:$D$20,Fact_Events!$A$2:$A$20, "")</f>
        <v/>
      </c>
      <c r="I3357">
        <f t="shared" si="421"/>
        <v>0</v>
      </c>
      <c r="J3357" t="str">
        <f>_xlfn.XLOOKUP(H3357, Fact_Events!$A$2:$A$20, Fact_Events!$F$2:$F$20, "")</f>
        <v/>
      </c>
      <c r="K3357" t="str">
        <f t="shared" si="422"/>
        <v>Low</v>
      </c>
      <c r="L3357">
        <f t="shared" si="423"/>
        <v>0.55000000000000004</v>
      </c>
      <c r="M3357">
        <f>_xlfn.XLOOKUP(B3357, Dim_Hotel!$A$2:$A$11, Dim_Hotel!$I$2:$I$11)
 + (IF(J3357="",0,J3357)
    * _xlfn.XLOOKUP(B3357, Dim_Hotel!$A$2:$A$11, Dim_Hotel!$J$2:$J$11))</f>
        <v>190</v>
      </c>
    </row>
    <row r="3358" spans="1:13" x14ac:dyDescent="0.25">
      <c r="A3358" s="1">
        <f t="shared" si="416"/>
        <v>46358</v>
      </c>
      <c r="B3358" t="str" cm="1">
        <f t="array" ref="B3358">INDEX(HotelList,MOD(ROW()-2,10)+1)</f>
        <v>H007</v>
      </c>
      <c r="C3358">
        <f>_xlfn.XLOOKUP(B3358,Dim_Hotel!$A$2:$A$11,Dim_Hotel!$F$2:$F$11)</f>
        <v>132</v>
      </c>
      <c r="D3358">
        <f t="shared" si="417"/>
        <v>73</v>
      </c>
      <c r="E3358">
        <f t="shared" si="418"/>
        <v>0.55303030303030298</v>
      </c>
      <c r="F3358">
        <f t="shared" si="419"/>
        <v>165</v>
      </c>
      <c r="G3358">
        <f t="shared" si="420"/>
        <v>91.249999999999986</v>
      </c>
      <c r="H3358" t="str">
        <f>_xlfn.XLOOKUP(A3358,Fact_Events!$D$2:$D$20,Fact_Events!$A$2:$A$20, "")</f>
        <v/>
      </c>
      <c r="I3358">
        <f t="shared" si="421"/>
        <v>0</v>
      </c>
      <c r="J3358" t="str">
        <f>_xlfn.XLOOKUP(H3358, Fact_Events!$A$2:$A$20, Fact_Events!$F$2:$F$20, "")</f>
        <v/>
      </c>
      <c r="K3358" t="str">
        <f t="shared" si="422"/>
        <v>Low</v>
      </c>
      <c r="L3358">
        <f t="shared" si="423"/>
        <v>0.55000000000000004</v>
      </c>
      <c r="M3358">
        <f>_xlfn.XLOOKUP(B3358, Dim_Hotel!$A$2:$A$11, Dim_Hotel!$I$2:$I$11)
 + (IF(J3358="",0,J3358)
    * _xlfn.XLOOKUP(B3358, Dim_Hotel!$A$2:$A$11, Dim_Hotel!$J$2:$J$11))</f>
        <v>165</v>
      </c>
    </row>
    <row r="3359" spans="1:13" x14ac:dyDescent="0.25">
      <c r="A3359" s="1">
        <f t="shared" si="416"/>
        <v>46358</v>
      </c>
      <c r="B3359" t="str" cm="1">
        <f t="array" ref="B3359">INDEX(HotelList,MOD(ROW()-2,10)+1)</f>
        <v>H008</v>
      </c>
      <c r="C3359">
        <f>_xlfn.XLOOKUP(B3359,Dim_Hotel!$A$2:$A$11,Dim_Hotel!$F$2:$F$11)</f>
        <v>103</v>
      </c>
      <c r="D3359">
        <f t="shared" si="417"/>
        <v>57</v>
      </c>
      <c r="E3359">
        <f t="shared" si="418"/>
        <v>0.55339805825242716</v>
      </c>
      <c r="F3359">
        <f t="shared" si="419"/>
        <v>140</v>
      </c>
      <c r="G3359">
        <f t="shared" si="420"/>
        <v>77.475728155339809</v>
      </c>
      <c r="H3359" t="str">
        <f>_xlfn.XLOOKUP(A3359,Fact_Events!$D$2:$D$20,Fact_Events!$A$2:$A$20, "")</f>
        <v/>
      </c>
      <c r="I3359">
        <f t="shared" si="421"/>
        <v>0</v>
      </c>
      <c r="J3359" t="str">
        <f>_xlfn.XLOOKUP(H3359, Fact_Events!$A$2:$A$20, Fact_Events!$F$2:$F$20, "")</f>
        <v/>
      </c>
      <c r="K3359" t="str">
        <f t="shared" si="422"/>
        <v>Low</v>
      </c>
      <c r="L3359">
        <f t="shared" si="423"/>
        <v>0.55000000000000004</v>
      </c>
      <c r="M3359">
        <f>_xlfn.XLOOKUP(B3359, Dim_Hotel!$A$2:$A$11, Dim_Hotel!$I$2:$I$11)
 + (IF(J3359="",0,J3359)
    * _xlfn.XLOOKUP(B3359, Dim_Hotel!$A$2:$A$11, Dim_Hotel!$J$2:$J$11))</f>
        <v>140</v>
      </c>
    </row>
    <row r="3360" spans="1:13" x14ac:dyDescent="0.25">
      <c r="A3360" s="1">
        <f t="shared" si="416"/>
        <v>46358</v>
      </c>
      <c r="B3360" t="str" cm="1">
        <f t="array" ref="B3360">INDEX(HotelList,MOD(ROW()-2,10)+1)</f>
        <v>H009</v>
      </c>
      <c r="C3360">
        <f>_xlfn.XLOOKUP(B3360,Dim_Hotel!$A$2:$A$11,Dim_Hotel!$F$2:$F$11)</f>
        <v>114</v>
      </c>
      <c r="D3360">
        <f t="shared" si="417"/>
        <v>63</v>
      </c>
      <c r="E3360">
        <f t="shared" si="418"/>
        <v>0.55263157894736847</v>
      </c>
      <c r="F3360">
        <f t="shared" si="419"/>
        <v>185</v>
      </c>
      <c r="G3360">
        <f t="shared" si="420"/>
        <v>102.23684210526316</v>
      </c>
      <c r="H3360" t="str">
        <f>_xlfn.XLOOKUP(A3360,Fact_Events!$D$2:$D$20,Fact_Events!$A$2:$A$20, "")</f>
        <v/>
      </c>
      <c r="I3360">
        <f t="shared" si="421"/>
        <v>0</v>
      </c>
      <c r="J3360" t="str">
        <f>_xlfn.XLOOKUP(H3360, Fact_Events!$A$2:$A$20, Fact_Events!$F$2:$F$20, "")</f>
        <v/>
      </c>
      <c r="K3360" t="str">
        <f t="shared" si="422"/>
        <v>Low</v>
      </c>
      <c r="L3360">
        <f t="shared" si="423"/>
        <v>0.55000000000000004</v>
      </c>
      <c r="M3360">
        <f>_xlfn.XLOOKUP(B3360, Dim_Hotel!$A$2:$A$11, Dim_Hotel!$I$2:$I$11)
 + (IF(J3360="",0,J3360)
    * _xlfn.XLOOKUP(B3360, Dim_Hotel!$A$2:$A$11, Dim_Hotel!$J$2:$J$11))</f>
        <v>185</v>
      </c>
    </row>
    <row r="3361" spans="1:13" x14ac:dyDescent="0.25">
      <c r="A3361" s="1">
        <f t="shared" si="416"/>
        <v>46358</v>
      </c>
      <c r="B3361" t="str" cm="1">
        <f t="array" ref="B3361">INDEX(HotelList,MOD(ROW()-2,10)+1)</f>
        <v>H010</v>
      </c>
      <c r="C3361">
        <f>_xlfn.XLOOKUP(B3361,Dim_Hotel!$A$2:$A$11,Dim_Hotel!$F$2:$F$11)</f>
        <v>89</v>
      </c>
      <c r="D3361">
        <f t="shared" si="417"/>
        <v>49</v>
      </c>
      <c r="E3361">
        <f t="shared" si="418"/>
        <v>0.550561797752809</v>
      </c>
      <c r="F3361">
        <f t="shared" si="419"/>
        <v>150</v>
      </c>
      <c r="G3361">
        <f t="shared" si="420"/>
        <v>82.584269662921344</v>
      </c>
      <c r="H3361" t="str">
        <f>_xlfn.XLOOKUP(A3361,Fact_Events!$D$2:$D$20,Fact_Events!$A$2:$A$20, "")</f>
        <v/>
      </c>
      <c r="I3361">
        <f t="shared" si="421"/>
        <v>0</v>
      </c>
      <c r="J3361" t="str">
        <f>_xlfn.XLOOKUP(H3361, Fact_Events!$A$2:$A$20, Fact_Events!$F$2:$F$20, "")</f>
        <v/>
      </c>
      <c r="K3361" t="str">
        <f t="shared" si="422"/>
        <v>Low</v>
      </c>
      <c r="L3361">
        <f t="shared" si="423"/>
        <v>0.55000000000000004</v>
      </c>
      <c r="M3361">
        <f>_xlfn.XLOOKUP(B3361, Dim_Hotel!$A$2:$A$11, Dim_Hotel!$I$2:$I$11)
 + (IF(J3361="",0,J3361)
    * _xlfn.XLOOKUP(B3361, Dim_Hotel!$A$2:$A$11, Dim_Hotel!$J$2:$J$11))</f>
        <v>150</v>
      </c>
    </row>
    <row r="3362" spans="1:13" x14ac:dyDescent="0.25">
      <c r="A3362" s="1">
        <f t="shared" si="416"/>
        <v>46359</v>
      </c>
      <c r="B3362" t="str" cm="1">
        <f t="array" ref="B3362">INDEX(HotelList,MOD(ROW()-2,10)+1)</f>
        <v>H001</v>
      </c>
      <c r="C3362">
        <f>_xlfn.XLOOKUP(B3362,Dim_Hotel!$A$2:$A$11,Dim_Hotel!$F$2:$F$11)</f>
        <v>888</v>
      </c>
      <c r="D3362">
        <f t="shared" si="417"/>
        <v>488</v>
      </c>
      <c r="E3362">
        <f t="shared" si="418"/>
        <v>0.5495495495495496</v>
      </c>
      <c r="F3362">
        <f t="shared" si="419"/>
        <v>260</v>
      </c>
      <c r="G3362">
        <f t="shared" si="420"/>
        <v>142.88288288288288</v>
      </c>
      <c r="H3362" t="str">
        <f>_xlfn.XLOOKUP(A3362,Fact_Events!$D$2:$D$20,Fact_Events!$A$2:$A$20, "")</f>
        <v/>
      </c>
      <c r="I3362">
        <f t="shared" si="421"/>
        <v>0</v>
      </c>
      <c r="J3362" t="str">
        <f>_xlfn.XLOOKUP(H3362, Fact_Events!$A$2:$A$20, Fact_Events!$F$2:$F$20, "")</f>
        <v/>
      </c>
      <c r="K3362" t="str">
        <f t="shared" si="422"/>
        <v>Low</v>
      </c>
      <c r="L3362">
        <f t="shared" si="423"/>
        <v>0.55000000000000004</v>
      </c>
      <c r="M3362">
        <f>_xlfn.XLOOKUP(B3362, Dim_Hotel!$A$2:$A$11, Dim_Hotel!$I$2:$I$11)
 + (IF(J3362="",0,J3362)
    * _xlfn.XLOOKUP(B3362, Dim_Hotel!$A$2:$A$11, Dim_Hotel!$J$2:$J$11))</f>
        <v>260</v>
      </c>
    </row>
    <row r="3363" spans="1:13" x14ac:dyDescent="0.25">
      <c r="A3363" s="1">
        <f t="shared" si="416"/>
        <v>46359</v>
      </c>
      <c r="B3363" t="str" cm="1">
        <f t="array" ref="B3363">INDEX(HotelList,MOD(ROW()-2,10)+1)</f>
        <v>H002</v>
      </c>
      <c r="C3363">
        <f>_xlfn.XLOOKUP(B3363,Dim_Hotel!$A$2:$A$11,Dim_Hotel!$F$2:$F$11)</f>
        <v>147</v>
      </c>
      <c r="D3363">
        <f t="shared" si="417"/>
        <v>81</v>
      </c>
      <c r="E3363">
        <f t="shared" si="418"/>
        <v>0.55102040816326525</v>
      </c>
      <c r="F3363">
        <f t="shared" si="419"/>
        <v>175</v>
      </c>
      <c r="G3363">
        <f t="shared" si="420"/>
        <v>96.428571428571416</v>
      </c>
      <c r="H3363" t="str">
        <f>_xlfn.XLOOKUP(A3363,Fact_Events!$D$2:$D$20,Fact_Events!$A$2:$A$20, "")</f>
        <v/>
      </c>
      <c r="I3363">
        <f t="shared" si="421"/>
        <v>0</v>
      </c>
      <c r="J3363" t="str">
        <f>_xlfn.XLOOKUP(H3363, Fact_Events!$A$2:$A$20, Fact_Events!$F$2:$F$20, "")</f>
        <v/>
      </c>
      <c r="K3363" t="str">
        <f t="shared" si="422"/>
        <v>Low</v>
      </c>
      <c r="L3363">
        <f t="shared" si="423"/>
        <v>0.55000000000000004</v>
      </c>
      <c r="M3363">
        <f>_xlfn.XLOOKUP(B3363, Dim_Hotel!$A$2:$A$11, Dim_Hotel!$I$2:$I$11)
 + (IF(J3363="",0,J3363)
    * _xlfn.XLOOKUP(B3363, Dim_Hotel!$A$2:$A$11, Dim_Hotel!$J$2:$J$11))</f>
        <v>175</v>
      </c>
    </row>
    <row r="3364" spans="1:13" x14ac:dyDescent="0.25">
      <c r="A3364" s="1">
        <f t="shared" si="416"/>
        <v>46359</v>
      </c>
      <c r="B3364" t="str" cm="1">
        <f t="array" ref="B3364">INDEX(HotelList,MOD(ROW()-2,10)+1)</f>
        <v>H003</v>
      </c>
      <c r="C3364">
        <f>_xlfn.XLOOKUP(B3364,Dim_Hotel!$A$2:$A$11,Dim_Hotel!$F$2:$F$11)</f>
        <v>121</v>
      </c>
      <c r="D3364">
        <f t="shared" si="417"/>
        <v>67</v>
      </c>
      <c r="E3364">
        <f t="shared" si="418"/>
        <v>0.55371900826446285</v>
      </c>
      <c r="F3364">
        <f t="shared" si="419"/>
        <v>145</v>
      </c>
      <c r="G3364">
        <f t="shared" si="420"/>
        <v>80.289256198347118</v>
      </c>
      <c r="H3364" t="str">
        <f>_xlfn.XLOOKUP(A3364,Fact_Events!$D$2:$D$20,Fact_Events!$A$2:$A$20, "")</f>
        <v/>
      </c>
      <c r="I3364">
        <f t="shared" si="421"/>
        <v>0</v>
      </c>
      <c r="J3364" t="str">
        <f>_xlfn.XLOOKUP(H3364, Fact_Events!$A$2:$A$20, Fact_Events!$F$2:$F$20, "")</f>
        <v/>
      </c>
      <c r="K3364" t="str">
        <f t="shared" si="422"/>
        <v>Low</v>
      </c>
      <c r="L3364">
        <f t="shared" si="423"/>
        <v>0.55000000000000004</v>
      </c>
      <c r="M3364">
        <f>_xlfn.XLOOKUP(B3364, Dim_Hotel!$A$2:$A$11, Dim_Hotel!$I$2:$I$11)
 + (IF(J3364="",0,J3364)
    * _xlfn.XLOOKUP(B3364, Dim_Hotel!$A$2:$A$11, Dim_Hotel!$J$2:$J$11))</f>
        <v>145</v>
      </c>
    </row>
    <row r="3365" spans="1:13" x14ac:dyDescent="0.25">
      <c r="A3365" s="1">
        <f t="shared" si="416"/>
        <v>46359</v>
      </c>
      <c r="B3365" t="str" cm="1">
        <f t="array" ref="B3365">INDEX(HotelList,MOD(ROW()-2,10)+1)</f>
        <v>H004</v>
      </c>
      <c r="C3365">
        <f>_xlfn.XLOOKUP(B3365,Dim_Hotel!$A$2:$A$11,Dim_Hotel!$F$2:$F$11)</f>
        <v>108</v>
      </c>
      <c r="D3365">
        <f t="shared" si="417"/>
        <v>59</v>
      </c>
      <c r="E3365">
        <f t="shared" si="418"/>
        <v>0.54629629629629628</v>
      </c>
      <c r="F3365">
        <f t="shared" si="419"/>
        <v>135</v>
      </c>
      <c r="G3365">
        <f t="shared" si="420"/>
        <v>73.75</v>
      </c>
      <c r="H3365" t="str">
        <f>_xlfn.XLOOKUP(A3365,Fact_Events!$D$2:$D$20,Fact_Events!$A$2:$A$20, "")</f>
        <v/>
      </c>
      <c r="I3365">
        <f t="shared" si="421"/>
        <v>0</v>
      </c>
      <c r="J3365" t="str">
        <f>_xlfn.XLOOKUP(H3365, Fact_Events!$A$2:$A$20, Fact_Events!$F$2:$F$20, "")</f>
        <v/>
      </c>
      <c r="K3365" t="str">
        <f t="shared" si="422"/>
        <v>Low</v>
      </c>
      <c r="L3365">
        <f t="shared" si="423"/>
        <v>0.55000000000000004</v>
      </c>
      <c r="M3365">
        <f>_xlfn.XLOOKUP(B3365, Dim_Hotel!$A$2:$A$11, Dim_Hotel!$I$2:$I$11)
 + (IF(J3365="",0,J3365)
    * _xlfn.XLOOKUP(B3365, Dim_Hotel!$A$2:$A$11, Dim_Hotel!$J$2:$J$11))</f>
        <v>135</v>
      </c>
    </row>
    <row r="3366" spans="1:13" x14ac:dyDescent="0.25">
      <c r="A3366" s="1">
        <f t="shared" si="416"/>
        <v>46359</v>
      </c>
      <c r="B3366" t="str" cm="1">
        <f t="array" ref="B3366">INDEX(HotelList,MOD(ROW()-2,10)+1)</f>
        <v>H005</v>
      </c>
      <c r="C3366">
        <f>_xlfn.XLOOKUP(B3366,Dim_Hotel!$A$2:$A$11,Dim_Hotel!$F$2:$F$11)</f>
        <v>66</v>
      </c>
      <c r="D3366">
        <f t="shared" si="417"/>
        <v>36</v>
      </c>
      <c r="E3366">
        <f t="shared" si="418"/>
        <v>0.54545454545454541</v>
      </c>
      <c r="F3366">
        <f t="shared" si="419"/>
        <v>82</v>
      </c>
      <c r="G3366">
        <f t="shared" si="420"/>
        <v>44.727272727272727</v>
      </c>
      <c r="H3366" t="str">
        <f>_xlfn.XLOOKUP(A3366,Fact_Events!$D$2:$D$20,Fact_Events!$A$2:$A$20, "")</f>
        <v/>
      </c>
      <c r="I3366">
        <f t="shared" si="421"/>
        <v>0</v>
      </c>
      <c r="J3366" t="str">
        <f>_xlfn.XLOOKUP(H3366, Fact_Events!$A$2:$A$20, Fact_Events!$F$2:$F$20, "")</f>
        <v/>
      </c>
      <c r="K3366" t="str">
        <f t="shared" si="422"/>
        <v>Low</v>
      </c>
      <c r="L3366">
        <f t="shared" si="423"/>
        <v>0.55000000000000004</v>
      </c>
      <c r="M3366">
        <f>_xlfn.XLOOKUP(B3366, Dim_Hotel!$A$2:$A$11, Dim_Hotel!$I$2:$I$11)
 + (IF(J3366="",0,J3366)
    * _xlfn.XLOOKUP(B3366, Dim_Hotel!$A$2:$A$11, Dim_Hotel!$J$2:$J$11))</f>
        <v>82</v>
      </c>
    </row>
    <row r="3367" spans="1:13" x14ac:dyDescent="0.25">
      <c r="A3367" s="1">
        <f t="shared" si="416"/>
        <v>46359</v>
      </c>
      <c r="B3367" t="str" cm="1">
        <f t="array" ref="B3367">INDEX(HotelList,MOD(ROW()-2,10)+1)</f>
        <v>H006</v>
      </c>
      <c r="C3367">
        <f>_xlfn.XLOOKUP(B3367,Dim_Hotel!$A$2:$A$11,Dim_Hotel!$F$2:$F$11)</f>
        <v>311</v>
      </c>
      <c r="D3367">
        <f t="shared" si="417"/>
        <v>171</v>
      </c>
      <c r="E3367">
        <f t="shared" si="418"/>
        <v>0.54983922829581988</v>
      </c>
      <c r="F3367">
        <f t="shared" si="419"/>
        <v>190</v>
      </c>
      <c r="G3367">
        <f t="shared" si="420"/>
        <v>104.46945337620578</v>
      </c>
      <c r="H3367" t="str">
        <f>_xlfn.XLOOKUP(A3367,Fact_Events!$D$2:$D$20,Fact_Events!$A$2:$A$20, "")</f>
        <v/>
      </c>
      <c r="I3367">
        <f t="shared" si="421"/>
        <v>0</v>
      </c>
      <c r="J3367" t="str">
        <f>_xlfn.XLOOKUP(H3367, Fact_Events!$A$2:$A$20, Fact_Events!$F$2:$F$20, "")</f>
        <v/>
      </c>
      <c r="K3367" t="str">
        <f t="shared" si="422"/>
        <v>Low</v>
      </c>
      <c r="L3367">
        <f t="shared" si="423"/>
        <v>0.55000000000000004</v>
      </c>
      <c r="M3367">
        <f>_xlfn.XLOOKUP(B3367, Dim_Hotel!$A$2:$A$11, Dim_Hotel!$I$2:$I$11)
 + (IF(J3367="",0,J3367)
    * _xlfn.XLOOKUP(B3367, Dim_Hotel!$A$2:$A$11, Dim_Hotel!$J$2:$J$11))</f>
        <v>190</v>
      </c>
    </row>
    <row r="3368" spans="1:13" x14ac:dyDescent="0.25">
      <c r="A3368" s="1">
        <f t="shared" si="416"/>
        <v>46359</v>
      </c>
      <c r="B3368" t="str" cm="1">
        <f t="array" ref="B3368">INDEX(HotelList,MOD(ROW()-2,10)+1)</f>
        <v>H007</v>
      </c>
      <c r="C3368">
        <f>_xlfn.XLOOKUP(B3368,Dim_Hotel!$A$2:$A$11,Dim_Hotel!$F$2:$F$11)</f>
        <v>132</v>
      </c>
      <c r="D3368">
        <f t="shared" si="417"/>
        <v>73</v>
      </c>
      <c r="E3368">
        <f t="shared" si="418"/>
        <v>0.55303030303030298</v>
      </c>
      <c r="F3368">
        <f t="shared" si="419"/>
        <v>165</v>
      </c>
      <c r="G3368">
        <f t="shared" si="420"/>
        <v>91.249999999999986</v>
      </c>
      <c r="H3368" t="str">
        <f>_xlfn.XLOOKUP(A3368,Fact_Events!$D$2:$D$20,Fact_Events!$A$2:$A$20, "")</f>
        <v/>
      </c>
      <c r="I3368">
        <f t="shared" si="421"/>
        <v>0</v>
      </c>
      <c r="J3368" t="str">
        <f>_xlfn.XLOOKUP(H3368, Fact_Events!$A$2:$A$20, Fact_Events!$F$2:$F$20, "")</f>
        <v/>
      </c>
      <c r="K3368" t="str">
        <f t="shared" si="422"/>
        <v>Low</v>
      </c>
      <c r="L3368">
        <f t="shared" si="423"/>
        <v>0.55000000000000004</v>
      </c>
      <c r="M3368">
        <f>_xlfn.XLOOKUP(B3368, Dim_Hotel!$A$2:$A$11, Dim_Hotel!$I$2:$I$11)
 + (IF(J3368="",0,J3368)
    * _xlfn.XLOOKUP(B3368, Dim_Hotel!$A$2:$A$11, Dim_Hotel!$J$2:$J$11))</f>
        <v>165</v>
      </c>
    </row>
    <row r="3369" spans="1:13" x14ac:dyDescent="0.25">
      <c r="A3369" s="1">
        <f t="shared" si="416"/>
        <v>46359</v>
      </c>
      <c r="B3369" t="str" cm="1">
        <f t="array" ref="B3369">INDEX(HotelList,MOD(ROW()-2,10)+1)</f>
        <v>H008</v>
      </c>
      <c r="C3369">
        <f>_xlfn.XLOOKUP(B3369,Dim_Hotel!$A$2:$A$11,Dim_Hotel!$F$2:$F$11)</f>
        <v>103</v>
      </c>
      <c r="D3369">
        <f t="shared" si="417"/>
        <v>57</v>
      </c>
      <c r="E3369">
        <f t="shared" si="418"/>
        <v>0.55339805825242716</v>
      </c>
      <c r="F3369">
        <f t="shared" si="419"/>
        <v>140</v>
      </c>
      <c r="G3369">
        <f t="shared" si="420"/>
        <v>77.475728155339809</v>
      </c>
      <c r="H3369" t="str">
        <f>_xlfn.XLOOKUP(A3369,Fact_Events!$D$2:$D$20,Fact_Events!$A$2:$A$20, "")</f>
        <v/>
      </c>
      <c r="I3369">
        <f t="shared" si="421"/>
        <v>0</v>
      </c>
      <c r="J3369" t="str">
        <f>_xlfn.XLOOKUP(H3369, Fact_Events!$A$2:$A$20, Fact_Events!$F$2:$F$20, "")</f>
        <v/>
      </c>
      <c r="K3369" t="str">
        <f t="shared" si="422"/>
        <v>Low</v>
      </c>
      <c r="L3369">
        <f t="shared" si="423"/>
        <v>0.55000000000000004</v>
      </c>
      <c r="M3369">
        <f>_xlfn.XLOOKUP(B3369, Dim_Hotel!$A$2:$A$11, Dim_Hotel!$I$2:$I$11)
 + (IF(J3369="",0,J3369)
    * _xlfn.XLOOKUP(B3369, Dim_Hotel!$A$2:$A$11, Dim_Hotel!$J$2:$J$11))</f>
        <v>140</v>
      </c>
    </row>
    <row r="3370" spans="1:13" x14ac:dyDescent="0.25">
      <c r="A3370" s="1">
        <f t="shared" si="416"/>
        <v>46359</v>
      </c>
      <c r="B3370" t="str" cm="1">
        <f t="array" ref="B3370">INDEX(HotelList,MOD(ROW()-2,10)+1)</f>
        <v>H009</v>
      </c>
      <c r="C3370">
        <f>_xlfn.XLOOKUP(B3370,Dim_Hotel!$A$2:$A$11,Dim_Hotel!$F$2:$F$11)</f>
        <v>114</v>
      </c>
      <c r="D3370">
        <f t="shared" si="417"/>
        <v>63</v>
      </c>
      <c r="E3370">
        <f t="shared" si="418"/>
        <v>0.55263157894736847</v>
      </c>
      <c r="F3370">
        <f t="shared" si="419"/>
        <v>185</v>
      </c>
      <c r="G3370">
        <f t="shared" si="420"/>
        <v>102.23684210526316</v>
      </c>
      <c r="H3370" t="str">
        <f>_xlfn.XLOOKUP(A3370,Fact_Events!$D$2:$D$20,Fact_Events!$A$2:$A$20, "")</f>
        <v/>
      </c>
      <c r="I3370">
        <f t="shared" si="421"/>
        <v>0</v>
      </c>
      <c r="J3370" t="str">
        <f>_xlfn.XLOOKUP(H3370, Fact_Events!$A$2:$A$20, Fact_Events!$F$2:$F$20, "")</f>
        <v/>
      </c>
      <c r="K3370" t="str">
        <f t="shared" si="422"/>
        <v>Low</v>
      </c>
      <c r="L3370">
        <f t="shared" si="423"/>
        <v>0.55000000000000004</v>
      </c>
      <c r="M3370">
        <f>_xlfn.XLOOKUP(B3370, Dim_Hotel!$A$2:$A$11, Dim_Hotel!$I$2:$I$11)
 + (IF(J3370="",0,J3370)
    * _xlfn.XLOOKUP(B3370, Dim_Hotel!$A$2:$A$11, Dim_Hotel!$J$2:$J$11))</f>
        <v>185</v>
      </c>
    </row>
    <row r="3371" spans="1:13" x14ac:dyDescent="0.25">
      <c r="A3371" s="1">
        <f t="shared" si="416"/>
        <v>46359</v>
      </c>
      <c r="B3371" t="str" cm="1">
        <f t="array" ref="B3371">INDEX(HotelList,MOD(ROW()-2,10)+1)</f>
        <v>H010</v>
      </c>
      <c r="C3371">
        <f>_xlfn.XLOOKUP(B3371,Dim_Hotel!$A$2:$A$11,Dim_Hotel!$F$2:$F$11)</f>
        <v>89</v>
      </c>
      <c r="D3371">
        <f t="shared" si="417"/>
        <v>49</v>
      </c>
      <c r="E3371">
        <f t="shared" si="418"/>
        <v>0.550561797752809</v>
      </c>
      <c r="F3371">
        <f t="shared" si="419"/>
        <v>150</v>
      </c>
      <c r="G3371">
        <f t="shared" si="420"/>
        <v>82.584269662921344</v>
      </c>
      <c r="H3371" t="str">
        <f>_xlfn.XLOOKUP(A3371,Fact_Events!$D$2:$D$20,Fact_Events!$A$2:$A$20, "")</f>
        <v/>
      </c>
      <c r="I3371">
        <f t="shared" si="421"/>
        <v>0</v>
      </c>
      <c r="J3371" t="str">
        <f>_xlfn.XLOOKUP(H3371, Fact_Events!$A$2:$A$20, Fact_Events!$F$2:$F$20, "")</f>
        <v/>
      </c>
      <c r="K3371" t="str">
        <f t="shared" si="422"/>
        <v>Low</v>
      </c>
      <c r="L3371">
        <f t="shared" si="423"/>
        <v>0.55000000000000004</v>
      </c>
      <c r="M3371">
        <f>_xlfn.XLOOKUP(B3371, Dim_Hotel!$A$2:$A$11, Dim_Hotel!$I$2:$I$11)
 + (IF(J3371="",0,J3371)
    * _xlfn.XLOOKUP(B3371, Dim_Hotel!$A$2:$A$11, Dim_Hotel!$J$2:$J$11))</f>
        <v>150</v>
      </c>
    </row>
    <row r="3372" spans="1:13" x14ac:dyDescent="0.25">
      <c r="A3372" s="1">
        <f t="shared" si="416"/>
        <v>46360</v>
      </c>
      <c r="B3372" t="str" cm="1">
        <f t="array" ref="B3372">INDEX(HotelList,MOD(ROW()-2,10)+1)</f>
        <v>H001</v>
      </c>
      <c r="C3372">
        <f>_xlfn.XLOOKUP(B3372,Dim_Hotel!$A$2:$A$11,Dim_Hotel!$F$2:$F$11)</f>
        <v>888</v>
      </c>
      <c r="D3372">
        <f t="shared" si="417"/>
        <v>488</v>
      </c>
      <c r="E3372">
        <f t="shared" si="418"/>
        <v>0.5495495495495496</v>
      </c>
      <c r="F3372">
        <f t="shared" si="419"/>
        <v>260</v>
      </c>
      <c r="G3372">
        <f t="shared" si="420"/>
        <v>142.88288288288288</v>
      </c>
      <c r="H3372" t="str">
        <f>_xlfn.XLOOKUP(A3372,Fact_Events!$D$2:$D$20,Fact_Events!$A$2:$A$20, "")</f>
        <v/>
      </c>
      <c r="I3372">
        <f t="shared" si="421"/>
        <v>0</v>
      </c>
      <c r="J3372" t="str">
        <f>_xlfn.XLOOKUP(H3372, Fact_Events!$A$2:$A$20, Fact_Events!$F$2:$F$20, "")</f>
        <v/>
      </c>
      <c r="K3372" t="str">
        <f t="shared" si="422"/>
        <v>Low</v>
      </c>
      <c r="L3372">
        <f t="shared" si="423"/>
        <v>0.55000000000000004</v>
      </c>
      <c r="M3372">
        <f>_xlfn.XLOOKUP(B3372, Dim_Hotel!$A$2:$A$11, Dim_Hotel!$I$2:$I$11)
 + (IF(J3372="",0,J3372)
    * _xlfn.XLOOKUP(B3372, Dim_Hotel!$A$2:$A$11, Dim_Hotel!$J$2:$J$11))</f>
        <v>260</v>
      </c>
    </row>
    <row r="3373" spans="1:13" x14ac:dyDescent="0.25">
      <c r="A3373" s="1">
        <f t="shared" si="416"/>
        <v>46360</v>
      </c>
      <c r="B3373" t="str" cm="1">
        <f t="array" ref="B3373">INDEX(HotelList,MOD(ROW()-2,10)+1)</f>
        <v>H002</v>
      </c>
      <c r="C3373">
        <f>_xlfn.XLOOKUP(B3373,Dim_Hotel!$A$2:$A$11,Dim_Hotel!$F$2:$F$11)</f>
        <v>147</v>
      </c>
      <c r="D3373">
        <f t="shared" si="417"/>
        <v>81</v>
      </c>
      <c r="E3373">
        <f t="shared" si="418"/>
        <v>0.55102040816326525</v>
      </c>
      <c r="F3373">
        <f t="shared" si="419"/>
        <v>175</v>
      </c>
      <c r="G3373">
        <f t="shared" si="420"/>
        <v>96.428571428571416</v>
      </c>
      <c r="H3373" t="str">
        <f>_xlfn.XLOOKUP(A3373,Fact_Events!$D$2:$D$20,Fact_Events!$A$2:$A$20, "")</f>
        <v/>
      </c>
      <c r="I3373">
        <f t="shared" si="421"/>
        <v>0</v>
      </c>
      <c r="J3373" t="str">
        <f>_xlfn.XLOOKUP(H3373, Fact_Events!$A$2:$A$20, Fact_Events!$F$2:$F$20, "")</f>
        <v/>
      </c>
      <c r="K3373" t="str">
        <f t="shared" si="422"/>
        <v>Low</v>
      </c>
      <c r="L3373">
        <f t="shared" si="423"/>
        <v>0.55000000000000004</v>
      </c>
      <c r="M3373">
        <f>_xlfn.XLOOKUP(B3373, Dim_Hotel!$A$2:$A$11, Dim_Hotel!$I$2:$I$11)
 + (IF(J3373="",0,J3373)
    * _xlfn.XLOOKUP(B3373, Dim_Hotel!$A$2:$A$11, Dim_Hotel!$J$2:$J$11))</f>
        <v>175</v>
      </c>
    </row>
    <row r="3374" spans="1:13" x14ac:dyDescent="0.25">
      <c r="A3374" s="1">
        <f t="shared" si="416"/>
        <v>46360</v>
      </c>
      <c r="B3374" t="str" cm="1">
        <f t="array" ref="B3374">INDEX(HotelList,MOD(ROW()-2,10)+1)</f>
        <v>H003</v>
      </c>
      <c r="C3374">
        <f>_xlfn.XLOOKUP(B3374,Dim_Hotel!$A$2:$A$11,Dim_Hotel!$F$2:$F$11)</f>
        <v>121</v>
      </c>
      <c r="D3374">
        <f t="shared" si="417"/>
        <v>67</v>
      </c>
      <c r="E3374">
        <f t="shared" si="418"/>
        <v>0.55371900826446285</v>
      </c>
      <c r="F3374">
        <f t="shared" si="419"/>
        <v>145</v>
      </c>
      <c r="G3374">
        <f t="shared" si="420"/>
        <v>80.289256198347118</v>
      </c>
      <c r="H3374" t="str">
        <f>_xlfn.XLOOKUP(A3374,Fact_Events!$D$2:$D$20,Fact_Events!$A$2:$A$20, "")</f>
        <v/>
      </c>
      <c r="I3374">
        <f t="shared" si="421"/>
        <v>0</v>
      </c>
      <c r="J3374" t="str">
        <f>_xlfn.XLOOKUP(H3374, Fact_Events!$A$2:$A$20, Fact_Events!$F$2:$F$20, "")</f>
        <v/>
      </c>
      <c r="K3374" t="str">
        <f t="shared" si="422"/>
        <v>Low</v>
      </c>
      <c r="L3374">
        <f t="shared" si="423"/>
        <v>0.55000000000000004</v>
      </c>
      <c r="M3374">
        <f>_xlfn.XLOOKUP(B3374, Dim_Hotel!$A$2:$A$11, Dim_Hotel!$I$2:$I$11)
 + (IF(J3374="",0,J3374)
    * _xlfn.XLOOKUP(B3374, Dim_Hotel!$A$2:$A$11, Dim_Hotel!$J$2:$J$11))</f>
        <v>145</v>
      </c>
    </row>
    <row r="3375" spans="1:13" x14ac:dyDescent="0.25">
      <c r="A3375" s="1">
        <f t="shared" si="416"/>
        <v>46360</v>
      </c>
      <c r="B3375" t="str" cm="1">
        <f t="array" ref="B3375">INDEX(HotelList,MOD(ROW()-2,10)+1)</f>
        <v>H004</v>
      </c>
      <c r="C3375">
        <f>_xlfn.XLOOKUP(B3375,Dim_Hotel!$A$2:$A$11,Dim_Hotel!$F$2:$F$11)</f>
        <v>108</v>
      </c>
      <c r="D3375">
        <f t="shared" si="417"/>
        <v>59</v>
      </c>
      <c r="E3375">
        <f t="shared" si="418"/>
        <v>0.54629629629629628</v>
      </c>
      <c r="F3375">
        <f t="shared" si="419"/>
        <v>135</v>
      </c>
      <c r="G3375">
        <f t="shared" si="420"/>
        <v>73.75</v>
      </c>
      <c r="H3375" t="str">
        <f>_xlfn.XLOOKUP(A3375,Fact_Events!$D$2:$D$20,Fact_Events!$A$2:$A$20, "")</f>
        <v/>
      </c>
      <c r="I3375">
        <f t="shared" si="421"/>
        <v>0</v>
      </c>
      <c r="J3375" t="str">
        <f>_xlfn.XLOOKUP(H3375, Fact_Events!$A$2:$A$20, Fact_Events!$F$2:$F$20, "")</f>
        <v/>
      </c>
      <c r="K3375" t="str">
        <f t="shared" si="422"/>
        <v>Low</v>
      </c>
      <c r="L3375">
        <f t="shared" si="423"/>
        <v>0.55000000000000004</v>
      </c>
      <c r="M3375">
        <f>_xlfn.XLOOKUP(B3375, Dim_Hotel!$A$2:$A$11, Dim_Hotel!$I$2:$I$11)
 + (IF(J3375="",0,J3375)
    * _xlfn.XLOOKUP(B3375, Dim_Hotel!$A$2:$A$11, Dim_Hotel!$J$2:$J$11))</f>
        <v>135</v>
      </c>
    </row>
    <row r="3376" spans="1:13" x14ac:dyDescent="0.25">
      <c r="A3376" s="1">
        <f t="shared" si="416"/>
        <v>46360</v>
      </c>
      <c r="B3376" t="str" cm="1">
        <f t="array" ref="B3376">INDEX(HotelList,MOD(ROW()-2,10)+1)</f>
        <v>H005</v>
      </c>
      <c r="C3376">
        <f>_xlfn.XLOOKUP(B3376,Dim_Hotel!$A$2:$A$11,Dim_Hotel!$F$2:$F$11)</f>
        <v>66</v>
      </c>
      <c r="D3376">
        <f t="shared" si="417"/>
        <v>36</v>
      </c>
      <c r="E3376">
        <f t="shared" si="418"/>
        <v>0.54545454545454541</v>
      </c>
      <c r="F3376">
        <f t="shared" si="419"/>
        <v>82</v>
      </c>
      <c r="G3376">
        <f t="shared" si="420"/>
        <v>44.727272727272727</v>
      </c>
      <c r="H3376" t="str">
        <f>_xlfn.XLOOKUP(A3376,Fact_Events!$D$2:$D$20,Fact_Events!$A$2:$A$20, "")</f>
        <v/>
      </c>
      <c r="I3376">
        <f t="shared" si="421"/>
        <v>0</v>
      </c>
      <c r="J3376" t="str">
        <f>_xlfn.XLOOKUP(H3376, Fact_Events!$A$2:$A$20, Fact_Events!$F$2:$F$20, "")</f>
        <v/>
      </c>
      <c r="K3376" t="str">
        <f t="shared" si="422"/>
        <v>Low</v>
      </c>
      <c r="L3376">
        <f t="shared" si="423"/>
        <v>0.55000000000000004</v>
      </c>
      <c r="M3376">
        <f>_xlfn.XLOOKUP(B3376, Dim_Hotel!$A$2:$A$11, Dim_Hotel!$I$2:$I$11)
 + (IF(J3376="",0,J3376)
    * _xlfn.XLOOKUP(B3376, Dim_Hotel!$A$2:$A$11, Dim_Hotel!$J$2:$J$11))</f>
        <v>82</v>
      </c>
    </row>
    <row r="3377" spans="1:13" x14ac:dyDescent="0.25">
      <c r="A3377" s="1">
        <f t="shared" si="416"/>
        <v>46360</v>
      </c>
      <c r="B3377" t="str" cm="1">
        <f t="array" ref="B3377">INDEX(HotelList,MOD(ROW()-2,10)+1)</f>
        <v>H006</v>
      </c>
      <c r="C3377">
        <f>_xlfn.XLOOKUP(B3377,Dim_Hotel!$A$2:$A$11,Dim_Hotel!$F$2:$F$11)</f>
        <v>311</v>
      </c>
      <c r="D3377">
        <f t="shared" si="417"/>
        <v>171</v>
      </c>
      <c r="E3377">
        <f t="shared" si="418"/>
        <v>0.54983922829581988</v>
      </c>
      <c r="F3377">
        <f t="shared" si="419"/>
        <v>190</v>
      </c>
      <c r="G3377">
        <f t="shared" si="420"/>
        <v>104.46945337620578</v>
      </c>
      <c r="H3377" t="str">
        <f>_xlfn.XLOOKUP(A3377,Fact_Events!$D$2:$D$20,Fact_Events!$A$2:$A$20, "")</f>
        <v/>
      </c>
      <c r="I3377">
        <f t="shared" si="421"/>
        <v>0</v>
      </c>
      <c r="J3377" t="str">
        <f>_xlfn.XLOOKUP(H3377, Fact_Events!$A$2:$A$20, Fact_Events!$F$2:$F$20, "")</f>
        <v/>
      </c>
      <c r="K3377" t="str">
        <f t="shared" si="422"/>
        <v>Low</v>
      </c>
      <c r="L3377">
        <f t="shared" si="423"/>
        <v>0.55000000000000004</v>
      </c>
      <c r="M3377">
        <f>_xlfn.XLOOKUP(B3377, Dim_Hotel!$A$2:$A$11, Dim_Hotel!$I$2:$I$11)
 + (IF(J3377="",0,J3377)
    * _xlfn.XLOOKUP(B3377, Dim_Hotel!$A$2:$A$11, Dim_Hotel!$J$2:$J$11))</f>
        <v>190</v>
      </c>
    </row>
    <row r="3378" spans="1:13" x14ac:dyDescent="0.25">
      <c r="A3378" s="1">
        <f t="shared" si="416"/>
        <v>46360</v>
      </c>
      <c r="B3378" t="str" cm="1">
        <f t="array" ref="B3378">INDEX(HotelList,MOD(ROW()-2,10)+1)</f>
        <v>H007</v>
      </c>
      <c r="C3378">
        <f>_xlfn.XLOOKUP(B3378,Dim_Hotel!$A$2:$A$11,Dim_Hotel!$F$2:$F$11)</f>
        <v>132</v>
      </c>
      <c r="D3378">
        <f t="shared" si="417"/>
        <v>73</v>
      </c>
      <c r="E3378">
        <f t="shared" si="418"/>
        <v>0.55303030303030298</v>
      </c>
      <c r="F3378">
        <f t="shared" si="419"/>
        <v>165</v>
      </c>
      <c r="G3378">
        <f t="shared" si="420"/>
        <v>91.249999999999986</v>
      </c>
      <c r="H3378" t="str">
        <f>_xlfn.XLOOKUP(A3378,Fact_Events!$D$2:$D$20,Fact_Events!$A$2:$A$20, "")</f>
        <v/>
      </c>
      <c r="I3378">
        <f t="shared" si="421"/>
        <v>0</v>
      </c>
      <c r="J3378" t="str">
        <f>_xlfn.XLOOKUP(H3378, Fact_Events!$A$2:$A$20, Fact_Events!$F$2:$F$20, "")</f>
        <v/>
      </c>
      <c r="K3378" t="str">
        <f t="shared" si="422"/>
        <v>Low</v>
      </c>
      <c r="L3378">
        <f t="shared" si="423"/>
        <v>0.55000000000000004</v>
      </c>
      <c r="M3378">
        <f>_xlfn.XLOOKUP(B3378, Dim_Hotel!$A$2:$A$11, Dim_Hotel!$I$2:$I$11)
 + (IF(J3378="",0,J3378)
    * _xlfn.XLOOKUP(B3378, Dim_Hotel!$A$2:$A$11, Dim_Hotel!$J$2:$J$11))</f>
        <v>165</v>
      </c>
    </row>
    <row r="3379" spans="1:13" x14ac:dyDescent="0.25">
      <c r="A3379" s="1">
        <f t="shared" si="416"/>
        <v>46360</v>
      </c>
      <c r="B3379" t="str" cm="1">
        <f t="array" ref="B3379">INDEX(HotelList,MOD(ROW()-2,10)+1)</f>
        <v>H008</v>
      </c>
      <c r="C3379">
        <f>_xlfn.XLOOKUP(B3379,Dim_Hotel!$A$2:$A$11,Dim_Hotel!$F$2:$F$11)</f>
        <v>103</v>
      </c>
      <c r="D3379">
        <f t="shared" si="417"/>
        <v>57</v>
      </c>
      <c r="E3379">
        <f t="shared" si="418"/>
        <v>0.55339805825242716</v>
      </c>
      <c r="F3379">
        <f t="shared" si="419"/>
        <v>140</v>
      </c>
      <c r="G3379">
        <f t="shared" si="420"/>
        <v>77.475728155339809</v>
      </c>
      <c r="H3379" t="str">
        <f>_xlfn.XLOOKUP(A3379,Fact_Events!$D$2:$D$20,Fact_Events!$A$2:$A$20, "")</f>
        <v/>
      </c>
      <c r="I3379">
        <f t="shared" si="421"/>
        <v>0</v>
      </c>
      <c r="J3379" t="str">
        <f>_xlfn.XLOOKUP(H3379, Fact_Events!$A$2:$A$20, Fact_Events!$F$2:$F$20, "")</f>
        <v/>
      </c>
      <c r="K3379" t="str">
        <f t="shared" si="422"/>
        <v>Low</v>
      </c>
      <c r="L3379">
        <f t="shared" si="423"/>
        <v>0.55000000000000004</v>
      </c>
      <c r="M3379">
        <f>_xlfn.XLOOKUP(B3379, Dim_Hotel!$A$2:$A$11, Dim_Hotel!$I$2:$I$11)
 + (IF(J3379="",0,J3379)
    * _xlfn.XLOOKUP(B3379, Dim_Hotel!$A$2:$A$11, Dim_Hotel!$J$2:$J$11))</f>
        <v>140</v>
      </c>
    </row>
    <row r="3380" spans="1:13" x14ac:dyDescent="0.25">
      <c r="A3380" s="1">
        <f t="shared" si="416"/>
        <v>46360</v>
      </c>
      <c r="B3380" t="str" cm="1">
        <f t="array" ref="B3380">INDEX(HotelList,MOD(ROW()-2,10)+1)</f>
        <v>H009</v>
      </c>
      <c r="C3380">
        <f>_xlfn.XLOOKUP(B3380,Dim_Hotel!$A$2:$A$11,Dim_Hotel!$F$2:$F$11)</f>
        <v>114</v>
      </c>
      <c r="D3380">
        <f t="shared" si="417"/>
        <v>63</v>
      </c>
      <c r="E3380">
        <f t="shared" si="418"/>
        <v>0.55263157894736847</v>
      </c>
      <c r="F3380">
        <f t="shared" si="419"/>
        <v>185</v>
      </c>
      <c r="G3380">
        <f t="shared" si="420"/>
        <v>102.23684210526316</v>
      </c>
      <c r="H3380" t="str">
        <f>_xlfn.XLOOKUP(A3380,Fact_Events!$D$2:$D$20,Fact_Events!$A$2:$A$20, "")</f>
        <v/>
      </c>
      <c r="I3380">
        <f t="shared" si="421"/>
        <v>0</v>
      </c>
      <c r="J3380" t="str">
        <f>_xlfn.XLOOKUP(H3380, Fact_Events!$A$2:$A$20, Fact_Events!$F$2:$F$20, "")</f>
        <v/>
      </c>
      <c r="K3380" t="str">
        <f t="shared" si="422"/>
        <v>Low</v>
      </c>
      <c r="L3380">
        <f t="shared" si="423"/>
        <v>0.55000000000000004</v>
      </c>
      <c r="M3380">
        <f>_xlfn.XLOOKUP(B3380, Dim_Hotel!$A$2:$A$11, Dim_Hotel!$I$2:$I$11)
 + (IF(J3380="",0,J3380)
    * _xlfn.XLOOKUP(B3380, Dim_Hotel!$A$2:$A$11, Dim_Hotel!$J$2:$J$11))</f>
        <v>185</v>
      </c>
    </row>
    <row r="3381" spans="1:13" x14ac:dyDescent="0.25">
      <c r="A3381" s="1">
        <f t="shared" si="416"/>
        <v>46360</v>
      </c>
      <c r="B3381" t="str" cm="1">
        <f t="array" ref="B3381">INDEX(HotelList,MOD(ROW()-2,10)+1)</f>
        <v>H010</v>
      </c>
      <c r="C3381">
        <f>_xlfn.XLOOKUP(B3381,Dim_Hotel!$A$2:$A$11,Dim_Hotel!$F$2:$F$11)</f>
        <v>89</v>
      </c>
      <c r="D3381">
        <f t="shared" si="417"/>
        <v>49</v>
      </c>
      <c r="E3381">
        <f t="shared" si="418"/>
        <v>0.550561797752809</v>
      </c>
      <c r="F3381">
        <f t="shared" si="419"/>
        <v>150</v>
      </c>
      <c r="G3381">
        <f t="shared" si="420"/>
        <v>82.584269662921344</v>
      </c>
      <c r="H3381" t="str">
        <f>_xlfn.XLOOKUP(A3381,Fact_Events!$D$2:$D$20,Fact_Events!$A$2:$A$20, "")</f>
        <v/>
      </c>
      <c r="I3381">
        <f t="shared" si="421"/>
        <v>0</v>
      </c>
      <c r="J3381" t="str">
        <f>_xlfn.XLOOKUP(H3381, Fact_Events!$A$2:$A$20, Fact_Events!$F$2:$F$20, "")</f>
        <v/>
      </c>
      <c r="K3381" t="str">
        <f t="shared" si="422"/>
        <v>Low</v>
      </c>
      <c r="L3381">
        <f t="shared" si="423"/>
        <v>0.55000000000000004</v>
      </c>
      <c r="M3381">
        <f>_xlfn.XLOOKUP(B3381, Dim_Hotel!$A$2:$A$11, Dim_Hotel!$I$2:$I$11)
 + (IF(J3381="",0,J3381)
    * _xlfn.XLOOKUP(B3381, Dim_Hotel!$A$2:$A$11, Dim_Hotel!$J$2:$J$11))</f>
        <v>150</v>
      </c>
    </row>
    <row r="3382" spans="1:13" x14ac:dyDescent="0.25">
      <c r="A3382" s="1">
        <f t="shared" si="416"/>
        <v>46361</v>
      </c>
      <c r="B3382" t="str" cm="1">
        <f t="array" ref="B3382">INDEX(HotelList,MOD(ROW()-2,10)+1)</f>
        <v>H001</v>
      </c>
      <c r="C3382">
        <f>_xlfn.XLOOKUP(B3382,Dim_Hotel!$A$2:$A$11,Dim_Hotel!$F$2:$F$11)</f>
        <v>888</v>
      </c>
      <c r="D3382">
        <f t="shared" si="417"/>
        <v>488</v>
      </c>
      <c r="E3382">
        <f t="shared" si="418"/>
        <v>0.5495495495495496</v>
      </c>
      <c r="F3382">
        <f t="shared" si="419"/>
        <v>260</v>
      </c>
      <c r="G3382">
        <f t="shared" si="420"/>
        <v>142.88288288288288</v>
      </c>
      <c r="H3382" t="str">
        <f>_xlfn.XLOOKUP(A3382,Fact_Events!$D$2:$D$20,Fact_Events!$A$2:$A$20, "")</f>
        <v/>
      </c>
      <c r="I3382">
        <f t="shared" si="421"/>
        <v>0</v>
      </c>
      <c r="J3382" t="str">
        <f>_xlfn.XLOOKUP(H3382, Fact_Events!$A$2:$A$20, Fact_Events!$F$2:$F$20, "")</f>
        <v/>
      </c>
      <c r="K3382" t="str">
        <f t="shared" si="422"/>
        <v>Low</v>
      </c>
      <c r="L3382">
        <f t="shared" si="423"/>
        <v>0.55000000000000004</v>
      </c>
      <c r="M3382">
        <f>_xlfn.XLOOKUP(B3382, Dim_Hotel!$A$2:$A$11, Dim_Hotel!$I$2:$I$11)
 + (IF(J3382="",0,J3382)
    * _xlfn.XLOOKUP(B3382, Dim_Hotel!$A$2:$A$11, Dim_Hotel!$J$2:$J$11))</f>
        <v>260</v>
      </c>
    </row>
    <row r="3383" spans="1:13" x14ac:dyDescent="0.25">
      <c r="A3383" s="1">
        <f t="shared" si="416"/>
        <v>46361</v>
      </c>
      <c r="B3383" t="str" cm="1">
        <f t="array" ref="B3383">INDEX(HotelList,MOD(ROW()-2,10)+1)</f>
        <v>H002</v>
      </c>
      <c r="C3383">
        <f>_xlfn.XLOOKUP(B3383,Dim_Hotel!$A$2:$A$11,Dim_Hotel!$F$2:$F$11)</f>
        <v>147</v>
      </c>
      <c r="D3383">
        <f t="shared" si="417"/>
        <v>81</v>
      </c>
      <c r="E3383">
        <f t="shared" si="418"/>
        <v>0.55102040816326525</v>
      </c>
      <c r="F3383">
        <f t="shared" si="419"/>
        <v>175</v>
      </c>
      <c r="G3383">
        <f t="shared" si="420"/>
        <v>96.428571428571416</v>
      </c>
      <c r="H3383" t="str">
        <f>_xlfn.XLOOKUP(A3383,Fact_Events!$D$2:$D$20,Fact_Events!$A$2:$A$20, "")</f>
        <v/>
      </c>
      <c r="I3383">
        <f t="shared" si="421"/>
        <v>0</v>
      </c>
      <c r="J3383" t="str">
        <f>_xlfn.XLOOKUP(H3383, Fact_Events!$A$2:$A$20, Fact_Events!$F$2:$F$20, "")</f>
        <v/>
      </c>
      <c r="K3383" t="str">
        <f t="shared" si="422"/>
        <v>Low</v>
      </c>
      <c r="L3383">
        <f t="shared" si="423"/>
        <v>0.55000000000000004</v>
      </c>
      <c r="M3383">
        <f>_xlfn.XLOOKUP(B3383, Dim_Hotel!$A$2:$A$11, Dim_Hotel!$I$2:$I$11)
 + (IF(J3383="",0,J3383)
    * _xlfn.XLOOKUP(B3383, Dim_Hotel!$A$2:$A$11, Dim_Hotel!$J$2:$J$11))</f>
        <v>175</v>
      </c>
    </row>
    <row r="3384" spans="1:13" x14ac:dyDescent="0.25">
      <c r="A3384" s="1">
        <f t="shared" si="416"/>
        <v>46361</v>
      </c>
      <c r="B3384" t="str" cm="1">
        <f t="array" ref="B3384">INDEX(HotelList,MOD(ROW()-2,10)+1)</f>
        <v>H003</v>
      </c>
      <c r="C3384">
        <f>_xlfn.XLOOKUP(B3384,Dim_Hotel!$A$2:$A$11,Dim_Hotel!$F$2:$F$11)</f>
        <v>121</v>
      </c>
      <c r="D3384">
        <f t="shared" si="417"/>
        <v>67</v>
      </c>
      <c r="E3384">
        <f t="shared" si="418"/>
        <v>0.55371900826446285</v>
      </c>
      <c r="F3384">
        <f t="shared" si="419"/>
        <v>145</v>
      </c>
      <c r="G3384">
        <f t="shared" si="420"/>
        <v>80.289256198347118</v>
      </c>
      <c r="H3384" t="str">
        <f>_xlfn.XLOOKUP(A3384,Fact_Events!$D$2:$D$20,Fact_Events!$A$2:$A$20, "")</f>
        <v/>
      </c>
      <c r="I3384">
        <f t="shared" si="421"/>
        <v>0</v>
      </c>
      <c r="J3384" t="str">
        <f>_xlfn.XLOOKUP(H3384, Fact_Events!$A$2:$A$20, Fact_Events!$F$2:$F$20, "")</f>
        <v/>
      </c>
      <c r="K3384" t="str">
        <f t="shared" si="422"/>
        <v>Low</v>
      </c>
      <c r="L3384">
        <f t="shared" si="423"/>
        <v>0.55000000000000004</v>
      </c>
      <c r="M3384">
        <f>_xlfn.XLOOKUP(B3384, Dim_Hotel!$A$2:$A$11, Dim_Hotel!$I$2:$I$11)
 + (IF(J3384="",0,J3384)
    * _xlfn.XLOOKUP(B3384, Dim_Hotel!$A$2:$A$11, Dim_Hotel!$J$2:$J$11))</f>
        <v>145</v>
      </c>
    </row>
    <row r="3385" spans="1:13" x14ac:dyDescent="0.25">
      <c r="A3385" s="1">
        <f t="shared" si="416"/>
        <v>46361</v>
      </c>
      <c r="B3385" t="str" cm="1">
        <f t="array" ref="B3385">INDEX(HotelList,MOD(ROW()-2,10)+1)</f>
        <v>H004</v>
      </c>
      <c r="C3385">
        <f>_xlfn.XLOOKUP(B3385,Dim_Hotel!$A$2:$A$11,Dim_Hotel!$F$2:$F$11)</f>
        <v>108</v>
      </c>
      <c r="D3385">
        <f t="shared" si="417"/>
        <v>59</v>
      </c>
      <c r="E3385">
        <f t="shared" si="418"/>
        <v>0.54629629629629628</v>
      </c>
      <c r="F3385">
        <f t="shared" si="419"/>
        <v>135</v>
      </c>
      <c r="G3385">
        <f t="shared" si="420"/>
        <v>73.75</v>
      </c>
      <c r="H3385" t="str">
        <f>_xlfn.XLOOKUP(A3385,Fact_Events!$D$2:$D$20,Fact_Events!$A$2:$A$20, "")</f>
        <v/>
      </c>
      <c r="I3385">
        <f t="shared" si="421"/>
        <v>0</v>
      </c>
      <c r="J3385" t="str">
        <f>_xlfn.XLOOKUP(H3385, Fact_Events!$A$2:$A$20, Fact_Events!$F$2:$F$20, "")</f>
        <v/>
      </c>
      <c r="K3385" t="str">
        <f t="shared" si="422"/>
        <v>Low</v>
      </c>
      <c r="L3385">
        <f t="shared" si="423"/>
        <v>0.55000000000000004</v>
      </c>
      <c r="M3385">
        <f>_xlfn.XLOOKUP(B3385, Dim_Hotel!$A$2:$A$11, Dim_Hotel!$I$2:$I$11)
 + (IF(J3385="",0,J3385)
    * _xlfn.XLOOKUP(B3385, Dim_Hotel!$A$2:$A$11, Dim_Hotel!$J$2:$J$11))</f>
        <v>135</v>
      </c>
    </row>
    <row r="3386" spans="1:13" x14ac:dyDescent="0.25">
      <c r="A3386" s="1">
        <f t="shared" si="416"/>
        <v>46361</v>
      </c>
      <c r="B3386" t="str" cm="1">
        <f t="array" ref="B3386">INDEX(HotelList,MOD(ROW()-2,10)+1)</f>
        <v>H005</v>
      </c>
      <c r="C3386">
        <f>_xlfn.XLOOKUP(B3386,Dim_Hotel!$A$2:$A$11,Dim_Hotel!$F$2:$F$11)</f>
        <v>66</v>
      </c>
      <c r="D3386">
        <f t="shared" si="417"/>
        <v>36</v>
      </c>
      <c r="E3386">
        <f t="shared" si="418"/>
        <v>0.54545454545454541</v>
      </c>
      <c r="F3386">
        <f t="shared" si="419"/>
        <v>82</v>
      </c>
      <c r="G3386">
        <f t="shared" si="420"/>
        <v>44.727272727272727</v>
      </c>
      <c r="H3386" t="str">
        <f>_xlfn.XLOOKUP(A3386,Fact_Events!$D$2:$D$20,Fact_Events!$A$2:$A$20, "")</f>
        <v/>
      </c>
      <c r="I3386">
        <f t="shared" si="421"/>
        <v>0</v>
      </c>
      <c r="J3386" t="str">
        <f>_xlfn.XLOOKUP(H3386, Fact_Events!$A$2:$A$20, Fact_Events!$F$2:$F$20, "")</f>
        <v/>
      </c>
      <c r="K3386" t="str">
        <f t="shared" si="422"/>
        <v>Low</v>
      </c>
      <c r="L3386">
        <f t="shared" si="423"/>
        <v>0.55000000000000004</v>
      </c>
      <c r="M3386">
        <f>_xlfn.XLOOKUP(B3386, Dim_Hotel!$A$2:$A$11, Dim_Hotel!$I$2:$I$11)
 + (IF(J3386="",0,J3386)
    * _xlfn.XLOOKUP(B3386, Dim_Hotel!$A$2:$A$11, Dim_Hotel!$J$2:$J$11))</f>
        <v>82</v>
      </c>
    </row>
    <row r="3387" spans="1:13" x14ac:dyDescent="0.25">
      <c r="A3387" s="1">
        <f t="shared" si="416"/>
        <v>46361</v>
      </c>
      <c r="B3387" t="str" cm="1">
        <f t="array" ref="B3387">INDEX(HotelList,MOD(ROW()-2,10)+1)</f>
        <v>H006</v>
      </c>
      <c r="C3387">
        <f>_xlfn.XLOOKUP(B3387,Dim_Hotel!$A$2:$A$11,Dim_Hotel!$F$2:$F$11)</f>
        <v>311</v>
      </c>
      <c r="D3387">
        <f t="shared" si="417"/>
        <v>171</v>
      </c>
      <c r="E3387">
        <f t="shared" si="418"/>
        <v>0.54983922829581988</v>
      </c>
      <c r="F3387">
        <f t="shared" si="419"/>
        <v>190</v>
      </c>
      <c r="G3387">
        <f t="shared" si="420"/>
        <v>104.46945337620578</v>
      </c>
      <c r="H3387" t="str">
        <f>_xlfn.XLOOKUP(A3387,Fact_Events!$D$2:$D$20,Fact_Events!$A$2:$A$20, "")</f>
        <v/>
      </c>
      <c r="I3387">
        <f t="shared" si="421"/>
        <v>0</v>
      </c>
      <c r="J3387" t="str">
        <f>_xlfn.XLOOKUP(H3387, Fact_Events!$A$2:$A$20, Fact_Events!$F$2:$F$20, "")</f>
        <v/>
      </c>
      <c r="K3387" t="str">
        <f t="shared" si="422"/>
        <v>Low</v>
      </c>
      <c r="L3387">
        <f t="shared" si="423"/>
        <v>0.55000000000000004</v>
      </c>
      <c r="M3387">
        <f>_xlfn.XLOOKUP(B3387, Dim_Hotel!$A$2:$A$11, Dim_Hotel!$I$2:$I$11)
 + (IF(J3387="",0,J3387)
    * _xlfn.XLOOKUP(B3387, Dim_Hotel!$A$2:$A$11, Dim_Hotel!$J$2:$J$11))</f>
        <v>190</v>
      </c>
    </row>
    <row r="3388" spans="1:13" x14ac:dyDescent="0.25">
      <c r="A3388" s="1">
        <f t="shared" si="416"/>
        <v>46361</v>
      </c>
      <c r="B3388" t="str" cm="1">
        <f t="array" ref="B3388">INDEX(HotelList,MOD(ROW()-2,10)+1)</f>
        <v>H007</v>
      </c>
      <c r="C3388">
        <f>_xlfn.XLOOKUP(B3388,Dim_Hotel!$A$2:$A$11,Dim_Hotel!$F$2:$F$11)</f>
        <v>132</v>
      </c>
      <c r="D3388">
        <f t="shared" si="417"/>
        <v>73</v>
      </c>
      <c r="E3388">
        <f t="shared" si="418"/>
        <v>0.55303030303030298</v>
      </c>
      <c r="F3388">
        <f t="shared" si="419"/>
        <v>165</v>
      </c>
      <c r="G3388">
        <f t="shared" si="420"/>
        <v>91.249999999999986</v>
      </c>
      <c r="H3388" t="str">
        <f>_xlfn.XLOOKUP(A3388,Fact_Events!$D$2:$D$20,Fact_Events!$A$2:$A$20, "")</f>
        <v/>
      </c>
      <c r="I3388">
        <f t="shared" si="421"/>
        <v>0</v>
      </c>
      <c r="J3388" t="str">
        <f>_xlfn.XLOOKUP(H3388, Fact_Events!$A$2:$A$20, Fact_Events!$F$2:$F$20, "")</f>
        <v/>
      </c>
      <c r="K3388" t="str">
        <f t="shared" si="422"/>
        <v>Low</v>
      </c>
      <c r="L3388">
        <f t="shared" si="423"/>
        <v>0.55000000000000004</v>
      </c>
      <c r="M3388">
        <f>_xlfn.XLOOKUP(B3388, Dim_Hotel!$A$2:$A$11, Dim_Hotel!$I$2:$I$11)
 + (IF(J3388="",0,J3388)
    * _xlfn.XLOOKUP(B3388, Dim_Hotel!$A$2:$A$11, Dim_Hotel!$J$2:$J$11))</f>
        <v>165</v>
      </c>
    </row>
    <row r="3389" spans="1:13" x14ac:dyDescent="0.25">
      <c r="A3389" s="1">
        <f t="shared" si="416"/>
        <v>46361</v>
      </c>
      <c r="B3389" t="str" cm="1">
        <f t="array" ref="B3389">INDEX(HotelList,MOD(ROW()-2,10)+1)</f>
        <v>H008</v>
      </c>
      <c r="C3389">
        <f>_xlfn.XLOOKUP(B3389,Dim_Hotel!$A$2:$A$11,Dim_Hotel!$F$2:$F$11)</f>
        <v>103</v>
      </c>
      <c r="D3389">
        <f t="shared" si="417"/>
        <v>57</v>
      </c>
      <c r="E3389">
        <f t="shared" si="418"/>
        <v>0.55339805825242716</v>
      </c>
      <c r="F3389">
        <f t="shared" si="419"/>
        <v>140</v>
      </c>
      <c r="G3389">
        <f t="shared" si="420"/>
        <v>77.475728155339809</v>
      </c>
      <c r="H3389" t="str">
        <f>_xlfn.XLOOKUP(A3389,Fact_Events!$D$2:$D$20,Fact_Events!$A$2:$A$20, "")</f>
        <v/>
      </c>
      <c r="I3389">
        <f t="shared" si="421"/>
        <v>0</v>
      </c>
      <c r="J3389" t="str">
        <f>_xlfn.XLOOKUP(H3389, Fact_Events!$A$2:$A$20, Fact_Events!$F$2:$F$20, "")</f>
        <v/>
      </c>
      <c r="K3389" t="str">
        <f t="shared" si="422"/>
        <v>Low</v>
      </c>
      <c r="L3389">
        <f t="shared" si="423"/>
        <v>0.55000000000000004</v>
      </c>
      <c r="M3389">
        <f>_xlfn.XLOOKUP(B3389, Dim_Hotel!$A$2:$A$11, Dim_Hotel!$I$2:$I$11)
 + (IF(J3389="",0,J3389)
    * _xlfn.XLOOKUP(B3389, Dim_Hotel!$A$2:$A$11, Dim_Hotel!$J$2:$J$11))</f>
        <v>140</v>
      </c>
    </row>
    <row r="3390" spans="1:13" x14ac:dyDescent="0.25">
      <c r="A3390" s="1">
        <f t="shared" si="416"/>
        <v>46361</v>
      </c>
      <c r="B3390" t="str" cm="1">
        <f t="array" ref="B3390">INDEX(HotelList,MOD(ROW()-2,10)+1)</f>
        <v>H009</v>
      </c>
      <c r="C3390">
        <f>_xlfn.XLOOKUP(B3390,Dim_Hotel!$A$2:$A$11,Dim_Hotel!$F$2:$F$11)</f>
        <v>114</v>
      </c>
      <c r="D3390">
        <f t="shared" si="417"/>
        <v>63</v>
      </c>
      <c r="E3390">
        <f t="shared" si="418"/>
        <v>0.55263157894736847</v>
      </c>
      <c r="F3390">
        <f t="shared" si="419"/>
        <v>185</v>
      </c>
      <c r="G3390">
        <f t="shared" si="420"/>
        <v>102.23684210526316</v>
      </c>
      <c r="H3390" t="str">
        <f>_xlfn.XLOOKUP(A3390,Fact_Events!$D$2:$D$20,Fact_Events!$A$2:$A$20, "")</f>
        <v/>
      </c>
      <c r="I3390">
        <f t="shared" si="421"/>
        <v>0</v>
      </c>
      <c r="J3390" t="str">
        <f>_xlfn.XLOOKUP(H3390, Fact_Events!$A$2:$A$20, Fact_Events!$F$2:$F$20, "")</f>
        <v/>
      </c>
      <c r="K3390" t="str">
        <f t="shared" si="422"/>
        <v>Low</v>
      </c>
      <c r="L3390">
        <f t="shared" si="423"/>
        <v>0.55000000000000004</v>
      </c>
      <c r="M3390">
        <f>_xlfn.XLOOKUP(B3390, Dim_Hotel!$A$2:$A$11, Dim_Hotel!$I$2:$I$11)
 + (IF(J3390="",0,J3390)
    * _xlfn.XLOOKUP(B3390, Dim_Hotel!$A$2:$A$11, Dim_Hotel!$J$2:$J$11))</f>
        <v>185</v>
      </c>
    </row>
    <row r="3391" spans="1:13" x14ac:dyDescent="0.25">
      <c r="A3391" s="1">
        <f t="shared" si="416"/>
        <v>46361</v>
      </c>
      <c r="B3391" t="str" cm="1">
        <f t="array" ref="B3391">INDEX(HotelList,MOD(ROW()-2,10)+1)</f>
        <v>H010</v>
      </c>
      <c r="C3391">
        <f>_xlfn.XLOOKUP(B3391,Dim_Hotel!$A$2:$A$11,Dim_Hotel!$F$2:$F$11)</f>
        <v>89</v>
      </c>
      <c r="D3391">
        <f t="shared" si="417"/>
        <v>49</v>
      </c>
      <c r="E3391">
        <f t="shared" si="418"/>
        <v>0.550561797752809</v>
      </c>
      <c r="F3391">
        <f t="shared" si="419"/>
        <v>150</v>
      </c>
      <c r="G3391">
        <f t="shared" si="420"/>
        <v>82.584269662921344</v>
      </c>
      <c r="H3391" t="str">
        <f>_xlfn.XLOOKUP(A3391,Fact_Events!$D$2:$D$20,Fact_Events!$A$2:$A$20, "")</f>
        <v/>
      </c>
      <c r="I3391">
        <f t="shared" si="421"/>
        <v>0</v>
      </c>
      <c r="J3391" t="str">
        <f>_xlfn.XLOOKUP(H3391, Fact_Events!$A$2:$A$20, Fact_Events!$F$2:$F$20, "")</f>
        <v/>
      </c>
      <c r="K3391" t="str">
        <f t="shared" si="422"/>
        <v>Low</v>
      </c>
      <c r="L3391">
        <f t="shared" si="423"/>
        <v>0.55000000000000004</v>
      </c>
      <c r="M3391">
        <f>_xlfn.XLOOKUP(B3391, Dim_Hotel!$A$2:$A$11, Dim_Hotel!$I$2:$I$11)
 + (IF(J3391="",0,J3391)
    * _xlfn.XLOOKUP(B3391, Dim_Hotel!$A$2:$A$11, Dim_Hotel!$J$2:$J$11))</f>
        <v>150</v>
      </c>
    </row>
    <row r="3392" spans="1:13" x14ac:dyDescent="0.25">
      <c r="A3392" s="1">
        <f t="shared" si="416"/>
        <v>46362</v>
      </c>
      <c r="B3392" t="str" cm="1">
        <f t="array" ref="B3392">INDEX(HotelList,MOD(ROW()-2,10)+1)</f>
        <v>H001</v>
      </c>
      <c r="C3392">
        <f>_xlfn.XLOOKUP(B3392,Dim_Hotel!$A$2:$A$11,Dim_Hotel!$F$2:$F$11)</f>
        <v>888</v>
      </c>
      <c r="D3392">
        <f t="shared" si="417"/>
        <v>488</v>
      </c>
      <c r="E3392">
        <f t="shared" si="418"/>
        <v>0.5495495495495496</v>
      </c>
      <c r="F3392">
        <f t="shared" si="419"/>
        <v>260</v>
      </c>
      <c r="G3392">
        <f t="shared" si="420"/>
        <v>142.88288288288288</v>
      </c>
      <c r="H3392" t="str">
        <f>_xlfn.XLOOKUP(A3392,Fact_Events!$D$2:$D$20,Fact_Events!$A$2:$A$20, "")</f>
        <v/>
      </c>
      <c r="I3392">
        <f t="shared" si="421"/>
        <v>0</v>
      </c>
      <c r="J3392" t="str">
        <f>_xlfn.XLOOKUP(H3392, Fact_Events!$A$2:$A$20, Fact_Events!$F$2:$F$20, "")</f>
        <v/>
      </c>
      <c r="K3392" t="str">
        <f t="shared" si="422"/>
        <v>Low</v>
      </c>
      <c r="L3392">
        <f t="shared" si="423"/>
        <v>0.55000000000000004</v>
      </c>
      <c r="M3392">
        <f>_xlfn.XLOOKUP(B3392, Dim_Hotel!$A$2:$A$11, Dim_Hotel!$I$2:$I$11)
 + (IF(J3392="",0,J3392)
    * _xlfn.XLOOKUP(B3392, Dim_Hotel!$A$2:$A$11, Dim_Hotel!$J$2:$J$11))</f>
        <v>260</v>
      </c>
    </row>
    <row r="3393" spans="1:13" x14ac:dyDescent="0.25">
      <c r="A3393" s="1">
        <f t="shared" si="416"/>
        <v>46362</v>
      </c>
      <c r="B3393" t="str" cm="1">
        <f t="array" ref="B3393">INDEX(HotelList,MOD(ROW()-2,10)+1)</f>
        <v>H002</v>
      </c>
      <c r="C3393">
        <f>_xlfn.XLOOKUP(B3393,Dim_Hotel!$A$2:$A$11,Dim_Hotel!$F$2:$F$11)</f>
        <v>147</v>
      </c>
      <c r="D3393">
        <f t="shared" si="417"/>
        <v>81</v>
      </c>
      <c r="E3393">
        <f t="shared" si="418"/>
        <v>0.55102040816326525</v>
      </c>
      <c r="F3393">
        <f t="shared" si="419"/>
        <v>175</v>
      </c>
      <c r="G3393">
        <f t="shared" si="420"/>
        <v>96.428571428571416</v>
      </c>
      <c r="H3393" t="str">
        <f>_xlfn.XLOOKUP(A3393,Fact_Events!$D$2:$D$20,Fact_Events!$A$2:$A$20, "")</f>
        <v/>
      </c>
      <c r="I3393">
        <f t="shared" si="421"/>
        <v>0</v>
      </c>
      <c r="J3393" t="str">
        <f>_xlfn.XLOOKUP(H3393, Fact_Events!$A$2:$A$20, Fact_Events!$F$2:$F$20, "")</f>
        <v/>
      </c>
      <c r="K3393" t="str">
        <f t="shared" si="422"/>
        <v>Low</v>
      </c>
      <c r="L3393">
        <f t="shared" si="423"/>
        <v>0.55000000000000004</v>
      </c>
      <c r="M3393">
        <f>_xlfn.XLOOKUP(B3393, Dim_Hotel!$A$2:$A$11, Dim_Hotel!$I$2:$I$11)
 + (IF(J3393="",0,J3393)
    * _xlfn.XLOOKUP(B3393, Dim_Hotel!$A$2:$A$11, Dim_Hotel!$J$2:$J$11))</f>
        <v>175</v>
      </c>
    </row>
    <row r="3394" spans="1:13" x14ac:dyDescent="0.25">
      <c r="A3394" s="1">
        <f t="shared" si="416"/>
        <v>46362</v>
      </c>
      <c r="B3394" t="str" cm="1">
        <f t="array" ref="B3394">INDEX(HotelList,MOD(ROW()-2,10)+1)</f>
        <v>H003</v>
      </c>
      <c r="C3394">
        <f>_xlfn.XLOOKUP(B3394,Dim_Hotel!$A$2:$A$11,Dim_Hotel!$F$2:$F$11)</f>
        <v>121</v>
      </c>
      <c r="D3394">
        <f t="shared" si="417"/>
        <v>67</v>
      </c>
      <c r="E3394">
        <f t="shared" si="418"/>
        <v>0.55371900826446285</v>
      </c>
      <c r="F3394">
        <f t="shared" si="419"/>
        <v>145</v>
      </c>
      <c r="G3394">
        <f t="shared" si="420"/>
        <v>80.289256198347118</v>
      </c>
      <c r="H3394" t="str">
        <f>_xlfn.XLOOKUP(A3394,Fact_Events!$D$2:$D$20,Fact_Events!$A$2:$A$20, "")</f>
        <v/>
      </c>
      <c r="I3394">
        <f t="shared" si="421"/>
        <v>0</v>
      </c>
      <c r="J3394" t="str">
        <f>_xlfn.XLOOKUP(H3394, Fact_Events!$A$2:$A$20, Fact_Events!$F$2:$F$20, "")</f>
        <v/>
      </c>
      <c r="K3394" t="str">
        <f t="shared" si="422"/>
        <v>Low</v>
      </c>
      <c r="L3394">
        <f t="shared" si="423"/>
        <v>0.55000000000000004</v>
      </c>
      <c r="M3394">
        <f>_xlfn.XLOOKUP(B3394, Dim_Hotel!$A$2:$A$11, Dim_Hotel!$I$2:$I$11)
 + (IF(J3394="",0,J3394)
    * _xlfn.XLOOKUP(B3394, Dim_Hotel!$A$2:$A$11, Dim_Hotel!$J$2:$J$11))</f>
        <v>145</v>
      </c>
    </row>
    <row r="3395" spans="1:13" x14ac:dyDescent="0.25">
      <c r="A3395" s="1">
        <f t="shared" ref="A3395:A3458" si="424">DATE(2026,1,1) + INT((ROW()-2)/10)</f>
        <v>46362</v>
      </c>
      <c r="B3395" t="str" cm="1">
        <f t="array" ref="B3395">INDEX(HotelList,MOD(ROW()-2,10)+1)</f>
        <v>H004</v>
      </c>
      <c r="C3395">
        <f>_xlfn.XLOOKUP(B3395,Dim_Hotel!$A$2:$A$11,Dim_Hotel!$F$2:$F$11)</f>
        <v>108</v>
      </c>
      <c r="D3395">
        <f t="shared" ref="D3395:D3458" si="425">ROUND(L3395 * C3395, 0)</f>
        <v>59</v>
      </c>
      <c r="E3395">
        <f t="shared" ref="E3395:E3458" si="426">D3395/C3395</f>
        <v>0.54629629629629628</v>
      </c>
      <c r="F3395">
        <f t="shared" ref="F3395:F3458" si="427">M3395</f>
        <v>135</v>
      </c>
      <c r="G3395">
        <f t="shared" ref="G3395:G3458" si="428">E3395*F3395</f>
        <v>73.75</v>
      </c>
      <c r="H3395" t="str">
        <f>_xlfn.XLOOKUP(A3395,Fact_Events!$D$2:$D$20,Fact_Events!$A$2:$A$20, "")</f>
        <v/>
      </c>
      <c r="I3395">
        <f t="shared" ref="I3395:I3458" si="429">IF(H3395="",0,1)</f>
        <v>0</v>
      </c>
      <c r="J3395" t="str">
        <f>_xlfn.XLOOKUP(H3395, Fact_Events!$A$2:$A$20, Fact_Events!$F$2:$F$20, "")</f>
        <v/>
      </c>
      <c r="K3395" t="str">
        <f t="shared" ref="K3395:K3458" si="430">IF(I3395=0,"Low",
   IF(J3395&gt;=9,"High","Medium"))</f>
        <v>Low</v>
      </c>
      <c r="L3395">
        <f t="shared" ref="L3395:L3458" si="431">MIN(1,
  0.55
  + (I3395 * 0.25)
  + (IF(J3395="",0,J3395) / 100)
)</f>
        <v>0.55000000000000004</v>
      </c>
      <c r="M3395">
        <f>_xlfn.XLOOKUP(B3395, Dim_Hotel!$A$2:$A$11, Dim_Hotel!$I$2:$I$11)
 + (IF(J3395="",0,J3395)
    * _xlfn.XLOOKUP(B3395, Dim_Hotel!$A$2:$A$11, Dim_Hotel!$J$2:$J$11))</f>
        <v>135</v>
      </c>
    </row>
    <row r="3396" spans="1:13" x14ac:dyDescent="0.25">
      <c r="A3396" s="1">
        <f t="shared" si="424"/>
        <v>46362</v>
      </c>
      <c r="B3396" t="str" cm="1">
        <f t="array" ref="B3396">INDEX(HotelList,MOD(ROW()-2,10)+1)</f>
        <v>H005</v>
      </c>
      <c r="C3396">
        <f>_xlfn.XLOOKUP(B3396,Dim_Hotel!$A$2:$A$11,Dim_Hotel!$F$2:$F$11)</f>
        <v>66</v>
      </c>
      <c r="D3396">
        <f t="shared" si="425"/>
        <v>36</v>
      </c>
      <c r="E3396">
        <f t="shared" si="426"/>
        <v>0.54545454545454541</v>
      </c>
      <c r="F3396">
        <f t="shared" si="427"/>
        <v>82</v>
      </c>
      <c r="G3396">
        <f t="shared" si="428"/>
        <v>44.727272727272727</v>
      </c>
      <c r="H3396" t="str">
        <f>_xlfn.XLOOKUP(A3396,Fact_Events!$D$2:$D$20,Fact_Events!$A$2:$A$20, "")</f>
        <v/>
      </c>
      <c r="I3396">
        <f t="shared" si="429"/>
        <v>0</v>
      </c>
      <c r="J3396" t="str">
        <f>_xlfn.XLOOKUP(H3396, Fact_Events!$A$2:$A$20, Fact_Events!$F$2:$F$20, "")</f>
        <v/>
      </c>
      <c r="K3396" t="str">
        <f t="shared" si="430"/>
        <v>Low</v>
      </c>
      <c r="L3396">
        <f t="shared" si="431"/>
        <v>0.55000000000000004</v>
      </c>
      <c r="M3396">
        <f>_xlfn.XLOOKUP(B3396, Dim_Hotel!$A$2:$A$11, Dim_Hotel!$I$2:$I$11)
 + (IF(J3396="",0,J3396)
    * _xlfn.XLOOKUP(B3396, Dim_Hotel!$A$2:$A$11, Dim_Hotel!$J$2:$J$11))</f>
        <v>82</v>
      </c>
    </row>
    <row r="3397" spans="1:13" x14ac:dyDescent="0.25">
      <c r="A3397" s="1">
        <f t="shared" si="424"/>
        <v>46362</v>
      </c>
      <c r="B3397" t="str" cm="1">
        <f t="array" ref="B3397">INDEX(HotelList,MOD(ROW()-2,10)+1)</f>
        <v>H006</v>
      </c>
      <c r="C3397">
        <f>_xlfn.XLOOKUP(B3397,Dim_Hotel!$A$2:$A$11,Dim_Hotel!$F$2:$F$11)</f>
        <v>311</v>
      </c>
      <c r="D3397">
        <f t="shared" si="425"/>
        <v>171</v>
      </c>
      <c r="E3397">
        <f t="shared" si="426"/>
        <v>0.54983922829581988</v>
      </c>
      <c r="F3397">
        <f t="shared" si="427"/>
        <v>190</v>
      </c>
      <c r="G3397">
        <f t="shared" si="428"/>
        <v>104.46945337620578</v>
      </c>
      <c r="H3397" t="str">
        <f>_xlfn.XLOOKUP(A3397,Fact_Events!$D$2:$D$20,Fact_Events!$A$2:$A$20, "")</f>
        <v/>
      </c>
      <c r="I3397">
        <f t="shared" si="429"/>
        <v>0</v>
      </c>
      <c r="J3397" t="str">
        <f>_xlfn.XLOOKUP(H3397, Fact_Events!$A$2:$A$20, Fact_Events!$F$2:$F$20, "")</f>
        <v/>
      </c>
      <c r="K3397" t="str">
        <f t="shared" si="430"/>
        <v>Low</v>
      </c>
      <c r="L3397">
        <f t="shared" si="431"/>
        <v>0.55000000000000004</v>
      </c>
      <c r="M3397">
        <f>_xlfn.XLOOKUP(B3397, Dim_Hotel!$A$2:$A$11, Dim_Hotel!$I$2:$I$11)
 + (IF(J3397="",0,J3397)
    * _xlfn.XLOOKUP(B3397, Dim_Hotel!$A$2:$A$11, Dim_Hotel!$J$2:$J$11))</f>
        <v>190</v>
      </c>
    </row>
    <row r="3398" spans="1:13" x14ac:dyDescent="0.25">
      <c r="A3398" s="1">
        <f t="shared" si="424"/>
        <v>46362</v>
      </c>
      <c r="B3398" t="str" cm="1">
        <f t="array" ref="B3398">INDEX(HotelList,MOD(ROW()-2,10)+1)</f>
        <v>H007</v>
      </c>
      <c r="C3398">
        <f>_xlfn.XLOOKUP(B3398,Dim_Hotel!$A$2:$A$11,Dim_Hotel!$F$2:$F$11)</f>
        <v>132</v>
      </c>
      <c r="D3398">
        <f t="shared" si="425"/>
        <v>73</v>
      </c>
      <c r="E3398">
        <f t="shared" si="426"/>
        <v>0.55303030303030298</v>
      </c>
      <c r="F3398">
        <f t="shared" si="427"/>
        <v>165</v>
      </c>
      <c r="G3398">
        <f t="shared" si="428"/>
        <v>91.249999999999986</v>
      </c>
      <c r="H3398" t="str">
        <f>_xlfn.XLOOKUP(A3398,Fact_Events!$D$2:$D$20,Fact_Events!$A$2:$A$20, "")</f>
        <v/>
      </c>
      <c r="I3398">
        <f t="shared" si="429"/>
        <v>0</v>
      </c>
      <c r="J3398" t="str">
        <f>_xlfn.XLOOKUP(H3398, Fact_Events!$A$2:$A$20, Fact_Events!$F$2:$F$20, "")</f>
        <v/>
      </c>
      <c r="K3398" t="str">
        <f t="shared" si="430"/>
        <v>Low</v>
      </c>
      <c r="L3398">
        <f t="shared" si="431"/>
        <v>0.55000000000000004</v>
      </c>
      <c r="M3398">
        <f>_xlfn.XLOOKUP(B3398, Dim_Hotel!$A$2:$A$11, Dim_Hotel!$I$2:$I$11)
 + (IF(J3398="",0,J3398)
    * _xlfn.XLOOKUP(B3398, Dim_Hotel!$A$2:$A$11, Dim_Hotel!$J$2:$J$11))</f>
        <v>165</v>
      </c>
    </row>
    <row r="3399" spans="1:13" x14ac:dyDescent="0.25">
      <c r="A3399" s="1">
        <f t="shared" si="424"/>
        <v>46362</v>
      </c>
      <c r="B3399" t="str" cm="1">
        <f t="array" ref="B3399">INDEX(HotelList,MOD(ROW()-2,10)+1)</f>
        <v>H008</v>
      </c>
      <c r="C3399">
        <f>_xlfn.XLOOKUP(B3399,Dim_Hotel!$A$2:$A$11,Dim_Hotel!$F$2:$F$11)</f>
        <v>103</v>
      </c>
      <c r="D3399">
        <f t="shared" si="425"/>
        <v>57</v>
      </c>
      <c r="E3399">
        <f t="shared" si="426"/>
        <v>0.55339805825242716</v>
      </c>
      <c r="F3399">
        <f t="shared" si="427"/>
        <v>140</v>
      </c>
      <c r="G3399">
        <f t="shared" si="428"/>
        <v>77.475728155339809</v>
      </c>
      <c r="H3399" t="str">
        <f>_xlfn.XLOOKUP(A3399,Fact_Events!$D$2:$D$20,Fact_Events!$A$2:$A$20, "")</f>
        <v/>
      </c>
      <c r="I3399">
        <f t="shared" si="429"/>
        <v>0</v>
      </c>
      <c r="J3399" t="str">
        <f>_xlfn.XLOOKUP(H3399, Fact_Events!$A$2:$A$20, Fact_Events!$F$2:$F$20, "")</f>
        <v/>
      </c>
      <c r="K3399" t="str">
        <f t="shared" si="430"/>
        <v>Low</v>
      </c>
      <c r="L3399">
        <f t="shared" si="431"/>
        <v>0.55000000000000004</v>
      </c>
      <c r="M3399">
        <f>_xlfn.XLOOKUP(B3399, Dim_Hotel!$A$2:$A$11, Dim_Hotel!$I$2:$I$11)
 + (IF(J3399="",0,J3399)
    * _xlfn.XLOOKUP(B3399, Dim_Hotel!$A$2:$A$11, Dim_Hotel!$J$2:$J$11))</f>
        <v>140</v>
      </c>
    </row>
    <row r="3400" spans="1:13" x14ac:dyDescent="0.25">
      <c r="A3400" s="1">
        <f t="shared" si="424"/>
        <v>46362</v>
      </c>
      <c r="B3400" t="str" cm="1">
        <f t="array" ref="B3400">INDEX(HotelList,MOD(ROW()-2,10)+1)</f>
        <v>H009</v>
      </c>
      <c r="C3400">
        <f>_xlfn.XLOOKUP(B3400,Dim_Hotel!$A$2:$A$11,Dim_Hotel!$F$2:$F$11)</f>
        <v>114</v>
      </c>
      <c r="D3400">
        <f t="shared" si="425"/>
        <v>63</v>
      </c>
      <c r="E3400">
        <f t="shared" si="426"/>
        <v>0.55263157894736847</v>
      </c>
      <c r="F3400">
        <f t="shared" si="427"/>
        <v>185</v>
      </c>
      <c r="G3400">
        <f t="shared" si="428"/>
        <v>102.23684210526316</v>
      </c>
      <c r="H3400" t="str">
        <f>_xlfn.XLOOKUP(A3400,Fact_Events!$D$2:$D$20,Fact_Events!$A$2:$A$20, "")</f>
        <v/>
      </c>
      <c r="I3400">
        <f t="shared" si="429"/>
        <v>0</v>
      </c>
      <c r="J3400" t="str">
        <f>_xlfn.XLOOKUP(H3400, Fact_Events!$A$2:$A$20, Fact_Events!$F$2:$F$20, "")</f>
        <v/>
      </c>
      <c r="K3400" t="str">
        <f t="shared" si="430"/>
        <v>Low</v>
      </c>
      <c r="L3400">
        <f t="shared" si="431"/>
        <v>0.55000000000000004</v>
      </c>
      <c r="M3400">
        <f>_xlfn.XLOOKUP(B3400, Dim_Hotel!$A$2:$A$11, Dim_Hotel!$I$2:$I$11)
 + (IF(J3400="",0,J3400)
    * _xlfn.XLOOKUP(B3400, Dim_Hotel!$A$2:$A$11, Dim_Hotel!$J$2:$J$11))</f>
        <v>185</v>
      </c>
    </row>
    <row r="3401" spans="1:13" x14ac:dyDescent="0.25">
      <c r="A3401" s="1">
        <f t="shared" si="424"/>
        <v>46362</v>
      </c>
      <c r="B3401" t="str" cm="1">
        <f t="array" ref="B3401">INDEX(HotelList,MOD(ROW()-2,10)+1)</f>
        <v>H010</v>
      </c>
      <c r="C3401">
        <f>_xlfn.XLOOKUP(B3401,Dim_Hotel!$A$2:$A$11,Dim_Hotel!$F$2:$F$11)</f>
        <v>89</v>
      </c>
      <c r="D3401">
        <f t="shared" si="425"/>
        <v>49</v>
      </c>
      <c r="E3401">
        <f t="shared" si="426"/>
        <v>0.550561797752809</v>
      </c>
      <c r="F3401">
        <f t="shared" si="427"/>
        <v>150</v>
      </c>
      <c r="G3401">
        <f t="shared" si="428"/>
        <v>82.584269662921344</v>
      </c>
      <c r="H3401" t="str">
        <f>_xlfn.XLOOKUP(A3401,Fact_Events!$D$2:$D$20,Fact_Events!$A$2:$A$20, "")</f>
        <v/>
      </c>
      <c r="I3401">
        <f t="shared" si="429"/>
        <v>0</v>
      </c>
      <c r="J3401" t="str">
        <f>_xlfn.XLOOKUP(H3401, Fact_Events!$A$2:$A$20, Fact_Events!$F$2:$F$20, "")</f>
        <v/>
      </c>
      <c r="K3401" t="str">
        <f t="shared" si="430"/>
        <v>Low</v>
      </c>
      <c r="L3401">
        <f t="shared" si="431"/>
        <v>0.55000000000000004</v>
      </c>
      <c r="M3401">
        <f>_xlfn.XLOOKUP(B3401, Dim_Hotel!$A$2:$A$11, Dim_Hotel!$I$2:$I$11)
 + (IF(J3401="",0,J3401)
    * _xlfn.XLOOKUP(B3401, Dim_Hotel!$A$2:$A$11, Dim_Hotel!$J$2:$J$11))</f>
        <v>150</v>
      </c>
    </row>
    <row r="3402" spans="1:13" x14ac:dyDescent="0.25">
      <c r="A3402" s="1">
        <f t="shared" si="424"/>
        <v>46363</v>
      </c>
      <c r="B3402" t="str" cm="1">
        <f t="array" ref="B3402">INDEX(HotelList,MOD(ROW()-2,10)+1)</f>
        <v>H001</v>
      </c>
      <c r="C3402">
        <f>_xlfn.XLOOKUP(B3402,Dim_Hotel!$A$2:$A$11,Dim_Hotel!$F$2:$F$11)</f>
        <v>888</v>
      </c>
      <c r="D3402">
        <f t="shared" si="425"/>
        <v>488</v>
      </c>
      <c r="E3402">
        <f t="shared" si="426"/>
        <v>0.5495495495495496</v>
      </c>
      <c r="F3402">
        <f t="shared" si="427"/>
        <v>260</v>
      </c>
      <c r="G3402">
        <f t="shared" si="428"/>
        <v>142.88288288288288</v>
      </c>
      <c r="H3402" t="str">
        <f>_xlfn.XLOOKUP(A3402,Fact_Events!$D$2:$D$20,Fact_Events!$A$2:$A$20, "")</f>
        <v/>
      </c>
      <c r="I3402">
        <f t="shared" si="429"/>
        <v>0</v>
      </c>
      <c r="J3402" t="str">
        <f>_xlfn.XLOOKUP(H3402, Fact_Events!$A$2:$A$20, Fact_Events!$F$2:$F$20, "")</f>
        <v/>
      </c>
      <c r="K3402" t="str">
        <f t="shared" si="430"/>
        <v>Low</v>
      </c>
      <c r="L3402">
        <f t="shared" si="431"/>
        <v>0.55000000000000004</v>
      </c>
      <c r="M3402">
        <f>_xlfn.XLOOKUP(B3402, Dim_Hotel!$A$2:$A$11, Dim_Hotel!$I$2:$I$11)
 + (IF(J3402="",0,J3402)
    * _xlfn.XLOOKUP(B3402, Dim_Hotel!$A$2:$A$11, Dim_Hotel!$J$2:$J$11))</f>
        <v>260</v>
      </c>
    </row>
    <row r="3403" spans="1:13" x14ac:dyDescent="0.25">
      <c r="A3403" s="1">
        <f t="shared" si="424"/>
        <v>46363</v>
      </c>
      <c r="B3403" t="str" cm="1">
        <f t="array" ref="B3403">INDEX(HotelList,MOD(ROW()-2,10)+1)</f>
        <v>H002</v>
      </c>
      <c r="C3403">
        <f>_xlfn.XLOOKUP(B3403,Dim_Hotel!$A$2:$A$11,Dim_Hotel!$F$2:$F$11)</f>
        <v>147</v>
      </c>
      <c r="D3403">
        <f t="shared" si="425"/>
        <v>81</v>
      </c>
      <c r="E3403">
        <f t="shared" si="426"/>
        <v>0.55102040816326525</v>
      </c>
      <c r="F3403">
        <f t="shared" si="427"/>
        <v>175</v>
      </c>
      <c r="G3403">
        <f t="shared" si="428"/>
        <v>96.428571428571416</v>
      </c>
      <c r="H3403" t="str">
        <f>_xlfn.XLOOKUP(A3403,Fact_Events!$D$2:$D$20,Fact_Events!$A$2:$A$20, "")</f>
        <v/>
      </c>
      <c r="I3403">
        <f t="shared" si="429"/>
        <v>0</v>
      </c>
      <c r="J3403" t="str">
        <f>_xlfn.XLOOKUP(H3403, Fact_Events!$A$2:$A$20, Fact_Events!$F$2:$F$20, "")</f>
        <v/>
      </c>
      <c r="K3403" t="str">
        <f t="shared" si="430"/>
        <v>Low</v>
      </c>
      <c r="L3403">
        <f t="shared" si="431"/>
        <v>0.55000000000000004</v>
      </c>
      <c r="M3403">
        <f>_xlfn.XLOOKUP(B3403, Dim_Hotel!$A$2:$A$11, Dim_Hotel!$I$2:$I$11)
 + (IF(J3403="",0,J3403)
    * _xlfn.XLOOKUP(B3403, Dim_Hotel!$A$2:$A$11, Dim_Hotel!$J$2:$J$11))</f>
        <v>175</v>
      </c>
    </row>
    <row r="3404" spans="1:13" x14ac:dyDescent="0.25">
      <c r="A3404" s="1">
        <f t="shared" si="424"/>
        <v>46363</v>
      </c>
      <c r="B3404" t="str" cm="1">
        <f t="array" ref="B3404">INDEX(HotelList,MOD(ROW()-2,10)+1)</f>
        <v>H003</v>
      </c>
      <c r="C3404">
        <f>_xlfn.XLOOKUP(B3404,Dim_Hotel!$A$2:$A$11,Dim_Hotel!$F$2:$F$11)</f>
        <v>121</v>
      </c>
      <c r="D3404">
        <f t="shared" si="425"/>
        <v>67</v>
      </c>
      <c r="E3404">
        <f t="shared" si="426"/>
        <v>0.55371900826446285</v>
      </c>
      <c r="F3404">
        <f t="shared" si="427"/>
        <v>145</v>
      </c>
      <c r="G3404">
        <f t="shared" si="428"/>
        <v>80.289256198347118</v>
      </c>
      <c r="H3404" t="str">
        <f>_xlfn.XLOOKUP(A3404,Fact_Events!$D$2:$D$20,Fact_Events!$A$2:$A$20, "")</f>
        <v/>
      </c>
      <c r="I3404">
        <f t="shared" si="429"/>
        <v>0</v>
      </c>
      <c r="J3404" t="str">
        <f>_xlfn.XLOOKUP(H3404, Fact_Events!$A$2:$A$20, Fact_Events!$F$2:$F$20, "")</f>
        <v/>
      </c>
      <c r="K3404" t="str">
        <f t="shared" si="430"/>
        <v>Low</v>
      </c>
      <c r="L3404">
        <f t="shared" si="431"/>
        <v>0.55000000000000004</v>
      </c>
      <c r="M3404">
        <f>_xlfn.XLOOKUP(B3404, Dim_Hotel!$A$2:$A$11, Dim_Hotel!$I$2:$I$11)
 + (IF(J3404="",0,J3404)
    * _xlfn.XLOOKUP(B3404, Dim_Hotel!$A$2:$A$11, Dim_Hotel!$J$2:$J$11))</f>
        <v>145</v>
      </c>
    </row>
    <row r="3405" spans="1:13" x14ac:dyDescent="0.25">
      <c r="A3405" s="1">
        <f t="shared" si="424"/>
        <v>46363</v>
      </c>
      <c r="B3405" t="str" cm="1">
        <f t="array" ref="B3405">INDEX(HotelList,MOD(ROW()-2,10)+1)</f>
        <v>H004</v>
      </c>
      <c r="C3405">
        <f>_xlfn.XLOOKUP(B3405,Dim_Hotel!$A$2:$A$11,Dim_Hotel!$F$2:$F$11)</f>
        <v>108</v>
      </c>
      <c r="D3405">
        <f t="shared" si="425"/>
        <v>59</v>
      </c>
      <c r="E3405">
        <f t="shared" si="426"/>
        <v>0.54629629629629628</v>
      </c>
      <c r="F3405">
        <f t="shared" si="427"/>
        <v>135</v>
      </c>
      <c r="G3405">
        <f t="shared" si="428"/>
        <v>73.75</v>
      </c>
      <c r="H3405" t="str">
        <f>_xlfn.XLOOKUP(A3405,Fact_Events!$D$2:$D$20,Fact_Events!$A$2:$A$20, "")</f>
        <v/>
      </c>
      <c r="I3405">
        <f t="shared" si="429"/>
        <v>0</v>
      </c>
      <c r="J3405" t="str">
        <f>_xlfn.XLOOKUP(H3405, Fact_Events!$A$2:$A$20, Fact_Events!$F$2:$F$20, "")</f>
        <v/>
      </c>
      <c r="K3405" t="str">
        <f t="shared" si="430"/>
        <v>Low</v>
      </c>
      <c r="L3405">
        <f t="shared" si="431"/>
        <v>0.55000000000000004</v>
      </c>
      <c r="M3405">
        <f>_xlfn.XLOOKUP(B3405, Dim_Hotel!$A$2:$A$11, Dim_Hotel!$I$2:$I$11)
 + (IF(J3405="",0,J3405)
    * _xlfn.XLOOKUP(B3405, Dim_Hotel!$A$2:$A$11, Dim_Hotel!$J$2:$J$11))</f>
        <v>135</v>
      </c>
    </row>
    <row r="3406" spans="1:13" x14ac:dyDescent="0.25">
      <c r="A3406" s="1">
        <f t="shared" si="424"/>
        <v>46363</v>
      </c>
      <c r="B3406" t="str" cm="1">
        <f t="array" ref="B3406">INDEX(HotelList,MOD(ROW()-2,10)+1)</f>
        <v>H005</v>
      </c>
      <c r="C3406">
        <f>_xlfn.XLOOKUP(B3406,Dim_Hotel!$A$2:$A$11,Dim_Hotel!$F$2:$F$11)</f>
        <v>66</v>
      </c>
      <c r="D3406">
        <f t="shared" si="425"/>
        <v>36</v>
      </c>
      <c r="E3406">
        <f t="shared" si="426"/>
        <v>0.54545454545454541</v>
      </c>
      <c r="F3406">
        <f t="shared" si="427"/>
        <v>82</v>
      </c>
      <c r="G3406">
        <f t="shared" si="428"/>
        <v>44.727272727272727</v>
      </c>
      <c r="H3406" t="str">
        <f>_xlfn.XLOOKUP(A3406,Fact_Events!$D$2:$D$20,Fact_Events!$A$2:$A$20, "")</f>
        <v/>
      </c>
      <c r="I3406">
        <f t="shared" si="429"/>
        <v>0</v>
      </c>
      <c r="J3406" t="str">
        <f>_xlfn.XLOOKUP(H3406, Fact_Events!$A$2:$A$20, Fact_Events!$F$2:$F$20, "")</f>
        <v/>
      </c>
      <c r="K3406" t="str">
        <f t="shared" si="430"/>
        <v>Low</v>
      </c>
      <c r="L3406">
        <f t="shared" si="431"/>
        <v>0.55000000000000004</v>
      </c>
      <c r="M3406">
        <f>_xlfn.XLOOKUP(B3406, Dim_Hotel!$A$2:$A$11, Dim_Hotel!$I$2:$I$11)
 + (IF(J3406="",0,J3406)
    * _xlfn.XLOOKUP(B3406, Dim_Hotel!$A$2:$A$11, Dim_Hotel!$J$2:$J$11))</f>
        <v>82</v>
      </c>
    </row>
    <row r="3407" spans="1:13" x14ac:dyDescent="0.25">
      <c r="A3407" s="1">
        <f t="shared" si="424"/>
        <v>46363</v>
      </c>
      <c r="B3407" t="str" cm="1">
        <f t="array" ref="B3407">INDEX(HotelList,MOD(ROW()-2,10)+1)</f>
        <v>H006</v>
      </c>
      <c r="C3407">
        <f>_xlfn.XLOOKUP(B3407,Dim_Hotel!$A$2:$A$11,Dim_Hotel!$F$2:$F$11)</f>
        <v>311</v>
      </c>
      <c r="D3407">
        <f t="shared" si="425"/>
        <v>171</v>
      </c>
      <c r="E3407">
        <f t="shared" si="426"/>
        <v>0.54983922829581988</v>
      </c>
      <c r="F3407">
        <f t="shared" si="427"/>
        <v>190</v>
      </c>
      <c r="G3407">
        <f t="shared" si="428"/>
        <v>104.46945337620578</v>
      </c>
      <c r="H3407" t="str">
        <f>_xlfn.XLOOKUP(A3407,Fact_Events!$D$2:$D$20,Fact_Events!$A$2:$A$20, "")</f>
        <v/>
      </c>
      <c r="I3407">
        <f t="shared" si="429"/>
        <v>0</v>
      </c>
      <c r="J3407" t="str">
        <f>_xlfn.XLOOKUP(H3407, Fact_Events!$A$2:$A$20, Fact_Events!$F$2:$F$20, "")</f>
        <v/>
      </c>
      <c r="K3407" t="str">
        <f t="shared" si="430"/>
        <v>Low</v>
      </c>
      <c r="L3407">
        <f t="shared" si="431"/>
        <v>0.55000000000000004</v>
      </c>
      <c r="M3407">
        <f>_xlfn.XLOOKUP(B3407, Dim_Hotel!$A$2:$A$11, Dim_Hotel!$I$2:$I$11)
 + (IF(J3407="",0,J3407)
    * _xlfn.XLOOKUP(B3407, Dim_Hotel!$A$2:$A$11, Dim_Hotel!$J$2:$J$11))</f>
        <v>190</v>
      </c>
    </row>
    <row r="3408" spans="1:13" x14ac:dyDescent="0.25">
      <c r="A3408" s="1">
        <f t="shared" si="424"/>
        <v>46363</v>
      </c>
      <c r="B3408" t="str" cm="1">
        <f t="array" ref="B3408">INDEX(HotelList,MOD(ROW()-2,10)+1)</f>
        <v>H007</v>
      </c>
      <c r="C3408">
        <f>_xlfn.XLOOKUP(B3408,Dim_Hotel!$A$2:$A$11,Dim_Hotel!$F$2:$F$11)</f>
        <v>132</v>
      </c>
      <c r="D3408">
        <f t="shared" si="425"/>
        <v>73</v>
      </c>
      <c r="E3408">
        <f t="shared" si="426"/>
        <v>0.55303030303030298</v>
      </c>
      <c r="F3408">
        <f t="shared" si="427"/>
        <v>165</v>
      </c>
      <c r="G3408">
        <f t="shared" si="428"/>
        <v>91.249999999999986</v>
      </c>
      <c r="H3408" t="str">
        <f>_xlfn.XLOOKUP(A3408,Fact_Events!$D$2:$D$20,Fact_Events!$A$2:$A$20, "")</f>
        <v/>
      </c>
      <c r="I3408">
        <f t="shared" si="429"/>
        <v>0</v>
      </c>
      <c r="J3408" t="str">
        <f>_xlfn.XLOOKUP(H3408, Fact_Events!$A$2:$A$20, Fact_Events!$F$2:$F$20, "")</f>
        <v/>
      </c>
      <c r="K3408" t="str">
        <f t="shared" si="430"/>
        <v>Low</v>
      </c>
      <c r="L3408">
        <f t="shared" si="431"/>
        <v>0.55000000000000004</v>
      </c>
      <c r="M3408">
        <f>_xlfn.XLOOKUP(B3408, Dim_Hotel!$A$2:$A$11, Dim_Hotel!$I$2:$I$11)
 + (IF(J3408="",0,J3408)
    * _xlfn.XLOOKUP(B3408, Dim_Hotel!$A$2:$A$11, Dim_Hotel!$J$2:$J$11))</f>
        <v>165</v>
      </c>
    </row>
    <row r="3409" spans="1:13" x14ac:dyDescent="0.25">
      <c r="A3409" s="1">
        <f t="shared" si="424"/>
        <v>46363</v>
      </c>
      <c r="B3409" t="str" cm="1">
        <f t="array" ref="B3409">INDEX(HotelList,MOD(ROW()-2,10)+1)</f>
        <v>H008</v>
      </c>
      <c r="C3409">
        <f>_xlfn.XLOOKUP(B3409,Dim_Hotel!$A$2:$A$11,Dim_Hotel!$F$2:$F$11)</f>
        <v>103</v>
      </c>
      <c r="D3409">
        <f t="shared" si="425"/>
        <v>57</v>
      </c>
      <c r="E3409">
        <f t="shared" si="426"/>
        <v>0.55339805825242716</v>
      </c>
      <c r="F3409">
        <f t="shared" si="427"/>
        <v>140</v>
      </c>
      <c r="G3409">
        <f t="shared" si="428"/>
        <v>77.475728155339809</v>
      </c>
      <c r="H3409" t="str">
        <f>_xlfn.XLOOKUP(A3409,Fact_Events!$D$2:$D$20,Fact_Events!$A$2:$A$20, "")</f>
        <v/>
      </c>
      <c r="I3409">
        <f t="shared" si="429"/>
        <v>0</v>
      </c>
      <c r="J3409" t="str">
        <f>_xlfn.XLOOKUP(H3409, Fact_Events!$A$2:$A$20, Fact_Events!$F$2:$F$20, "")</f>
        <v/>
      </c>
      <c r="K3409" t="str">
        <f t="shared" si="430"/>
        <v>Low</v>
      </c>
      <c r="L3409">
        <f t="shared" si="431"/>
        <v>0.55000000000000004</v>
      </c>
      <c r="M3409">
        <f>_xlfn.XLOOKUP(B3409, Dim_Hotel!$A$2:$A$11, Dim_Hotel!$I$2:$I$11)
 + (IF(J3409="",0,J3409)
    * _xlfn.XLOOKUP(B3409, Dim_Hotel!$A$2:$A$11, Dim_Hotel!$J$2:$J$11))</f>
        <v>140</v>
      </c>
    </row>
    <row r="3410" spans="1:13" x14ac:dyDescent="0.25">
      <c r="A3410" s="1">
        <f t="shared" si="424"/>
        <v>46363</v>
      </c>
      <c r="B3410" t="str" cm="1">
        <f t="array" ref="B3410">INDEX(HotelList,MOD(ROW()-2,10)+1)</f>
        <v>H009</v>
      </c>
      <c r="C3410">
        <f>_xlfn.XLOOKUP(B3410,Dim_Hotel!$A$2:$A$11,Dim_Hotel!$F$2:$F$11)</f>
        <v>114</v>
      </c>
      <c r="D3410">
        <f t="shared" si="425"/>
        <v>63</v>
      </c>
      <c r="E3410">
        <f t="shared" si="426"/>
        <v>0.55263157894736847</v>
      </c>
      <c r="F3410">
        <f t="shared" si="427"/>
        <v>185</v>
      </c>
      <c r="G3410">
        <f t="shared" si="428"/>
        <v>102.23684210526316</v>
      </c>
      <c r="H3410" t="str">
        <f>_xlfn.XLOOKUP(A3410,Fact_Events!$D$2:$D$20,Fact_Events!$A$2:$A$20, "")</f>
        <v/>
      </c>
      <c r="I3410">
        <f t="shared" si="429"/>
        <v>0</v>
      </c>
      <c r="J3410" t="str">
        <f>_xlfn.XLOOKUP(H3410, Fact_Events!$A$2:$A$20, Fact_Events!$F$2:$F$20, "")</f>
        <v/>
      </c>
      <c r="K3410" t="str">
        <f t="shared" si="430"/>
        <v>Low</v>
      </c>
      <c r="L3410">
        <f t="shared" si="431"/>
        <v>0.55000000000000004</v>
      </c>
      <c r="M3410">
        <f>_xlfn.XLOOKUP(B3410, Dim_Hotel!$A$2:$A$11, Dim_Hotel!$I$2:$I$11)
 + (IF(J3410="",0,J3410)
    * _xlfn.XLOOKUP(B3410, Dim_Hotel!$A$2:$A$11, Dim_Hotel!$J$2:$J$11))</f>
        <v>185</v>
      </c>
    </row>
    <row r="3411" spans="1:13" x14ac:dyDescent="0.25">
      <c r="A3411" s="1">
        <f t="shared" si="424"/>
        <v>46363</v>
      </c>
      <c r="B3411" t="str" cm="1">
        <f t="array" ref="B3411">INDEX(HotelList,MOD(ROW()-2,10)+1)</f>
        <v>H010</v>
      </c>
      <c r="C3411">
        <f>_xlfn.XLOOKUP(B3411,Dim_Hotel!$A$2:$A$11,Dim_Hotel!$F$2:$F$11)</f>
        <v>89</v>
      </c>
      <c r="D3411">
        <f t="shared" si="425"/>
        <v>49</v>
      </c>
      <c r="E3411">
        <f t="shared" si="426"/>
        <v>0.550561797752809</v>
      </c>
      <c r="F3411">
        <f t="shared" si="427"/>
        <v>150</v>
      </c>
      <c r="G3411">
        <f t="shared" si="428"/>
        <v>82.584269662921344</v>
      </c>
      <c r="H3411" t="str">
        <f>_xlfn.XLOOKUP(A3411,Fact_Events!$D$2:$D$20,Fact_Events!$A$2:$A$20, "")</f>
        <v/>
      </c>
      <c r="I3411">
        <f t="shared" si="429"/>
        <v>0</v>
      </c>
      <c r="J3411" t="str">
        <f>_xlfn.XLOOKUP(H3411, Fact_Events!$A$2:$A$20, Fact_Events!$F$2:$F$20, "")</f>
        <v/>
      </c>
      <c r="K3411" t="str">
        <f t="shared" si="430"/>
        <v>Low</v>
      </c>
      <c r="L3411">
        <f t="shared" si="431"/>
        <v>0.55000000000000004</v>
      </c>
      <c r="M3411">
        <f>_xlfn.XLOOKUP(B3411, Dim_Hotel!$A$2:$A$11, Dim_Hotel!$I$2:$I$11)
 + (IF(J3411="",0,J3411)
    * _xlfn.XLOOKUP(B3411, Dim_Hotel!$A$2:$A$11, Dim_Hotel!$J$2:$J$11))</f>
        <v>150</v>
      </c>
    </row>
    <row r="3412" spans="1:13" x14ac:dyDescent="0.25">
      <c r="A3412" s="1">
        <f t="shared" si="424"/>
        <v>46364</v>
      </c>
      <c r="B3412" t="str" cm="1">
        <f t="array" ref="B3412">INDEX(HotelList,MOD(ROW()-2,10)+1)</f>
        <v>H001</v>
      </c>
      <c r="C3412">
        <f>_xlfn.XLOOKUP(B3412,Dim_Hotel!$A$2:$A$11,Dim_Hotel!$F$2:$F$11)</f>
        <v>888</v>
      </c>
      <c r="D3412">
        <f t="shared" si="425"/>
        <v>488</v>
      </c>
      <c r="E3412">
        <f t="shared" si="426"/>
        <v>0.5495495495495496</v>
      </c>
      <c r="F3412">
        <f t="shared" si="427"/>
        <v>260</v>
      </c>
      <c r="G3412">
        <f t="shared" si="428"/>
        <v>142.88288288288288</v>
      </c>
      <c r="H3412" t="str">
        <f>_xlfn.XLOOKUP(A3412,Fact_Events!$D$2:$D$20,Fact_Events!$A$2:$A$20, "")</f>
        <v/>
      </c>
      <c r="I3412">
        <f t="shared" si="429"/>
        <v>0</v>
      </c>
      <c r="J3412" t="str">
        <f>_xlfn.XLOOKUP(H3412, Fact_Events!$A$2:$A$20, Fact_Events!$F$2:$F$20, "")</f>
        <v/>
      </c>
      <c r="K3412" t="str">
        <f t="shared" si="430"/>
        <v>Low</v>
      </c>
      <c r="L3412">
        <f t="shared" si="431"/>
        <v>0.55000000000000004</v>
      </c>
      <c r="M3412">
        <f>_xlfn.XLOOKUP(B3412, Dim_Hotel!$A$2:$A$11, Dim_Hotel!$I$2:$I$11)
 + (IF(J3412="",0,J3412)
    * _xlfn.XLOOKUP(B3412, Dim_Hotel!$A$2:$A$11, Dim_Hotel!$J$2:$J$11))</f>
        <v>260</v>
      </c>
    </row>
    <row r="3413" spans="1:13" x14ac:dyDescent="0.25">
      <c r="A3413" s="1">
        <f t="shared" si="424"/>
        <v>46364</v>
      </c>
      <c r="B3413" t="str" cm="1">
        <f t="array" ref="B3413">INDEX(HotelList,MOD(ROW()-2,10)+1)</f>
        <v>H002</v>
      </c>
      <c r="C3413">
        <f>_xlfn.XLOOKUP(B3413,Dim_Hotel!$A$2:$A$11,Dim_Hotel!$F$2:$F$11)</f>
        <v>147</v>
      </c>
      <c r="D3413">
        <f t="shared" si="425"/>
        <v>81</v>
      </c>
      <c r="E3413">
        <f t="shared" si="426"/>
        <v>0.55102040816326525</v>
      </c>
      <c r="F3413">
        <f t="shared" si="427"/>
        <v>175</v>
      </c>
      <c r="G3413">
        <f t="shared" si="428"/>
        <v>96.428571428571416</v>
      </c>
      <c r="H3413" t="str">
        <f>_xlfn.XLOOKUP(A3413,Fact_Events!$D$2:$D$20,Fact_Events!$A$2:$A$20, "")</f>
        <v/>
      </c>
      <c r="I3413">
        <f t="shared" si="429"/>
        <v>0</v>
      </c>
      <c r="J3413" t="str">
        <f>_xlfn.XLOOKUP(H3413, Fact_Events!$A$2:$A$20, Fact_Events!$F$2:$F$20, "")</f>
        <v/>
      </c>
      <c r="K3413" t="str">
        <f t="shared" si="430"/>
        <v>Low</v>
      </c>
      <c r="L3413">
        <f t="shared" si="431"/>
        <v>0.55000000000000004</v>
      </c>
      <c r="M3413">
        <f>_xlfn.XLOOKUP(B3413, Dim_Hotel!$A$2:$A$11, Dim_Hotel!$I$2:$I$11)
 + (IF(J3413="",0,J3413)
    * _xlfn.XLOOKUP(B3413, Dim_Hotel!$A$2:$A$11, Dim_Hotel!$J$2:$J$11))</f>
        <v>175</v>
      </c>
    </row>
    <row r="3414" spans="1:13" x14ac:dyDescent="0.25">
      <c r="A3414" s="1">
        <f t="shared" si="424"/>
        <v>46364</v>
      </c>
      <c r="B3414" t="str" cm="1">
        <f t="array" ref="B3414">INDEX(HotelList,MOD(ROW()-2,10)+1)</f>
        <v>H003</v>
      </c>
      <c r="C3414">
        <f>_xlfn.XLOOKUP(B3414,Dim_Hotel!$A$2:$A$11,Dim_Hotel!$F$2:$F$11)</f>
        <v>121</v>
      </c>
      <c r="D3414">
        <f t="shared" si="425"/>
        <v>67</v>
      </c>
      <c r="E3414">
        <f t="shared" si="426"/>
        <v>0.55371900826446285</v>
      </c>
      <c r="F3414">
        <f t="shared" si="427"/>
        <v>145</v>
      </c>
      <c r="G3414">
        <f t="shared" si="428"/>
        <v>80.289256198347118</v>
      </c>
      <c r="H3414" t="str">
        <f>_xlfn.XLOOKUP(A3414,Fact_Events!$D$2:$D$20,Fact_Events!$A$2:$A$20, "")</f>
        <v/>
      </c>
      <c r="I3414">
        <f t="shared" si="429"/>
        <v>0</v>
      </c>
      <c r="J3414" t="str">
        <f>_xlfn.XLOOKUP(H3414, Fact_Events!$A$2:$A$20, Fact_Events!$F$2:$F$20, "")</f>
        <v/>
      </c>
      <c r="K3414" t="str">
        <f t="shared" si="430"/>
        <v>Low</v>
      </c>
      <c r="L3414">
        <f t="shared" si="431"/>
        <v>0.55000000000000004</v>
      </c>
      <c r="M3414">
        <f>_xlfn.XLOOKUP(B3414, Dim_Hotel!$A$2:$A$11, Dim_Hotel!$I$2:$I$11)
 + (IF(J3414="",0,J3414)
    * _xlfn.XLOOKUP(B3414, Dim_Hotel!$A$2:$A$11, Dim_Hotel!$J$2:$J$11))</f>
        <v>145</v>
      </c>
    </row>
    <row r="3415" spans="1:13" x14ac:dyDescent="0.25">
      <c r="A3415" s="1">
        <f t="shared" si="424"/>
        <v>46364</v>
      </c>
      <c r="B3415" t="str" cm="1">
        <f t="array" ref="B3415">INDEX(HotelList,MOD(ROW()-2,10)+1)</f>
        <v>H004</v>
      </c>
      <c r="C3415">
        <f>_xlfn.XLOOKUP(B3415,Dim_Hotel!$A$2:$A$11,Dim_Hotel!$F$2:$F$11)</f>
        <v>108</v>
      </c>
      <c r="D3415">
        <f t="shared" si="425"/>
        <v>59</v>
      </c>
      <c r="E3415">
        <f t="shared" si="426"/>
        <v>0.54629629629629628</v>
      </c>
      <c r="F3415">
        <f t="shared" si="427"/>
        <v>135</v>
      </c>
      <c r="G3415">
        <f t="shared" si="428"/>
        <v>73.75</v>
      </c>
      <c r="H3415" t="str">
        <f>_xlfn.XLOOKUP(A3415,Fact_Events!$D$2:$D$20,Fact_Events!$A$2:$A$20, "")</f>
        <v/>
      </c>
      <c r="I3415">
        <f t="shared" si="429"/>
        <v>0</v>
      </c>
      <c r="J3415" t="str">
        <f>_xlfn.XLOOKUP(H3415, Fact_Events!$A$2:$A$20, Fact_Events!$F$2:$F$20, "")</f>
        <v/>
      </c>
      <c r="K3415" t="str">
        <f t="shared" si="430"/>
        <v>Low</v>
      </c>
      <c r="L3415">
        <f t="shared" si="431"/>
        <v>0.55000000000000004</v>
      </c>
      <c r="M3415">
        <f>_xlfn.XLOOKUP(B3415, Dim_Hotel!$A$2:$A$11, Dim_Hotel!$I$2:$I$11)
 + (IF(J3415="",0,J3415)
    * _xlfn.XLOOKUP(B3415, Dim_Hotel!$A$2:$A$11, Dim_Hotel!$J$2:$J$11))</f>
        <v>135</v>
      </c>
    </row>
    <row r="3416" spans="1:13" x14ac:dyDescent="0.25">
      <c r="A3416" s="1">
        <f t="shared" si="424"/>
        <v>46364</v>
      </c>
      <c r="B3416" t="str" cm="1">
        <f t="array" ref="B3416">INDEX(HotelList,MOD(ROW()-2,10)+1)</f>
        <v>H005</v>
      </c>
      <c r="C3416">
        <f>_xlfn.XLOOKUP(B3416,Dim_Hotel!$A$2:$A$11,Dim_Hotel!$F$2:$F$11)</f>
        <v>66</v>
      </c>
      <c r="D3416">
        <f t="shared" si="425"/>
        <v>36</v>
      </c>
      <c r="E3416">
        <f t="shared" si="426"/>
        <v>0.54545454545454541</v>
      </c>
      <c r="F3416">
        <f t="shared" si="427"/>
        <v>82</v>
      </c>
      <c r="G3416">
        <f t="shared" si="428"/>
        <v>44.727272727272727</v>
      </c>
      <c r="H3416" t="str">
        <f>_xlfn.XLOOKUP(A3416,Fact_Events!$D$2:$D$20,Fact_Events!$A$2:$A$20, "")</f>
        <v/>
      </c>
      <c r="I3416">
        <f t="shared" si="429"/>
        <v>0</v>
      </c>
      <c r="J3416" t="str">
        <f>_xlfn.XLOOKUP(H3416, Fact_Events!$A$2:$A$20, Fact_Events!$F$2:$F$20, "")</f>
        <v/>
      </c>
      <c r="K3416" t="str">
        <f t="shared" si="430"/>
        <v>Low</v>
      </c>
      <c r="L3416">
        <f t="shared" si="431"/>
        <v>0.55000000000000004</v>
      </c>
      <c r="M3416">
        <f>_xlfn.XLOOKUP(B3416, Dim_Hotel!$A$2:$A$11, Dim_Hotel!$I$2:$I$11)
 + (IF(J3416="",0,J3416)
    * _xlfn.XLOOKUP(B3416, Dim_Hotel!$A$2:$A$11, Dim_Hotel!$J$2:$J$11))</f>
        <v>82</v>
      </c>
    </row>
    <row r="3417" spans="1:13" x14ac:dyDescent="0.25">
      <c r="A3417" s="1">
        <f t="shared" si="424"/>
        <v>46364</v>
      </c>
      <c r="B3417" t="str" cm="1">
        <f t="array" ref="B3417">INDEX(HotelList,MOD(ROW()-2,10)+1)</f>
        <v>H006</v>
      </c>
      <c r="C3417">
        <f>_xlfn.XLOOKUP(B3417,Dim_Hotel!$A$2:$A$11,Dim_Hotel!$F$2:$F$11)</f>
        <v>311</v>
      </c>
      <c r="D3417">
        <f t="shared" si="425"/>
        <v>171</v>
      </c>
      <c r="E3417">
        <f t="shared" si="426"/>
        <v>0.54983922829581988</v>
      </c>
      <c r="F3417">
        <f t="shared" si="427"/>
        <v>190</v>
      </c>
      <c r="G3417">
        <f t="shared" si="428"/>
        <v>104.46945337620578</v>
      </c>
      <c r="H3417" t="str">
        <f>_xlfn.XLOOKUP(A3417,Fact_Events!$D$2:$D$20,Fact_Events!$A$2:$A$20, "")</f>
        <v/>
      </c>
      <c r="I3417">
        <f t="shared" si="429"/>
        <v>0</v>
      </c>
      <c r="J3417" t="str">
        <f>_xlfn.XLOOKUP(H3417, Fact_Events!$A$2:$A$20, Fact_Events!$F$2:$F$20, "")</f>
        <v/>
      </c>
      <c r="K3417" t="str">
        <f t="shared" si="430"/>
        <v>Low</v>
      </c>
      <c r="L3417">
        <f t="shared" si="431"/>
        <v>0.55000000000000004</v>
      </c>
      <c r="M3417">
        <f>_xlfn.XLOOKUP(B3417, Dim_Hotel!$A$2:$A$11, Dim_Hotel!$I$2:$I$11)
 + (IF(J3417="",0,J3417)
    * _xlfn.XLOOKUP(B3417, Dim_Hotel!$A$2:$A$11, Dim_Hotel!$J$2:$J$11))</f>
        <v>190</v>
      </c>
    </row>
    <row r="3418" spans="1:13" x14ac:dyDescent="0.25">
      <c r="A3418" s="1">
        <f t="shared" si="424"/>
        <v>46364</v>
      </c>
      <c r="B3418" t="str" cm="1">
        <f t="array" ref="B3418">INDEX(HotelList,MOD(ROW()-2,10)+1)</f>
        <v>H007</v>
      </c>
      <c r="C3418">
        <f>_xlfn.XLOOKUP(B3418,Dim_Hotel!$A$2:$A$11,Dim_Hotel!$F$2:$F$11)</f>
        <v>132</v>
      </c>
      <c r="D3418">
        <f t="shared" si="425"/>
        <v>73</v>
      </c>
      <c r="E3418">
        <f t="shared" si="426"/>
        <v>0.55303030303030298</v>
      </c>
      <c r="F3418">
        <f t="shared" si="427"/>
        <v>165</v>
      </c>
      <c r="G3418">
        <f t="shared" si="428"/>
        <v>91.249999999999986</v>
      </c>
      <c r="H3418" t="str">
        <f>_xlfn.XLOOKUP(A3418,Fact_Events!$D$2:$D$20,Fact_Events!$A$2:$A$20, "")</f>
        <v/>
      </c>
      <c r="I3418">
        <f t="shared" si="429"/>
        <v>0</v>
      </c>
      <c r="J3418" t="str">
        <f>_xlfn.XLOOKUP(H3418, Fact_Events!$A$2:$A$20, Fact_Events!$F$2:$F$20, "")</f>
        <v/>
      </c>
      <c r="K3418" t="str">
        <f t="shared" si="430"/>
        <v>Low</v>
      </c>
      <c r="L3418">
        <f t="shared" si="431"/>
        <v>0.55000000000000004</v>
      </c>
      <c r="M3418">
        <f>_xlfn.XLOOKUP(B3418, Dim_Hotel!$A$2:$A$11, Dim_Hotel!$I$2:$I$11)
 + (IF(J3418="",0,J3418)
    * _xlfn.XLOOKUP(B3418, Dim_Hotel!$A$2:$A$11, Dim_Hotel!$J$2:$J$11))</f>
        <v>165</v>
      </c>
    </row>
    <row r="3419" spans="1:13" x14ac:dyDescent="0.25">
      <c r="A3419" s="1">
        <f t="shared" si="424"/>
        <v>46364</v>
      </c>
      <c r="B3419" t="str" cm="1">
        <f t="array" ref="B3419">INDEX(HotelList,MOD(ROW()-2,10)+1)</f>
        <v>H008</v>
      </c>
      <c r="C3419">
        <f>_xlfn.XLOOKUP(B3419,Dim_Hotel!$A$2:$A$11,Dim_Hotel!$F$2:$F$11)</f>
        <v>103</v>
      </c>
      <c r="D3419">
        <f t="shared" si="425"/>
        <v>57</v>
      </c>
      <c r="E3419">
        <f t="shared" si="426"/>
        <v>0.55339805825242716</v>
      </c>
      <c r="F3419">
        <f t="shared" si="427"/>
        <v>140</v>
      </c>
      <c r="G3419">
        <f t="shared" si="428"/>
        <v>77.475728155339809</v>
      </c>
      <c r="H3419" t="str">
        <f>_xlfn.XLOOKUP(A3419,Fact_Events!$D$2:$D$20,Fact_Events!$A$2:$A$20, "")</f>
        <v/>
      </c>
      <c r="I3419">
        <f t="shared" si="429"/>
        <v>0</v>
      </c>
      <c r="J3419" t="str">
        <f>_xlfn.XLOOKUP(H3419, Fact_Events!$A$2:$A$20, Fact_Events!$F$2:$F$20, "")</f>
        <v/>
      </c>
      <c r="K3419" t="str">
        <f t="shared" si="430"/>
        <v>Low</v>
      </c>
      <c r="L3419">
        <f t="shared" si="431"/>
        <v>0.55000000000000004</v>
      </c>
      <c r="M3419">
        <f>_xlfn.XLOOKUP(B3419, Dim_Hotel!$A$2:$A$11, Dim_Hotel!$I$2:$I$11)
 + (IF(J3419="",0,J3419)
    * _xlfn.XLOOKUP(B3419, Dim_Hotel!$A$2:$A$11, Dim_Hotel!$J$2:$J$11))</f>
        <v>140</v>
      </c>
    </row>
    <row r="3420" spans="1:13" x14ac:dyDescent="0.25">
      <c r="A3420" s="1">
        <f t="shared" si="424"/>
        <v>46364</v>
      </c>
      <c r="B3420" t="str" cm="1">
        <f t="array" ref="B3420">INDEX(HotelList,MOD(ROW()-2,10)+1)</f>
        <v>H009</v>
      </c>
      <c r="C3420">
        <f>_xlfn.XLOOKUP(B3420,Dim_Hotel!$A$2:$A$11,Dim_Hotel!$F$2:$F$11)</f>
        <v>114</v>
      </c>
      <c r="D3420">
        <f t="shared" si="425"/>
        <v>63</v>
      </c>
      <c r="E3420">
        <f t="shared" si="426"/>
        <v>0.55263157894736847</v>
      </c>
      <c r="F3420">
        <f t="shared" si="427"/>
        <v>185</v>
      </c>
      <c r="G3420">
        <f t="shared" si="428"/>
        <v>102.23684210526316</v>
      </c>
      <c r="H3420" t="str">
        <f>_xlfn.XLOOKUP(A3420,Fact_Events!$D$2:$D$20,Fact_Events!$A$2:$A$20, "")</f>
        <v/>
      </c>
      <c r="I3420">
        <f t="shared" si="429"/>
        <v>0</v>
      </c>
      <c r="J3420" t="str">
        <f>_xlfn.XLOOKUP(H3420, Fact_Events!$A$2:$A$20, Fact_Events!$F$2:$F$20, "")</f>
        <v/>
      </c>
      <c r="K3420" t="str">
        <f t="shared" si="430"/>
        <v>Low</v>
      </c>
      <c r="L3420">
        <f t="shared" si="431"/>
        <v>0.55000000000000004</v>
      </c>
      <c r="M3420">
        <f>_xlfn.XLOOKUP(B3420, Dim_Hotel!$A$2:$A$11, Dim_Hotel!$I$2:$I$11)
 + (IF(J3420="",0,J3420)
    * _xlfn.XLOOKUP(B3420, Dim_Hotel!$A$2:$A$11, Dim_Hotel!$J$2:$J$11))</f>
        <v>185</v>
      </c>
    </row>
    <row r="3421" spans="1:13" x14ac:dyDescent="0.25">
      <c r="A3421" s="1">
        <f t="shared" si="424"/>
        <v>46364</v>
      </c>
      <c r="B3421" t="str" cm="1">
        <f t="array" ref="B3421">INDEX(HotelList,MOD(ROW()-2,10)+1)</f>
        <v>H010</v>
      </c>
      <c r="C3421">
        <f>_xlfn.XLOOKUP(B3421,Dim_Hotel!$A$2:$A$11,Dim_Hotel!$F$2:$F$11)</f>
        <v>89</v>
      </c>
      <c r="D3421">
        <f t="shared" si="425"/>
        <v>49</v>
      </c>
      <c r="E3421">
        <f t="shared" si="426"/>
        <v>0.550561797752809</v>
      </c>
      <c r="F3421">
        <f t="shared" si="427"/>
        <v>150</v>
      </c>
      <c r="G3421">
        <f t="shared" si="428"/>
        <v>82.584269662921344</v>
      </c>
      <c r="H3421" t="str">
        <f>_xlfn.XLOOKUP(A3421,Fact_Events!$D$2:$D$20,Fact_Events!$A$2:$A$20, "")</f>
        <v/>
      </c>
      <c r="I3421">
        <f t="shared" si="429"/>
        <v>0</v>
      </c>
      <c r="J3421" t="str">
        <f>_xlfn.XLOOKUP(H3421, Fact_Events!$A$2:$A$20, Fact_Events!$F$2:$F$20, "")</f>
        <v/>
      </c>
      <c r="K3421" t="str">
        <f t="shared" si="430"/>
        <v>Low</v>
      </c>
      <c r="L3421">
        <f t="shared" si="431"/>
        <v>0.55000000000000004</v>
      </c>
      <c r="M3421">
        <f>_xlfn.XLOOKUP(B3421, Dim_Hotel!$A$2:$A$11, Dim_Hotel!$I$2:$I$11)
 + (IF(J3421="",0,J3421)
    * _xlfn.XLOOKUP(B3421, Dim_Hotel!$A$2:$A$11, Dim_Hotel!$J$2:$J$11))</f>
        <v>150</v>
      </c>
    </row>
    <row r="3422" spans="1:13" x14ac:dyDescent="0.25">
      <c r="A3422" s="1">
        <f t="shared" si="424"/>
        <v>46365</v>
      </c>
      <c r="B3422" t="str" cm="1">
        <f t="array" ref="B3422">INDEX(HotelList,MOD(ROW()-2,10)+1)</f>
        <v>H001</v>
      </c>
      <c r="C3422">
        <f>_xlfn.XLOOKUP(B3422,Dim_Hotel!$A$2:$A$11,Dim_Hotel!$F$2:$F$11)</f>
        <v>888</v>
      </c>
      <c r="D3422">
        <f t="shared" si="425"/>
        <v>488</v>
      </c>
      <c r="E3422">
        <f t="shared" si="426"/>
        <v>0.5495495495495496</v>
      </c>
      <c r="F3422">
        <f t="shared" si="427"/>
        <v>260</v>
      </c>
      <c r="G3422">
        <f t="shared" si="428"/>
        <v>142.88288288288288</v>
      </c>
      <c r="H3422" t="str">
        <f>_xlfn.XLOOKUP(A3422,Fact_Events!$D$2:$D$20,Fact_Events!$A$2:$A$20, "")</f>
        <v/>
      </c>
      <c r="I3422">
        <f t="shared" si="429"/>
        <v>0</v>
      </c>
      <c r="J3422" t="str">
        <f>_xlfn.XLOOKUP(H3422, Fact_Events!$A$2:$A$20, Fact_Events!$F$2:$F$20, "")</f>
        <v/>
      </c>
      <c r="K3422" t="str">
        <f t="shared" si="430"/>
        <v>Low</v>
      </c>
      <c r="L3422">
        <f t="shared" si="431"/>
        <v>0.55000000000000004</v>
      </c>
      <c r="M3422">
        <f>_xlfn.XLOOKUP(B3422, Dim_Hotel!$A$2:$A$11, Dim_Hotel!$I$2:$I$11)
 + (IF(J3422="",0,J3422)
    * _xlfn.XLOOKUP(B3422, Dim_Hotel!$A$2:$A$11, Dim_Hotel!$J$2:$J$11))</f>
        <v>260</v>
      </c>
    </row>
    <row r="3423" spans="1:13" x14ac:dyDescent="0.25">
      <c r="A3423" s="1">
        <f t="shared" si="424"/>
        <v>46365</v>
      </c>
      <c r="B3423" t="str" cm="1">
        <f t="array" ref="B3423">INDEX(HotelList,MOD(ROW()-2,10)+1)</f>
        <v>H002</v>
      </c>
      <c r="C3423">
        <f>_xlfn.XLOOKUP(B3423,Dim_Hotel!$A$2:$A$11,Dim_Hotel!$F$2:$F$11)</f>
        <v>147</v>
      </c>
      <c r="D3423">
        <f t="shared" si="425"/>
        <v>81</v>
      </c>
      <c r="E3423">
        <f t="shared" si="426"/>
        <v>0.55102040816326525</v>
      </c>
      <c r="F3423">
        <f t="shared" si="427"/>
        <v>175</v>
      </c>
      <c r="G3423">
        <f t="shared" si="428"/>
        <v>96.428571428571416</v>
      </c>
      <c r="H3423" t="str">
        <f>_xlfn.XLOOKUP(A3423,Fact_Events!$D$2:$D$20,Fact_Events!$A$2:$A$20, "")</f>
        <v/>
      </c>
      <c r="I3423">
        <f t="shared" si="429"/>
        <v>0</v>
      </c>
      <c r="J3423" t="str">
        <f>_xlfn.XLOOKUP(H3423, Fact_Events!$A$2:$A$20, Fact_Events!$F$2:$F$20, "")</f>
        <v/>
      </c>
      <c r="K3423" t="str">
        <f t="shared" si="430"/>
        <v>Low</v>
      </c>
      <c r="L3423">
        <f t="shared" si="431"/>
        <v>0.55000000000000004</v>
      </c>
      <c r="M3423">
        <f>_xlfn.XLOOKUP(B3423, Dim_Hotel!$A$2:$A$11, Dim_Hotel!$I$2:$I$11)
 + (IF(J3423="",0,J3423)
    * _xlfn.XLOOKUP(B3423, Dim_Hotel!$A$2:$A$11, Dim_Hotel!$J$2:$J$11))</f>
        <v>175</v>
      </c>
    </row>
    <row r="3424" spans="1:13" x14ac:dyDescent="0.25">
      <c r="A3424" s="1">
        <f t="shared" si="424"/>
        <v>46365</v>
      </c>
      <c r="B3424" t="str" cm="1">
        <f t="array" ref="B3424">INDEX(HotelList,MOD(ROW()-2,10)+1)</f>
        <v>H003</v>
      </c>
      <c r="C3424">
        <f>_xlfn.XLOOKUP(B3424,Dim_Hotel!$A$2:$A$11,Dim_Hotel!$F$2:$F$11)</f>
        <v>121</v>
      </c>
      <c r="D3424">
        <f t="shared" si="425"/>
        <v>67</v>
      </c>
      <c r="E3424">
        <f t="shared" si="426"/>
        <v>0.55371900826446285</v>
      </c>
      <c r="F3424">
        <f t="shared" si="427"/>
        <v>145</v>
      </c>
      <c r="G3424">
        <f t="shared" si="428"/>
        <v>80.289256198347118</v>
      </c>
      <c r="H3424" t="str">
        <f>_xlfn.XLOOKUP(A3424,Fact_Events!$D$2:$D$20,Fact_Events!$A$2:$A$20, "")</f>
        <v/>
      </c>
      <c r="I3424">
        <f t="shared" si="429"/>
        <v>0</v>
      </c>
      <c r="J3424" t="str">
        <f>_xlfn.XLOOKUP(H3424, Fact_Events!$A$2:$A$20, Fact_Events!$F$2:$F$20, "")</f>
        <v/>
      </c>
      <c r="K3424" t="str">
        <f t="shared" si="430"/>
        <v>Low</v>
      </c>
      <c r="L3424">
        <f t="shared" si="431"/>
        <v>0.55000000000000004</v>
      </c>
      <c r="M3424">
        <f>_xlfn.XLOOKUP(B3424, Dim_Hotel!$A$2:$A$11, Dim_Hotel!$I$2:$I$11)
 + (IF(J3424="",0,J3424)
    * _xlfn.XLOOKUP(B3424, Dim_Hotel!$A$2:$A$11, Dim_Hotel!$J$2:$J$11))</f>
        <v>145</v>
      </c>
    </row>
    <row r="3425" spans="1:13" x14ac:dyDescent="0.25">
      <c r="A3425" s="1">
        <f t="shared" si="424"/>
        <v>46365</v>
      </c>
      <c r="B3425" t="str" cm="1">
        <f t="array" ref="B3425">INDEX(HotelList,MOD(ROW()-2,10)+1)</f>
        <v>H004</v>
      </c>
      <c r="C3425">
        <f>_xlfn.XLOOKUP(B3425,Dim_Hotel!$A$2:$A$11,Dim_Hotel!$F$2:$F$11)</f>
        <v>108</v>
      </c>
      <c r="D3425">
        <f t="shared" si="425"/>
        <v>59</v>
      </c>
      <c r="E3425">
        <f t="shared" si="426"/>
        <v>0.54629629629629628</v>
      </c>
      <c r="F3425">
        <f t="shared" si="427"/>
        <v>135</v>
      </c>
      <c r="G3425">
        <f t="shared" si="428"/>
        <v>73.75</v>
      </c>
      <c r="H3425" t="str">
        <f>_xlfn.XLOOKUP(A3425,Fact_Events!$D$2:$D$20,Fact_Events!$A$2:$A$20, "")</f>
        <v/>
      </c>
      <c r="I3425">
        <f t="shared" si="429"/>
        <v>0</v>
      </c>
      <c r="J3425" t="str">
        <f>_xlfn.XLOOKUP(H3425, Fact_Events!$A$2:$A$20, Fact_Events!$F$2:$F$20, "")</f>
        <v/>
      </c>
      <c r="K3425" t="str">
        <f t="shared" si="430"/>
        <v>Low</v>
      </c>
      <c r="L3425">
        <f t="shared" si="431"/>
        <v>0.55000000000000004</v>
      </c>
      <c r="M3425">
        <f>_xlfn.XLOOKUP(B3425, Dim_Hotel!$A$2:$A$11, Dim_Hotel!$I$2:$I$11)
 + (IF(J3425="",0,J3425)
    * _xlfn.XLOOKUP(B3425, Dim_Hotel!$A$2:$A$11, Dim_Hotel!$J$2:$J$11))</f>
        <v>135</v>
      </c>
    </row>
    <row r="3426" spans="1:13" x14ac:dyDescent="0.25">
      <c r="A3426" s="1">
        <f t="shared" si="424"/>
        <v>46365</v>
      </c>
      <c r="B3426" t="str" cm="1">
        <f t="array" ref="B3426">INDEX(HotelList,MOD(ROW()-2,10)+1)</f>
        <v>H005</v>
      </c>
      <c r="C3426">
        <f>_xlfn.XLOOKUP(B3426,Dim_Hotel!$A$2:$A$11,Dim_Hotel!$F$2:$F$11)</f>
        <v>66</v>
      </c>
      <c r="D3426">
        <f t="shared" si="425"/>
        <v>36</v>
      </c>
      <c r="E3426">
        <f t="shared" si="426"/>
        <v>0.54545454545454541</v>
      </c>
      <c r="F3426">
        <f t="shared" si="427"/>
        <v>82</v>
      </c>
      <c r="G3426">
        <f t="shared" si="428"/>
        <v>44.727272727272727</v>
      </c>
      <c r="H3426" t="str">
        <f>_xlfn.XLOOKUP(A3426,Fact_Events!$D$2:$D$20,Fact_Events!$A$2:$A$20, "")</f>
        <v/>
      </c>
      <c r="I3426">
        <f t="shared" si="429"/>
        <v>0</v>
      </c>
      <c r="J3426" t="str">
        <f>_xlfn.XLOOKUP(H3426, Fact_Events!$A$2:$A$20, Fact_Events!$F$2:$F$20, "")</f>
        <v/>
      </c>
      <c r="K3426" t="str">
        <f t="shared" si="430"/>
        <v>Low</v>
      </c>
      <c r="L3426">
        <f t="shared" si="431"/>
        <v>0.55000000000000004</v>
      </c>
      <c r="M3426">
        <f>_xlfn.XLOOKUP(B3426, Dim_Hotel!$A$2:$A$11, Dim_Hotel!$I$2:$I$11)
 + (IF(J3426="",0,J3426)
    * _xlfn.XLOOKUP(B3426, Dim_Hotel!$A$2:$A$11, Dim_Hotel!$J$2:$J$11))</f>
        <v>82</v>
      </c>
    </row>
    <row r="3427" spans="1:13" x14ac:dyDescent="0.25">
      <c r="A3427" s="1">
        <f t="shared" si="424"/>
        <v>46365</v>
      </c>
      <c r="B3427" t="str" cm="1">
        <f t="array" ref="B3427">INDEX(HotelList,MOD(ROW()-2,10)+1)</f>
        <v>H006</v>
      </c>
      <c r="C3427">
        <f>_xlfn.XLOOKUP(B3427,Dim_Hotel!$A$2:$A$11,Dim_Hotel!$F$2:$F$11)</f>
        <v>311</v>
      </c>
      <c r="D3427">
        <f t="shared" si="425"/>
        <v>171</v>
      </c>
      <c r="E3427">
        <f t="shared" si="426"/>
        <v>0.54983922829581988</v>
      </c>
      <c r="F3427">
        <f t="shared" si="427"/>
        <v>190</v>
      </c>
      <c r="G3427">
        <f t="shared" si="428"/>
        <v>104.46945337620578</v>
      </c>
      <c r="H3427" t="str">
        <f>_xlfn.XLOOKUP(A3427,Fact_Events!$D$2:$D$20,Fact_Events!$A$2:$A$20, "")</f>
        <v/>
      </c>
      <c r="I3427">
        <f t="shared" si="429"/>
        <v>0</v>
      </c>
      <c r="J3427" t="str">
        <f>_xlfn.XLOOKUP(H3427, Fact_Events!$A$2:$A$20, Fact_Events!$F$2:$F$20, "")</f>
        <v/>
      </c>
      <c r="K3427" t="str">
        <f t="shared" si="430"/>
        <v>Low</v>
      </c>
      <c r="L3427">
        <f t="shared" si="431"/>
        <v>0.55000000000000004</v>
      </c>
      <c r="M3427">
        <f>_xlfn.XLOOKUP(B3427, Dim_Hotel!$A$2:$A$11, Dim_Hotel!$I$2:$I$11)
 + (IF(J3427="",0,J3427)
    * _xlfn.XLOOKUP(B3427, Dim_Hotel!$A$2:$A$11, Dim_Hotel!$J$2:$J$11))</f>
        <v>190</v>
      </c>
    </row>
    <row r="3428" spans="1:13" x14ac:dyDescent="0.25">
      <c r="A3428" s="1">
        <f t="shared" si="424"/>
        <v>46365</v>
      </c>
      <c r="B3428" t="str" cm="1">
        <f t="array" ref="B3428">INDEX(HotelList,MOD(ROW()-2,10)+1)</f>
        <v>H007</v>
      </c>
      <c r="C3428">
        <f>_xlfn.XLOOKUP(B3428,Dim_Hotel!$A$2:$A$11,Dim_Hotel!$F$2:$F$11)</f>
        <v>132</v>
      </c>
      <c r="D3428">
        <f t="shared" si="425"/>
        <v>73</v>
      </c>
      <c r="E3428">
        <f t="shared" si="426"/>
        <v>0.55303030303030298</v>
      </c>
      <c r="F3428">
        <f t="shared" si="427"/>
        <v>165</v>
      </c>
      <c r="G3428">
        <f t="shared" si="428"/>
        <v>91.249999999999986</v>
      </c>
      <c r="H3428" t="str">
        <f>_xlfn.XLOOKUP(A3428,Fact_Events!$D$2:$D$20,Fact_Events!$A$2:$A$20, "")</f>
        <v/>
      </c>
      <c r="I3428">
        <f t="shared" si="429"/>
        <v>0</v>
      </c>
      <c r="J3428" t="str">
        <f>_xlfn.XLOOKUP(H3428, Fact_Events!$A$2:$A$20, Fact_Events!$F$2:$F$20, "")</f>
        <v/>
      </c>
      <c r="K3428" t="str">
        <f t="shared" si="430"/>
        <v>Low</v>
      </c>
      <c r="L3428">
        <f t="shared" si="431"/>
        <v>0.55000000000000004</v>
      </c>
      <c r="M3428">
        <f>_xlfn.XLOOKUP(B3428, Dim_Hotel!$A$2:$A$11, Dim_Hotel!$I$2:$I$11)
 + (IF(J3428="",0,J3428)
    * _xlfn.XLOOKUP(B3428, Dim_Hotel!$A$2:$A$11, Dim_Hotel!$J$2:$J$11))</f>
        <v>165</v>
      </c>
    </row>
    <row r="3429" spans="1:13" x14ac:dyDescent="0.25">
      <c r="A3429" s="1">
        <f t="shared" si="424"/>
        <v>46365</v>
      </c>
      <c r="B3429" t="str" cm="1">
        <f t="array" ref="B3429">INDEX(HotelList,MOD(ROW()-2,10)+1)</f>
        <v>H008</v>
      </c>
      <c r="C3429">
        <f>_xlfn.XLOOKUP(B3429,Dim_Hotel!$A$2:$A$11,Dim_Hotel!$F$2:$F$11)</f>
        <v>103</v>
      </c>
      <c r="D3429">
        <f t="shared" si="425"/>
        <v>57</v>
      </c>
      <c r="E3429">
        <f t="shared" si="426"/>
        <v>0.55339805825242716</v>
      </c>
      <c r="F3429">
        <f t="shared" si="427"/>
        <v>140</v>
      </c>
      <c r="G3429">
        <f t="shared" si="428"/>
        <v>77.475728155339809</v>
      </c>
      <c r="H3429" t="str">
        <f>_xlfn.XLOOKUP(A3429,Fact_Events!$D$2:$D$20,Fact_Events!$A$2:$A$20, "")</f>
        <v/>
      </c>
      <c r="I3429">
        <f t="shared" si="429"/>
        <v>0</v>
      </c>
      <c r="J3429" t="str">
        <f>_xlfn.XLOOKUP(H3429, Fact_Events!$A$2:$A$20, Fact_Events!$F$2:$F$20, "")</f>
        <v/>
      </c>
      <c r="K3429" t="str">
        <f t="shared" si="430"/>
        <v>Low</v>
      </c>
      <c r="L3429">
        <f t="shared" si="431"/>
        <v>0.55000000000000004</v>
      </c>
      <c r="M3429">
        <f>_xlfn.XLOOKUP(B3429, Dim_Hotel!$A$2:$A$11, Dim_Hotel!$I$2:$I$11)
 + (IF(J3429="",0,J3429)
    * _xlfn.XLOOKUP(B3429, Dim_Hotel!$A$2:$A$11, Dim_Hotel!$J$2:$J$11))</f>
        <v>140</v>
      </c>
    </row>
    <row r="3430" spans="1:13" x14ac:dyDescent="0.25">
      <c r="A3430" s="1">
        <f t="shared" si="424"/>
        <v>46365</v>
      </c>
      <c r="B3430" t="str" cm="1">
        <f t="array" ref="B3430">INDEX(HotelList,MOD(ROW()-2,10)+1)</f>
        <v>H009</v>
      </c>
      <c r="C3430">
        <f>_xlfn.XLOOKUP(B3430,Dim_Hotel!$A$2:$A$11,Dim_Hotel!$F$2:$F$11)</f>
        <v>114</v>
      </c>
      <c r="D3430">
        <f t="shared" si="425"/>
        <v>63</v>
      </c>
      <c r="E3430">
        <f t="shared" si="426"/>
        <v>0.55263157894736847</v>
      </c>
      <c r="F3430">
        <f t="shared" si="427"/>
        <v>185</v>
      </c>
      <c r="G3430">
        <f t="shared" si="428"/>
        <v>102.23684210526316</v>
      </c>
      <c r="H3430" t="str">
        <f>_xlfn.XLOOKUP(A3430,Fact_Events!$D$2:$D$20,Fact_Events!$A$2:$A$20, "")</f>
        <v/>
      </c>
      <c r="I3430">
        <f t="shared" si="429"/>
        <v>0</v>
      </c>
      <c r="J3430" t="str">
        <f>_xlfn.XLOOKUP(H3430, Fact_Events!$A$2:$A$20, Fact_Events!$F$2:$F$20, "")</f>
        <v/>
      </c>
      <c r="K3430" t="str">
        <f t="shared" si="430"/>
        <v>Low</v>
      </c>
      <c r="L3430">
        <f t="shared" si="431"/>
        <v>0.55000000000000004</v>
      </c>
      <c r="M3430">
        <f>_xlfn.XLOOKUP(B3430, Dim_Hotel!$A$2:$A$11, Dim_Hotel!$I$2:$I$11)
 + (IF(J3430="",0,J3430)
    * _xlfn.XLOOKUP(B3430, Dim_Hotel!$A$2:$A$11, Dim_Hotel!$J$2:$J$11))</f>
        <v>185</v>
      </c>
    </row>
    <row r="3431" spans="1:13" x14ac:dyDescent="0.25">
      <c r="A3431" s="1">
        <f t="shared" si="424"/>
        <v>46365</v>
      </c>
      <c r="B3431" t="str" cm="1">
        <f t="array" ref="B3431">INDEX(HotelList,MOD(ROW()-2,10)+1)</f>
        <v>H010</v>
      </c>
      <c r="C3431">
        <f>_xlfn.XLOOKUP(B3431,Dim_Hotel!$A$2:$A$11,Dim_Hotel!$F$2:$F$11)</f>
        <v>89</v>
      </c>
      <c r="D3431">
        <f t="shared" si="425"/>
        <v>49</v>
      </c>
      <c r="E3431">
        <f t="shared" si="426"/>
        <v>0.550561797752809</v>
      </c>
      <c r="F3431">
        <f t="shared" si="427"/>
        <v>150</v>
      </c>
      <c r="G3431">
        <f t="shared" si="428"/>
        <v>82.584269662921344</v>
      </c>
      <c r="H3431" t="str">
        <f>_xlfn.XLOOKUP(A3431,Fact_Events!$D$2:$D$20,Fact_Events!$A$2:$A$20, "")</f>
        <v/>
      </c>
      <c r="I3431">
        <f t="shared" si="429"/>
        <v>0</v>
      </c>
      <c r="J3431" t="str">
        <f>_xlfn.XLOOKUP(H3431, Fact_Events!$A$2:$A$20, Fact_Events!$F$2:$F$20, "")</f>
        <v/>
      </c>
      <c r="K3431" t="str">
        <f t="shared" si="430"/>
        <v>Low</v>
      </c>
      <c r="L3431">
        <f t="shared" si="431"/>
        <v>0.55000000000000004</v>
      </c>
      <c r="M3431">
        <f>_xlfn.XLOOKUP(B3431, Dim_Hotel!$A$2:$A$11, Dim_Hotel!$I$2:$I$11)
 + (IF(J3431="",0,J3431)
    * _xlfn.XLOOKUP(B3431, Dim_Hotel!$A$2:$A$11, Dim_Hotel!$J$2:$J$11))</f>
        <v>150</v>
      </c>
    </row>
    <row r="3432" spans="1:13" x14ac:dyDescent="0.25">
      <c r="A3432" s="1">
        <f t="shared" si="424"/>
        <v>46366</v>
      </c>
      <c r="B3432" t="str" cm="1">
        <f t="array" ref="B3432">INDEX(HotelList,MOD(ROW()-2,10)+1)</f>
        <v>H001</v>
      </c>
      <c r="C3432">
        <f>_xlfn.XLOOKUP(B3432,Dim_Hotel!$A$2:$A$11,Dim_Hotel!$F$2:$F$11)</f>
        <v>888</v>
      </c>
      <c r="D3432">
        <f t="shared" si="425"/>
        <v>488</v>
      </c>
      <c r="E3432">
        <f t="shared" si="426"/>
        <v>0.5495495495495496</v>
      </c>
      <c r="F3432">
        <f t="shared" si="427"/>
        <v>260</v>
      </c>
      <c r="G3432">
        <f t="shared" si="428"/>
        <v>142.88288288288288</v>
      </c>
      <c r="H3432" t="str">
        <f>_xlfn.XLOOKUP(A3432,Fact_Events!$D$2:$D$20,Fact_Events!$A$2:$A$20, "")</f>
        <v/>
      </c>
      <c r="I3432">
        <f t="shared" si="429"/>
        <v>0</v>
      </c>
      <c r="J3432" t="str">
        <f>_xlfn.XLOOKUP(H3432, Fact_Events!$A$2:$A$20, Fact_Events!$F$2:$F$20, "")</f>
        <v/>
      </c>
      <c r="K3432" t="str">
        <f t="shared" si="430"/>
        <v>Low</v>
      </c>
      <c r="L3432">
        <f t="shared" si="431"/>
        <v>0.55000000000000004</v>
      </c>
      <c r="M3432">
        <f>_xlfn.XLOOKUP(B3432, Dim_Hotel!$A$2:$A$11, Dim_Hotel!$I$2:$I$11)
 + (IF(J3432="",0,J3432)
    * _xlfn.XLOOKUP(B3432, Dim_Hotel!$A$2:$A$11, Dim_Hotel!$J$2:$J$11))</f>
        <v>260</v>
      </c>
    </row>
    <row r="3433" spans="1:13" x14ac:dyDescent="0.25">
      <c r="A3433" s="1">
        <f t="shared" si="424"/>
        <v>46366</v>
      </c>
      <c r="B3433" t="str" cm="1">
        <f t="array" ref="B3433">INDEX(HotelList,MOD(ROW()-2,10)+1)</f>
        <v>H002</v>
      </c>
      <c r="C3433">
        <f>_xlfn.XLOOKUP(B3433,Dim_Hotel!$A$2:$A$11,Dim_Hotel!$F$2:$F$11)</f>
        <v>147</v>
      </c>
      <c r="D3433">
        <f t="shared" si="425"/>
        <v>81</v>
      </c>
      <c r="E3433">
        <f t="shared" si="426"/>
        <v>0.55102040816326525</v>
      </c>
      <c r="F3433">
        <f t="shared" si="427"/>
        <v>175</v>
      </c>
      <c r="G3433">
        <f t="shared" si="428"/>
        <v>96.428571428571416</v>
      </c>
      <c r="H3433" t="str">
        <f>_xlfn.XLOOKUP(A3433,Fact_Events!$D$2:$D$20,Fact_Events!$A$2:$A$20, "")</f>
        <v/>
      </c>
      <c r="I3433">
        <f t="shared" si="429"/>
        <v>0</v>
      </c>
      <c r="J3433" t="str">
        <f>_xlfn.XLOOKUP(H3433, Fact_Events!$A$2:$A$20, Fact_Events!$F$2:$F$20, "")</f>
        <v/>
      </c>
      <c r="K3433" t="str">
        <f t="shared" si="430"/>
        <v>Low</v>
      </c>
      <c r="L3433">
        <f t="shared" si="431"/>
        <v>0.55000000000000004</v>
      </c>
      <c r="M3433">
        <f>_xlfn.XLOOKUP(B3433, Dim_Hotel!$A$2:$A$11, Dim_Hotel!$I$2:$I$11)
 + (IF(J3433="",0,J3433)
    * _xlfn.XLOOKUP(B3433, Dim_Hotel!$A$2:$A$11, Dim_Hotel!$J$2:$J$11))</f>
        <v>175</v>
      </c>
    </row>
    <row r="3434" spans="1:13" x14ac:dyDescent="0.25">
      <c r="A3434" s="1">
        <f t="shared" si="424"/>
        <v>46366</v>
      </c>
      <c r="B3434" t="str" cm="1">
        <f t="array" ref="B3434">INDEX(HotelList,MOD(ROW()-2,10)+1)</f>
        <v>H003</v>
      </c>
      <c r="C3434">
        <f>_xlfn.XLOOKUP(B3434,Dim_Hotel!$A$2:$A$11,Dim_Hotel!$F$2:$F$11)</f>
        <v>121</v>
      </c>
      <c r="D3434">
        <f t="shared" si="425"/>
        <v>67</v>
      </c>
      <c r="E3434">
        <f t="shared" si="426"/>
        <v>0.55371900826446285</v>
      </c>
      <c r="F3434">
        <f t="shared" si="427"/>
        <v>145</v>
      </c>
      <c r="G3434">
        <f t="shared" si="428"/>
        <v>80.289256198347118</v>
      </c>
      <c r="H3434" t="str">
        <f>_xlfn.XLOOKUP(A3434,Fact_Events!$D$2:$D$20,Fact_Events!$A$2:$A$20, "")</f>
        <v/>
      </c>
      <c r="I3434">
        <f t="shared" si="429"/>
        <v>0</v>
      </c>
      <c r="J3434" t="str">
        <f>_xlfn.XLOOKUP(H3434, Fact_Events!$A$2:$A$20, Fact_Events!$F$2:$F$20, "")</f>
        <v/>
      </c>
      <c r="K3434" t="str">
        <f t="shared" si="430"/>
        <v>Low</v>
      </c>
      <c r="L3434">
        <f t="shared" si="431"/>
        <v>0.55000000000000004</v>
      </c>
      <c r="M3434">
        <f>_xlfn.XLOOKUP(B3434, Dim_Hotel!$A$2:$A$11, Dim_Hotel!$I$2:$I$11)
 + (IF(J3434="",0,J3434)
    * _xlfn.XLOOKUP(B3434, Dim_Hotel!$A$2:$A$11, Dim_Hotel!$J$2:$J$11))</f>
        <v>145</v>
      </c>
    </row>
    <row r="3435" spans="1:13" x14ac:dyDescent="0.25">
      <c r="A3435" s="1">
        <f t="shared" si="424"/>
        <v>46366</v>
      </c>
      <c r="B3435" t="str" cm="1">
        <f t="array" ref="B3435">INDEX(HotelList,MOD(ROW()-2,10)+1)</f>
        <v>H004</v>
      </c>
      <c r="C3435">
        <f>_xlfn.XLOOKUP(B3435,Dim_Hotel!$A$2:$A$11,Dim_Hotel!$F$2:$F$11)</f>
        <v>108</v>
      </c>
      <c r="D3435">
        <f t="shared" si="425"/>
        <v>59</v>
      </c>
      <c r="E3435">
        <f t="shared" si="426"/>
        <v>0.54629629629629628</v>
      </c>
      <c r="F3435">
        <f t="shared" si="427"/>
        <v>135</v>
      </c>
      <c r="G3435">
        <f t="shared" si="428"/>
        <v>73.75</v>
      </c>
      <c r="H3435" t="str">
        <f>_xlfn.XLOOKUP(A3435,Fact_Events!$D$2:$D$20,Fact_Events!$A$2:$A$20, "")</f>
        <v/>
      </c>
      <c r="I3435">
        <f t="shared" si="429"/>
        <v>0</v>
      </c>
      <c r="J3435" t="str">
        <f>_xlfn.XLOOKUP(H3435, Fact_Events!$A$2:$A$20, Fact_Events!$F$2:$F$20, "")</f>
        <v/>
      </c>
      <c r="K3435" t="str">
        <f t="shared" si="430"/>
        <v>Low</v>
      </c>
      <c r="L3435">
        <f t="shared" si="431"/>
        <v>0.55000000000000004</v>
      </c>
      <c r="M3435">
        <f>_xlfn.XLOOKUP(B3435, Dim_Hotel!$A$2:$A$11, Dim_Hotel!$I$2:$I$11)
 + (IF(J3435="",0,J3435)
    * _xlfn.XLOOKUP(B3435, Dim_Hotel!$A$2:$A$11, Dim_Hotel!$J$2:$J$11))</f>
        <v>135</v>
      </c>
    </row>
    <row r="3436" spans="1:13" x14ac:dyDescent="0.25">
      <c r="A3436" s="1">
        <f t="shared" si="424"/>
        <v>46366</v>
      </c>
      <c r="B3436" t="str" cm="1">
        <f t="array" ref="B3436">INDEX(HotelList,MOD(ROW()-2,10)+1)</f>
        <v>H005</v>
      </c>
      <c r="C3436">
        <f>_xlfn.XLOOKUP(B3436,Dim_Hotel!$A$2:$A$11,Dim_Hotel!$F$2:$F$11)</f>
        <v>66</v>
      </c>
      <c r="D3436">
        <f t="shared" si="425"/>
        <v>36</v>
      </c>
      <c r="E3436">
        <f t="shared" si="426"/>
        <v>0.54545454545454541</v>
      </c>
      <c r="F3436">
        <f t="shared" si="427"/>
        <v>82</v>
      </c>
      <c r="G3436">
        <f t="shared" si="428"/>
        <v>44.727272727272727</v>
      </c>
      <c r="H3436" t="str">
        <f>_xlfn.XLOOKUP(A3436,Fact_Events!$D$2:$D$20,Fact_Events!$A$2:$A$20, "")</f>
        <v/>
      </c>
      <c r="I3436">
        <f t="shared" si="429"/>
        <v>0</v>
      </c>
      <c r="J3436" t="str">
        <f>_xlfn.XLOOKUP(H3436, Fact_Events!$A$2:$A$20, Fact_Events!$F$2:$F$20, "")</f>
        <v/>
      </c>
      <c r="K3436" t="str">
        <f t="shared" si="430"/>
        <v>Low</v>
      </c>
      <c r="L3436">
        <f t="shared" si="431"/>
        <v>0.55000000000000004</v>
      </c>
      <c r="M3436">
        <f>_xlfn.XLOOKUP(B3436, Dim_Hotel!$A$2:$A$11, Dim_Hotel!$I$2:$I$11)
 + (IF(J3436="",0,J3436)
    * _xlfn.XLOOKUP(B3436, Dim_Hotel!$A$2:$A$11, Dim_Hotel!$J$2:$J$11))</f>
        <v>82</v>
      </c>
    </row>
    <row r="3437" spans="1:13" x14ac:dyDescent="0.25">
      <c r="A3437" s="1">
        <f t="shared" si="424"/>
        <v>46366</v>
      </c>
      <c r="B3437" t="str" cm="1">
        <f t="array" ref="B3437">INDEX(HotelList,MOD(ROW()-2,10)+1)</f>
        <v>H006</v>
      </c>
      <c r="C3437">
        <f>_xlfn.XLOOKUP(B3437,Dim_Hotel!$A$2:$A$11,Dim_Hotel!$F$2:$F$11)</f>
        <v>311</v>
      </c>
      <c r="D3437">
        <f t="shared" si="425"/>
        <v>171</v>
      </c>
      <c r="E3437">
        <f t="shared" si="426"/>
        <v>0.54983922829581988</v>
      </c>
      <c r="F3437">
        <f t="shared" si="427"/>
        <v>190</v>
      </c>
      <c r="G3437">
        <f t="shared" si="428"/>
        <v>104.46945337620578</v>
      </c>
      <c r="H3437" t="str">
        <f>_xlfn.XLOOKUP(A3437,Fact_Events!$D$2:$D$20,Fact_Events!$A$2:$A$20, "")</f>
        <v/>
      </c>
      <c r="I3437">
        <f t="shared" si="429"/>
        <v>0</v>
      </c>
      <c r="J3437" t="str">
        <f>_xlfn.XLOOKUP(H3437, Fact_Events!$A$2:$A$20, Fact_Events!$F$2:$F$20, "")</f>
        <v/>
      </c>
      <c r="K3437" t="str">
        <f t="shared" si="430"/>
        <v>Low</v>
      </c>
      <c r="L3437">
        <f t="shared" si="431"/>
        <v>0.55000000000000004</v>
      </c>
      <c r="M3437">
        <f>_xlfn.XLOOKUP(B3437, Dim_Hotel!$A$2:$A$11, Dim_Hotel!$I$2:$I$11)
 + (IF(J3437="",0,J3437)
    * _xlfn.XLOOKUP(B3437, Dim_Hotel!$A$2:$A$11, Dim_Hotel!$J$2:$J$11))</f>
        <v>190</v>
      </c>
    </row>
    <row r="3438" spans="1:13" x14ac:dyDescent="0.25">
      <c r="A3438" s="1">
        <f t="shared" si="424"/>
        <v>46366</v>
      </c>
      <c r="B3438" t="str" cm="1">
        <f t="array" ref="B3438">INDEX(HotelList,MOD(ROW()-2,10)+1)</f>
        <v>H007</v>
      </c>
      <c r="C3438">
        <f>_xlfn.XLOOKUP(B3438,Dim_Hotel!$A$2:$A$11,Dim_Hotel!$F$2:$F$11)</f>
        <v>132</v>
      </c>
      <c r="D3438">
        <f t="shared" si="425"/>
        <v>73</v>
      </c>
      <c r="E3438">
        <f t="shared" si="426"/>
        <v>0.55303030303030298</v>
      </c>
      <c r="F3438">
        <f t="shared" si="427"/>
        <v>165</v>
      </c>
      <c r="G3438">
        <f t="shared" si="428"/>
        <v>91.249999999999986</v>
      </c>
      <c r="H3438" t="str">
        <f>_xlfn.XLOOKUP(A3438,Fact_Events!$D$2:$D$20,Fact_Events!$A$2:$A$20, "")</f>
        <v/>
      </c>
      <c r="I3438">
        <f t="shared" si="429"/>
        <v>0</v>
      </c>
      <c r="J3438" t="str">
        <f>_xlfn.XLOOKUP(H3438, Fact_Events!$A$2:$A$20, Fact_Events!$F$2:$F$20, "")</f>
        <v/>
      </c>
      <c r="K3438" t="str">
        <f t="shared" si="430"/>
        <v>Low</v>
      </c>
      <c r="L3438">
        <f t="shared" si="431"/>
        <v>0.55000000000000004</v>
      </c>
      <c r="M3438">
        <f>_xlfn.XLOOKUP(B3438, Dim_Hotel!$A$2:$A$11, Dim_Hotel!$I$2:$I$11)
 + (IF(J3438="",0,J3438)
    * _xlfn.XLOOKUP(B3438, Dim_Hotel!$A$2:$A$11, Dim_Hotel!$J$2:$J$11))</f>
        <v>165</v>
      </c>
    </row>
    <row r="3439" spans="1:13" x14ac:dyDescent="0.25">
      <c r="A3439" s="1">
        <f t="shared" si="424"/>
        <v>46366</v>
      </c>
      <c r="B3439" t="str" cm="1">
        <f t="array" ref="B3439">INDEX(HotelList,MOD(ROW()-2,10)+1)</f>
        <v>H008</v>
      </c>
      <c r="C3439">
        <f>_xlfn.XLOOKUP(B3439,Dim_Hotel!$A$2:$A$11,Dim_Hotel!$F$2:$F$11)</f>
        <v>103</v>
      </c>
      <c r="D3439">
        <f t="shared" si="425"/>
        <v>57</v>
      </c>
      <c r="E3439">
        <f t="shared" si="426"/>
        <v>0.55339805825242716</v>
      </c>
      <c r="F3439">
        <f t="shared" si="427"/>
        <v>140</v>
      </c>
      <c r="G3439">
        <f t="shared" si="428"/>
        <v>77.475728155339809</v>
      </c>
      <c r="H3439" t="str">
        <f>_xlfn.XLOOKUP(A3439,Fact_Events!$D$2:$D$20,Fact_Events!$A$2:$A$20, "")</f>
        <v/>
      </c>
      <c r="I3439">
        <f t="shared" si="429"/>
        <v>0</v>
      </c>
      <c r="J3439" t="str">
        <f>_xlfn.XLOOKUP(H3439, Fact_Events!$A$2:$A$20, Fact_Events!$F$2:$F$20, "")</f>
        <v/>
      </c>
      <c r="K3439" t="str">
        <f t="shared" si="430"/>
        <v>Low</v>
      </c>
      <c r="L3439">
        <f t="shared" si="431"/>
        <v>0.55000000000000004</v>
      </c>
      <c r="M3439">
        <f>_xlfn.XLOOKUP(B3439, Dim_Hotel!$A$2:$A$11, Dim_Hotel!$I$2:$I$11)
 + (IF(J3439="",0,J3439)
    * _xlfn.XLOOKUP(B3439, Dim_Hotel!$A$2:$A$11, Dim_Hotel!$J$2:$J$11))</f>
        <v>140</v>
      </c>
    </row>
    <row r="3440" spans="1:13" x14ac:dyDescent="0.25">
      <c r="A3440" s="1">
        <f t="shared" si="424"/>
        <v>46366</v>
      </c>
      <c r="B3440" t="str" cm="1">
        <f t="array" ref="B3440">INDEX(HotelList,MOD(ROW()-2,10)+1)</f>
        <v>H009</v>
      </c>
      <c r="C3440">
        <f>_xlfn.XLOOKUP(B3440,Dim_Hotel!$A$2:$A$11,Dim_Hotel!$F$2:$F$11)</f>
        <v>114</v>
      </c>
      <c r="D3440">
        <f t="shared" si="425"/>
        <v>63</v>
      </c>
      <c r="E3440">
        <f t="shared" si="426"/>
        <v>0.55263157894736847</v>
      </c>
      <c r="F3440">
        <f t="shared" si="427"/>
        <v>185</v>
      </c>
      <c r="G3440">
        <f t="shared" si="428"/>
        <v>102.23684210526316</v>
      </c>
      <c r="H3440" t="str">
        <f>_xlfn.XLOOKUP(A3440,Fact_Events!$D$2:$D$20,Fact_Events!$A$2:$A$20, "")</f>
        <v/>
      </c>
      <c r="I3440">
        <f t="shared" si="429"/>
        <v>0</v>
      </c>
      <c r="J3440" t="str">
        <f>_xlfn.XLOOKUP(H3440, Fact_Events!$A$2:$A$20, Fact_Events!$F$2:$F$20, "")</f>
        <v/>
      </c>
      <c r="K3440" t="str">
        <f t="shared" si="430"/>
        <v>Low</v>
      </c>
      <c r="L3440">
        <f t="shared" si="431"/>
        <v>0.55000000000000004</v>
      </c>
      <c r="M3440">
        <f>_xlfn.XLOOKUP(B3440, Dim_Hotel!$A$2:$A$11, Dim_Hotel!$I$2:$I$11)
 + (IF(J3440="",0,J3440)
    * _xlfn.XLOOKUP(B3440, Dim_Hotel!$A$2:$A$11, Dim_Hotel!$J$2:$J$11))</f>
        <v>185</v>
      </c>
    </row>
    <row r="3441" spans="1:13" x14ac:dyDescent="0.25">
      <c r="A3441" s="1">
        <f t="shared" si="424"/>
        <v>46366</v>
      </c>
      <c r="B3441" t="str" cm="1">
        <f t="array" ref="B3441">INDEX(HotelList,MOD(ROW()-2,10)+1)</f>
        <v>H010</v>
      </c>
      <c r="C3441">
        <f>_xlfn.XLOOKUP(B3441,Dim_Hotel!$A$2:$A$11,Dim_Hotel!$F$2:$F$11)</f>
        <v>89</v>
      </c>
      <c r="D3441">
        <f t="shared" si="425"/>
        <v>49</v>
      </c>
      <c r="E3441">
        <f t="shared" si="426"/>
        <v>0.550561797752809</v>
      </c>
      <c r="F3441">
        <f t="shared" si="427"/>
        <v>150</v>
      </c>
      <c r="G3441">
        <f t="shared" si="428"/>
        <v>82.584269662921344</v>
      </c>
      <c r="H3441" t="str">
        <f>_xlfn.XLOOKUP(A3441,Fact_Events!$D$2:$D$20,Fact_Events!$A$2:$A$20, "")</f>
        <v/>
      </c>
      <c r="I3441">
        <f t="shared" si="429"/>
        <v>0</v>
      </c>
      <c r="J3441" t="str">
        <f>_xlfn.XLOOKUP(H3441, Fact_Events!$A$2:$A$20, Fact_Events!$F$2:$F$20, "")</f>
        <v/>
      </c>
      <c r="K3441" t="str">
        <f t="shared" si="430"/>
        <v>Low</v>
      </c>
      <c r="L3441">
        <f t="shared" si="431"/>
        <v>0.55000000000000004</v>
      </c>
      <c r="M3441">
        <f>_xlfn.XLOOKUP(B3441, Dim_Hotel!$A$2:$A$11, Dim_Hotel!$I$2:$I$11)
 + (IF(J3441="",0,J3441)
    * _xlfn.XLOOKUP(B3441, Dim_Hotel!$A$2:$A$11, Dim_Hotel!$J$2:$J$11))</f>
        <v>150</v>
      </c>
    </row>
    <row r="3442" spans="1:13" x14ac:dyDescent="0.25">
      <c r="A3442" s="1">
        <f t="shared" si="424"/>
        <v>46367</v>
      </c>
      <c r="B3442" t="str" cm="1">
        <f t="array" ref="B3442">INDEX(HotelList,MOD(ROW()-2,10)+1)</f>
        <v>H001</v>
      </c>
      <c r="C3442">
        <f>_xlfn.XLOOKUP(B3442,Dim_Hotel!$A$2:$A$11,Dim_Hotel!$F$2:$F$11)</f>
        <v>888</v>
      </c>
      <c r="D3442">
        <f t="shared" si="425"/>
        <v>488</v>
      </c>
      <c r="E3442">
        <f t="shared" si="426"/>
        <v>0.5495495495495496</v>
      </c>
      <c r="F3442">
        <f t="shared" si="427"/>
        <v>260</v>
      </c>
      <c r="G3442">
        <f t="shared" si="428"/>
        <v>142.88288288288288</v>
      </c>
      <c r="H3442" t="str">
        <f>_xlfn.XLOOKUP(A3442,Fact_Events!$D$2:$D$20,Fact_Events!$A$2:$A$20, "")</f>
        <v/>
      </c>
      <c r="I3442">
        <f t="shared" si="429"/>
        <v>0</v>
      </c>
      <c r="J3442" t="str">
        <f>_xlfn.XLOOKUP(H3442, Fact_Events!$A$2:$A$20, Fact_Events!$F$2:$F$20, "")</f>
        <v/>
      </c>
      <c r="K3442" t="str">
        <f t="shared" si="430"/>
        <v>Low</v>
      </c>
      <c r="L3442">
        <f t="shared" si="431"/>
        <v>0.55000000000000004</v>
      </c>
      <c r="M3442">
        <f>_xlfn.XLOOKUP(B3442, Dim_Hotel!$A$2:$A$11, Dim_Hotel!$I$2:$I$11)
 + (IF(J3442="",0,J3442)
    * _xlfn.XLOOKUP(B3442, Dim_Hotel!$A$2:$A$11, Dim_Hotel!$J$2:$J$11))</f>
        <v>260</v>
      </c>
    </row>
    <row r="3443" spans="1:13" x14ac:dyDescent="0.25">
      <c r="A3443" s="1">
        <f t="shared" si="424"/>
        <v>46367</v>
      </c>
      <c r="B3443" t="str" cm="1">
        <f t="array" ref="B3443">INDEX(HotelList,MOD(ROW()-2,10)+1)</f>
        <v>H002</v>
      </c>
      <c r="C3443">
        <f>_xlfn.XLOOKUP(B3443,Dim_Hotel!$A$2:$A$11,Dim_Hotel!$F$2:$F$11)</f>
        <v>147</v>
      </c>
      <c r="D3443">
        <f t="shared" si="425"/>
        <v>81</v>
      </c>
      <c r="E3443">
        <f t="shared" si="426"/>
        <v>0.55102040816326525</v>
      </c>
      <c r="F3443">
        <f t="shared" si="427"/>
        <v>175</v>
      </c>
      <c r="G3443">
        <f t="shared" si="428"/>
        <v>96.428571428571416</v>
      </c>
      <c r="H3443" t="str">
        <f>_xlfn.XLOOKUP(A3443,Fact_Events!$D$2:$D$20,Fact_Events!$A$2:$A$20, "")</f>
        <v/>
      </c>
      <c r="I3443">
        <f t="shared" si="429"/>
        <v>0</v>
      </c>
      <c r="J3443" t="str">
        <f>_xlfn.XLOOKUP(H3443, Fact_Events!$A$2:$A$20, Fact_Events!$F$2:$F$20, "")</f>
        <v/>
      </c>
      <c r="K3443" t="str">
        <f t="shared" si="430"/>
        <v>Low</v>
      </c>
      <c r="L3443">
        <f t="shared" si="431"/>
        <v>0.55000000000000004</v>
      </c>
      <c r="M3443">
        <f>_xlfn.XLOOKUP(B3443, Dim_Hotel!$A$2:$A$11, Dim_Hotel!$I$2:$I$11)
 + (IF(J3443="",0,J3443)
    * _xlfn.XLOOKUP(B3443, Dim_Hotel!$A$2:$A$11, Dim_Hotel!$J$2:$J$11))</f>
        <v>175</v>
      </c>
    </row>
    <row r="3444" spans="1:13" x14ac:dyDescent="0.25">
      <c r="A3444" s="1">
        <f t="shared" si="424"/>
        <v>46367</v>
      </c>
      <c r="B3444" t="str" cm="1">
        <f t="array" ref="B3444">INDEX(HotelList,MOD(ROW()-2,10)+1)</f>
        <v>H003</v>
      </c>
      <c r="C3444">
        <f>_xlfn.XLOOKUP(B3444,Dim_Hotel!$A$2:$A$11,Dim_Hotel!$F$2:$F$11)</f>
        <v>121</v>
      </c>
      <c r="D3444">
        <f t="shared" si="425"/>
        <v>67</v>
      </c>
      <c r="E3444">
        <f t="shared" si="426"/>
        <v>0.55371900826446285</v>
      </c>
      <c r="F3444">
        <f t="shared" si="427"/>
        <v>145</v>
      </c>
      <c r="G3444">
        <f t="shared" si="428"/>
        <v>80.289256198347118</v>
      </c>
      <c r="H3444" t="str">
        <f>_xlfn.XLOOKUP(A3444,Fact_Events!$D$2:$D$20,Fact_Events!$A$2:$A$20, "")</f>
        <v/>
      </c>
      <c r="I3444">
        <f t="shared" si="429"/>
        <v>0</v>
      </c>
      <c r="J3444" t="str">
        <f>_xlfn.XLOOKUP(H3444, Fact_Events!$A$2:$A$20, Fact_Events!$F$2:$F$20, "")</f>
        <v/>
      </c>
      <c r="K3444" t="str">
        <f t="shared" si="430"/>
        <v>Low</v>
      </c>
      <c r="L3444">
        <f t="shared" si="431"/>
        <v>0.55000000000000004</v>
      </c>
      <c r="M3444">
        <f>_xlfn.XLOOKUP(B3444, Dim_Hotel!$A$2:$A$11, Dim_Hotel!$I$2:$I$11)
 + (IF(J3444="",0,J3444)
    * _xlfn.XLOOKUP(B3444, Dim_Hotel!$A$2:$A$11, Dim_Hotel!$J$2:$J$11))</f>
        <v>145</v>
      </c>
    </row>
    <row r="3445" spans="1:13" x14ac:dyDescent="0.25">
      <c r="A3445" s="1">
        <f t="shared" si="424"/>
        <v>46367</v>
      </c>
      <c r="B3445" t="str" cm="1">
        <f t="array" ref="B3445">INDEX(HotelList,MOD(ROW()-2,10)+1)</f>
        <v>H004</v>
      </c>
      <c r="C3445">
        <f>_xlfn.XLOOKUP(B3445,Dim_Hotel!$A$2:$A$11,Dim_Hotel!$F$2:$F$11)</f>
        <v>108</v>
      </c>
      <c r="D3445">
        <f t="shared" si="425"/>
        <v>59</v>
      </c>
      <c r="E3445">
        <f t="shared" si="426"/>
        <v>0.54629629629629628</v>
      </c>
      <c r="F3445">
        <f t="shared" si="427"/>
        <v>135</v>
      </c>
      <c r="G3445">
        <f t="shared" si="428"/>
        <v>73.75</v>
      </c>
      <c r="H3445" t="str">
        <f>_xlfn.XLOOKUP(A3445,Fact_Events!$D$2:$D$20,Fact_Events!$A$2:$A$20, "")</f>
        <v/>
      </c>
      <c r="I3445">
        <f t="shared" si="429"/>
        <v>0</v>
      </c>
      <c r="J3445" t="str">
        <f>_xlfn.XLOOKUP(H3445, Fact_Events!$A$2:$A$20, Fact_Events!$F$2:$F$20, "")</f>
        <v/>
      </c>
      <c r="K3445" t="str">
        <f t="shared" si="430"/>
        <v>Low</v>
      </c>
      <c r="L3445">
        <f t="shared" si="431"/>
        <v>0.55000000000000004</v>
      </c>
      <c r="M3445">
        <f>_xlfn.XLOOKUP(B3445, Dim_Hotel!$A$2:$A$11, Dim_Hotel!$I$2:$I$11)
 + (IF(J3445="",0,J3445)
    * _xlfn.XLOOKUP(B3445, Dim_Hotel!$A$2:$A$11, Dim_Hotel!$J$2:$J$11))</f>
        <v>135</v>
      </c>
    </row>
    <row r="3446" spans="1:13" x14ac:dyDescent="0.25">
      <c r="A3446" s="1">
        <f t="shared" si="424"/>
        <v>46367</v>
      </c>
      <c r="B3446" t="str" cm="1">
        <f t="array" ref="B3446">INDEX(HotelList,MOD(ROW()-2,10)+1)</f>
        <v>H005</v>
      </c>
      <c r="C3446">
        <f>_xlfn.XLOOKUP(B3446,Dim_Hotel!$A$2:$A$11,Dim_Hotel!$F$2:$F$11)</f>
        <v>66</v>
      </c>
      <c r="D3446">
        <f t="shared" si="425"/>
        <v>36</v>
      </c>
      <c r="E3446">
        <f t="shared" si="426"/>
        <v>0.54545454545454541</v>
      </c>
      <c r="F3446">
        <f t="shared" si="427"/>
        <v>82</v>
      </c>
      <c r="G3446">
        <f t="shared" si="428"/>
        <v>44.727272727272727</v>
      </c>
      <c r="H3446" t="str">
        <f>_xlfn.XLOOKUP(A3446,Fact_Events!$D$2:$D$20,Fact_Events!$A$2:$A$20, "")</f>
        <v/>
      </c>
      <c r="I3446">
        <f t="shared" si="429"/>
        <v>0</v>
      </c>
      <c r="J3446" t="str">
        <f>_xlfn.XLOOKUP(H3446, Fact_Events!$A$2:$A$20, Fact_Events!$F$2:$F$20, "")</f>
        <v/>
      </c>
      <c r="K3446" t="str">
        <f t="shared" si="430"/>
        <v>Low</v>
      </c>
      <c r="L3446">
        <f t="shared" si="431"/>
        <v>0.55000000000000004</v>
      </c>
      <c r="M3446">
        <f>_xlfn.XLOOKUP(B3446, Dim_Hotel!$A$2:$A$11, Dim_Hotel!$I$2:$I$11)
 + (IF(J3446="",0,J3446)
    * _xlfn.XLOOKUP(B3446, Dim_Hotel!$A$2:$A$11, Dim_Hotel!$J$2:$J$11))</f>
        <v>82</v>
      </c>
    </row>
    <row r="3447" spans="1:13" x14ac:dyDescent="0.25">
      <c r="A3447" s="1">
        <f t="shared" si="424"/>
        <v>46367</v>
      </c>
      <c r="B3447" t="str" cm="1">
        <f t="array" ref="B3447">INDEX(HotelList,MOD(ROW()-2,10)+1)</f>
        <v>H006</v>
      </c>
      <c r="C3447">
        <f>_xlfn.XLOOKUP(B3447,Dim_Hotel!$A$2:$A$11,Dim_Hotel!$F$2:$F$11)</f>
        <v>311</v>
      </c>
      <c r="D3447">
        <f t="shared" si="425"/>
        <v>171</v>
      </c>
      <c r="E3447">
        <f t="shared" si="426"/>
        <v>0.54983922829581988</v>
      </c>
      <c r="F3447">
        <f t="shared" si="427"/>
        <v>190</v>
      </c>
      <c r="G3447">
        <f t="shared" si="428"/>
        <v>104.46945337620578</v>
      </c>
      <c r="H3447" t="str">
        <f>_xlfn.XLOOKUP(A3447,Fact_Events!$D$2:$D$20,Fact_Events!$A$2:$A$20, "")</f>
        <v/>
      </c>
      <c r="I3447">
        <f t="shared" si="429"/>
        <v>0</v>
      </c>
      <c r="J3447" t="str">
        <f>_xlfn.XLOOKUP(H3447, Fact_Events!$A$2:$A$20, Fact_Events!$F$2:$F$20, "")</f>
        <v/>
      </c>
      <c r="K3447" t="str">
        <f t="shared" si="430"/>
        <v>Low</v>
      </c>
      <c r="L3447">
        <f t="shared" si="431"/>
        <v>0.55000000000000004</v>
      </c>
      <c r="M3447">
        <f>_xlfn.XLOOKUP(B3447, Dim_Hotel!$A$2:$A$11, Dim_Hotel!$I$2:$I$11)
 + (IF(J3447="",0,J3447)
    * _xlfn.XLOOKUP(B3447, Dim_Hotel!$A$2:$A$11, Dim_Hotel!$J$2:$J$11))</f>
        <v>190</v>
      </c>
    </row>
    <row r="3448" spans="1:13" x14ac:dyDescent="0.25">
      <c r="A3448" s="1">
        <f t="shared" si="424"/>
        <v>46367</v>
      </c>
      <c r="B3448" t="str" cm="1">
        <f t="array" ref="B3448">INDEX(HotelList,MOD(ROW()-2,10)+1)</f>
        <v>H007</v>
      </c>
      <c r="C3448">
        <f>_xlfn.XLOOKUP(B3448,Dim_Hotel!$A$2:$A$11,Dim_Hotel!$F$2:$F$11)</f>
        <v>132</v>
      </c>
      <c r="D3448">
        <f t="shared" si="425"/>
        <v>73</v>
      </c>
      <c r="E3448">
        <f t="shared" si="426"/>
        <v>0.55303030303030298</v>
      </c>
      <c r="F3448">
        <f t="shared" si="427"/>
        <v>165</v>
      </c>
      <c r="G3448">
        <f t="shared" si="428"/>
        <v>91.249999999999986</v>
      </c>
      <c r="H3448" t="str">
        <f>_xlfn.XLOOKUP(A3448,Fact_Events!$D$2:$D$20,Fact_Events!$A$2:$A$20, "")</f>
        <v/>
      </c>
      <c r="I3448">
        <f t="shared" si="429"/>
        <v>0</v>
      </c>
      <c r="J3448" t="str">
        <f>_xlfn.XLOOKUP(H3448, Fact_Events!$A$2:$A$20, Fact_Events!$F$2:$F$20, "")</f>
        <v/>
      </c>
      <c r="K3448" t="str">
        <f t="shared" si="430"/>
        <v>Low</v>
      </c>
      <c r="L3448">
        <f t="shared" si="431"/>
        <v>0.55000000000000004</v>
      </c>
      <c r="M3448">
        <f>_xlfn.XLOOKUP(B3448, Dim_Hotel!$A$2:$A$11, Dim_Hotel!$I$2:$I$11)
 + (IF(J3448="",0,J3448)
    * _xlfn.XLOOKUP(B3448, Dim_Hotel!$A$2:$A$11, Dim_Hotel!$J$2:$J$11))</f>
        <v>165</v>
      </c>
    </row>
    <row r="3449" spans="1:13" x14ac:dyDescent="0.25">
      <c r="A3449" s="1">
        <f t="shared" si="424"/>
        <v>46367</v>
      </c>
      <c r="B3449" t="str" cm="1">
        <f t="array" ref="B3449">INDEX(HotelList,MOD(ROW()-2,10)+1)</f>
        <v>H008</v>
      </c>
      <c r="C3449">
        <f>_xlfn.XLOOKUP(B3449,Dim_Hotel!$A$2:$A$11,Dim_Hotel!$F$2:$F$11)</f>
        <v>103</v>
      </c>
      <c r="D3449">
        <f t="shared" si="425"/>
        <v>57</v>
      </c>
      <c r="E3449">
        <f t="shared" si="426"/>
        <v>0.55339805825242716</v>
      </c>
      <c r="F3449">
        <f t="shared" si="427"/>
        <v>140</v>
      </c>
      <c r="G3449">
        <f t="shared" si="428"/>
        <v>77.475728155339809</v>
      </c>
      <c r="H3449" t="str">
        <f>_xlfn.XLOOKUP(A3449,Fact_Events!$D$2:$D$20,Fact_Events!$A$2:$A$20, "")</f>
        <v/>
      </c>
      <c r="I3449">
        <f t="shared" si="429"/>
        <v>0</v>
      </c>
      <c r="J3449" t="str">
        <f>_xlfn.XLOOKUP(H3449, Fact_Events!$A$2:$A$20, Fact_Events!$F$2:$F$20, "")</f>
        <v/>
      </c>
      <c r="K3449" t="str">
        <f t="shared" si="430"/>
        <v>Low</v>
      </c>
      <c r="L3449">
        <f t="shared" si="431"/>
        <v>0.55000000000000004</v>
      </c>
      <c r="M3449">
        <f>_xlfn.XLOOKUP(B3449, Dim_Hotel!$A$2:$A$11, Dim_Hotel!$I$2:$I$11)
 + (IF(J3449="",0,J3449)
    * _xlfn.XLOOKUP(B3449, Dim_Hotel!$A$2:$A$11, Dim_Hotel!$J$2:$J$11))</f>
        <v>140</v>
      </c>
    </row>
    <row r="3450" spans="1:13" x14ac:dyDescent="0.25">
      <c r="A3450" s="1">
        <f t="shared" si="424"/>
        <v>46367</v>
      </c>
      <c r="B3450" t="str" cm="1">
        <f t="array" ref="B3450">INDEX(HotelList,MOD(ROW()-2,10)+1)</f>
        <v>H009</v>
      </c>
      <c r="C3450">
        <f>_xlfn.XLOOKUP(B3450,Dim_Hotel!$A$2:$A$11,Dim_Hotel!$F$2:$F$11)</f>
        <v>114</v>
      </c>
      <c r="D3450">
        <f t="shared" si="425"/>
        <v>63</v>
      </c>
      <c r="E3450">
        <f t="shared" si="426"/>
        <v>0.55263157894736847</v>
      </c>
      <c r="F3450">
        <f t="shared" si="427"/>
        <v>185</v>
      </c>
      <c r="G3450">
        <f t="shared" si="428"/>
        <v>102.23684210526316</v>
      </c>
      <c r="H3450" t="str">
        <f>_xlfn.XLOOKUP(A3450,Fact_Events!$D$2:$D$20,Fact_Events!$A$2:$A$20, "")</f>
        <v/>
      </c>
      <c r="I3450">
        <f t="shared" si="429"/>
        <v>0</v>
      </c>
      <c r="J3450" t="str">
        <f>_xlfn.XLOOKUP(H3450, Fact_Events!$A$2:$A$20, Fact_Events!$F$2:$F$20, "")</f>
        <v/>
      </c>
      <c r="K3450" t="str">
        <f t="shared" si="430"/>
        <v>Low</v>
      </c>
      <c r="L3450">
        <f t="shared" si="431"/>
        <v>0.55000000000000004</v>
      </c>
      <c r="M3450">
        <f>_xlfn.XLOOKUP(B3450, Dim_Hotel!$A$2:$A$11, Dim_Hotel!$I$2:$I$11)
 + (IF(J3450="",0,J3450)
    * _xlfn.XLOOKUP(B3450, Dim_Hotel!$A$2:$A$11, Dim_Hotel!$J$2:$J$11))</f>
        <v>185</v>
      </c>
    </row>
    <row r="3451" spans="1:13" x14ac:dyDescent="0.25">
      <c r="A3451" s="1">
        <f t="shared" si="424"/>
        <v>46367</v>
      </c>
      <c r="B3451" t="str" cm="1">
        <f t="array" ref="B3451">INDEX(HotelList,MOD(ROW()-2,10)+1)</f>
        <v>H010</v>
      </c>
      <c r="C3451">
        <f>_xlfn.XLOOKUP(B3451,Dim_Hotel!$A$2:$A$11,Dim_Hotel!$F$2:$F$11)</f>
        <v>89</v>
      </c>
      <c r="D3451">
        <f t="shared" si="425"/>
        <v>49</v>
      </c>
      <c r="E3451">
        <f t="shared" si="426"/>
        <v>0.550561797752809</v>
      </c>
      <c r="F3451">
        <f t="shared" si="427"/>
        <v>150</v>
      </c>
      <c r="G3451">
        <f t="shared" si="428"/>
        <v>82.584269662921344</v>
      </c>
      <c r="H3451" t="str">
        <f>_xlfn.XLOOKUP(A3451,Fact_Events!$D$2:$D$20,Fact_Events!$A$2:$A$20, "")</f>
        <v/>
      </c>
      <c r="I3451">
        <f t="shared" si="429"/>
        <v>0</v>
      </c>
      <c r="J3451" t="str">
        <f>_xlfn.XLOOKUP(H3451, Fact_Events!$A$2:$A$20, Fact_Events!$F$2:$F$20, "")</f>
        <v/>
      </c>
      <c r="K3451" t="str">
        <f t="shared" si="430"/>
        <v>Low</v>
      </c>
      <c r="L3451">
        <f t="shared" si="431"/>
        <v>0.55000000000000004</v>
      </c>
      <c r="M3451">
        <f>_xlfn.XLOOKUP(B3451, Dim_Hotel!$A$2:$A$11, Dim_Hotel!$I$2:$I$11)
 + (IF(J3451="",0,J3451)
    * _xlfn.XLOOKUP(B3451, Dim_Hotel!$A$2:$A$11, Dim_Hotel!$J$2:$J$11))</f>
        <v>150</v>
      </c>
    </row>
    <row r="3452" spans="1:13" x14ac:dyDescent="0.25">
      <c r="A3452" s="1">
        <f t="shared" si="424"/>
        <v>46368</v>
      </c>
      <c r="B3452" t="str" cm="1">
        <f t="array" ref="B3452">INDEX(HotelList,MOD(ROW()-2,10)+1)</f>
        <v>H001</v>
      </c>
      <c r="C3452">
        <f>_xlfn.XLOOKUP(B3452,Dim_Hotel!$A$2:$A$11,Dim_Hotel!$F$2:$F$11)</f>
        <v>888</v>
      </c>
      <c r="D3452">
        <f t="shared" si="425"/>
        <v>488</v>
      </c>
      <c r="E3452">
        <f t="shared" si="426"/>
        <v>0.5495495495495496</v>
      </c>
      <c r="F3452">
        <f t="shared" si="427"/>
        <v>260</v>
      </c>
      <c r="G3452">
        <f t="shared" si="428"/>
        <v>142.88288288288288</v>
      </c>
      <c r="H3452" t="str">
        <f>_xlfn.XLOOKUP(A3452,Fact_Events!$D$2:$D$20,Fact_Events!$A$2:$A$20, "")</f>
        <v/>
      </c>
      <c r="I3452">
        <f t="shared" si="429"/>
        <v>0</v>
      </c>
      <c r="J3452" t="str">
        <f>_xlfn.XLOOKUP(H3452, Fact_Events!$A$2:$A$20, Fact_Events!$F$2:$F$20, "")</f>
        <v/>
      </c>
      <c r="K3452" t="str">
        <f t="shared" si="430"/>
        <v>Low</v>
      </c>
      <c r="L3452">
        <f t="shared" si="431"/>
        <v>0.55000000000000004</v>
      </c>
      <c r="M3452">
        <f>_xlfn.XLOOKUP(B3452, Dim_Hotel!$A$2:$A$11, Dim_Hotel!$I$2:$I$11)
 + (IF(J3452="",0,J3452)
    * _xlfn.XLOOKUP(B3452, Dim_Hotel!$A$2:$A$11, Dim_Hotel!$J$2:$J$11))</f>
        <v>260</v>
      </c>
    </row>
    <row r="3453" spans="1:13" x14ac:dyDescent="0.25">
      <c r="A3453" s="1">
        <f t="shared" si="424"/>
        <v>46368</v>
      </c>
      <c r="B3453" t="str" cm="1">
        <f t="array" ref="B3453">INDEX(HotelList,MOD(ROW()-2,10)+1)</f>
        <v>H002</v>
      </c>
      <c r="C3453">
        <f>_xlfn.XLOOKUP(B3453,Dim_Hotel!$A$2:$A$11,Dim_Hotel!$F$2:$F$11)</f>
        <v>147</v>
      </c>
      <c r="D3453">
        <f t="shared" si="425"/>
        <v>81</v>
      </c>
      <c r="E3453">
        <f t="shared" si="426"/>
        <v>0.55102040816326525</v>
      </c>
      <c r="F3453">
        <f t="shared" si="427"/>
        <v>175</v>
      </c>
      <c r="G3453">
        <f t="shared" si="428"/>
        <v>96.428571428571416</v>
      </c>
      <c r="H3453" t="str">
        <f>_xlfn.XLOOKUP(A3453,Fact_Events!$D$2:$D$20,Fact_Events!$A$2:$A$20, "")</f>
        <v/>
      </c>
      <c r="I3453">
        <f t="shared" si="429"/>
        <v>0</v>
      </c>
      <c r="J3453" t="str">
        <f>_xlfn.XLOOKUP(H3453, Fact_Events!$A$2:$A$20, Fact_Events!$F$2:$F$20, "")</f>
        <v/>
      </c>
      <c r="K3453" t="str">
        <f t="shared" si="430"/>
        <v>Low</v>
      </c>
      <c r="L3453">
        <f t="shared" si="431"/>
        <v>0.55000000000000004</v>
      </c>
      <c r="M3453">
        <f>_xlfn.XLOOKUP(B3453, Dim_Hotel!$A$2:$A$11, Dim_Hotel!$I$2:$I$11)
 + (IF(J3453="",0,J3453)
    * _xlfn.XLOOKUP(B3453, Dim_Hotel!$A$2:$A$11, Dim_Hotel!$J$2:$J$11))</f>
        <v>175</v>
      </c>
    </row>
    <row r="3454" spans="1:13" x14ac:dyDescent="0.25">
      <c r="A3454" s="1">
        <f t="shared" si="424"/>
        <v>46368</v>
      </c>
      <c r="B3454" t="str" cm="1">
        <f t="array" ref="B3454">INDEX(HotelList,MOD(ROW()-2,10)+1)</f>
        <v>H003</v>
      </c>
      <c r="C3454">
        <f>_xlfn.XLOOKUP(B3454,Dim_Hotel!$A$2:$A$11,Dim_Hotel!$F$2:$F$11)</f>
        <v>121</v>
      </c>
      <c r="D3454">
        <f t="shared" si="425"/>
        <v>67</v>
      </c>
      <c r="E3454">
        <f t="shared" si="426"/>
        <v>0.55371900826446285</v>
      </c>
      <c r="F3454">
        <f t="shared" si="427"/>
        <v>145</v>
      </c>
      <c r="G3454">
        <f t="shared" si="428"/>
        <v>80.289256198347118</v>
      </c>
      <c r="H3454" t="str">
        <f>_xlfn.XLOOKUP(A3454,Fact_Events!$D$2:$D$20,Fact_Events!$A$2:$A$20, "")</f>
        <v/>
      </c>
      <c r="I3454">
        <f t="shared" si="429"/>
        <v>0</v>
      </c>
      <c r="J3454" t="str">
        <f>_xlfn.XLOOKUP(H3454, Fact_Events!$A$2:$A$20, Fact_Events!$F$2:$F$20, "")</f>
        <v/>
      </c>
      <c r="K3454" t="str">
        <f t="shared" si="430"/>
        <v>Low</v>
      </c>
      <c r="L3454">
        <f t="shared" si="431"/>
        <v>0.55000000000000004</v>
      </c>
      <c r="M3454">
        <f>_xlfn.XLOOKUP(B3454, Dim_Hotel!$A$2:$A$11, Dim_Hotel!$I$2:$I$11)
 + (IF(J3454="",0,J3454)
    * _xlfn.XLOOKUP(B3454, Dim_Hotel!$A$2:$A$11, Dim_Hotel!$J$2:$J$11))</f>
        <v>145</v>
      </c>
    </row>
    <row r="3455" spans="1:13" x14ac:dyDescent="0.25">
      <c r="A3455" s="1">
        <f t="shared" si="424"/>
        <v>46368</v>
      </c>
      <c r="B3455" t="str" cm="1">
        <f t="array" ref="B3455">INDEX(HotelList,MOD(ROW()-2,10)+1)</f>
        <v>H004</v>
      </c>
      <c r="C3455">
        <f>_xlfn.XLOOKUP(B3455,Dim_Hotel!$A$2:$A$11,Dim_Hotel!$F$2:$F$11)</f>
        <v>108</v>
      </c>
      <c r="D3455">
        <f t="shared" si="425"/>
        <v>59</v>
      </c>
      <c r="E3455">
        <f t="shared" si="426"/>
        <v>0.54629629629629628</v>
      </c>
      <c r="F3455">
        <f t="shared" si="427"/>
        <v>135</v>
      </c>
      <c r="G3455">
        <f t="shared" si="428"/>
        <v>73.75</v>
      </c>
      <c r="H3455" t="str">
        <f>_xlfn.XLOOKUP(A3455,Fact_Events!$D$2:$D$20,Fact_Events!$A$2:$A$20, "")</f>
        <v/>
      </c>
      <c r="I3455">
        <f t="shared" si="429"/>
        <v>0</v>
      </c>
      <c r="J3455" t="str">
        <f>_xlfn.XLOOKUP(H3455, Fact_Events!$A$2:$A$20, Fact_Events!$F$2:$F$20, "")</f>
        <v/>
      </c>
      <c r="K3455" t="str">
        <f t="shared" si="430"/>
        <v>Low</v>
      </c>
      <c r="L3455">
        <f t="shared" si="431"/>
        <v>0.55000000000000004</v>
      </c>
      <c r="M3455">
        <f>_xlfn.XLOOKUP(B3455, Dim_Hotel!$A$2:$A$11, Dim_Hotel!$I$2:$I$11)
 + (IF(J3455="",0,J3455)
    * _xlfn.XLOOKUP(B3455, Dim_Hotel!$A$2:$A$11, Dim_Hotel!$J$2:$J$11))</f>
        <v>135</v>
      </c>
    </row>
    <row r="3456" spans="1:13" x14ac:dyDescent="0.25">
      <c r="A3456" s="1">
        <f t="shared" si="424"/>
        <v>46368</v>
      </c>
      <c r="B3456" t="str" cm="1">
        <f t="array" ref="B3456">INDEX(HotelList,MOD(ROW()-2,10)+1)</f>
        <v>H005</v>
      </c>
      <c r="C3456">
        <f>_xlfn.XLOOKUP(B3456,Dim_Hotel!$A$2:$A$11,Dim_Hotel!$F$2:$F$11)</f>
        <v>66</v>
      </c>
      <c r="D3456">
        <f t="shared" si="425"/>
        <v>36</v>
      </c>
      <c r="E3456">
        <f t="shared" si="426"/>
        <v>0.54545454545454541</v>
      </c>
      <c r="F3456">
        <f t="shared" si="427"/>
        <v>82</v>
      </c>
      <c r="G3456">
        <f t="shared" si="428"/>
        <v>44.727272727272727</v>
      </c>
      <c r="H3456" t="str">
        <f>_xlfn.XLOOKUP(A3456,Fact_Events!$D$2:$D$20,Fact_Events!$A$2:$A$20, "")</f>
        <v/>
      </c>
      <c r="I3456">
        <f t="shared" si="429"/>
        <v>0</v>
      </c>
      <c r="J3456" t="str">
        <f>_xlfn.XLOOKUP(H3456, Fact_Events!$A$2:$A$20, Fact_Events!$F$2:$F$20, "")</f>
        <v/>
      </c>
      <c r="K3456" t="str">
        <f t="shared" si="430"/>
        <v>Low</v>
      </c>
      <c r="L3456">
        <f t="shared" si="431"/>
        <v>0.55000000000000004</v>
      </c>
      <c r="M3456">
        <f>_xlfn.XLOOKUP(B3456, Dim_Hotel!$A$2:$A$11, Dim_Hotel!$I$2:$I$11)
 + (IF(J3456="",0,J3456)
    * _xlfn.XLOOKUP(B3456, Dim_Hotel!$A$2:$A$11, Dim_Hotel!$J$2:$J$11))</f>
        <v>82</v>
      </c>
    </row>
    <row r="3457" spans="1:13" x14ac:dyDescent="0.25">
      <c r="A3457" s="1">
        <f t="shared" si="424"/>
        <v>46368</v>
      </c>
      <c r="B3457" t="str" cm="1">
        <f t="array" ref="B3457">INDEX(HotelList,MOD(ROW()-2,10)+1)</f>
        <v>H006</v>
      </c>
      <c r="C3457">
        <f>_xlfn.XLOOKUP(B3457,Dim_Hotel!$A$2:$A$11,Dim_Hotel!$F$2:$F$11)</f>
        <v>311</v>
      </c>
      <c r="D3457">
        <f t="shared" si="425"/>
        <v>171</v>
      </c>
      <c r="E3457">
        <f t="shared" si="426"/>
        <v>0.54983922829581988</v>
      </c>
      <c r="F3457">
        <f t="shared" si="427"/>
        <v>190</v>
      </c>
      <c r="G3457">
        <f t="shared" si="428"/>
        <v>104.46945337620578</v>
      </c>
      <c r="H3457" t="str">
        <f>_xlfn.XLOOKUP(A3457,Fact_Events!$D$2:$D$20,Fact_Events!$A$2:$A$20, "")</f>
        <v/>
      </c>
      <c r="I3457">
        <f t="shared" si="429"/>
        <v>0</v>
      </c>
      <c r="J3457" t="str">
        <f>_xlfn.XLOOKUP(H3457, Fact_Events!$A$2:$A$20, Fact_Events!$F$2:$F$20, "")</f>
        <v/>
      </c>
      <c r="K3457" t="str">
        <f t="shared" si="430"/>
        <v>Low</v>
      </c>
      <c r="L3457">
        <f t="shared" si="431"/>
        <v>0.55000000000000004</v>
      </c>
      <c r="M3457">
        <f>_xlfn.XLOOKUP(B3457, Dim_Hotel!$A$2:$A$11, Dim_Hotel!$I$2:$I$11)
 + (IF(J3457="",0,J3457)
    * _xlfn.XLOOKUP(B3457, Dim_Hotel!$A$2:$A$11, Dim_Hotel!$J$2:$J$11))</f>
        <v>190</v>
      </c>
    </row>
    <row r="3458" spans="1:13" x14ac:dyDescent="0.25">
      <c r="A3458" s="1">
        <f t="shared" si="424"/>
        <v>46368</v>
      </c>
      <c r="B3458" t="str" cm="1">
        <f t="array" ref="B3458">INDEX(HotelList,MOD(ROW()-2,10)+1)</f>
        <v>H007</v>
      </c>
      <c r="C3458">
        <f>_xlfn.XLOOKUP(B3458,Dim_Hotel!$A$2:$A$11,Dim_Hotel!$F$2:$F$11)</f>
        <v>132</v>
      </c>
      <c r="D3458">
        <f t="shared" si="425"/>
        <v>73</v>
      </c>
      <c r="E3458">
        <f t="shared" si="426"/>
        <v>0.55303030303030298</v>
      </c>
      <c r="F3458">
        <f t="shared" si="427"/>
        <v>165</v>
      </c>
      <c r="G3458">
        <f t="shared" si="428"/>
        <v>91.249999999999986</v>
      </c>
      <c r="H3458" t="str">
        <f>_xlfn.XLOOKUP(A3458,Fact_Events!$D$2:$D$20,Fact_Events!$A$2:$A$20, "")</f>
        <v/>
      </c>
      <c r="I3458">
        <f t="shared" si="429"/>
        <v>0</v>
      </c>
      <c r="J3458" t="str">
        <f>_xlfn.XLOOKUP(H3458, Fact_Events!$A$2:$A$20, Fact_Events!$F$2:$F$20, "")</f>
        <v/>
      </c>
      <c r="K3458" t="str">
        <f t="shared" si="430"/>
        <v>Low</v>
      </c>
      <c r="L3458">
        <f t="shared" si="431"/>
        <v>0.55000000000000004</v>
      </c>
      <c r="M3458">
        <f>_xlfn.XLOOKUP(B3458, Dim_Hotel!$A$2:$A$11, Dim_Hotel!$I$2:$I$11)
 + (IF(J3458="",0,J3458)
    * _xlfn.XLOOKUP(B3458, Dim_Hotel!$A$2:$A$11, Dim_Hotel!$J$2:$J$11))</f>
        <v>165</v>
      </c>
    </row>
    <row r="3459" spans="1:13" x14ac:dyDescent="0.25">
      <c r="A3459" s="1">
        <f t="shared" ref="A3459:A3522" si="432">DATE(2026,1,1) + INT((ROW()-2)/10)</f>
        <v>46368</v>
      </c>
      <c r="B3459" t="str" cm="1">
        <f t="array" ref="B3459">INDEX(HotelList,MOD(ROW()-2,10)+1)</f>
        <v>H008</v>
      </c>
      <c r="C3459">
        <f>_xlfn.XLOOKUP(B3459,Dim_Hotel!$A$2:$A$11,Dim_Hotel!$F$2:$F$11)</f>
        <v>103</v>
      </c>
      <c r="D3459">
        <f t="shared" ref="D3459:D3522" si="433">ROUND(L3459 * C3459, 0)</f>
        <v>57</v>
      </c>
      <c r="E3459">
        <f t="shared" ref="E3459:E3522" si="434">D3459/C3459</f>
        <v>0.55339805825242716</v>
      </c>
      <c r="F3459">
        <f t="shared" ref="F3459:F3522" si="435">M3459</f>
        <v>140</v>
      </c>
      <c r="G3459">
        <f t="shared" ref="G3459:G3522" si="436">E3459*F3459</f>
        <v>77.475728155339809</v>
      </c>
      <c r="H3459" t="str">
        <f>_xlfn.XLOOKUP(A3459,Fact_Events!$D$2:$D$20,Fact_Events!$A$2:$A$20, "")</f>
        <v/>
      </c>
      <c r="I3459">
        <f t="shared" ref="I3459:I3522" si="437">IF(H3459="",0,1)</f>
        <v>0</v>
      </c>
      <c r="J3459" t="str">
        <f>_xlfn.XLOOKUP(H3459, Fact_Events!$A$2:$A$20, Fact_Events!$F$2:$F$20, "")</f>
        <v/>
      </c>
      <c r="K3459" t="str">
        <f t="shared" ref="K3459:K3522" si="438">IF(I3459=0,"Low",
   IF(J3459&gt;=9,"High","Medium"))</f>
        <v>Low</v>
      </c>
      <c r="L3459">
        <f t="shared" ref="L3459:L3522" si="439">MIN(1,
  0.55
  + (I3459 * 0.25)
  + (IF(J3459="",0,J3459) / 100)
)</f>
        <v>0.55000000000000004</v>
      </c>
      <c r="M3459">
        <f>_xlfn.XLOOKUP(B3459, Dim_Hotel!$A$2:$A$11, Dim_Hotel!$I$2:$I$11)
 + (IF(J3459="",0,J3459)
    * _xlfn.XLOOKUP(B3459, Dim_Hotel!$A$2:$A$11, Dim_Hotel!$J$2:$J$11))</f>
        <v>140</v>
      </c>
    </row>
    <row r="3460" spans="1:13" x14ac:dyDescent="0.25">
      <c r="A3460" s="1">
        <f t="shared" si="432"/>
        <v>46368</v>
      </c>
      <c r="B3460" t="str" cm="1">
        <f t="array" ref="B3460">INDEX(HotelList,MOD(ROW()-2,10)+1)</f>
        <v>H009</v>
      </c>
      <c r="C3460">
        <f>_xlfn.XLOOKUP(B3460,Dim_Hotel!$A$2:$A$11,Dim_Hotel!$F$2:$F$11)</f>
        <v>114</v>
      </c>
      <c r="D3460">
        <f t="shared" si="433"/>
        <v>63</v>
      </c>
      <c r="E3460">
        <f t="shared" si="434"/>
        <v>0.55263157894736847</v>
      </c>
      <c r="F3460">
        <f t="shared" si="435"/>
        <v>185</v>
      </c>
      <c r="G3460">
        <f t="shared" si="436"/>
        <v>102.23684210526316</v>
      </c>
      <c r="H3460" t="str">
        <f>_xlfn.XLOOKUP(A3460,Fact_Events!$D$2:$D$20,Fact_Events!$A$2:$A$20, "")</f>
        <v/>
      </c>
      <c r="I3460">
        <f t="shared" si="437"/>
        <v>0</v>
      </c>
      <c r="J3460" t="str">
        <f>_xlfn.XLOOKUP(H3460, Fact_Events!$A$2:$A$20, Fact_Events!$F$2:$F$20, "")</f>
        <v/>
      </c>
      <c r="K3460" t="str">
        <f t="shared" si="438"/>
        <v>Low</v>
      </c>
      <c r="L3460">
        <f t="shared" si="439"/>
        <v>0.55000000000000004</v>
      </c>
      <c r="M3460">
        <f>_xlfn.XLOOKUP(B3460, Dim_Hotel!$A$2:$A$11, Dim_Hotel!$I$2:$I$11)
 + (IF(J3460="",0,J3460)
    * _xlfn.XLOOKUP(B3460, Dim_Hotel!$A$2:$A$11, Dim_Hotel!$J$2:$J$11))</f>
        <v>185</v>
      </c>
    </row>
    <row r="3461" spans="1:13" x14ac:dyDescent="0.25">
      <c r="A3461" s="1">
        <f t="shared" si="432"/>
        <v>46368</v>
      </c>
      <c r="B3461" t="str" cm="1">
        <f t="array" ref="B3461">INDEX(HotelList,MOD(ROW()-2,10)+1)</f>
        <v>H010</v>
      </c>
      <c r="C3461">
        <f>_xlfn.XLOOKUP(B3461,Dim_Hotel!$A$2:$A$11,Dim_Hotel!$F$2:$F$11)</f>
        <v>89</v>
      </c>
      <c r="D3461">
        <f t="shared" si="433"/>
        <v>49</v>
      </c>
      <c r="E3461">
        <f t="shared" si="434"/>
        <v>0.550561797752809</v>
      </c>
      <c r="F3461">
        <f t="shared" si="435"/>
        <v>150</v>
      </c>
      <c r="G3461">
        <f t="shared" si="436"/>
        <v>82.584269662921344</v>
      </c>
      <c r="H3461" t="str">
        <f>_xlfn.XLOOKUP(A3461,Fact_Events!$D$2:$D$20,Fact_Events!$A$2:$A$20, "")</f>
        <v/>
      </c>
      <c r="I3461">
        <f t="shared" si="437"/>
        <v>0</v>
      </c>
      <c r="J3461" t="str">
        <f>_xlfn.XLOOKUP(H3461, Fact_Events!$A$2:$A$20, Fact_Events!$F$2:$F$20, "")</f>
        <v/>
      </c>
      <c r="K3461" t="str">
        <f t="shared" si="438"/>
        <v>Low</v>
      </c>
      <c r="L3461">
        <f t="shared" si="439"/>
        <v>0.55000000000000004</v>
      </c>
      <c r="M3461">
        <f>_xlfn.XLOOKUP(B3461, Dim_Hotel!$A$2:$A$11, Dim_Hotel!$I$2:$I$11)
 + (IF(J3461="",0,J3461)
    * _xlfn.XLOOKUP(B3461, Dim_Hotel!$A$2:$A$11, Dim_Hotel!$J$2:$J$11))</f>
        <v>150</v>
      </c>
    </row>
    <row r="3462" spans="1:13" x14ac:dyDescent="0.25">
      <c r="A3462" s="1">
        <f t="shared" si="432"/>
        <v>46369</v>
      </c>
      <c r="B3462" t="str" cm="1">
        <f t="array" ref="B3462">INDEX(HotelList,MOD(ROW()-2,10)+1)</f>
        <v>H001</v>
      </c>
      <c r="C3462">
        <f>_xlfn.XLOOKUP(B3462,Dim_Hotel!$A$2:$A$11,Dim_Hotel!$F$2:$F$11)</f>
        <v>888</v>
      </c>
      <c r="D3462">
        <f t="shared" si="433"/>
        <v>488</v>
      </c>
      <c r="E3462">
        <f t="shared" si="434"/>
        <v>0.5495495495495496</v>
      </c>
      <c r="F3462">
        <f t="shared" si="435"/>
        <v>260</v>
      </c>
      <c r="G3462">
        <f t="shared" si="436"/>
        <v>142.88288288288288</v>
      </c>
      <c r="H3462" t="str">
        <f>_xlfn.XLOOKUP(A3462,Fact_Events!$D$2:$D$20,Fact_Events!$A$2:$A$20, "")</f>
        <v/>
      </c>
      <c r="I3462">
        <f t="shared" si="437"/>
        <v>0</v>
      </c>
      <c r="J3462" t="str">
        <f>_xlfn.XLOOKUP(H3462, Fact_Events!$A$2:$A$20, Fact_Events!$F$2:$F$20, "")</f>
        <v/>
      </c>
      <c r="K3462" t="str">
        <f t="shared" si="438"/>
        <v>Low</v>
      </c>
      <c r="L3462">
        <f t="shared" si="439"/>
        <v>0.55000000000000004</v>
      </c>
      <c r="M3462">
        <f>_xlfn.XLOOKUP(B3462, Dim_Hotel!$A$2:$A$11, Dim_Hotel!$I$2:$I$11)
 + (IF(J3462="",0,J3462)
    * _xlfn.XLOOKUP(B3462, Dim_Hotel!$A$2:$A$11, Dim_Hotel!$J$2:$J$11))</f>
        <v>260</v>
      </c>
    </row>
    <row r="3463" spans="1:13" x14ac:dyDescent="0.25">
      <c r="A3463" s="1">
        <f t="shared" si="432"/>
        <v>46369</v>
      </c>
      <c r="B3463" t="str" cm="1">
        <f t="array" ref="B3463">INDEX(HotelList,MOD(ROW()-2,10)+1)</f>
        <v>H002</v>
      </c>
      <c r="C3463">
        <f>_xlfn.XLOOKUP(B3463,Dim_Hotel!$A$2:$A$11,Dim_Hotel!$F$2:$F$11)</f>
        <v>147</v>
      </c>
      <c r="D3463">
        <f t="shared" si="433"/>
        <v>81</v>
      </c>
      <c r="E3463">
        <f t="shared" si="434"/>
        <v>0.55102040816326525</v>
      </c>
      <c r="F3463">
        <f t="shared" si="435"/>
        <v>175</v>
      </c>
      <c r="G3463">
        <f t="shared" si="436"/>
        <v>96.428571428571416</v>
      </c>
      <c r="H3463" t="str">
        <f>_xlfn.XLOOKUP(A3463,Fact_Events!$D$2:$D$20,Fact_Events!$A$2:$A$20, "")</f>
        <v/>
      </c>
      <c r="I3463">
        <f t="shared" si="437"/>
        <v>0</v>
      </c>
      <c r="J3463" t="str">
        <f>_xlfn.XLOOKUP(H3463, Fact_Events!$A$2:$A$20, Fact_Events!$F$2:$F$20, "")</f>
        <v/>
      </c>
      <c r="K3463" t="str">
        <f t="shared" si="438"/>
        <v>Low</v>
      </c>
      <c r="L3463">
        <f t="shared" si="439"/>
        <v>0.55000000000000004</v>
      </c>
      <c r="M3463">
        <f>_xlfn.XLOOKUP(B3463, Dim_Hotel!$A$2:$A$11, Dim_Hotel!$I$2:$I$11)
 + (IF(J3463="",0,J3463)
    * _xlfn.XLOOKUP(B3463, Dim_Hotel!$A$2:$A$11, Dim_Hotel!$J$2:$J$11))</f>
        <v>175</v>
      </c>
    </row>
    <row r="3464" spans="1:13" x14ac:dyDescent="0.25">
      <c r="A3464" s="1">
        <f t="shared" si="432"/>
        <v>46369</v>
      </c>
      <c r="B3464" t="str" cm="1">
        <f t="array" ref="B3464">INDEX(HotelList,MOD(ROW()-2,10)+1)</f>
        <v>H003</v>
      </c>
      <c r="C3464">
        <f>_xlfn.XLOOKUP(B3464,Dim_Hotel!$A$2:$A$11,Dim_Hotel!$F$2:$F$11)</f>
        <v>121</v>
      </c>
      <c r="D3464">
        <f t="shared" si="433"/>
        <v>67</v>
      </c>
      <c r="E3464">
        <f t="shared" si="434"/>
        <v>0.55371900826446285</v>
      </c>
      <c r="F3464">
        <f t="shared" si="435"/>
        <v>145</v>
      </c>
      <c r="G3464">
        <f t="shared" si="436"/>
        <v>80.289256198347118</v>
      </c>
      <c r="H3464" t="str">
        <f>_xlfn.XLOOKUP(A3464,Fact_Events!$D$2:$D$20,Fact_Events!$A$2:$A$20, "")</f>
        <v/>
      </c>
      <c r="I3464">
        <f t="shared" si="437"/>
        <v>0</v>
      </c>
      <c r="J3464" t="str">
        <f>_xlfn.XLOOKUP(H3464, Fact_Events!$A$2:$A$20, Fact_Events!$F$2:$F$20, "")</f>
        <v/>
      </c>
      <c r="K3464" t="str">
        <f t="shared" si="438"/>
        <v>Low</v>
      </c>
      <c r="L3464">
        <f t="shared" si="439"/>
        <v>0.55000000000000004</v>
      </c>
      <c r="M3464">
        <f>_xlfn.XLOOKUP(B3464, Dim_Hotel!$A$2:$A$11, Dim_Hotel!$I$2:$I$11)
 + (IF(J3464="",0,J3464)
    * _xlfn.XLOOKUP(B3464, Dim_Hotel!$A$2:$A$11, Dim_Hotel!$J$2:$J$11))</f>
        <v>145</v>
      </c>
    </row>
    <row r="3465" spans="1:13" x14ac:dyDescent="0.25">
      <c r="A3465" s="1">
        <f t="shared" si="432"/>
        <v>46369</v>
      </c>
      <c r="B3465" t="str" cm="1">
        <f t="array" ref="B3465">INDEX(HotelList,MOD(ROW()-2,10)+1)</f>
        <v>H004</v>
      </c>
      <c r="C3465">
        <f>_xlfn.XLOOKUP(B3465,Dim_Hotel!$A$2:$A$11,Dim_Hotel!$F$2:$F$11)</f>
        <v>108</v>
      </c>
      <c r="D3465">
        <f t="shared" si="433"/>
        <v>59</v>
      </c>
      <c r="E3465">
        <f t="shared" si="434"/>
        <v>0.54629629629629628</v>
      </c>
      <c r="F3465">
        <f t="shared" si="435"/>
        <v>135</v>
      </c>
      <c r="G3465">
        <f t="shared" si="436"/>
        <v>73.75</v>
      </c>
      <c r="H3465" t="str">
        <f>_xlfn.XLOOKUP(A3465,Fact_Events!$D$2:$D$20,Fact_Events!$A$2:$A$20, "")</f>
        <v/>
      </c>
      <c r="I3465">
        <f t="shared" si="437"/>
        <v>0</v>
      </c>
      <c r="J3465" t="str">
        <f>_xlfn.XLOOKUP(H3465, Fact_Events!$A$2:$A$20, Fact_Events!$F$2:$F$20, "")</f>
        <v/>
      </c>
      <c r="K3465" t="str">
        <f t="shared" si="438"/>
        <v>Low</v>
      </c>
      <c r="L3465">
        <f t="shared" si="439"/>
        <v>0.55000000000000004</v>
      </c>
      <c r="M3465">
        <f>_xlfn.XLOOKUP(B3465, Dim_Hotel!$A$2:$A$11, Dim_Hotel!$I$2:$I$11)
 + (IF(J3465="",0,J3465)
    * _xlfn.XLOOKUP(B3465, Dim_Hotel!$A$2:$A$11, Dim_Hotel!$J$2:$J$11))</f>
        <v>135</v>
      </c>
    </row>
    <row r="3466" spans="1:13" x14ac:dyDescent="0.25">
      <c r="A3466" s="1">
        <f t="shared" si="432"/>
        <v>46369</v>
      </c>
      <c r="B3466" t="str" cm="1">
        <f t="array" ref="B3466">INDEX(HotelList,MOD(ROW()-2,10)+1)</f>
        <v>H005</v>
      </c>
      <c r="C3466">
        <f>_xlfn.XLOOKUP(B3466,Dim_Hotel!$A$2:$A$11,Dim_Hotel!$F$2:$F$11)</f>
        <v>66</v>
      </c>
      <c r="D3466">
        <f t="shared" si="433"/>
        <v>36</v>
      </c>
      <c r="E3466">
        <f t="shared" si="434"/>
        <v>0.54545454545454541</v>
      </c>
      <c r="F3466">
        <f t="shared" si="435"/>
        <v>82</v>
      </c>
      <c r="G3466">
        <f t="shared" si="436"/>
        <v>44.727272727272727</v>
      </c>
      <c r="H3466" t="str">
        <f>_xlfn.XLOOKUP(A3466,Fact_Events!$D$2:$D$20,Fact_Events!$A$2:$A$20, "")</f>
        <v/>
      </c>
      <c r="I3466">
        <f t="shared" si="437"/>
        <v>0</v>
      </c>
      <c r="J3466" t="str">
        <f>_xlfn.XLOOKUP(H3466, Fact_Events!$A$2:$A$20, Fact_Events!$F$2:$F$20, "")</f>
        <v/>
      </c>
      <c r="K3466" t="str">
        <f t="shared" si="438"/>
        <v>Low</v>
      </c>
      <c r="L3466">
        <f t="shared" si="439"/>
        <v>0.55000000000000004</v>
      </c>
      <c r="M3466">
        <f>_xlfn.XLOOKUP(B3466, Dim_Hotel!$A$2:$A$11, Dim_Hotel!$I$2:$I$11)
 + (IF(J3466="",0,J3466)
    * _xlfn.XLOOKUP(B3466, Dim_Hotel!$A$2:$A$11, Dim_Hotel!$J$2:$J$11))</f>
        <v>82</v>
      </c>
    </row>
    <row r="3467" spans="1:13" x14ac:dyDescent="0.25">
      <c r="A3467" s="1">
        <f t="shared" si="432"/>
        <v>46369</v>
      </c>
      <c r="B3467" t="str" cm="1">
        <f t="array" ref="B3467">INDEX(HotelList,MOD(ROW()-2,10)+1)</f>
        <v>H006</v>
      </c>
      <c r="C3467">
        <f>_xlfn.XLOOKUP(B3467,Dim_Hotel!$A$2:$A$11,Dim_Hotel!$F$2:$F$11)</f>
        <v>311</v>
      </c>
      <c r="D3467">
        <f t="shared" si="433"/>
        <v>171</v>
      </c>
      <c r="E3467">
        <f t="shared" si="434"/>
        <v>0.54983922829581988</v>
      </c>
      <c r="F3467">
        <f t="shared" si="435"/>
        <v>190</v>
      </c>
      <c r="G3467">
        <f t="shared" si="436"/>
        <v>104.46945337620578</v>
      </c>
      <c r="H3467" t="str">
        <f>_xlfn.XLOOKUP(A3467,Fact_Events!$D$2:$D$20,Fact_Events!$A$2:$A$20, "")</f>
        <v/>
      </c>
      <c r="I3467">
        <f t="shared" si="437"/>
        <v>0</v>
      </c>
      <c r="J3467" t="str">
        <f>_xlfn.XLOOKUP(H3467, Fact_Events!$A$2:$A$20, Fact_Events!$F$2:$F$20, "")</f>
        <v/>
      </c>
      <c r="K3467" t="str">
        <f t="shared" si="438"/>
        <v>Low</v>
      </c>
      <c r="L3467">
        <f t="shared" si="439"/>
        <v>0.55000000000000004</v>
      </c>
      <c r="M3467">
        <f>_xlfn.XLOOKUP(B3467, Dim_Hotel!$A$2:$A$11, Dim_Hotel!$I$2:$I$11)
 + (IF(J3467="",0,J3467)
    * _xlfn.XLOOKUP(B3467, Dim_Hotel!$A$2:$A$11, Dim_Hotel!$J$2:$J$11))</f>
        <v>190</v>
      </c>
    </row>
    <row r="3468" spans="1:13" x14ac:dyDescent="0.25">
      <c r="A3468" s="1">
        <f t="shared" si="432"/>
        <v>46369</v>
      </c>
      <c r="B3468" t="str" cm="1">
        <f t="array" ref="B3468">INDEX(HotelList,MOD(ROW()-2,10)+1)</f>
        <v>H007</v>
      </c>
      <c r="C3468">
        <f>_xlfn.XLOOKUP(B3468,Dim_Hotel!$A$2:$A$11,Dim_Hotel!$F$2:$F$11)</f>
        <v>132</v>
      </c>
      <c r="D3468">
        <f t="shared" si="433"/>
        <v>73</v>
      </c>
      <c r="E3468">
        <f t="shared" si="434"/>
        <v>0.55303030303030298</v>
      </c>
      <c r="F3468">
        <f t="shared" si="435"/>
        <v>165</v>
      </c>
      <c r="G3468">
        <f t="shared" si="436"/>
        <v>91.249999999999986</v>
      </c>
      <c r="H3468" t="str">
        <f>_xlfn.XLOOKUP(A3468,Fact_Events!$D$2:$D$20,Fact_Events!$A$2:$A$20, "")</f>
        <v/>
      </c>
      <c r="I3468">
        <f t="shared" si="437"/>
        <v>0</v>
      </c>
      <c r="J3468" t="str">
        <f>_xlfn.XLOOKUP(H3468, Fact_Events!$A$2:$A$20, Fact_Events!$F$2:$F$20, "")</f>
        <v/>
      </c>
      <c r="K3468" t="str">
        <f t="shared" si="438"/>
        <v>Low</v>
      </c>
      <c r="L3468">
        <f t="shared" si="439"/>
        <v>0.55000000000000004</v>
      </c>
      <c r="M3468">
        <f>_xlfn.XLOOKUP(B3468, Dim_Hotel!$A$2:$A$11, Dim_Hotel!$I$2:$I$11)
 + (IF(J3468="",0,J3468)
    * _xlfn.XLOOKUP(B3468, Dim_Hotel!$A$2:$A$11, Dim_Hotel!$J$2:$J$11))</f>
        <v>165</v>
      </c>
    </row>
    <row r="3469" spans="1:13" x14ac:dyDescent="0.25">
      <c r="A3469" s="1">
        <f t="shared" si="432"/>
        <v>46369</v>
      </c>
      <c r="B3469" t="str" cm="1">
        <f t="array" ref="B3469">INDEX(HotelList,MOD(ROW()-2,10)+1)</f>
        <v>H008</v>
      </c>
      <c r="C3469">
        <f>_xlfn.XLOOKUP(B3469,Dim_Hotel!$A$2:$A$11,Dim_Hotel!$F$2:$F$11)</f>
        <v>103</v>
      </c>
      <c r="D3469">
        <f t="shared" si="433"/>
        <v>57</v>
      </c>
      <c r="E3469">
        <f t="shared" si="434"/>
        <v>0.55339805825242716</v>
      </c>
      <c r="F3469">
        <f t="shared" si="435"/>
        <v>140</v>
      </c>
      <c r="G3469">
        <f t="shared" si="436"/>
        <v>77.475728155339809</v>
      </c>
      <c r="H3469" t="str">
        <f>_xlfn.XLOOKUP(A3469,Fact_Events!$D$2:$D$20,Fact_Events!$A$2:$A$20, "")</f>
        <v/>
      </c>
      <c r="I3469">
        <f t="shared" si="437"/>
        <v>0</v>
      </c>
      <c r="J3469" t="str">
        <f>_xlfn.XLOOKUP(H3469, Fact_Events!$A$2:$A$20, Fact_Events!$F$2:$F$20, "")</f>
        <v/>
      </c>
      <c r="K3469" t="str">
        <f t="shared" si="438"/>
        <v>Low</v>
      </c>
      <c r="L3469">
        <f t="shared" si="439"/>
        <v>0.55000000000000004</v>
      </c>
      <c r="M3469">
        <f>_xlfn.XLOOKUP(B3469, Dim_Hotel!$A$2:$A$11, Dim_Hotel!$I$2:$I$11)
 + (IF(J3469="",0,J3469)
    * _xlfn.XLOOKUP(B3469, Dim_Hotel!$A$2:$A$11, Dim_Hotel!$J$2:$J$11))</f>
        <v>140</v>
      </c>
    </row>
    <row r="3470" spans="1:13" x14ac:dyDescent="0.25">
      <c r="A3470" s="1">
        <f t="shared" si="432"/>
        <v>46369</v>
      </c>
      <c r="B3470" t="str" cm="1">
        <f t="array" ref="B3470">INDEX(HotelList,MOD(ROW()-2,10)+1)</f>
        <v>H009</v>
      </c>
      <c r="C3470">
        <f>_xlfn.XLOOKUP(B3470,Dim_Hotel!$A$2:$A$11,Dim_Hotel!$F$2:$F$11)</f>
        <v>114</v>
      </c>
      <c r="D3470">
        <f t="shared" si="433"/>
        <v>63</v>
      </c>
      <c r="E3470">
        <f t="shared" si="434"/>
        <v>0.55263157894736847</v>
      </c>
      <c r="F3470">
        <f t="shared" si="435"/>
        <v>185</v>
      </c>
      <c r="G3470">
        <f t="shared" si="436"/>
        <v>102.23684210526316</v>
      </c>
      <c r="H3470" t="str">
        <f>_xlfn.XLOOKUP(A3470,Fact_Events!$D$2:$D$20,Fact_Events!$A$2:$A$20, "")</f>
        <v/>
      </c>
      <c r="I3470">
        <f t="shared" si="437"/>
        <v>0</v>
      </c>
      <c r="J3470" t="str">
        <f>_xlfn.XLOOKUP(H3470, Fact_Events!$A$2:$A$20, Fact_Events!$F$2:$F$20, "")</f>
        <v/>
      </c>
      <c r="K3470" t="str">
        <f t="shared" si="438"/>
        <v>Low</v>
      </c>
      <c r="L3470">
        <f t="shared" si="439"/>
        <v>0.55000000000000004</v>
      </c>
      <c r="M3470">
        <f>_xlfn.XLOOKUP(B3470, Dim_Hotel!$A$2:$A$11, Dim_Hotel!$I$2:$I$11)
 + (IF(J3470="",0,J3470)
    * _xlfn.XLOOKUP(B3470, Dim_Hotel!$A$2:$A$11, Dim_Hotel!$J$2:$J$11))</f>
        <v>185</v>
      </c>
    </row>
    <row r="3471" spans="1:13" x14ac:dyDescent="0.25">
      <c r="A3471" s="1">
        <f t="shared" si="432"/>
        <v>46369</v>
      </c>
      <c r="B3471" t="str" cm="1">
        <f t="array" ref="B3471">INDEX(HotelList,MOD(ROW()-2,10)+1)</f>
        <v>H010</v>
      </c>
      <c r="C3471">
        <f>_xlfn.XLOOKUP(B3471,Dim_Hotel!$A$2:$A$11,Dim_Hotel!$F$2:$F$11)</f>
        <v>89</v>
      </c>
      <c r="D3471">
        <f t="shared" si="433"/>
        <v>49</v>
      </c>
      <c r="E3471">
        <f t="shared" si="434"/>
        <v>0.550561797752809</v>
      </c>
      <c r="F3471">
        <f t="shared" si="435"/>
        <v>150</v>
      </c>
      <c r="G3471">
        <f t="shared" si="436"/>
        <v>82.584269662921344</v>
      </c>
      <c r="H3471" t="str">
        <f>_xlfn.XLOOKUP(A3471,Fact_Events!$D$2:$D$20,Fact_Events!$A$2:$A$20, "")</f>
        <v/>
      </c>
      <c r="I3471">
        <f t="shared" si="437"/>
        <v>0</v>
      </c>
      <c r="J3471" t="str">
        <f>_xlfn.XLOOKUP(H3471, Fact_Events!$A$2:$A$20, Fact_Events!$F$2:$F$20, "")</f>
        <v/>
      </c>
      <c r="K3471" t="str">
        <f t="shared" si="438"/>
        <v>Low</v>
      </c>
      <c r="L3471">
        <f t="shared" si="439"/>
        <v>0.55000000000000004</v>
      </c>
      <c r="M3471">
        <f>_xlfn.XLOOKUP(B3471, Dim_Hotel!$A$2:$A$11, Dim_Hotel!$I$2:$I$11)
 + (IF(J3471="",0,J3471)
    * _xlfn.XLOOKUP(B3471, Dim_Hotel!$A$2:$A$11, Dim_Hotel!$J$2:$J$11))</f>
        <v>150</v>
      </c>
    </row>
    <row r="3472" spans="1:13" x14ac:dyDescent="0.25">
      <c r="A3472" s="1">
        <f t="shared" si="432"/>
        <v>46370</v>
      </c>
      <c r="B3472" t="str" cm="1">
        <f t="array" ref="B3472">INDEX(HotelList,MOD(ROW()-2,10)+1)</f>
        <v>H001</v>
      </c>
      <c r="C3472">
        <f>_xlfn.XLOOKUP(B3472,Dim_Hotel!$A$2:$A$11,Dim_Hotel!$F$2:$F$11)</f>
        <v>888</v>
      </c>
      <c r="D3472">
        <f t="shared" si="433"/>
        <v>488</v>
      </c>
      <c r="E3472">
        <f t="shared" si="434"/>
        <v>0.5495495495495496</v>
      </c>
      <c r="F3472">
        <f t="shared" si="435"/>
        <v>260</v>
      </c>
      <c r="G3472">
        <f t="shared" si="436"/>
        <v>142.88288288288288</v>
      </c>
      <c r="H3472" t="str">
        <f>_xlfn.XLOOKUP(A3472,Fact_Events!$D$2:$D$20,Fact_Events!$A$2:$A$20, "")</f>
        <v/>
      </c>
      <c r="I3472">
        <f t="shared" si="437"/>
        <v>0</v>
      </c>
      <c r="J3472" t="str">
        <f>_xlfn.XLOOKUP(H3472, Fact_Events!$A$2:$A$20, Fact_Events!$F$2:$F$20, "")</f>
        <v/>
      </c>
      <c r="K3472" t="str">
        <f t="shared" si="438"/>
        <v>Low</v>
      </c>
      <c r="L3472">
        <f t="shared" si="439"/>
        <v>0.55000000000000004</v>
      </c>
      <c r="M3472">
        <f>_xlfn.XLOOKUP(B3472, Dim_Hotel!$A$2:$A$11, Dim_Hotel!$I$2:$I$11)
 + (IF(J3472="",0,J3472)
    * _xlfn.XLOOKUP(B3472, Dim_Hotel!$A$2:$A$11, Dim_Hotel!$J$2:$J$11))</f>
        <v>260</v>
      </c>
    </row>
    <row r="3473" spans="1:13" x14ac:dyDescent="0.25">
      <c r="A3473" s="1">
        <f t="shared" si="432"/>
        <v>46370</v>
      </c>
      <c r="B3473" t="str" cm="1">
        <f t="array" ref="B3473">INDEX(HotelList,MOD(ROW()-2,10)+1)</f>
        <v>H002</v>
      </c>
      <c r="C3473">
        <f>_xlfn.XLOOKUP(B3473,Dim_Hotel!$A$2:$A$11,Dim_Hotel!$F$2:$F$11)</f>
        <v>147</v>
      </c>
      <c r="D3473">
        <f t="shared" si="433"/>
        <v>81</v>
      </c>
      <c r="E3473">
        <f t="shared" si="434"/>
        <v>0.55102040816326525</v>
      </c>
      <c r="F3473">
        <f t="shared" si="435"/>
        <v>175</v>
      </c>
      <c r="G3473">
        <f t="shared" si="436"/>
        <v>96.428571428571416</v>
      </c>
      <c r="H3473" t="str">
        <f>_xlfn.XLOOKUP(A3473,Fact_Events!$D$2:$D$20,Fact_Events!$A$2:$A$20, "")</f>
        <v/>
      </c>
      <c r="I3473">
        <f t="shared" si="437"/>
        <v>0</v>
      </c>
      <c r="J3473" t="str">
        <f>_xlfn.XLOOKUP(H3473, Fact_Events!$A$2:$A$20, Fact_Events!$F$2:$F$20, "")</f>
        <v/>
      </c>
      <c r="K3473" t="str">
        <f t="shared" si="438"/>
        <v>Low</v>
      </c>
      <c r="L3473">
        <f t="shared" si="439"/>
        <v>0.55000000000000004</v>
      </c>
      <c r="M3473">
        <f>_xlfn.XLOOKUP(B3473, Dim_Hotel!$A$2:$A$11, Dim_Hotel!$I$2:$I$11)
 + (IF(J3473="",0,J3473)
    * _xlfn.XLOOKUP(B3473, Dim_Hotel!$A$2:$A$11, Dim_Hotel!$J$2:$J$11))</f>
        <v>175</v>
      </c>
    </row>
    <row r="3474" spans="1:13" x14ac:dyDescent="0.25">
      <c r="A3474" s="1">
        <f t="shared" si="432"/>
        <v>46370</v>
      </c>
      <c r="B3474" t="str" cm="1">
        <f t="array" ref="B3474">INDEX(HotelList,MOD(ROW()-2,10)+1)</f>
        <v>H003</v>
      </c>
      <c r="C3474">
        <f>_xlfn.XLOOKUP(B3474,Dim_Hotel!$A$2:$A$11,Dim_Hotel!$F$2:$F$11)</f>
        <v>121</v>
      </c>
      <c r="D3474">
        <f t="shared" si="433"/>
        <v>67</v>
      </c>
      <c r="E3474">
        <f t="shared" si="434"/>
        <v>0.55371900826446285</v>
      </c>
      <c r="F3474">
        <f t="shared" si="435"/>
        <v>145</v>
      </c>
      <c r="G3474">
        <f t="shared" si="436"/>
        <v>80.289256198347118</v>
      </c>
      <c r="H3474" t="str">
        <f>_xlfn.XLOOKUP(A3474,Fact_Events!$D$2:$D$20,Fact_Events!$A$2:$A$20, "")</f>
        <v/>
      </c>
      <c r="I3474">
        <f t="shared" si="437"/>
        <v>0</v>
      </c>
      <c r="J3474" t="str">
        <f>_xlfn.XLOOKUP(H3474, Fact_Events!$A$2:$A$20, Fact_Events!$F$2:$F$20, "")</f>
        <v/>
      </c>
      <c r="K3474" t="str">
        <f t="shared" si="438"/>
        <v>Low</v>
      </c>
      <c r="L3474">
        <f t="shared" si="439"/>
        <v>0.55000000000000004</v>
      </c>
      <c r="M3474">
        <f>_xlfn.XLOOKUP(B3474, Dim_Hotel!$A$2:$A$11, Dim_Hotel!$I$2:$I$11)
 + (IF(J3474="",0,J3474)
    * _xlfn.XLOOKUP(B3474, Dim_Hotel!$A$2:$A$11, Dim_Hotel!$J$2:$J$11))</f>
        <v>145</v>
      </c>
    </row>
    <row r="3475" spans="1:13" x14ac:dyDescent="0.25">
      <c r="A3475" s="1">
        <f t="shared" si="432"/>
        <v>46370</v>
      </c>
      <c r="B3475" t="str" cm="1">
        <f t="array" ref="B3475">INDEX(HotelList,MOD(ROW()-2,10)+1)</f>
        <v>H004</v>
      </c>
      <c r="C3475">
        <f>_xlfn.XLOOKUP(B3475,Dim_Hotel!$A$2:$A$11,Dim_Hotel!$F$2:$F$11)</f>
        <v>108</v>
      </c>
      <c r="D3475">
        <f t="shared" si="433"/>
        <v>59</v>
      </c>
      <c r="E3475">
        <f t="shared" si="434"/>
        <v>0.54629629629629628</v>
      </c>
      <c r="F3475">
        <f t="shared" si="435"/>
        <v>135</v>
      </c>
      <c r="G3475">
        <f t="shared" si="436"/>
        <v>73.75</v>
      </c>
      <c r="H3475" t="str">
        <f>_xlfn.XLOOKUP(A3475,Fact_Events!$D$2:$D$20,Fact_Events!$A$2:$A$20, "")</f>
        <v/>
      </c>
      <c r="I3475">
        <f t="shared" si="437"/>
        <v>0</v>
      </c>
      <c r="J3475" t="str">
        <f>_xlfn.XLOOKUP(H3475, Fact_Events!$A$2:$A$20, Fact_Events!$F$2:$F$20, "")</f>
        <v/>
      </c>
      <c r="K3475" t="str">
        <f t="shared" si="438"/>
        <v>Low</v>
      </c>
      <c r="L3475">
        <f t="shared" si="439"/>
        <v>0.55000000000000004</v>
      </c>
      <c r="M3475">
        <f>_xlfn.XLOOKUP(B3475, Dim_Hotel!$A$2:$A$11, Dim_Hotel!$I$2:$I$11)
 + (IF(J3475="",0,J3475)
    * _xlfn.XLOOKUP(B3475, Dim_Hotel!$A$2:$A$11, Dim_Hotel!$J$2:$J$11))</f>
        <v>135</v>
      </c>
    </row>
    <row r="3476" spans="1:13" x14ac:dyDescent="0.25">
      <c r="A3476" s="1">
        <f t="shared" si="432"/>
        <v>46370</v>
      </c>
      <c r="B3476" t="str" cm="1">
        <f t="array" ref="B3476">INDEX(HotelList,MOD(ROW()-2,10)+1)</f>
        <v>H005</v>
      </c>
      <c r="C3476">
        <f>_xlfn.XLOOKUP(B3476,Dim_Hotel!$A$2:$A$11,Dim_Hotel!$F$2:$F$11)</f>
        <v>66</v>
      </c>
      <c r="D3476">
        <f t="shared" si="433"/>
        <v>36</v>
      </c>
      <c r="E3476">
        <f t="shared" si="434"/>
        <v>0.54545454545454541</v>
      </c>
      <c r="F3476">
        <f t="shared" si="435"/>
        <v>82</v>
      </c>
      <c r="G3476">
        <f t="shared" si="436"/>
        <v>44.727272727272727</v>
      </c>
      <c r="H3476" t="str">
        <f>_xlfn.XLOOKUP(A3476,Fact_Events!$D$2:$D$20,Fact_Events!$A$2:$A$20, "")</f>
        <v/>
      </c>
      <c r="I3476">
        <f t="shared" si="437"/>
        <v>0</v>
      </c>
      <c r="J3476" t="str">
        <f>_xlfn.XLOOKUP(H3476, Fact_Events!$A$2:$A$20, Fact_Events!$F$2:$F$20, "")</f>
        <v/>
      </c>
      <c r="K3476" t="str">
        <f t="shared" si="438"/>
        <v>Low</v>
      </c>
      <c r="L3476">
        <f t="shared" si="439"/>
        <v>0.55000000000000004</v>
      </c>
      <c r="M3476">
        <f>_xlfn.XLOOKUP(B3476, Dim_Hotel!$A$2:$A$11, Dim_Hotel!$I$2:$I$11)
 + (IF(J3476="",0,J3476)
    * _xlfn.XLOOKUP(B3476, Dim_Hotel!$A$2:$A$11, Dim_Hotel!$J$2:$J$11))</f>
        <v>82</v>
      </c>
    </row>
    <row r="3477" spans="1:13" x14ac:dyDescent="0.25">
      <c r="A3477" s="1">
        <f t="shared" si="432"/>
        <v>46370</v>
      </c>
      <c r="B3477" t="str" cm="1">
        <f t="array" ref="B3477">INDEX(HotelList,MOD(ROW()-2,10)+1)</f>
        <v>H006</v>
      </c>
      <c r="C3477">
        <f>_xlfn.XLOOKUP(B3477,Dim_Hotel!$A$2:$A$11,Dim_Hotel!$F$2:$F$11)</f>
        <v>311</v>
      </c>
      <c r="D3477">
        <f t="shared" si="433"/>
        <v>171</v>
      </c>
      <c r="E3477">
        <f t="shared" si="434"/>
        <v>0.54983922829581988</v>
      </c>
      <c r="F3477">
        <f t="shared" si="435"/>
        <v>190</v>
      </c>
      <c r="G3477">
        <f t="shared" si="436"/>
        <v>104.46945337620578</v>
      </c>
      <c r="H3477" t="str">
        <f>_xlfn.XLOOKUP(A3477,Fact_Events!$D$2:$D$20,Fact_Events!$A$2:$A$20, "")</f>
        <v/>
      </c>
      <c r="I3477">
        <f t="shared" si="437"/>
        <v>0</v>
      </c>
      <c r="J3477" t="str">
        <f>_xlfn.XLOOKUP(H3477, Fact_Events!$A$2:$A$20, Fact_Events!$F$2:$F$20, "")</f>
        <v/>
      </c>
      <c r="K3477" t="str">
        <f t="shared" si="438"/>
        <v>Low</v>
      </c>
      <c r="L3477">
        <f t="shared" si="439"/>
        <v>0.55000000000000004</v>
      </c>
      <c r="M3477">
        <f>_xlfn.XLOOKUP(B3477, Dim_Hotel!$A$2:$A$11, Dim_Hotel!$I$2:$I$11)
 + (IF(J3477="",0,J3477)
    * _xlfn.XLOOKUP(B3477, Dim_Hotel!$A$2:$A$11, Dim_Hotel!$J$2:$J$11))</f>
        <v>190</v>
      </c>
    </row>
    <row r="3478" spans="1:13" x14ac:dyDescent="0.25">
      <c r="A3478" s="1">
        <f t="shared" si="432"/>
        <v>46370</v>
      </c>
      <c r="B3478" t="str" cm="1">
        <f t="array" ref="B3478">INDEX(HotelList,MOD(ROW()-2,10)+1)</f>
        <v>H007</v>
      </c>
      <c r="C3478">
        <f>_xlfn.XLOOKUP(B3478,Dim_Hotel!$A$2:$A$11,Dim_Hotel!$F$2:$F$11)</f>
        <v>132</v>
      </c>
      <c r="D3478">
        <f t="shared" si="433"/>
        <v>73</v>
      </c>
      <c r="E3478">
        <f t="shared" si="434"/>
        <v>0.55303030303030298</v>
      </c>
      <c r="F3478">
        <f t="shared" si="435"/>
        <v>165</v>
      </c>
      <c r="G3478">
        <f t="shared" si="436"/>
        <v>91.249999999999986</v>
      </c>
      <c r="H3478" t="str">
        <f>_xlfn.XLOOKUP(A3478,Fact_Events!$D$2:$D$20,Fact_Events!$A$2:$A$20, "")</f>
        <v/>
      </c>
      <c r="I3478">
        <f t="shared" si="437"/>
        <v>0</v>
      </c>
      <c r="J3478" t="str">
        <f>_xlfn.XLOOKUP(H3478, Fact_Events!$A$2:$A$20, Fact_Events!$F$2:$F$20, "")</f>
        <v/>
      </c>
      <c r="K3478" t="str">
        <f t="shared" si="438"/>
        <v>Low</v>
      </c>
      <c r="L3478">
        <f t="shared" si="439"/>
        <v>0.55000000000000004</v>
      </c>
      <c r="M3478">
        <f>_xlfn.XLOOKUP(B3478, Dim_Hotel!$A$2:$A$11, Dim_Hotel!$I$2:$I$11)
 + (IF(J3478="",0,J3478)
    * _xlfn.XLOOKUP(B3478, Dim_Hotel!$A$2:$A$11, Dim_Hotel!$J$2:$J$11))</f>
        <v>165</v>
      </c>
    </row>
    <row r="3479" spans="1:13" x14ac:dyDescent="0.25">
      <c r="A3479" s="1">
        <f t="shared" si="432"/>
        <v>46370</v>
      </c>
      <c r="B3479" t="str" cm="1">
        <f t="array" ref="B3479">INDEX(HotelList,MOD(ROW()-2,10)+1)</f>
        <v>H008</v>
      </c>
      <c r="C3479">
        <f>_xlfn.XLOOKUP(B3479,Dim_Hotel!$A$2:$A$11,Dim_Hotel!$F$2:$F$11)</f>
        <v>103</v>
      </c>
      <c r="D3479">
        <f t="shared" si="433"/>
        <v>57</v>
      </c>
      <c r="E3479">
        <f t="shared" si="434"/>
        <v>0.55339805825242716</v>
      </c>
      <c r="F3479">
        <f t="shared" si="435"/>
        <v>140</v>
      </c>
      <c r="G3479">
        <f t="shared" si="436"/>
        <v>77.475728155339809</v>
      </c>
      <c r="H3479" t="str">
        <f>_xlfn.XLOOKUP(A3479,Fact_Events!$D$2:$D$20,Fact_Events!$A$2:$A$20, "")</f>
        <v/>
      </c>
      <c r="I3479">
        <f t="shared" si="437"/>
        <v>0</v>
      </c>
      <c r="J3479" t="str">
        <f>_xlfn.XLOOKUP(H3479, Fact_Events!$A$2:$A$20, Fact_Events!$F$2:$F$20, "")</f>
        <v/>
      </c>
      <c r="K3479" t="str">
        <f t="shared" si="438"/>
        <v>Low</v>
      </c>
      <c r="L3479">
        <f t="shared" si="439"/>
        <v>0.55000000000000004</v>
      </c>
      <c r="M3479">
        <f>_xlfn.XLOOKUP(B3479, Dim_Hotel!$A$2:$A$11, Dim_Hotel!$I$2:$I$11)
 + (IF(J3479="",0,J3479)
    * _xlfn.XLOOKUP(B3479, Dim_Hotel!$A$2:$A$11, Dim_Hotel!$J$2:$J$11))</f>
        <v>140</v>
      </c>
    </row>
    <row r="3480" spans="1:13" x14ac:dyDescent="0.25">
      <c r="A3480" s="1">
        <f t="shared" si="432"/>
        <v>46370</v>
      </c>
      <c r="B3480" t="str" cm="1">
        <f t="array" ref="B3480">INDEX(HotelList,MOD(ROW()-2,10)+1)</f>
        <v>H009</v>
      </c>
      <c r="C3480">
        <f>_xlfn.XLOOKUP(B3480,Dim_Hotel!$A$2:$A$11,Dim_Hotel!$F$2:$F$11)</f>
        <v>114</v>
      </c>
      <c r="D3480">
        <f t="shared" si="433"/>
        <v>63</v>
      </c>
      <c r="E3480">
        <f t="shared" si="434"/>
        <v>0.55263157894736847</v>
      </c>
      <c r="F3480">
        <f t="shared" si="435"/>
        <v>185</v>
      </c>
      <c r="G3480">
        <f t="shared" si="436"/>
        <v>102.23684210526316</v>
      </c>
      <c r="H3480" t="str">
        <f>_xlfn.XLOOKUP(A3480,Fact_Events!$D$2:$D$20,Fact_Events!$A$2:$A$20, "")</f>
        <v/>
      </c>
      <c r="I3480">
        <f t="shared" si="437"/>
        <v>0</v>
      </c>
      <c r="J3480" t="str">
        <f>_xlfn.XLOOKUP(H3480, Fact_Events!$A$2:$A$20, Fact_Events!$F$2:$F$20, "")</f>
        <v/>
      </c>
      <c r="K3480" t="str">
        <f t="shared" si="438"/>
        <v>Low</v>
      </c>
      <c r="L3480">
        <f t="shared" si="439"/>
        <v>0.55000000000000004</v>
      </c>
      <c r="M3480">
        <f>_xlfn.XLOOKUP(B3480, Dim_Hotel!$A$2:$A$11, Dim_Hotel!$I$2:$I$11)
 + (IF(J3480="",0,J3480)
    * _xlfn.XLOOKUP(B3480, Dim_Hotel!$A$2:$A$11, Dim_Hotel!$J$2:$J$11))</f>
        <v>185</v>
      </c>
    </row>
    <row r="3481" spans="1:13" x14ac:dyDescent="0.25">
      <c r="A3481" s="1">
        <f t="shared" si="432"/>
        <v>46370</v>
      </c>
      <c r="B3481" t="str" cm="1">
        <f t="array" ref="B3481">INDEX(HotelList,MOD(ROW()-2,10)+1)</f>
        <v>H010</v>
      </c>
      <c r="C3481">
        <f>_xlfn.XLOOKUP(B3481,Dim_Hotel!$A$2:$A$11,Dim_Hotel!$F$2:$F$11)</f>
        <v>89</v>
      </c>
      <c r="D3481">
        <f t="shared" si="433"/>
        <v>49</v>
      </c>
      <c r="E3481">
        <f t="shared" si="434"/>
        <v>0.550561797752809</v>
      </c>
      <c r="F3481">
        <f t="shared" si="435"/>
        <v>150</v>
      </c>
      <c r="G3481">
        <f t="shared" si="436"/>
        <v>82.584269662921344</v>
      </c>
      <c r="H3481" t="str">
        <f>_xlfn.XLOOKUP(A3481,Fact_Events!$D$2:$D$20,Fact_Events!$A$2:$A$20, "")</f>
        <v/>
      </c>
      <c r="I3481">
        <f t="shared" si="437"/>
        <v>0</v>
      </c>
      <c r="J3481" t="str">
        <f>_xlfn.XLOOKUP(H3481, Fact_Events!$A$2:$A$20, Fact_Events!$F$2:$F$20, "")</f>
        <v/>
      </c>
      <c r="K3481" t="str">
        <f t="shared" si="438"/>
        <v>Low</v>
      </c>
      <c r="L3481">
        <f t="shared" si="439"/>
        <v>0.55000000000000004</v>
      </c>
      <c r="M3481">
        <f>_xlfn.XLOOKUP(B3481, Dim_Hotel!$A$2:$A$11, Dim_Hotel!$I$2:$I$11)
 + (IF(J3481="",0,J3481)
    * _xlfn.XLOOKUP(B3481, Dim_Hotel!$A$2:$A$11, Dim_Hotel!$J$2:$J$11))</f>
        <v>150</v>
      </c>
    </row>
    <row r="3482" spans="1:13" x14ac:dyDescent="0.25">
      <c r="A3482" s="1">
        <f t="shared" si="432"/>
        <v>46371</v>
      </c>
      <c r="B3482" t="str" cm="1">
        <f t="array" ref="B3482">INDEX(HotelList,MOD(ROW()-2,10)+1)</f>
        <v>H001</v>
      </c>
      <c r="C3482">
        <f>_xlfn.XLOOKUP(B3482,Dim_Hotel!$A$2:$A$11,Dim_Hotel!$F$2:$F$11)</f>
        <v>888</v>
      </c>
      <c r="D3482">
        <f t="shared" si="433"/>
        <v>488</v>
      </c>
      <c r="E3482">
        <f t="shared" si="434"/>
        <v>0.5495495495495496</v>
      </c>
      <c r="F3482">
        <f t="shared" si="435"/>
        <v>260</v>
      </c>
      <c r="G3482">
        <f t="shared" si="436"/>
        <v>142.88288288288288</v>
      </c>
      <c r="H3482" t="str">
        <f>_xlfn.XLOOKUP(A3482,Fact_Events!$D$2:$D$20,Fact_Events!$A$2:$A$20, "")</f>
        <v/>
      </c>
      <c r="I3482">
        <f t="shared" si="437"/>
        <v>0</v>
      </c>
      <c r="J3482" t="str">
        <f>_xlfn.XLOOKUP(H3482, Fact_Events!$A$2:$A$20, Fact_Events!$F$2:$F$20, "")</f>
        <v/>
      </c>
      <c r="K3482" t="str">
        <f t="shared" si="438"/>
        <v>Low</v>
      </c>
      <c r="L3482">
        <f t="shared" si="439"/>
        <v>0.55000000000000004</v>
      </c>
      <c r="M3482">
        <f>_xlfn.XLOOKUP(B3482, Dim_Hotel!$A$2:$A$11, Dim_Hotel!$I$2:$I$11)
 + (IF(J3482="",0,J3482)
    * _xlfn.XLOOKUP(B3482, Dim_Hotel!$A$2:$A$11, Dim_Hotel!$J$2:$J$11))</f>
        <v>260</v>
      </c>
    </row>
    <row r="3483" spans="1:13" x14ac:dyDescent="0.25">
      <c r="A3483" s="1">
        <f t="shared" si="432"/>
        <v>46371</v>
      </c>
      <c r="B3483" t="str" cm="1">
        <f t="array" ref="B3483">INDEX(HotelList,MOD(ROW()-2,10)+1)</f>
        <v>H002</v>
      </c>
      <c r="C3483">
        <f>_xlfn.XLOOKUP(B3483,Dim_Hotel!$A$2:$A$11,Dim_Hotel!$F$2:$F$11)</f>
        <v>147</v>
      </c>
      <c r="D3483">
        <f t="shared" si="433"/>
        <v>81</v>
      </c>
      <c r="E3483">
        <f t="shared" si="434"/>
        <v>0.55102040816326525</v>
      </c>
      <c r="F3483">
        <f t="shared" si="435"/>
        <v>175</v>
      </c>
      <c r="G3483">
        <f t="shared" si="436"/>
        <v>96.428571428571416</v>
      </c>
      <c r="H3483" t="str">
        <f>_xlfn.XLOOKUP(A3483,Fact_Events!$D$2:$D$20,Fact_Events!$A$2:$A$20, "")</f>
        <v/>
      </c>
      <c r="I3483">
        <f t="shared" si="437"/>
        <v>0</v>
      </c>
      <c r="J3483" t="str">
        <f>_xlfn.XLOOKUP(H3483, Fact_Events!$A$2:$A$20, Fact_Events!$F$2:$F$20, "")</f>
        <v/>
      </c>
      <c r="K3483" t="str">
        <f t="shared" si="438"/>
        <v>Low</v>
      </c>
      <c r="L3483">
        <f t="shared" si="439"/>
        <v>0.55000000000000004</v>
      </c>
      <c r="M3483">
        <f>_xlfn.XLOOKUP(B3483, Dim_Hotel!$A$2:$A$11, Dim_Hotel!$I$2:$I$11)
 + (IF(J3483="",0,J3483)
    * _xlfn.XLOOKUP(B3483, Dim_Hotel!$A$2:$A$11, Dim_Hotel!$J$2:$J$11))</f>
        <v>175</v>
      </c>
    </row>
    <row r="3484" spans="1:13" x14ac:dyDescent="0.25">
      <c r="A3484" s="1">
        <f t="shared" si="432"/>
        <v>46371</v>
      </c>
      <c r="B3484" t="str" cm="1">
        <f t="array" ref="B3484">INDEX(HotelList,MOD(ROW()-2,10)+1)</f>
        <v>H003</v>
      </c>
      <c r="C3484">
        <f>_xlfn.XLOOKUP(B3484,Dim_Hotel!$A$2:$A$11,Dim_Hotel!$F$2:$F$11)</f>
        <v>121</v>
      </c>
      <c r="D3484">
        <f t="shared" si="433"/>
        <v>67</v>
      </c>
      <c r="E3484">
        <f t="shared" si="434"/>
        <v>0.55371900826446285</v>
      </c>
      <c r="F3484">
        <f t="shared" si="435"/>
        <v>145</v>
      </c>
      <c r="G3484">
        <f t="shared" si="436"/>
        <v>80.289256198347118</v>
      </c>
      <c r="H3484" t="str">
        <f>_xlfn.XLOOKUP(A3484,Fact_Events!$D$2:$D$20,Fact_Events!$A$2:$A$20, "")</f>
        <v/>
      </c>
      <c r="I3484">
        <f t="shared" si="437"/>
        <v>0</v>
      </c>
      <c r="J3484" t="str">
        <f>_xlfn.XLOOKUP(H3484, Fact_Events!$A$2:$A$20, Fact_Events!$F$2:$F$20, "")</f>
        <v/>
      </c>
      <c r="K3484" t="str">
        <f t="shared" si="438"/>
        <v>Low</v>
      </c>
      <c r="L3484">
        <f t="shared" si="439"/>
        <v>0.55000000000000004</v>
      </c>
      <c r="M3484">
        <f>_xlfn.XLOOKUP(B3484, Dim_Hotel!$A$2:$A$11, Dim_Hotel!$I$2:$I$11)
 + (IF(J3484="",0,J3484)
    * _xlfn.XLOOKUP(B3484, Dim_Hotel!$A$2:$A$11, Dim_Hotel!$J$2:$J$11))</f>
        <v>145</v>
      </c>
    </row>
    <row r="3485" spans="1:13" x14ac:dyDescent="0.25">
      <c r="A3485" s="1">
        <f t="shared" si="432"/>
        <v>46371</v>
      </c>
      <c r="B3485" t="str" cm="1">
        <f t="array" ref="B3485">INDEX(HotelList,MOD(ROW()-2,10)+1)</f>
        <v>H004</v>
      </c>
      <c r="C3485">
        <f>_xlfn.XLOOKUP(B3485,Dim_Hotel!$A$2:$A$11,Dim_Hotel!$F$2:$F$11)</f>
        <v>108</v>
      </c>
      <c r="D3485">
        <f t="shared" si="433"/>
        <v>59</v>
      </c>
      <c r="E3485">
        <f t="shared" si="434"/>
        <v>0.54629629629629628</v>
      </c>
      <c r="F3485">
        <f t="shared" si="435"/>
        <v>135</v>
      </c>
      <c r="G3485">
        <f t="shared" si="436"/>
        <v>73.75</v>
      </c>
      <c r="H3485" t="str">
        <f>_xlfn.XLOOKUP(A3485,Fact_Events!$D$2:$D$20,Fact_Events!$A$2:$A$20, "")</f>
        <v/>
      </c>
      <c r="I3485">
        <f t="shared" si="437"/>
        <v>0</v>
      </c>
      <c r="J3485" t="str">
        <f>_xlfn.XLOOKUP(H3485, Fact_Events!$A$2:$A$20, Fact_Events!$F$2:$F$20, "")</f>
        <v/>
      </c>
      <c r="K3485" t="str">
        <f t="shared" si="438"/>
        <v>Low</v>
      </c>
      <c r="L3485">
        <f t="shared" si="439"/>
        <v>0.55000000000000004</v>
      </c>
      <c r="M3485">
        <f>_xlfn.XLOOKUP(B3485, Dim_Hotel!$A$2:$A$11, Dim_Hotel!$I$2:$I$11)
 + (IF(J3485="",0,J3485)
    * _xlfn.XLOOKUP(B3485, Dim_Hotel!$A$2:$A$11, Dim_Hotel!$J$2:$J$11))</f>
        <v>135</v>
      </c>
    </row>
    <row r="3486" spans="1:13" x14ac:dyDescent="0.25">
      <c r="A3486" s="1">
        <f t="shared" si="432"/>
        <v>46371</v>
      </c>
      <c r="B3486" t="str" cm="1">
        <f t="array" ref="B3486">INDEX(HotelList,MOD(ROW()-2,10)+1)</f>
        <v>H005</v>
      </c>
      <c r="C3486">
        <f>_xlfn.XLOOKUP(B3486,Dim_Hotel!$A$2:$A$11,Dim_Hotel!$F$2:$F$11)</f>
        <v>66</v>
      </c>
      <c r="D3486">
        <f t="shared" si="433"/>
        <v>36</v>
      </c>
      <c r="E3486">
        <f t="shared" si="434"/>
        <v>0.54545454545454541</v>
      </c>
      <c r="F3486">
        <f t="shared" si="435"/>
        <v>82</v>
      </c>
      <c r="G3486">
        <f t="shared" si="436"/>
        <v>44.727272727272727</v>
      </c>
      <c r="H3486" t="str">
        <f>_xlfn.XLOOKUP(A3486,Fact_Events!$D$2:$D$20,Fact_Events!$A$2:$A$20, "")</f>
        <v/>
      </c>
      <c r="I3486">
        <f t="shared" si="437"/>
        <v>0</v>
      </c>
      <c r="J3486" t="str">
        <f>_xlfn.XLOOKUP(H3486, Fact_Events!$A$2:$A$20, Fact_Events!$F$2:$F$20, "")</f>
        <v/>
      </c>
      <c r="K3486" t="str">
        <f t="shared" si="438"/>
        <v>Low</v>
      </c>
      <c r="L3486">
        <f t="shared" si="439"/>
        <v>0.55000000000000004</v>
      </c>
      <c r="M3486">
        <f>_xlfn.XLOOKUP(B3486, Dim_Hotel!$A$2:$A$11, Dim_Hotel!$I$2:$I$11)
 + (IF(J3486="",0,J3486)
    * _xlfn.XLOOKUP(B3486, Dim_Hotel!$A$2:$A$11, Dim_Hotel!$J$2:$J$11))</f>
        <v>82</v>
      </c>
    </row>
    <row r="3487" spans="1:13" x14ac:dyDescent="0.25">
      <c r="A3487" s="1">
        <f t="shared" si="432"/>
        <v>46371</v>
      </c>
      <c r="B3487" t="str" cm="1">
        <f t="array" ref="B3487">INDEX(HotelList,MOD(ROW()-2,10)+1)</f>
        <v>H006</v>
      </c>
      <c r="C3487">
        <f>_xlfn.XLOOKUP(B3487,Dim_Hotel!$A$2:$A$11,Dim_Hotel!$F$2:$F$11)</f>
        <v>311</v>
      </c>
      <c r="D3487">
        <f t="shared" si="433"/>
        <v>171</v>
      </c>
      <c r="E3487">
        <f t="shared" si="434"/>
        <v>0.54983922829581988</v>
      </c>
      <c r="F3487">
        <f t="shared" si="435"/>
        <v>190</v>
      </c>
      <c r="G3487">
        <f t="shared" si="436"/>
        <v>104.46945337620578</v>
      </c>
      <c r="H3487" t="str">
        <f>_xlfn.XLOOKUP(A3487,Fact_Events!$D$2:$D$20,Fact_Events!$A$2:$A$20, "")</f>
        <v/>
      </c>
      <c r="I3487">
        <f t="shared" si="437"/>
        <v>0</v>
      </c>
      <c r="J3487" t="str">
        <f>_xlfn.XLOOKUP(H3487, Fact_Events!$A$2:$A$20, Fact_Events!$F$2:$F$20, "")</f>
        <v/>
      </c>
      <c r="K3487" t="str">
        <f t="shared" si="438"/>
        <v>Low</v>
      </c>
      <c r="L3487">
        <f t="shared" si="439"/>
        <v>0.55000000000000004</v>
      </c>
      <c r="M3487">
        <f>_xlfn.XLOOKUP(B3487, Dim_Hotel!$A$2:$A$11, Dim_Hotel!$I$2:$I$11)
 + (IF(J3487="",0,J3487)
    * _xlfn.XLOOKUP(B3487, Dim_Hotel!$A$2:$A$11, Dim_Hotel!$J$2:$J$11))</f>
        <v>190</v>
      </c>
    </row>
    <row r="3488" spans="1:13" x14ac:dyDescent="0.25">
      <c r="A3488" s="1">
        <f t="shared" si="432"/>
        <v>46371</v>
      </c>
      <c r="B3488" t="str" cm="1">
        <f t="array" ref="B3488">INDEX(HotelList,MOD(ROW()-2,10)+1)</f>
        <v>H007</v>
      </c>
      <c r="C3488">
        <f>_xlfn.XLOOKUP(B3488,Dim_Hotel!$A$2:$A$11,Dim_Hotel!$F$2:$F$11)</f>
        <v>132</v>
      </c>
      <c r="D3488">
        <f t="shared" si="433"/>
        <v>73</v>
      </c>
      <c r="E3488">
        <f t="shared" si="434"/>
        <v>0.55303030303030298</v>
      </c>
      <c r="F3488">
        <f t="shared" si="435"/>
        <v>165</v>
      </c>
      <c r="G3488">
        <f t="shared" si="436"/>
        <v>91.249999999999986</v>
      </c>
      <c r="H3488" t="str">
        <f>_xlfn.XLOOKUP(A3488,Fact_Events!$D$2:$D$20,Fact_Events!$A$2:$A$20, "")</f>
        <v/>
      </c>
      <c r="I3488">
        <f t="shared" si="437"/>
        <v>0</v>
      </c>
      <c r="J3488" t="str">
        <f>_xlfn.XLOOKUP(H3488, Fact_Events!$A$2:$A$20, Fact_Events!$F$2:$F$20, "")</f>
        <v/>
      </c>
      <c r="K3488" t="str">
        <f t="shared" si="438"/>
        <v>Low</v>
      </c>
      <c r="L3488">
        <f t="shared" si="439"/>
        <v>0.55000000000000004</v>
      </c>
      <c r="M3488">
        <f>_xlfn.XLOOKUP(B3488, Dim_Hotel!$A$2:$A$11, Dim_Hotel!$I$2:$I$11)
 + (IF(J3488="",0,J3488)
    * _xlfn.XLOOKUP(B3488, Dim_Hotel!$A$2:$A$11, Dim_Hotel!$J$2:$J$11))</f>
        <v>165</v>
      </c>
    </row>
    <row r="3489" spans="1:13" x14ac:dyDescent="0.25">
      <c r="A3489" s="1">
        <f t="shared" si="432"/>
        <v>46371</v>
      </c>
      <c r="B3489" t="str" cm="1">
        <f t="array" ref="B3489">INDEX(HotelList,MOD(ROW()-2,10)+1)</f>
        <v>H008</v>
      </c>
      <c r="C3489">
        <f>_xlfn.XLOOKUP(B3489,Dim_Hotel!$A$2:$A$11,Dim_Hotel!$F$2:$F$11)</f>
        <v>103</v>
      </c>
      <c r="D3489">
        <f t="shared" si="433"/>
        <v>57</v>
      </c>
      <c r="E3489">
        <f t="shared" si="434"/>
        <v>0.55339805825242716</v>
      </c>
      <c r="F3489">
        <f t="shared" si="435"/>
        <v>140</v>
      </c>
      <c r="G3489">
        <f t="shared" si="436"/>
        <v>77.475728155339809</v>
      </c>
      <c r="H3489" t="str">
        <f>_xlfn.XLOOKUP(A3489,Fact_Events!$D$2:$D$20,Fact_Events!$A$2:$A$20, "")</f>
        <v/>
      </c>
      <c r="I3489">
        <f t="shared" si="437"/>
        <v>0</v>
      </c>
      <c r="J3489" t="str">
        <f>_xlfn.XLOOKUP(H3489, Fact_Events!$A$2:$A$20, Fact_Events!$F$2:$F$20, "")</f>
        <v/>
      </c>
      <c r="K3489" t="str">
        <f t="shared" si="438"/>
        <v>Low</v>
      </c>
      <c r="L3489">
        <f t="shared" si="439"/>
        <v>0.55000000000000004</v>
      </c>
      <c r="M3489">
        <f>_xlfn.XLOOKUP(B3489, Dim_Hotel!$A$2:$A$11, Dim_Hotel!$I$2:$I$11)
 + (IF(J3489="",0,J3489)
    * _xlfn.XLOOKUP(B3489, Dim_Hotel!$A$2:$A$11, Dim_Hotel!$J$2:$J$11))</f>
        <v>140</v>
      </c>
    </row>
    <row r="3490" spans="1:13" x14ac:dyDescent="0.25">
      <c r="A3490" s="1">
        <f t="shared" si="432"/>
        <v>46371</v>
      </c>
      <c r="B3490" t="str" cm="1">
        <f t="array" ref="B3490">INDEX(HotelList,MOD(ROW()-2,10)+1)</f>
        <v>H009</v>
      </c>
      <c r="C3490">
        <f>_xlfn.XLOOKUP(B3490,Dim_Hotel!$A$2:$A$11,Dim_Hotel!$F$2:$F$11)</f>
        <v>114</v>
      </c>
      <c r="D3490">
        <f t="shared" si="433"/>
        <v>63</v>
      </c>
      <c r="E3490">
        <f t="shared" si="434"/>
        <v>0.55263157894736847</v>
      </c>
      <c r="F3490">
        <f t="shared" si="435"/>
        <v>185</v>
      </c>
      <c r="G3490">
        <f t="shared" si="436"/>
        <v>102.23684210526316</v>
      </c>
      <c r="H3490" t="str">
        <f>_xlfn.XLOOKUP(A3490,Fact_Events!$D$2:$D$20,Fact_Events!$A$2:$A$20, "")</f>
        <v/>
      </c>
      <c r="I3490">
        <f t="shared" si="437"/>
        <v>0</v>
      </c>
      <c r="J3490" t="str">
        <f>_xlfn.XLOOKUP(H3490, Fact_Events!$A$2:$A$20, Fact_Events!$F$2:$F$20, "")</f>
        <v/>
      </c>
      <c r="K3490" t="str">
        <f t="shared" si="438"/>
        <v>Low</v>
      </c>
      <c r="L3490">
        <f t="shared" si="439"/>
        <v>0.55000000000000004</v>
      </c>
      <c r="M3490">
        <f>_xlfn.XLOOKUP(B3490, Dim_Hotel!$A$2:$A$11, Dim_Hotel!$I$2:$I$11)
 + (IF(J3490="",0,J3490)
    * _xlfn.XLOOKUP(B3490, Dim_Hotel!$A$2:$A$11, Dim_Hotel!$J$2:$J$11))</f>
        <v>185</v>
      </c>
    </row>
    <row r="3491" spans="1:13" x14ac:dyDescent="0.25">
      <c r="A3491" s="1">
        <f t="shared" si="432"/>
        <v>46371</v>
      </c>
      <c r="B3491" t="str" cm="1">
        <f t="array" ref="B3491">INDEX(HotelList,MOD(ROW()-2,10)+1)</f>
        <v>H010</v>
      </c>
      <c r="C3491">
        <f>_xlfn.XLOOKUP(B3491,Dim_Hotel!$A$2:$A$11,Dim_Hotel!$F$2:$F$11)</f>
        <v>89</v>
      </c>
      <c r="D3491">
        <f t="shared" si="433"/>
        <v>49</v>
      </c>
      <c r="E3491">
        <f t="shared" si="434"/>
        <v>0.550561797752809</v>
      </c>
      <c r="F3491">
        <f t="shared" si="435"/>
        <v>150</v>
      </c>
      <c r="G3491">
        <f t="shared" si="436"/>
        <v>82.584269662921344</v>
      </c>
      <c r="H3491" t="str">
        <f>_xlfn.XLOOKUP(A3491,Fact_Events!$D$2:$D$20,Fact_Events!$A$2:$A$20, "")</f>
        <v/>
      </c>
      <c r="I3491">
        <f t="shared" si="437"/>
        <v>0</v>
      </c>
      <c r="J3491" t="str">
        <f>_xlfn.XLOOKUP(H3491, Fact_Events!$A$2:$A$20, Fact_Events!$F$2:$F$20, "")</f>
        <v/>
      </c>
      <c r="K3491" t="str">
        <f t="shared" si="438"/>
        <v>Low</v>
      </c>
      <c r="L3491">
        <f t="shared" si="439"/>
        <v>0.55000000000000004</v>
      </c>
      <c r="M3491">
        <f>_xlfn.XLOOKUP(B3491, Dim_Hotel!$A$2:$A$11, Dim_Hotel!$I$2:$I$11)
 + (IF(J3491="",0,J3491)
    * _xlfn.XLOOKUP(B3491, Dim_Hotel!$A$2:$A$11, Dim_Hotel!$J$2:$J$11))</f>
        <v>150</v>
      </c>
    </row>
    <row r="3492" spans="1:13" x14ac:dyDescent="0.25">
      <c r="A3492" s="1">
        <f t="shared" si="432"/>
        <v>46372</v>
      </c>
      <c r="B3492" t="str" cm="1">
        <f t="array" ref="B3492">INDEX(HotelList,MOD(ROW()-2,10)+1)</f>
        <v>H001</v>
      </c>
      <c r="C3492">
        <f>_xlfn.XLOOKUP(B3492,Dim_Hotel!$A$2:$A$11,Dim_Hotel!$F$2:$F$11)</f>
        <v>888</v>
      </c>
      <c r="D3492">
        <f t="shared" si="433"/>
        <v>488</v>
      </c>
      <c r="E3492">
        <f t="shared" si="434"/>
        <v>0.5495495495495496</v>
      </c>
      <c r="F3492">
        <f t="shared" si="435"/>
        <v>260</v>
      </c>
      <c r="G3492">
        <f t="shared" si="436"/>
        <v>142.88288288288288</v>
      </c>
      <c r="H3492" t="str">
        <f>_xlfn.XLOOKUP(A3492,Fact_Events!$D$2:$D$20,Fact_Events!$A$2:$A$20, "")</f>
        <v/>
      </c>
      <c r="I3492">
        <f t="shared" si="437"/>
        <v>0</v>
      </c>
      <c r="J3492" t="str">
        <f>_xlfn.XLOOKUP(H3492, Fact_Events!$A$2:$A$20, Fact_Events!$F$2:$F$20, "")</f>
        <v/>
      </c>
      <c r="K3492" t="str">
        <f t="shared" si="438"/>
        <v>Low</v>
      </c>
      <c r="L3492">
        <f t="shared" si="439"/>
        <v>0.55000000000000004</v>
      </c>
      <c r="M3492">
        <f>_xlfn.XLOOKUP(B3492, Dim_Hotel!$A$2:$A$11, Dim_Hotel!$I$2:$I$11)
 + (IF(J3492="",0,J3492)
    * _xlfn.XLOOKUP(B3492, Dim_Hotel!$A$2:$A$11, Dim_Hotel!$J$2:$J$11))</f>
        <v>260</v>
      </c>
    </row>
    <row r="3493" spans="1:13" x14ac:dyDescent="0.25">
      <c r="A3493" s="1">
        <f t="shared" si="432"/>
        <v>46372</v>
      </c>
      <c r="B3493" t="str" cm="1">
        <f t="array" ref="B3493">INDEX(HotelList,MOD(ROW()-2,10)+1)</f>
        <v>H002</v>
      </c>
      <c r="C3493">
        <f>_xlfn.XLOOKUP(B3493,Dim_Hotel!$A$2:$A$11,Dim_Hotel!$F$2:$F$11)</f>
        <v>147</v>
      </c>
      <c r="D3493">
        <f t="shared" si="433"/>
        <v>81</v>
      </c>
      <c r="E3493">
        <f t="shared" si="434"/>
        <v>0.55102040816326525</v>
      </c>
      <c r="F3493">
        <f t="shared" si="435"/>
        <v>175</v>
      </c>
      <c r="G3493">
        <f t="shared" si="436"/>
        <v>96.428571428571416</v>
      </c>
      <c r="H3493" t="str">
        <f>_xlfn.XLOOKUP(A3493,Fact_Events!$D$2:$D$20,Fact_Events!$A$2:$A$20, "")</f>
        <v/>
      </c>
      <c r="I3493">
        <f t="shared" si="437"/>
        <v>0</v>
      </c>
      <c r="J3493" t="str">
        <f>_xlfn.XLOOKUP(H3493, Fact_Events!$A$2:$A$20, Fact_Events!$F$2:$F$20, "")</f>
        <v/>
      </c>
      <c r="K3493" t="str">
        <f t="shared" si="438"/>
        <v>Low</v>
      </c>
      <c r="L3493">
        <f t="shared" si="439"/>
        <v>0.55000000000000004</v>
      </c>
      <c r="M3493">
        <f>_xlfn.XLOOKUP(B3493, Dim_Hotel!$A$2:$A$11, Dim_Hotel!$I$2:$I$11)
 + (IF(J3493="",0,J3493)
    * _xlfn.XLOOKUP(B3493, Dim_Hotel!$A$2:$A$11, Dim_Hotel!$J$2:$J$11))</f>
        <v>175</v>
      </c>
    </row>
    <row r="3494" spans="1:13" x14ac:dyDescent="0.25">
      <c r="A3494" s="1">
        <f t="shared" si="432"/>
        <v>46372</v>
      </c>
      <c r="B3494" t="str" cm="1">
        <f t="array" ref="B3494">INDEX(HotelList,MOD(ROW()-2,10)+1)</f>
        <v>H003</v>
      </c>
      <c r="C3494">
        <f>_xlfn.XLOOKUP(B3494,Dim_Hotel!$A$2:$A$11,Dim_Hotel!$F$2:$F$11)</f>
        <v>121</v>
      </c>
      <c r="D3494">
        <f t="shared" si="433"/>
        <v>67</v>
      </c>
      <c r="E3494">
        <f t="shared" si="434"/>
        <v>0.55371900826446285</v>
      </c>
      <c r="F3494">
        <f t="shared" si="435"/>
        <v>145</v>
      </c>
      <c r="G3494">
        <f t="shared" si="436"/>
        <v>80.289256198347118</v>
      </c>
      <c r="H3494" t="str">
        <f>_xlfn.XLOOKUP(A3494,Fact_Events!$D$2:$D$20,Fact_Events!$A$2:$A$20, "")</f>
        <v/>
      </c>
      <c r="I3494">
        <f t="shared" si="437"/>
        <v>0</v>
      </c>
      <c r="J3494" t="str">
        <f>_xlfn.XLOOKUP(H3494, Fact_Events!$A$2:$A$20, Fact_Events!$F$2:$F$20, "")</f>
        <v/>
      </c>
      <c r="K3494" t="str">
        <f t="shared" si="438"/>
        <v>Low</v>
      </c>
      <c r="L3494">
        <f t="shared" si="439"/>
        <v>0.55000000000000004</v>
      </c>
      <c r="M3494">
        <f>_xlfn.XLOOKUP(B3494, Dim_Hotel!$A$2:$A$11, Dim_Hotel!$I$2:$I$11)
 + (IF(J3494="",0,J3494)
    * _xlfn.XLOOKUP(B3494, Dim_Hotel!$A$2:$A$11, Dim_Hotel!$J$2:$J$11))</f>
        <v>145</v>
      </c>
    </row>
    <row r="3495" spans="1:13" x14ac:dyDescent="0.25">
      <c r="A3495" s="1">
        <f t="shared" si="432"/>
        <v>46372</v>
      </c>
      <c r="B3495" t="str" cm="1">
        <f t="array" ref="B3495">INDEX(HotelList,MOD(ROW()-2,10)+1)</f>
        <v>H004</v>
      </c>
      <c r="C3495">
        <f>_xlfn.XLOOKUP(B3495,Dim_Hotel!$A$2:$A$11,Dim_Hotel!$F$2:$F$11)</f>
        <v>108</v>
      </c>
      <c r="D3495">
        <f t="shared" si="433"/>
        <v>59</v>
      </c>
      <c r="E3495">
        <f t="shared" si="434"/>
        <v>0.54629629629629628</v>
      </c>
      <c r="F3495">
        <f t="shared" si="435"/>
        <v>135</v>
      </c>
      <c r="G3495">
        <f t="shared" si="436"/>
        <v>73.75</v>
      </c>
      <c r="H3495" t="str">
        <f>_xlfn.XLOOKUP(A3495,Fact_Events!$D$2:$D$20,Fact_Events!$A$2:$A$20, "")</f>
        <v/>
      </c>
      <c r="I3495">
        <f t="shared" si="437"/>
        <v>0</v>
      </c>
      <c r="J3495" t="str">
        <f>_xlfn.XLOOKUP(H3495, Fact_Events!$A$2:$A$20, Fact_Events!$F$2:$F$20, "")</f>
        <v/>
      </c>
      <c r="K3495" t="str">
        <f t="shared" si="438"/>
        <v>Low</v>
      </c>
      <c r="L3495">
        <f t="shared" si="439"/>
        <v>0.55000000000000004</v>
      </c>
      <c r="M3495">
        <f>_xlfn.XLOOKUP(B3495, Dim_Hotel!$A$2:$A$11, Dim_Hotel!$I$2:$I$11)
 + (IF(J3495="",0,J3495)
    * _xlfn.XLOOKUP(B3495, Dim_Hotel!$A$2:$A$11, Dim_Hotel!$J$2:$J$11))</f>
        <v>135</v>
      </c>
    </row>
    <row r="3496" spans="1:13" x14ac:dyDescent="0.25">
      <c r="A3496" s="1">
        <f t="shared" si="432"/>
        <v>46372</v>
      </c>
      <c r="B3496" t="str" cm="1">
        <f t="array" ref="B3496">INDEX(HotelList,MOD(ROW()-2,10)+1)</f>
        <v>H005</v>
      </c>
      <c r="C3496">
        <f>_xlfn.XLOOKUP(B3496,Dim_Hotel!$A$2:$A$11,Dim_Hotel!$F$2:$F$11)</f>
        <v>66</v>
      </c>
      <c r="D3496">
        <f t="shared" si="433"/>
        <v>36</v>
      </c>
      <c r="E3496">
        <f t="shared" si="434"/>
        <v>0.54545454545454541</v>
      </c>
      <c r="F3496">
        <f t="shared" si="435"/>
        <v>82</v>
      </c>
      <c r="G3496">
        <f t="shared" si="436"/>
        <v>44.727272727272727</v>
      </c>
      <c r="H3496" t="str">
        <f>_xlfn.XLOOKUP(A3496,Fact_Events!$D$2:$D$20,Fact_Events!$A$2:$A$20, "")</f>
        <v/>
      </c>
      <c r="I3496">
        <f t="shared" si="437"/>
        <v>0</v>
      </c>
      <c r="J3496" t="str">
        <f>_xlfn.XLOOKUP(H3496, Fact_Events!$A$2:$A$20, Fact_Events!$F$2:$F$20, "")</f>
        <v/>
      </c>
      <c r="K3496" t="str">
        <f t="shared" si="438"/>
        <v>Low</v>
      </c>
      <c r="L3496">
        <f t="shared" si="439"/>
        <v>0.55000000000000004</v>
      </c>
      <c r="M3496">
        <f>_xlfn.XLOOKUP(B3496, Dim_Hotel!$A$2:$A$11, Dim_Hotel!$I$2:$I$11)
 + (IF(J3496="",0,J3496)
    * _xlfn.XLOOKUP(B3496, Dim_Hotel!$A$2:$A$11, Dim_Hotel!$J$2:$J$11))</f>
        <v>82</v>
      </c>
    </row>
    <row r="3497" spans="1:13" x14ac:dyDescent="0.25">
      <c r="A3497" s="1">
        <f t="shared" si="432"/>
        <v>46372</v>
      </c>
      <c r="B3497" t="str" cm="1">
        <f t="array" ref="B3497">INDEX(HotelList,MOD(ROW()-2,10)+1)</f>
        <v>H006</v>
      </c>
      <c r="C3497">
        <f>_xlfn.XLOOKUP(B3497,Dim_Hotel!$A$2:$A$11,Dim_Hotel!$F$2:$F$11)</f>
        <v>311</v>
      </c>
      <c r="D3497">
        <f t="shared" si="433"/>
        <v>171</v>
      </c>
      <c r="E3497">
        <f t="shared" si="434"/>
        <v>0.54983922829581988</v>
      </c>
      <c r="F3497">
        <f t="shared" si="435"/>
        <v>190</v>
      </c>
      <c r="G3497">
        <f t="shared" si="436"/>
        <v>104.46945337620578</v>
      </c>
      <c r="H3497" t="str">
        <f>_xlfn.XLOOKUP(A3497,Fact_Events!$D$2:$D$20,Fact_Events!$A$2:$A$20, "")</f>
        <v/>
      </c>
      <c r="I3497">
        <f t="shared" si="437"/>
        <v>0</v>
      </c>
      <c r="J3497" t="str">
        <f>_xlfn.XLOOKUP(H3497, Fact_Events!$A$2:$A$20, Fact_Events!$F$2:$F$20, "")</f>
        <v/>
      </c>
      <c r="K3497" t="str">
        <f t="shared" si="438"/>
        <v>Low</v>
      </c>
      <c r="L3497">
        <f t="shared" si="439"/>
        <v>0.55000000000000004</v>
      </c>
      <c r="M3497">
        <f>_xlfn.XLOOKUP(B3497, Dim_Hotel!$A$2:$A$11, Dim_Hotel!$I$2:$I$11)
 + (IF(J3497="",0,J3497)
    * _xlfn.XLOOKUP(B3497, Dim_Hotel!$A$2:$A$11, Dim_Hotel!$J$2:$J$11))</f>
        <v>190</v>
      </c>
    </row>
    <row r="3498" spans="1:13" x14ac:dyDescent="0.25">
      <c r="A3498" s="1">
        <f t="shared" si="432"/>
        <v>46372</v>
      </c>
      <c r="B3498" t="str" cm="1">
        <f t="array" ref="B3498">INDEX(HotelList,MOD(ROW()-2,10)+1)</f>
        <v>H007</v>
      </c>
      <c r="C3498">
        <f>_xlfn.XLOOKUP(B3498,Dim_Hotel!$A$2:$A$11,Dim_Hotel!$F$2:$F$11)</f>
        <v>132</v>
      </c>
      <c r="D3498">
        <f t="shared" si="433"/>
        <v>73</v>
      </c>
      <c r="E3498">
        <f t="shared" si="434"/>
        <v>0.55303030303030298</v>
      </c>
      <c r="F3498">
        <f t="shared" si="435"/>
        <v>165</v>
      </c>
      <c r="G3498">
        <f t="shared" si="436"/>
        <v>91.249999999999986</v>
      </c>
      <c r="H3498" t="str">
        <f>_xlfn.XLOOKUP(A3498,Fact_Events!$D$2:$D$20,Fact_Events!$A$2:$A$20, "")</f>
        <v/>
      </c>
      <c r="I3498">
        <f t="shared" si="437"/>
        <v>0</v>
      </c>
      <c r="J3498" t="str">
        <f>_xlfn.XLOOKUP(H3498, Fact_Events!$A$2:$A$20, Fact_Events!$F$2:$F$20, "")</f>
        <v/>
      </c>
      <c r="K3498" t="str">
        <f t="shared" si="438"/>
        <v>Low</v>
      </c>
      <c r="L3498">
        <f t="shared" si="439"/>
        <v>0.55000000000000004</v>
      </c>
      <c r="M3498">
        <f>_xlfn.XLOOKUP(B3498, Dim_Hotel!$A$2:$A$11, Dim_Hotel!$I$2:$I$11)
 + (IF(J3498="",0,J3498)
    * _xlfn.XLOOKUP(B3498, Dim_Hotel!$A$2:$A$11, Dim_Hotel!$J$2:$J$11))</f>
        <v>165</v>
      </c>
    </row>
    <row r="3499" spans="1:13" x14ac:dyDescent="0.25">
      <c r="A3499" s="1">
        <f t="shared" si="432"/>
        <v>46372</v>
      </c>
      <c r="B3499" t="str" cm="1">
        <f t="array" ref="B3499">INDEX(HotelList,MOD(ROW()-2,10)+1)</f>
        <v>H008</v>
      </c>
      <c r="C3499">
        <f>_xlfn.XLOOKUP(B3499,Dim_Hotel!$A$2:$A$11,Dim_Hotel!$F$2:$F$11)</f>
        <v>103</v>
      </c>
      <c r="D3499">
        <f t="shared" si="433"/>
        <v>57</v>
      </c>
      <c r="E3499">
        <f t="shared" si="434"/>
        <v>0.55339805825242716</v>
      </c>
      <c r="F3499">
        <f t="shared" si="435"/>
        <v>140</v>
      </c>
      <c r="G3499">
        <f t="shared" si="436"/>
        <v>77.475728155339809</v>
      </c>
      <c r="H3499" t="str">
        <f>_xlfn.XLOOKUP(A3499,Fact_Events!$D$2:$D$20,Fact_Events!$A$2:$A$20, "")</f>
        <v/>
      </c>
      <c r="I3499">
        <f t="shared" si="437"/>
        <v>0</v>
      </c>
      <c r="J3499" t="str">
        <f>_xlfn.XLOOKUP(H3499, Fact_Events!$A$2:$A$20, Fact_Events!$F$2:$F$20, "")</f>
        <v/>
      </c>
      <c r="K3499" t="str">
        <f t="shared" si="438"/>
        <v>Low</v>
      </c>
      <c r="L3499">
        <f t="shared" si="439"/>
        <v>0.55000000000000004</v>
      </c>
      <c r="M3499">
        <f>_xlfn.XLOOKUP(B3499, Dim_Hotel!$A$2:$A$11, Dim_Hotel!$I$2:$I$11)
 + (IF(J3499="",0,J3499)
    * _xlfn.XLOOKUP(B3499, Dim_Hotel!$A$2:$A$11, Dim_Hotel!$J$2:$J$11))</f>
        <v>140</v>
      </c>
    </row>
    <row r="3500" spans="1:13" x14ac:dyDescent="0.25">
      <c r="A3500" s="1">
        <f t="shared" si="432"/>
        <v>46372</v>
      </c>
      <c r="B3500" t="str" cm="1">
        <f t="array" ref="B3500">INDEX(HotelList,MOD(ROW()-2,10)+1)</f>
        <v>H009</v>
      </c>
      <c r="C3500">
        <f>_xlfn.XLOOKUP(B3500,Dim_Hotel!$A$2:$A$11,Dim_Hotel!$F$2:$F$11)</f>
        <v>114</v>
      </c>
      <c r="D3500">
        <f t="shared" si="433"/>
        <v>63</v>
      </c>
      <c r="E3500">
        <f t="shared" si="434"/>
        <v>0.55263157894736847</v>
      </c>
      <c r="F3500">
        <f t="shared" si="435"/>
        <v>185</v>
      </c>
      <c r="G3500">
        <f t="shared" si="436"/>
        <v>102.23684210526316</v>
      </c>
      <c r="H3500" t="str">
        <f>_xlfn.XLOOKUP(A3500,Fact_Events!$D$2:$D$20,Fact_Events!$A$2:$A$20, "")</f>
        <v/>
      </c>
      <c r="I3500">
        <f t="shared" si="437"/>
        <v>0</v>
      </c>
      <c r="J3500" t="str">
        <f>_xlfn.XLOOKUP(H3500, Fact_Events!$A$2:$A$20, Fact_Events!$F$2:$F$20, "")</f>
        <v/>
      </c>
      <c r="K3500" t="str">
        <f t="shared" si="438"/>
        <v>Low</v>
      </c>
      <c r="L3500">
        <f t="shared" si="439"/>
        <v>0.55000000000000004</v>
      </c>
      <c r="M3500">
        <f>_xlfn.XLOOKUP(B3500, Dim_Hotel!$A$2:$A$11, Dim_Hotel!$I$2:$I$11)
 + (IF(J3500="",0,J3500)
    * _xlfn.XLOOKUP(B3500, Dim_Hotel!$A$2:$A$11, Dim_Hotel!$J$2:$J$11))</f>
        <v>185</v>
      </c>
    </row>
    <row r="3501" spans="1:13" x14ac:dyDescent="0.25">
      <c r="A3501" s="1">
        <f t="shared" si="432"/>
        <v>46372</v>
      </c>
      <c r="B3501" t="str" cm="1">
        <f t="array" ref="B3501">INDEX(HotelList,MOD(ROW()-2,10)+1)</f>
        <v>H010</v>
      </c>
      <c r="C3501">
        <f>_xlfn.XLOOKUP(B3501,Dim_Hotel!$A$2:$A$11,Dim_Hotel!$F$2:$F$11)</f>
        <v>89</v>
      </c>
      <c r="D3501">
        <f t="shared" si="433"/>
        <v>49</v>
      </c>
      <c r="E3501">
        <f t="shared" si="434"/>
        <v>0.550561797752809</v>
      </c>
      <c r="F3501">
        <f t="shared" si="435"/>
        <v>150</v>
      </c>
      <c r="G3501">
        <f t="shared" si="436"/>
        <v>82.584269662921344</v>
      </c>
      <c r="H3501" t="str">
        <f>_xlfn.XLOOKUP(A3501,Fact_Events!$D$2:$D$20,Fact_Events!$A$2:$A$20, "")</f>
        <v/>
      </c>
      <c r="I3501">
        <f t="shared" si="437"/>
        <v>0</v>
      </c>
      <c r="J3501" t="str">
        <f>_xlfn.XLOOKUP(H3501, Fact_Events!$A$2:$A$20, Fact_Events!$F$2:$F$20, "")</f>
        <v/>
      </c>
      <c r="K3501" t="str">
        <f t="shared" si="438"/>
        <v>Low</v>
      </c>
      <c r="L3501">
        <f t="shared" si="439"/>
        <v>0.55000000000000004</v>
      </c>
      <c r="M3501">
        <f>_xlfn.XLOOKUP(B3501, Dim_Hotel!$A$2:$A$11, Dim_Hotel!$I$2:$I$11)
 + (IF(J3501="",0,J3501)
    * _xlfn.XLOOKUP(B3501, Dim_Hotel!$A$2:$A$11, Dim_Hotel!$J$2:$J$11))</f>
        <v>150</v>
      </c>
    </row>
    <row r="3502" spans="1:13" x14ac:dyDescent="0.25">
      <c r="A3502" s="1">
        <f t="shared" si="432"/>
        <v>46373</v>
      </c>
      <c r="B3502" t="str" cm="1">
        <f t="array" ref="B3502">INDEX(HotelList,MOD(ROW()-2,10)+1)</f>
        <v>H001</v>
      </c>
      <c r="C3502">
        <f>_xlfn.XLOOKUP(B3502,Dim_Hotel!$A$2:$A$11,Dim_Hotel!$F$2:$F$11)</f>
        <v>888</v>
      </c>
      <c r="D3502">
        <f t="shared" si="433"/>
        <v>488</v>
      </c>
      <c r="E3502">
        <f t="shared" si="434"/>
        <v>0.5495495495495496</v>
      </c>
      <c r="F3502">
        <f t="shared" si="435"/>
        <v>260</v>
      </c>
      <c r="G3502">
        <f t="shared" si="436"/>
        <v>142.88288288288288</v>
      </c>
      <c r="H3502" t="str">
        <f>_xlfn.XLOOKUP(A3502,Fact_Events!$D$2:$D$20,Fact_Events!$A$2:$A$20, "")</f>
        <v/>
      </c>
      <c r="I3502">
        <f t="shared" si="437"/>
        <v>0</v>
      </c>
      <c r="J3502" t="str">
        <f>_xlfn.XLOOKUP(H3502, Fact_Events!$A$2:$A$20, Fact_Events!$F$2:$F$20, "")</f>
        <v/>
      </c>
      <c r="K3502" t="str">
        <f t="shared" si="438"/>
        <v>Low</v>
      </c>
      <c r="L3502">
        <f t="shared" si="439"/>
        <v>0.55000000000000004</v>
      </c>
      <c r="M3502">
        <f>_xlfn.XLOOKUP(B3502, Dim_Hotel!$A$2:$A$11, Dim_Hotel!$I$2:$I$11)
 + (IF(J3502="",0,J3502)
    * _xlfn.XLOOKUP(B3502, Dim_Hotel!$A$2:$A$11, Dim_Hotel!$J$2:$J$11))</f>
        <v>260</v>
      </c>
    </row>
    <row r="3503" spans="1:13" x14ac:dyDescent="0.25">
      <c r="A3503" s="1">
        <f t="shared" si="432"/>
        <v>46373</v>
      </c>
      <c r="B3503" t="str" cm="1">
        <f t="array" ref="B3503">INDEX(HotelList,MOD(ROW()-2,10)+1)</f>
        <v>H002</v>
      </c>
      <c r="C3503">
        <f>_xlfn.XLOOKUP(B3503,Dim_Hotel!$A$2:$A$11,Dim_Hotel!$F$2:$F$11)</f>
        <v>147</v>
      </c>
      <c r="D3503">
        <f t="shared" si="433"/>
        <v>81</v>
      </c>
      <c r="E3503">
        <f t="shared" si="434"/>
        <v>0.55102040816326525</v>
      </c>
      <c r="F3503">
        <f t="shared" si="435"/>
        <v>175</v>
      </c>
      <c r="G3503">
        <f t="shared" si="436"/>
        <v>96.428571428571416</v>
      </c>
      <c r="H3503" t="str">
        <f>_xlfn.XLOOKUP(A3503,Fact_Events!$D$2:$D$20,Fact_Events!$A$2:$A$20, "")</f>
        <v/>
      </c>
      <c r="I3503">
        <f t="shared" si="437"/>
        <v>0</v>
      </c>
      <c r="J3503" t="str">
        <f>_xlfn.XLOOKUP(H3503, Fact_Events!$A$2:$A$20, Fact_Events!$F$2:$F$20, "")</f>
        <v/>
      </c>
      <c r="K3503" t="str">
        <f t="shared" si="438"/>
        <v>Low</v>
      </c>
      <c r="L3503">
        <f t="shared" si="439"/>
        <v>0.55000000000000004</v>
      </c>
      <c r="M3503">
        <f>_xlfn.XLOOKUP(B3503, Dim_Hotel!$A$2:$A$11, Dim_Hotel!$I$2:$I$11)
 + (IF(J3503="",0,J3503)
    * _xlfn.XLOOKUP(B3503, Dim_Hotel!$A$2:$A$11, Dim_Hotel!$J$2:$J$11))</f>
        <v>175</v>
      </c>
    </row>
    <row r="3504" spans="1:13" x14ac:dyDescent="0.25">
      <c r="A3504" s="1">
        <f t="shared" si="432"/>
        <v>46373</v>
      </c>
      <c r="B3504" t="str" cm="1">
        <f t="array" ref="B3504">INDEX(HotelList,MOD(ROW()-2,10)+1)</f>
        <v>H003</v>
      </c>
      <c r="C3504">
        <f>_xlfn.XLOOKUP(B3504,Dim_Hotel!$A$2:$A$11,Dim_Hotel!$F$2:$F$11)</f>
        <v>121</v>
      </c>
      <c r="D3504">
        <f t="shared" si="433"/>
        <v>67</v>
      </c>
      <c r="E3504">
        <f t="shared" si="434"/>
        <v>0.55371900826446285</v>
      </c>
      <c r="F3504">
        <f t="shared" si="435"/>
        <v>145</v>
      </c>
      <c r="G3504">
        <f t="shared" si="436"/>
        <v>80.289256198347118</v>
      </c>
      <c r="H3504" t="str">
        <f>_xlfn.XLOOKUP(A3504,Fact_Events!$D$2:$D$20,Fact_Events!$A$2:$A$20, "")</f>
        <v/>
      </c>
      <c r="I3504">
        <f t="shared" si="437"/>
        <v>0</v>
      </c>
      <c r="J3504" t="str">
        <f>_xlfn.XLOOKUP(H3504, Fact_Events!$A$2:$A$20, Fact_Events!$F$2:$F$20, "")</f>
        <v/>
      </c>
      <c r="K3504" t="str">
        <f t="shared" si="438"/>
        <v>Low</v>
      </c>
      <c r="L3504">
        <f t="shared" si="439"/>
        <v>0.55000000000000004</v>
      </c>
      <c r="M3504">
        <f>_xlfn.XLOOKUP(B3504, Dim_Hotel!$A$2:$A$11, Dim_Hotel!$I$2:$I$11)
 + (IF(J3504="",0,J3504)
    * _xlfn.XLOOKUP(B3504, Dim_Hotel!$A$2:$A$11, Dim_Hotel!$J$2:$J$11))</f>
        <v>145</v>
      </c>
    </row>
    <row r="3505" spans="1:13" x14ac:dyDescent="0.25">
      <c r="A3505" s="1">
        <f t="shared" si="432"/>
        <v>46373</v>
      </c>
      <c r="B3505" t="str" cm="1">
        <f t="array" ref="B3505">INDEX(HotelList,MOD(ROW()-2,10)+1)</f>
        <v>H004</v>
      </c>
      <c r="C3505">
        <f>_xlfn.XLOOKUP(B3505,Dim_Hotel!$A$2:$A$11,Dim_Hotel!$F$2:$F$11)</f>
        <v>108</v>
      </c>
      <c r="D3505">
        <f t="shared" si="433"/>
        <v>59</v>
      </c>
      <c r="E3505">
        <f t="shared" si="434"/>
        <v>0.54629629629629628</v>
      </c>
      <c r="F3505">
        <f t="shared" si="435"/>
        <v>135</v>
      </c>
      <c r="G3505">
        <f t="shared" si="436"/>
        <v>73.75</v>
      </c>
      <c r="H3505" t="str">
        <f>_xlfn.XLOOKUP(A3505,Fact_Events!$D$2:$D$20,Fact_Events!$A$2:$A$20, "")</f>
        <v/>
      </c>
      <c r="I3505">
        <f t="shared" si="437"/>
        <v>0</v>
      </c>
      <c r="J3505" t="str">
        <f>_xlfn.XLOOKUP(H3505, Fact_Events!$A$2:$A$20, Fact_Events!$F$2:$F$20, "")</f>
        <v/>
      </c>
      <c r="K3505" t="str">
        <f t="shared" si="438"/>
        <v>Low</v>
      </c>
      <c r="L3505">
        <f t="shared" si="439"/>
        <v>0.55000000000000004</v>
      </c>
      <c r="M3505">
        <f>_xlfn.XLOOKUP(B3505, Dim_Hotel!$A$2:$A$11, Dim_Hotel!$I$2:$I$11)
 + (IF(J3505="",0,J3505)
    * _xlfn.XLOOKUP(B3505, Dim_Hotel!$A$2:$A$11, Dim_Hotel!$J$2:$J$11))</f>
        <v>135</v>
      </c>
    </row>
    <row r="3506" spans="1:13" x14ac:dyDescent="0.25">
      <c r="A3506" s="1">
        <f t="shared" si="432"/>
        <v>46373</v>
      </c>
      <c r="B3506" t="str" cm="1">
        <f t="array" ref="B3506">INDEX(HotelList,MOD(ROW()-2,10)+1)</f>
        <v>H005</v>
      </c>
      <c r="C3506">
        <f>_xlfn.XLOOKUP(B3506,Dim_Hotel!$A$2:$A$11,Dim_Hotel!$F$2:$F$11)</f>
        <v>66</v>
      </c>
      <c r="D3506">
        <f t="shared" si="433"/>
        <v>36</v>
      </c>
      <c r="E3506">
        <f t="shared" si="434"/>
        <v>0.54545454545454541</v>
      </c>
      <c r="F3506">
        <f t="shared" si="435"/>
        <v>82</v>
      </c>
      <c r="G3506">
        <f t="shared" si="436"/>
        <v>44.727272727272727</v>
      </c>
      <c r="H3506" t="str">
        <f>_xlfn.XLOOKUP(A3506,Fact_Events!$D$2:$D$20,Fact_Events!$A$2:$A$20, "")</f>
        <v/>
      </c>
      <c r="I3506">
        <f t="shared" si="437"/>
        <v>0</v>
      </c>
      <c r="J3506" t="str">
        <f>_xlfn.XLOOKUP(H3506, Fact_Events!$A$2:$A$20, Fact_Events!$F$2:$F$20, "")</f>
        <v/>
      </c>
      <c r="K3506" t="str">
        <f t="shared" si="438"/>
        <v>Low</v>
      </c>
      <c r="L3506">
        <f t="shared" si="439"/>
        <v>0.55000000000000004</v>
      </c>
      <c r="M3506">
        <f>_xlfn.XLOOKUP(B3506, Dim_Hotel!$A$2:$A$11, Dim_Hotel!$I$2:$I$11)
 + (IF(J3506="",0,J3506)
    * _xlfn.XLOOKUP(B3506, Dim_Hotel!$A$2:$A$11, Dim_Hotel!$J$2:$J$11))</f>
        <v>82</v>
      </c>
    </row>
    <row r="3507" spans="1:13" x14ac:dyDescent="0.25">
      <c r="A3507" s="1">
        <f t="shared" si="432"/>
        <v>46373</v>
      </c>
      <c r="B3507" t="str" cm="1">
        <f t="array" ref="B3507">INDEX(HotelList,MOD(ROW()-2,10)+1)</f>
        <v>H006</v>
      </c>
      <c r="C3507">
        <f>_xlfn.XLOOKUP(B3507,Dim_Hotel!$A$2:$A$11,Dim_Hotel!$F$2:$F$11)</f>
        <v>311</v>
      </c>
      <c r="D3507">
        <f t="shared" si="433"/>
        <v>171</v>
      </c>
      <c r="E3507">
        <f t="shared" si="434"/>
        <v>0.54983922829581988</v>
      </c>
      <c r="F3507">
        <f t="shared" si="435"/>
        <v>190</v>
      </c>
      <c r="G3507">
        <f t="shared" si="436"/>
        <v>104.46945337620578</v>
      </c>
      <c r="H3507" t="str">
        <f>_xlfn.XLOOKUP(A3507,Fact_Events!$D$2:$D$20,Fact_Events!$A$2:$A$20, "")</f>
        <v/>
      </c>
      <c r="I3507">
        <f t="shared" si="437"/>
        <v>0</v>
      </c>
      <c r="J3507" t="str">
        <f>_xlfn.XLOOKUP(H3507, Fact_Events!$A$2:$A$20, Fact_Events!$F$2:$F$20, "")</f>
        <v/>
      </c>
      <c r="K3507" t="str">
        <f t="shared" si="438"/>
        <v>Low</v>
      </c>
      <c r="L3507">
        <f t="shared" si="439"/>
        <v>0.55000000000000004</v>
      </c>
      <c r="M3507">
        <f>_xlfn.XLOOKUP(B3507, Dim_Hotel!$A$2:$A$11, Dim_Hotel!$I$2:$I$11)
 + (IF(J3507="",0,J3507)
    * _xlfn.XLOOKUP(B3507, Dim_Hotel!$A$2:$A$11, Dim_Hotel!$J$2:$J$11))</f>
        <v>190</v>
      </c>
    </row>
    <row r="3508" spans="1:13" x14ac:dyDescent="0.25">
      <c r="A3508" s="1">
        <f t="shared" si="432"/>
        <v>46373</v>
      </c>
      <c r="B3508" t="str" cm="1">
        <f t="array" ref="B3508">INDEX(HotelList,MOD(ROW()-2,10)+1)</f>
        <v>H007</v>
      </c>
      <c r="C3508">
        <f>_xlfn.XLOOKUP(B3508,Dim_Hotel!$A$2:$A$11,Dim_Hotel!$F$2:$F$11)</f>
        <v>132</v>
      </c>
      <c r="D3508">
        <f t="shared" si="433"/>
        <v>73</v>
      </c>
      <c r="E3508">
        <f t="shared" si="434"/>
        <v>0.55303030303030298</v>
      </c>
      <c r="F3508">
        <f t="shared" si="435"/>
        <v>165</v>
      </c>
      <c r="G3508">
        <f t="shared" si="436"/>
        <v>91.249999999999986</v>
      </c>
      <c r="H3508" t="str">
        <f>_xlfn.XLOOKUP(A3508,Fact_Events!$D$2:$D$20,Fact_Events!$A$2:$A$20, "")</f>
        <v/>
      </c>
      <c r="I3508">
        <f t="shared" si="437"/>
        <v>0</v>
      </c>
      <c r="J3508" t="str">
        <f>_xlfn.XLOOKUP(H3508, Fact_Events!$A$2:$A$20, Fact_Events!$F$2:$F$20, "")</f>
        <v/>
      </c>
      <c r="K3508" t="str">
        <f t="shared" si="438"/>
        <v>Low</v>
      </c>
      <c r="L3508">
        <f t="shared" si="439"/>
        <v>0.55000000000000004</v>
      </c>
      <c r="M3508">
        <f>_xlfn.XLOOKUP(B3508, Dim_Hotel!$A$2:$A$11, Dim_Hotel!$I$2:$I$11)
 + (IF(J3508="",0,J3508)
    * _xlfn.XLOOKUP(B3508, Dim_Hotel!$A$2:$A$11, Dim_Hotel!$J$2:$J$11))</f>
        <v>165</v>
      </c>
    </row>
    <row r="3509" spans="1:13" x14ac:dyDescent="0.25">
      <c r="A3509" s="1">
        <f t="shared" si="432"/>
        <v>46373</v>
      </c>
      <c r="B3509" t="str" cm="1">
        <f t="array" ref="B3509">INDEX(HotelList,MOD(ROW()-2,10)+1)</f>
        <v>H008</v>
      </c>
      <c r="C3509">
        <f>_xlfn.XLOOKUP(B3509,Dim_Hotel!$A$2:$A$11,Dim_Hotel!$F$2:$F$11)</f>
        <v>103</v>
      </c>
      <c r="D3509">
        <f t="shared" si="433"/>
        <v>57</v>
      </c>
      <c r="E3509">
        <f t="shared" si="434"/>
        <v>0.55339805825242716</v>
      </c>
      <c r="F3509">
        <f t="shared" si="435"/>
        <v>140</v>
      </c>
      <c r="G3509">
        <f t="shared" si="436"/>
        <v>77.475728155339809</v>
      </c>
      <c r="H3509" t="str">
        <f>_xlfn.XLOOKUP(A3509,Fact_Events!$D$2:$D$20,Fact_Events!$A$2:$A$20, "")</f>
        <v/>
      </c>
      <c r="I3509">
        <f t="shared" si="437"/>
        <v>0</v>
      </c>
      <c r="J3509" t="str">
        <f>_xlfn.XLOOKUP(H3509, Fact_Events!$A$2:$A$20, Fact_Events!$F$2:$F$20, "")</f>
        <v/>
      </c>
      <c r="K3509" t="str">
        <f t="shared" si="438"/>
        <v>Low</v>
      </c>
      <c r="L3509">
        <f t="shared" si="439"/>
        <v>0.55000000000000004</v>
      </c>
      <c r="M3509">
        <f>_xlfn.XLOOKUP(B3509, Dim_Hotel!$A$2:$A$11, Dim_Hotel!$I$2:$I$11)
 + (IF(J3509="",0,J3509)
    * _xlfn.XLOOKUP(B3509, Dim_Hotel!$A$2:$A$11, Dim_Hotel!$J$2:$J$11))</f>
        <v>140</v>
      </c>
    </row>
    <row r="3510" spans="1:13" x14ac:dyDescent="0.25">
      <c r="A3510" s="1">
        <f t="shared" si="432"/>
        <v>46373</v>
      </c>
      <c r="B3510" t="str" cm="1">
        <f t="array" ref="B3510">INDEX(HotelList,MOD(ROW()-2,10)+1)</f>
        <v>H009</v>
      </c>
      <c r="C3510">
        <f>_xlfn.XLOOKUP(B3510,Dim_Hotel!$A$2:$A$11,Dim_Hotel!$F$2:$F$11)</f>
        <v>114</v>
      </c>
      <c r="D3510">
        <f t="shared" si="433"/>
        <v>63</v>
      </c>
      <c r="E3510">
        <f t="shared" si="434"/>
        <v>0.55263157894736847</v>
      </c>
      <c r="F3510">
        <f t="shared" si="435"/>
        <v>185</v>
      </c>
      <c r="G3510">
        <f t="shared" si="436"/>
        <v>102.23684210526316</v>
      </c>
      <c r="H3510" t="str">
        <f>_xlfn.XLOOKUP(A3510,Fact_Events!$D$2:$D$20,Fact_Events!$A$2:$A$20, "")</f>
        <v/>
      </c>
      <c r="I3510">
        <f t="shared" si="437"/>
        <v>0</v>
      </c>
      <c r="J3510" t="str">
        <f>_xlfn.XLOOKUP(H3510, Fact_Events!$A$2:$A$20, Fact_Events!$F$2:$F$20, "")</f>
        <v/>
      </c>
      <c r="K3510" t="str">
        <f t="shared" si="438"/>
        <v>Low</v>
      </c>
      <c r="L3510">
        <f t="shared" si="439"/>
        <v>0.55000000000000004</v>
      </c>
      <c r="M3510">
        <f>_xlfn.XLOOKUP(B3510, Dim_Hotel!$A$2:$A$11, Dim_Hotel!$I$2:$I$11)
 + (IF(J3510="",0,J3510)
    * _xlfn.XLOOKUP(B3510, Dim_Hotel!$A$2:$A$11, Dim_Hotel!$J$2:$J$11))</f>
        <v>185</v>
      </c>
    </row>
    <row r="3511" spans="1:13" x14ac:dyDescent="0.25">
      <c r="A3511" s="1">
        <f t="shared" si="432"/>
        <v>46373</v>
      </c>
      <c r="B3511" t="str" cm="1">
        <f t="array" ref="B3511">INDEX(HotelList,MOD(ROW()-2,10)+1)</f>
        <v>H010</v>
      </c>
      <c r="C3511">
        <f>_xlfn.XLOOKUP(B3511,Dim_Hotel!$A$2:$A$11,Dim_Hotel!$F$2:$F$11)</f>
        <v>89</v>
      </c>
      <c r="D3511">
        <f t="shared" si="433"/>
        <v>49</v>
      </c>
      <c r="E3511">
        <f t="shared" si="434"/>
        <v>0.550561797752809</v>
      </c>
      <c r="F3511">
        <f t="shared" si="435"/>
        <v>150</v>
      </c>
      <c r="G3511">
        <f t="shared" si="436"/>
        <v>82.584269662921344</v>
      </c>
      <c r="H3511" t="str">
        <f>_xlfn.XLOOKUP(A3511,Fact_Events!$D$2:$D$20,Fact_Events!$A$2:$A$20, "")</f>
        <v/>
      </c>
      <c r="I3511">
        <f t="shared" si="437"/>
        <v>0</v>
      </c>
      <c r="J3511" t="str">
        <f>_xlfn.XLOOKUP(H3511, Fact_Events!$A$2:$A$20, Fact_Events!$F$2:$F$20, "")</f>
        <v/>
      </c>
      <c r="K3511" t="str">
        <f t="shared" si="438"/>
        <v>Low</v>
      </c>
      <c r="L3511">
        <f t="shared" si="439"/>
        <v>0.55000000000000004</v>
      </c>
      <c r="M3511">
        <f>_xlfn.XLOOKUP(B3511, Dim_Hotel!$A$2:$A$11, Dim_Hotel!$I$2:$I$11)
 + (IF(J3511="",0,J3511)
    * _xlfn.XLOOKUP(B3511, Dim_Hotel!$A$2:$A$11, Dim_Hotel!$J$2:$J$11))</f>
        <v>150</v>
      </c>
    </row>
    <row r="3512" spans="1:13" x14ac:dyDescent="0.25">
      <c r="A3512" s="1">
        <f t="shared" si="432"/>
        <v>46374</v>
      </c>
      <c r="B3512" t="str" cm="1">
        <f t="array" ref="B3512">INDEX(HotelList,MOD(ROW()-2,10)+1)</f>
        <v>H001</v>
      </c>
      <c r="C3512">
        <f>_xlfn.XLOOKUP(B3512,Dim_Hotel!$A$2:$A$11,Dim_Hotel!$F$2:$F$11)</f>
        <v>888</v>
      </c>
      <c r="D3512">
        <f t="shared" si="433"/>
        <v>488</v>
      </c>
      <c r="E3512">
        <f t="shared" si="434"/>
        <v>0.5495495495495496</v>
      </c>
      <c r="F3512">
        <f t="shared" si="435"/>
        <v>260</v>
      </c>
      <c r="G3512">
        <f t="shared" si="436"/>
        <v>142.88288288288288</v>
      </c>
      <c r="H3512" t="str">
        <f>_xlfn.XLOOKUP(A3512,Fact_Events!$D$2:$D$20,Fact_Events!$A$2:$A$20, "")</f>
        <v/>
      </c>
      <c r="I3512">
        <f t="shared" si="437"/>
        <v>0</v>
      </c>
      <c r="J3512" t="str">
        <f>_xlfn.XLOOKUP(H3512, Fact_Events!$A$2:$A$20, Fact_Events!$F$2:$F$20, "")</f>
        <v/>
      </c>
      <c r="K3512" t="str">
        <f t="shared" si="438"/>
        <v>Low</v>
      </c>
      <c r="L3512">
        <f t="shared" si="439"/>
        <v>0.55000000000000004</v>
      </c>
      <c r="M3512">
        <f>_xlfn.XLOOKUP(B3512, Dim_Hotel!$A$2:$A$11, Dim_Hotel!$I$2:$I$11)
 + (IF(J3512="",0,J3512)
    * _xlfn.XLOOKUP(B3512, Dim_Hotel!$A$2:$A$11, Dim_Hotel!$J$2:$J$11))</f>
        <v>260</v>
      </c>
    </row>
    <row r="3513" spans="1:13" x14ac:dyDescent="0.25">
      <c r="A3513" s="1">
        <f t="shared" si="432"/>
        <v>46374</v>
      </c>
      <c r="B3513" t="str" cm="1">
        <f t="array" ref="B3513">INDEX(HotelList,MOD(ROW()-2,10)+1)</f>
        <v>H002</v>
      </c>
      <c r="C3513">
        <f>_xlfn.XLOOKUP(B3513,Dim_Hotel!$A$2:$A$11,Dim_Hotel!$F$2:$F$11)</f>
        <v>147</v>
      </c>
      <c r="D3513">
        <f t="shared" si="433"/>
        <v>81</v>
      </c>
      <c r="E3513">
        <f t="shared" si="434"/>
        <v>0.55102040816326525</v>
      </c>
      <c r="F3513">
        <f t="shared" si="435"/>
        <v>175</v>
      </c>
      <c r="G3513">
        <f t="shared" si="436"/>
        <v>96.428571428571416</v>
      </c>
      <c r="H3513" t="str">
        <f>_xlfn.XLOOKUP(A3513,Fact_Events!$D$2:$D$20,Fact_Events!$A$2:$A$20, "")</f>
        <v/>
      </c>
      <c r="I3513">
        <f t="shared" si="437"/>
        <v>0</v>
      </c>
      <c r="J3513" t="str">
        <f>_xlfn.XLOOKUP(H3513, Fact_Events!$A$2:$A$20, Fact_Events!$F$2:$F$20, "")</f>
        <v/>
      </c>
      <c r="K3513" t="str">
        <f t="shared" si="438"/>
        <v>Low</v>
      </c>
      <c r="L3513">
        <f t="shared" si="439"/>
        <v>0.55000000000000004</v>
      </c>
      <c r="M3513">
        <f>_xlfn.XLOOKUP(B3513, Dim_Hotel!$A$2:$A$11, Dim_Hotel!$I$2:$I$11)
 + (IF(J3513="",0,J3513)
    * _xlfn.XLOOKUP(B3513, Dim_Hotel!$A$2:$A$11, Dim_Hotel!$J$2:$J$11))</f>
        <v>175</v>
      </c>
    </row>
    <row r="3514" spans="1:13" x14ac:dyDescent="0.25">
      <c r="A3514" s="1">
        <f t="shared" si="432"/>
        <v>46374</v>
      </c>
      <c r="B3514" t="str" cm="1">
        <f t="array" ref="B3514">INDEX(HotelList,MOD(ROW()-2,10)+1)</f>
        <v>H003</v>
      </c>
      <c r="C3514">
        <f>_xlfn.XLOOKUP(B3514,Dim_Hotel!$A$2:$A$11,Dim_Hotel!$F$2:$F$11)</f>
        <v>121</v>
      </c>
      <c r="D3514">
        <f t="shared" si="433"/>
        <v>67</v>
      </c>
      <c r="E3514">
        <f t="shared" si="434"/>
        <v>0.55371900826446285</v>
      </c>
      <c r="F3514">
        <f t="shared" si="435"/>
        <v>145</v>
      </c>
      <c r="G3514">
        <f t="shared" si="436"/>
        <v>80.289256198347118</v>
      </c>
      <c r="H3514" t="str">
        <f>_xlfn.XLOOKUP(A3514,Fact_Events!$D$2:$D$20,Fact_Events!$A$2:$A$20, "")</f>
        <v/>
      </c>
      <c r="I3514">
        <f t="shared" si="437"/>
        <v>0</v>
      </c>
      <c r="J3514" t="str">
        <f>_xlfn.XLOOKUP(H3514, Fact_Events!$A$2:$A$20, Fact_Events!$F$2:$F$20, "")</f>
        <v/>
      </c>
      <c r="K3514" t="str">
        <f t="shared" si="438"/>
        <v>Low</v>
      </c>
      <c r="L3514">
        <f t="shared" si="439"/>
        <v>0.55000000000000004</v>
      </c>
      <c r="M3514">
        <f>_xlfn.XLOOKUP(B3514, Dim_Hotel!$A$2:$A$11, Dim_Hotel!$I$2:$I$11)
 + (IF(J3514="",0,J3514)
    * _xlfn.XLOOKUP(B3514, Dim_Hotel!$A$2:$A$11, Dim_Hotel!$J$2:$J$11))</f>
        <v>145</v>
      </c>
    </row>
    <row r="3515" spans="1:13" x14ac:dyDescent="0.25">
      <c r="A3515" s="1">
        <f t="shared" si="432"/>
        <v>46374</v>
      </c>
      <c r="B3515" t="str" cm="1">
        <f t="array" ref="B3515">INDEX(HotelList,MOD(ROW()-2,10)+1)</f>
        <v>H004</v>
      </c>
      <c r="C3515">
        <f>_xlfn.XLOOKUP(B3515,Dim_Hotel!$A$2:$A$11,Dim_Hotel!$F$2:$F$11)</f>
        <v>108</v>
      </c>
      <c r="D3515">
        <f t="shared" si="433"/>
        <v>59</v>
      </c>
      <c r="E3515">
        <f t="shared" si="434"/>
        <v>0.54629629629629628</v>
      </c>
      <c r="F3515">
        <f t="shared" si="435"/>
        <v>135</v>
      </c>
      <c r="G3515">
        <f t="shared" si="436"/>
        <v>73.75</v>
      </c>
      <c r="H3515" t="str">
        <f>_xlfn.XLOOKUP(A3515,Fact_Events!$D$2:$D$20,Fact_Events!$A$2:$A$20, "")</f>
        <v/>
      </c>
      <c r="I3515">
        <f t="shared" si="437"/>
        <v>0</v>
      </c>
      <c r="J3515" t="str">
        <f>_xlfn.XLOOKUP(H3515, Fact_Events!$A$2:$A$20, Fact_Events!$F$2:$F$20, "")</f>
        <v/>
      </c>
      <c r="K3515" t="str">
        <f t="shared" si="438"/>
        <v>Low</v>
      </c>
      <c r="L3515">
        <f t="shared" si="439"/>
        <v>0.55000000000000004</v>
      </c>
      <c r="M3515">
        <f>_xlfn.XLOOKUP(B3515, Dim_Hotel!$A$2:$A$11, Dim_Hotel!$I$2:$I$11)
 + (IF(J3515="",0,J3515)
    * _xlfn.XLOOKUP(B3515, Dim_Hotel!$A$2:$A$11, Dim_Hotel!$J$2:$J$11))</f>
        <v>135</v>
      </c>
    </row>
    <row r="3516" spans="1:13" x14ac:dyDescent="0.25">
      <c r="A3516" s="1">
        <f t="shared" si="432"/>
        <v>46374</v>
      </c>
      <c r="B3516" t="str" cm="1">
        <f t="array" ref="B3516">INDEX(HotelList,MOD(ROW()-2,10)+1)</f>
        <v>H005</v>
      </c>
      <c r="C3516">
        <f>_xlfn.XLOOKUP(B3516,Dim_Hotel!$A$2:$A$11,Dim_Hotel!$F$2:$F$11)</f>
        <v>66</v>
      </c>
      <c r="D3516">
        <f t="shared" si="433"/>
        <v>36</v>
      </c>
      <c r="E3516">
        <f t="shared" si="434"/>
        <v>0.54545454545454541</v>
      </c>
      <c r="F3516">
        <f t="shared" si="435"/>
        <v>82</v>
      </c>
      <c r="G3516">
        <f t="shared" si="436"/>
        <v>44.727272727272727</v>
      </c>
      <c r="H3516" t="str">
        <f>_xlfn.XLOOKUP(A3516,Fact_Events!$D$2:$D$20,Fact_Events!$A$2:$A$20, "")</f>
        <v/>
      </c>
      <c r="I3516">
        <f t="shared" si="437"/>
        <v>0</v>
      </c>
      <c r="J3516" t="str">
        <f>_xlfn.XLOOKUP(H3516, Fact_Events!$A$2:$A$20, Fact_Events!$F$2:$F$20, "")</f>
        <v/>
      </c>
      <c r="K3516" t="str">
        <f t="shared" si="438"/>
        <v>Low</v>
      </c>
      <c r="L3516">
        <f t="shared" si="439"/>
        <v>0.55000000000000004</v>
      </c>
      <c r="M3516">
        <f>_xlfn.XLOOKUP(B3516, Dim_Hotel!$A$2:$A$11, Dim_Hotel!$I$2:$I$11)
 + (IF(J3516="",0,J3516)
    * _xlfn.XLOOKUP(B3516, Dim_Hotel!$A$2:$A$11, Dim_Hotel!$J$2:$J$11))</f>
        <v>82</v>
      </c>
    </row>
    <row r="3517" spans="1:13" x14ac:dyDescent="0.25">
      <c r="A3517" s="1">
        <f t="shared" si="432"/>
        <v>46374</v>
      </c>
      <c r="B3517" t="str" cm="1">
        <f t="array" ref="B3517">INDEX(HotelList,MOD(ROW()-2,10)+1)</f>
        <v>H006</v>
      </c>
      <c r="C3517">
        <f>_xlfn.XLOOKUP(B3517,Dim_Hotel!$A$2:$A$11,Dim_Hotel!$F$2:$F$11)</f>
        <v>311</v>
      </c>
      <c r="D3517">
        <f t="shared" si="433"/>
        <v>171</v>
      </c>
      <c r="E3517">
        <f t="shared" si="434"/>
        <v>0.54983922829581988</v>
      </c>
      <c r="F3517">
        <f t="shared" si="435"/>
        <v>190</v>
      </c>
      <c r="G3517">
        <f t="shared" si="436"/>
        <v>104.46945337620578</v>
      </c>
      <c r="H3517" t="str">
        <f>_xlfn.XLOOKUP(A3517,Fact_Events!$D$2:$D$20,Fact_Events!$A$2:$A$20, "")</f>
        <v/>
      </c>
      <c r="I3517">
        <f t="shared" si="437"/>
        <v>0</v>
      </c>
      <c r="J3517" t="str">
        <f>_xlfn.XLOOKUP(H3517, Fact_Events!$A$2:$A$20, Fact_Events!$F$2:$F$20, "")</f>
        <v/>
      </c>
      <c r="K3517" t="str">
        <f t="shared" si="438"/>
        <v>Low</v>
      </c>
      <c r="L3517">
        <f t="shared" si="439"/>
        <v>0.55000000000000004</v>
      </c>
      <c r="M3517">
        <f>_xlfn.XLOOKUP(B3517, Dim_Hotel!$A$2:$A$11, Dim_Hotel!$I$2:$I$11)
 + (IF(J3517="",0,J3517)
    * _xlfn.XLOOKUP(B3517, Dim_Hotel!$A$2:$A$11, Dim_Hotel!$J$2:$J$11))</f>
        <v>190</v>
      </c>
    </row>
    <row r="3518" spans="1:13" x14ac:dyDescent="0.25">
      <c r="A3518" s="1">
        <f t="shared" si="432"/>
        <v>46374</v>
      </c>
      <c r="B3518" t="str" cm="1">
        <f t="array" ref="B3518">INDEX(HotelList,MOD(ROW()-2,10)+1)</f>
        <v>H007</v>
      </c>
      <c r="C3518">
        <f>_xlfn.XLOOKUP(B3518,Dim_Hotel!$A$2:$A$11,Dim_Hotel!$F$2:$F$11)</f>
        <v>132</v>
      </c>
      <c r="D3518">
        <f t="shared" si="433"/>
        <v>73</v>
      </c>
      <c r="E3518">
        <f t="shared" si="434"/>
        <v>0.55303030303030298</v>
      </c>
      <c r="F3518">
        <f t="shared" si="435"/>
        <v>165</v>
      </c>
      <c r="G3518">
        <f t="shared" si="436"/>
        <v>91.249999999999986</v>
      </c>
      <c r="H3518" t="str">
        <f>_xlfn.XLOOKUP(A3518,Fact_Events!$D$2:$D$20,Fact_Events!$A$2:$A$20, "")</f>
        <v/>
      </c>
      <c r="I3518">
        <f t="shared" si="437"/>
        <v>0</v>
      </c>
      <c r="J3518" t="str">
        <f>_xlfn.XLOOKUP(H3518, Fact_Events!$A$2:$A$20, Fact_Events!$F$2:$F$20, "")</f>
        <v/>
      </c>
      <c r="K3518" t="str">
        <f t="shared" si="438"/>
        <v>Low</v>
      </c>
      <c r="L3518">
        <f t="shared" si="439"/>
        <v>0.55000000000000004</v>
      </c>
      <c r="M3518">
        <f>_xlfn.XLOOKUP(B3518, Dim_Hotel!$A$2:$A$11, Dim_Hotel!$I$2:$I$11)
 + (IF(J3518="",0,J3518)
    * _xlfn.XLOOKUP(B3518, Dim_Hotel!$A$2:$A$11, Dim_Hotel!$J$2:$J$11))</f>
        <v>165</v>
      </c>
    </row>
    <row r="3519" spans="1:13" x14ac:dyDescent="0.25">
      <c r="A3519" s="1">
        <f t="shared" si="432"/>
        <v>46374</v>
      </c>
      <c r="B3519" t="str" cm="1">
        <f t="array" ref="B3519">INDEX(HotelList,MOD(ROW()-2,10)+1)</f>
        <v>H008</v>
      </c>
      <c r="C3519">
        <f>_xlfn.XLOOKUP(B3519,Dim_Hotel!$A$2:$A$11,Dim_Hotel!$F$2:$F$11)</f>
        <v>103</v>
      </c>
      <c r="D3519">
        <f t="shared" si="433"/>
        <v>57</v>
      </c>
      <c r="E3519">
        <f t="shared" si="434"/>
        <v>0.55339805825242716</v>
      </c>
      <c r="F3519">
        <f t="shared" si="435"/>
        <v>140</v>
      </c>
      <c r="G3519">
        <f t="shared" si="436"/>
        <v>77.475728155339809</v>
      </c>
      <c r="H3519" t="str">
        <f>_xlfn.XLOOKUP(A3519,Fact_Events!$D$2:$D$20,Fact_Events!$A$2:$A$20, "")</f>
        <v/>
      </c>
      <c r="I3519">
        <f t="shared" si="437"/>
        <v>0</v>
      </c>
      <c r="J3519" t="str">
        <f>_xlfn.XLOOKUP(H3519, Fact_Events!$A$2:$A$20, Fact_Events!$F$2:$F$20, "")</f>
        <v/>
      </c>
      <c r="K3519" t="str">
        <f t="shared" si="438"/>
        <v>Low</v>
      </c>
      <c r="L3519">
        <f t="shared" si="439"/>
        <v>0.55000000000000004</v>
      </c>
      <c r="M3519">
        <f>_xlfn.XLOOKUP(B3519, Dim_Hotel!$A$2:$A$11, Dim_Hotel!$I$2:$I$11)
 + (IF(J3519="",0,J3519)
    * _xlfn.XLOOKUP(B3519, Dim_Hotel!$A$2:$A$11, Dim_Hotel!$J$2:$J$11))</f>
        <v>140</v>
      </c>
    </row>
    <row r="3520" spans="1:13" x14ac:dyDescent="0.25">
      <c r="A3520" s="1">
        <f t="shared" si="432"/>
        <v>46374</v>
      </c>
      <c r="B3520" t="str" cm="1">
        <f t="array" ref="B3520">INDEX(HotelList,MOD(ROW()-2,10)+1)</f>
        <v>H009</v>
      </c>
      <c r="C3520">
        <f>_xlfn.XLOOKUP(B3520,Dim_Hotel!$A$2:$A$11,Dim_Hotel!$F$2:$F$11)</f>
        <v>114</v>
      </c>
      <c r="D3520">
        <f t="shared" si="433"/>
        <v>63</v>
      </c>
      <c r="E3520">
        <f t="shared" si="434"/>
        <v>0.55263157894736847</v>
      </c>
      <c r="F3520">
        <f t="shared" si="435"/>
        <v>185</v>
      </c>
      <c r="G3520">
        <f t="shared" si="436"/>
        <v>102.23684210526316</v>
      </c>
      <c r="H3520" t="str">
        <f>_xlfn.XLOOKUP(A3520,Fact_Events!$D$2:$D$20,Fact_Events!$A$2:$A$20, "")</f>
        <v/>
      </c>
      <c r="I3520">
        <f t="shared" si="437"/>
        <v>0</v>
      </c>
      <c r="J3520" t="str">
        <f>_xlfn.XLOOKUP(H3520, Fact_Events!$A$2:$A$20, Fact_Events!$F$2:$F$20, "")</f>
        <v/>
      </c>
      <c r="K3520" t="str">
        <f t="shared" si="438"/>
        <v>Low</v>
      </c>
      <c r="L3520">
        <f t="shared" si="439"/>
        <v>0.55000000000000004</v>
      </c>
      <c r="M3520">
        <f>_xlfn.XLOOKUP(B3520, Dim_Hotel!$A$2:$A$11, Dim_Hotel!$I$2:$I$11)
 + (IF(J3520="",0,J3520)
    * _xlfn.XLOOKUP(B3520, Dim_Hotel!$A$2:$A$11, Dim_Hotel!$J$2:$J$11))</f>
        <v>185</v>
      </c>
    </row>
    <row r="3521" spans="1:13" x14ac:dyDescent="0.25">
      <c r="A3521" s="1">
        <f t="shared" si="432"/>
        <v>46374</v>
      </c>
      <c r="B3521" t="str" cm="1">
        <f t="array" ref="B3521">INDEX(HotelList,MOD(ROW()-2,10)+1)</f>
        <v>H010</v>
      </c>
      <c r="C3521">
        <f>_xlfn.XLOOKUP(B3521,Dim_Hotel!$A$2:$A$11,Dim_Hotel!$F$2:$F$11)</f>
        <v>89</v>
      </c>
      <c r="D3521">
        <f t="shared" si="433"/>
        <v>49</v>
      </c>
      <c r="E3521">
        <f t="shared" si="434"/>
        <v>0.550561797752809</v>
      </c>
      <c r="F3521">
        <f t="shared" si="435"/>
        <v>150</v>
      </c>
      <c r="G3521">
        <f t="shared" si="436"/>
        <v>82.584269662921344</v>
      </c>
      <c r="H3521" t="str">
        <f>_xlfn.XLOOKUP(A3521,Fact_Events!$D$2:$D$20,Fact_Events!$A$2:$A$20, "")</f>
        <v/>
      </c>
      <c r="I3521">
        <f t="shared" si="437"/>
        <v>0</v>
      </c>
      <c r="J3521" t="str">
        <f>_xlfn.XLOOKUP(H3521, Fact_Events!$A$2:$A$20, Fact_Events!$F$2:$F$20, "")</f>
        <v/>
      </c>
      <c r="K3521" t="str">
        <f t="shared" si="438"/>
        <v>Low</v>
      </c>
      <c r="L3521">
        <f t="shared" si="439"/>
        <v>0.55000000000000004</v>
      </c>
      <c r="M3521">
        <f>_xlfn.XLOOKUP(B3521, Dim_Hotel!$A$2:$A$11, Dim_Hotel!$I$2:$I$11)
 + (IF(J3521="",0,J3521)
    * _xlfn.XLOOKUP(B3521, Dim_Hotel!$A$2:$A$11, Dim_Hotel!$J$2:$J$11))</f>
        <v>150</v>
      </c>
    </row>
    <row r="3522" spans="1:13" x14ac:dyDescent="0.25">
      <c r="A3522" s="1">
        <f t="shared" si="432"/>
        <v>46375</v>
      </c>
      <c r="B3522" t="str" cm="1">
        <f t="array" ref="B3522">INDEX(HotelList,MOD(ROW()-2,10)+1)</f>
        <v>H001</v>
      </c>
      <c r="C3522">
        <f>_xlfn.XLOOKUP(B3522,Dim_Hotel!$A$2:$A$11,Dim_Hotel!$F$2:$F$11)</f>
        <v>888</v>
      </c>
      <c r="D3522">
        <f t="shared" si="433"/>
        <v>488</v>
      </c>
      <c r="E3522">
        <f t="shared" si="434"/>
        <v>0.5495495495495496</v>
      </c>
      <c r="F3522">
        <f t="shared" si="435"/>
        <v>260</v>
      </c>
      <c r="G3522">
        <f t="shared" si="436"/>
        <v>142.88288288288288</v>
      </c>
      <c r="H3522" t="str">
        <f>_xlfn.XLOOKUP(A3522,Fact_Events!$D$2:$D$20,Fact_Events!$A$2:$A$20, "")</f>
        <v/>
      </c>
      <c r="I3522">
        <f t="shared" si="437"/>
        <v>0</v>
      </c>
      <c r="J3522" t="str">
        <f>_xlfn.XLOOKUP(H3522, Fact_Events!$A$2:$A$20, Fact_Events!$F$2:$F$20, "")</f>
        <v/>
      </c>
      <c r="K3522" t="str">
        <f t="shared" si="438"/>
        <v>Low</v>
      </c>
      <c r="L3522">
        <f t="shared" si="439"/>
        <v>0.55000000000000004</v>
      </c>
      <c r="M3522">
        <f>_xlfn.XLOOKUP(B3522, Dim_Hotel!$A$2:$A$11, Dim_Hotel!$I$2:$I$11)
 + (IF(J3522="",0,J3522)
    * _xlfn.XLOOKUP(B3522, Dim_Hotel!$A$2:$A$11, Dim_Hotel!$J$2:$J$11))</f>
        <v>260</v>
      </c>
    </row>
    <row r="3523" spans="1:13" x14ac:dyDescent="0.25">
      <c r="A3523" s="1">
        <f t="shared" ref="A3523:A3586" si="440">DATE(2026,1,1) + INT((ROW()-2)/10)</f>
        <v>46375</v>
      </c>
      <c r="B3523" t="str" cm="1">
        <f t="array" ref="B3523">INDEX(HotelList,MOD(ROW()-2,10)+1)</f>
        <v>H002</v>
      </c>
      <c r="C3523">
        <f>_xlfn.XLOOKUP(B3523,Dim_Hotel!$A$2:$A$11,Dim_Hotel!$F$2:$F$11)</f>
        <v>147</v>
      </c>
      <c r="D3523">
        <f t="shared" ref="D3523:D3586" si="441">ROUND(L3523 * C3523, 0)</f>
        <v>81</v>
      </c>
      <c r="E3523">
        <f t="shared" ref="E3523:E3586" si="442">D3523/C3523</f>
        <v>0.55102040816326525</v>
      </c>
      <c r="F3523">
        <f t="shared" ref="F3523:F3586" si="443">M3523</f>
        <v>175</v>
      </c>
      <c r="G3523">
        <f t="shared" ref="G3523:G3586" si="444">E3523*F3523</f>
        <v>96.428571428571416</v>
      </c>
      <c r="H3523" t="str">
        <f>_xlfn.XLOOKUP(A3523,Fact_Events!$D$2:$D$20,Fact_Events!$A$2:$A$20, "")</f>
        <v/>
      </c>
      <c r="I3523">
        <f t="shared" ref="I3523:I3586" si="445">IF(H3523="",0,1)</f>
        <v>0</v>
      </c>
      <c r="J3523" t="str">
        <f>_xlfn.XLOOKUP(H3523, Fact_Events!$A$2:$A$20, Fact_Events!$F$2:$F$20, "")</f>
        <v/>
      </c>
      <c r="K3523" t="str">
        <f t="shared" ref="K3523:K3586" si="446">IF(I3523=0,"Low",
   IF(J3523&gt;=9,"High","Medium"))</f>
        <v>Low</v>
      </c>
      <c r="L3523">
        <f t="shared" ref="L3523:L3586" si="447">MIN(1,
  0.55
  + (I3523 * 0.25)
  + (IF(J3523="",0,J3523) / 100)
)</f>
        <v>0.55000000000000004</v>
      </c>
      <c r="M3523">
        <f>_xlfn.XLOOKUP(B3523, Dim_Hotel!$A$2:$A$11, Dim_Hotel!$I$2:$I$11)
 + (IF(J3523="",0,J3523)
    * _xlfn.XLOOKUP(B3523, Dim_Hotel!$A$2:$A$11, Dim_Hotel!$J$2:$J$11))</f>
        <v>175</v>
      </c>
    </row>
    <row r="3524" spans="1:13" x14ac:dyDescent="0.25">
      <c r="A3524" s="1">
        <f t="shared" si="440"/>
        <v>46375</v>
      </c>
      <c r="B3524" t="str" cm="1">
        <f t="array" ref="B3524">INDEX(HotelList,MOD(ROW()-2,10)+1)</f>
        <v>H003</v>
      </c>
      <c r="C3524">
        <f>_xlfn.XLOOKUP(B3524,Dim_Hotel!$A$2:$A$11,Dim_Hotel!$F$2:$F$11)</f>
        <v>121</v>
      </c>
      <c r="D3524">
        <f t="shared" si="441"/>
        <v>67</v>
      </c>
      <c r="E3524">
        <f t="shared" si="442"/>
        <v>0.55371900826446285</v>
      </c>
      <c r="F3524">
        <f t="shared" si="443"/>
        <v>145</v>
      </c>
      <c r="G3524">
        <f t="shared" si="444"/>
        <v>80.289256198347118</v>
      </c>
      <c r="H3524" t="str">
        <f>_xlfn.XLOOKUP(A3524,Fact_Events!$D$2:$D$20,Fact_Events!$A$2:$A$20, "")</f>
        <v/>
      </c>
      <c r="I3524">
        <f t="shared" si="445"/>
        <v>0</v>
      </c>
      <c r="J3524" t="str">
        <f>_xlfn.XLOOKUP(H3524, Fact_Events!$A$2:$A$20, Fact_Events!$F$2:$F$20, "")</f>
        <v/>
      </c>
      <c r="K3524" t="str">
        <f t="shared" si="446"/>
        <v>Low</v>
      </c>
      <c r="L3524">
        <f t="shared" si="447"/>
        <v>0.55000000000000004</v>
      </c>
      <c r="M3524">
        <f>_xlfn.XLOOKUP(B3524, Dim_Hotel!$A$2:$A$11, Dim_Hotel!$I$2:$I$11)
 + (IF(J3524="",0,J3524)
    * _xlfn.XLOOKUP(B3524, Dim_Hotel!$A$2:$A$11, Dim_Hotel!$J$2:$J$11))</f>
        <v>145</v>
      </c>
    </row>
    <row r="3525" spans="1:13" x14ac:dyDescent="0.25">
      <c r="A3525" s="1">
        <f t="shared" si="440"/>
        <v>46375</v>
      </c>
      <c r="B3525" t="str" cm="1">
        <f t="array" ref="B3525">INDEX(HotelList,MOD(ROW()-2,10)+1)</f>
        <v>H004</v>
      </c>
      <c r="C3525">
        <f>_xlfn.XLOOKUP(B3525,Dim_Hotel!$A$2:$A$11,Dim_Hotel!$F$2:$F$11)</f>
        <v>108</v>
      </c>
      <c r="D3525">
        <f t="shared" si="441"/>
        <v>59</v>
      </c>
      <c r="E3525">
        <f t="shared" si="442"/>
        <v>0.54629629629629628</v>
      </c>
      <c r="F3525">
        <f t="shared" si="443"/>
        <v>135</v>
      </c>
      <c r="G3525">
        <f t="shared" si="444"/>
        <v>73.75</v>
      </c>
      <c r="H3525" t="str">
        <f>_xlfn.XLOOKUP(A3525,Fact_Events!$D$2:$D$20,Fact_Events!$A$2:$A$20, "")</f>
        <v/>
      </c>
      <c r="I3525">
        <f t="shared" si="445"/>
        <v>0</v>
      </c>
      <c r="J3525" t="str">
        <f>_xlfn.XLOOKUP(H3525, Fact_Events!$A$2:$A$20, Fact_Events!$F$2:$F$20, "")</f>
        <v/>
      </c>
      <c r="K3525" t="str">
        <f t="shared" si="446"/>
        <v>Low</v>
      </c>
      <c r="L3525">
        <f t="shared" si="447"/>
        <v>0.55000000000000004</v>
      </c>
      <c r="M3525">
        <f>_xlfn.XLOOKUP(B3525, Dim_Hotel!$A$2:$A$11, Dim_Hotel!$I$2:$I$11)
 + (IF(J3525="",0,J3525)
    * _xlfn.XLOOKUP(B3525, Dim_Hotel!$A$2:$A$11, Dim_Hotel!$J$2:$J$11))</f>
        <v>135</v>
      </c>
    </row>
    <row r="3526" spans="1:13" x14ac:dyDescent="0.25">
      <c r="A3526" s="1">
        <f t="shared" si="440"/>
        <v>46375</v>
      </c>
      <c r="B3526" t="str" cm="1">
        <f t="array" ref="B3526">INDEX(HotelList,MOD(ROW()-2,10)+1)</f>
        <v>H005</v>
      </c>
      <c r="C3526">
        <f>_xlfn.XLOOKUP(B3526,Dim_Hotel!$A$2:$A$11,Dim_Hotel!$F$2:$F$11)</f>
        <v>66</v>
      </c>
      <c r="D3526">
        <f t="shared" si="441"/>
        <v>36</v>
      </c>
      <c r="E3526">
        <f t="shared" si="442"/>
        <v>0.54545454545454541</v>
      </c>
      <c r="F3526">
        <f t="shared" si="443"/>
        <v>82</v>
      </c>
      <c r="G3526">
        <f t="shared" si="444"/>
        <v>44.727272727272727</v>
      </c>
      <c r="H3526" t="str">
        <f>_xlfn.XLOOKUP(A3526,Fact_Events!$D$2:$D$20,Fact_Events!$A$2:$A$20, "")</f>
        <v/>
      </c>
      <c r="I3526">
        <f t="shared" si="445"/>
        <v>0</v>
      </c>
      <c r="J3526" t="str">
        <f>_xlfn.XLOOKUP(H3526, Fact_Events!$A$2:$A$20, Fact_Events!$F$2:$F$20, "")</f>
        <v/>
      </c>
      <c r="K3526" t="str">
        <f t="shared" si="446"/>
        <v>Low</v>
      </c>
      <c r="L3526">
        <f t="shared" si="447"/>
        <v>0.55000000000000004</v>
      </c>
      <c r="M3526">
        <f>_xlfn.XLOOKUP(B3526, Dim_Hotel!$A$2:$A$11, Dim_Hotel!$I$2:$I$11)
 + (IF(J3526="",0,J3526)
    * _xlfn.XLOOKUP(B3526, Dim_Hotel!$A$2:$A$11, Dim_Hotel!$J$2:$J$11))</f>
        <v>82</v>
      </c>
    </row>
    <row r="3527" spans="1:13" x14ac:dyDescent="0.25">
      <c r="A3527" s="1">
        <f t="shared" si="440"/>
        <v>46375</v>
      </c>
      <c r="B3527" t="str" cm="1">
        <f t="array" ref="B3527">INDEX(HotelList,MOD(ROW()-2,10)+1)</f>
        <v>H006</v>
      </c>
      <c r="C3527">
        <f>_xlfn.XLOOKUP(B3527,Dim_Hotel!$A$2:$A$11,Dim_Hotel!$F$2:$F$11)</f>
        <v>311</v>
      </c>
      <c r="D3527">
        <f t="shared" si="441"/>
        <v>171</v>
      </c>
      <c r="E3527">
        <f t="shared" si="442"/>
        <v>0.54983922829581988</v>
      </c>
      <c r="F3527">
        <f t="shared" si="443"/>
        <v>190</v>
      </c>
      <c r="G3527">
        <f t="shared" si="444"/>
        <v>104.46945337620578</v>
      </c>
      <c r="H3527" t="str">
        <f>_xlfn.XLOOKUP(A3527,Fact_Events!$D$2:$D$20,Fact_Events!$A$2:$A$20, "")</f>
        <v/>
      </c>
      <c r="I3527">
        <f t="shared" si="445"/>
        <v>0</v>
      </c>
      <c r="J3527" t="str">
        <f>_xlfn.XLOOKUP(H3527, Fact_Events!$A$2:$A$20, Fact_Events!$F$2:$F$20, "")</f>
        <v/>
      </c>
      <c r="K3527" t="str">
        <f t="shared" si="446"/>
        <v>Low</v>
      </c>
      <c r="L3527">
        <f t="shared" si="447"/>
        <v>0.55000000000000004</v>
      </c>
      <c r="M3527">
        <f>_xlfn.XLOOKUP(B3527, Dim_Hotel!$A$2:$A$11, Dim_Hotel!$I$2:$I$11)
 + (IF(J3527="",0,J3527)
    * _xlfn.XLOOKUP(B3527, Dim_Hotel!$A$2:$A$11, Dim_Hotel!$J$2:$J$11))</f>
        <v>190</v>
      </c>
    </row>
    <row r="3528" spans="1:13" x14ac:dyDescent="0.25">
      <c r="A3528" s="1">
        <f t="shared" si="440"/>
        <v>46375</v>
      </c>
      <c r="B3528" t="str" cm="1">
        <f t="array" ref="B3528">INDEX(HotelList,MOD(ROW()-2,10)+1)</f>
        <v>H007</v>
      </c>
      <c r="C3528">
        <f>_xlfn.XLOOKUP(B3528,Dim_Hotel!$A$2:$A$11,Dim_Hotel!$F$2:$F$11)</f>
        <v>132</v>
      </c>
      <c r="D3528">
        <f t="shared" si="441"/>
        <v>73</v>
      </c>
      <c r="E3528">
        <f t="shared" si="442"/>
        <v>0.55303030303030298</v>
      </c>
      <c r="F3528">
        <f t="shared" si="443"/>
        <v>165</v>
      </c>
      <c r="G3528">
        <f t="shared" si="444"/>
        <v>91.249999999999986</v>
      </c>
      <c r="H3528" t="str">
        <f>_xlfn.XLOOKUP(A3528,Fact_Events!$D$2:$D$20,Fact_Events!$A$2:$A$20, "")</f>
        <v/>
      </c>
      <c r="I3528">
        <f t="shared" si="445"/>
        <v>0</v>
      </c>
      <c r="J3528" t="str">
        <f>_xlfn.XLOOKUP(H3528, Fact_Events!$A$2:$A$20, Fact_Events!$F$2:$F$20, "")</f>
        <v/>
      </c>
      <c r="K3528" t="str">
        <f t="shared" si="446"/>
        <v>Low</v>
      </c>
      <c r="L3528">
        <f t="shared" si="447"/>
        <v>0.55000000000000004</v>
      </c>
      <c r="M3528">
        <f>_xlfn.XLOOKUP(B3528, Dim_Hotel!$A$2:$A$11, Dim_Hotel!$I$2:$I$11)
 + (IF(J3528="",0,J3528)
    * _xlfn.XLOOKUP(B3528, Dim_Hotel!$A$2:$A$11, Dim_Hotel!$J$2:$J$11))</f>
        <v>165</v>
      </c>
    </row>
    <row r="3529" spans="1:13" x14ac:dyDescent="0.25">
      <c r="A3529" s="1">
        <f t="shared" si="440"/>
        <v>46375</v>
      </c>
      <c r="B3529" t="str" cm="1">
        <f t="array" ref="B3529">INDEX(HotelList,MOD(ROW()-2,10)+1)</f>
        <v>H008</v>
      </c>
      <c r="C3529">
        <f>_xlfn.XLOOKUP(B3529,Dim_Hotel!$A$2:$A$11,Dim_Hotel!$F$2:$F$11)</f>
        <v>103</v>
      </c>
      <c r="D3529">
        <f t="shared" si="441"/>
        <v>57</v>
      </c>
      <c r="E3529">
        <f t="shared" si="442"/>
        <v>0.55339805825242716</v>
      </c>
      <c r="F3529">
        <f t="shared" si="443"/>
        <v>140</v>
      </c>
      <c r="G3529">
        <f t="shared" si="444"/>
        <v>77.475728155339809</v>
      </c>
      <c r="H3529" t="str">
        <f>_xlfn.XLOOKUP(A3529,Fact_Events!$D$2:$D$20,Fact_Events!$A$2:$A$20, "")</f>
        <v/>
      </c>
      <c r="I3529">
        <f t="shared" si="445"/>
        <v>0</v>
      </c>
      <c r="J3529" t="str">
        <f>_xlfn.XLOOKUP(H3529, Fact_Events!$A$2:$A$20, Fact_Events!$F$2:$F$20, "")</f>
        <v/>
      </c>
      <c r="K3529" t="str">
        <f t="shared" si="446"/>
        <v>Low</v>
      </c>
      <c r="L3529">
        <f t="shared" si="447"/>
        <v>0.55000000000000004</v>
      </c>
      <c r="M3529">
        <f>_xlfn.XLOOKUP(B3529, Dim_Hotel!$A$2:$A$11, Dim_Hotel!$I$2:$I$11)
 + (IF(J3529="",0,J3529)
    * _xlfn.XLOOKUP(B3529, Dim_Hotel!$A$2:$A$11, Dim_Hotel!$J$2:$J$11))</f>
        <v>140</v>
      </c>
    </row>
    <row r="3530" spans="1:13" x14ac:dyDescent="0.25">
      <c r="A3530" s="1">
        <f t="shared" si="440"/>
        <v>46375</v>
      </c>
      <c r="B3530" t="str" cm="1">
        <f t="array" ref="B3530">INDEX(HotelList,MOD(ROW()-2,10)+1)</f>
        <v>H009</v>
      </c>
      <c r="C3530">
        <f>_xlfn.XLOOKUP(B3530,Dim_Hotel!$A$2:$A$11,Dim_Hotel!$F$2:$F$11)</f>
        <v>114</v>
      </c>
      <c r="D3530">
        <f t="shared" si="441"/>
        <v>63</v>
      </c>
      <c r="E3530">
        <f t="shared" si="442"/>
        <v>0.55263157894736847</v>
      </c>
      <c r="F3530">
        <f t="shared" si="443"/>
        <v>185</v>
      </c>
      <c r="G3530">
        <f t="shared" si="444"/>
        <v>102.23684210526316</v>
      </c>
      <c r="H3530" t="str">
        <f>_xlfn.XLOOKUP(A3530,Fact_Events!$D$2:$D$20,Fact_Events!$A$2:$A$20, "")</f>
        <v/>
      </c>
      <c r="I3530">
        <f t="shared" si="445"/>
        <v>0</v>
      </c>
      <c r="J3530" t="str">
        <f>_xlfn.XLOOKUP(H3530, Fact_Events!$A$2:$A$20, Fact_Events!$F$2:$F$20, "")</f>
        <v/>
      </c>
      <c r="K3530" t="str">
        <f t="shared" si="446"/>
        <v>Low</v>
      </c>
      <c r="L3530">
        <f t="shared" si="447"/>
        <v>0.55000000000000004</v>
      </c>
      <c r="M3530">
        <f>_xlfn.XLOOKUP(B3530, Dim_Hotel!$A$2:$A$11, Dim_Hotel!$I$2:$I$11)
 + (IF(J3530="",0,J3530)
    * _xlfn.XLOOKUP(B3530, Dim_Hotel!$A$2:$A$11, Dim_Hotel!$J$2:$J$11))</f>
        <v>185</v>
      </c>
    </row>
    <row r="3531" spans="1:13" x14ac:dyDescent="0.25">
      <c r="A3531" s="1">
        <f t="shared" si="440"/>
        <v>46375</v>
      </c>
      <c r="B3531" t="str" cm="1">
        <f t="array" ref="B3531">INDEX(HotelList,MOD(ROW()-2,10)+1)</f>
        <v>H010</v>
      </c>
      <c r="C3531">
        <f>_xlfn.XLOOKUP(B3531,Dim_Hotel!$A$2:$A$11,Dim_Hotel!$F$2:$F$11)</f>
        <v>89</v>
      </c>
      <c r="D3531">
        <f t="shared" si="441"/>
        <v>49</v>
      </c>
      <c r="E3531">
        <f t="shared" si="442"/>
        <v>0.550561797752809</v>
      </c>
      <c r="F3531">
        <f t="shared" si="443"/>
        <v>150</v>
      </c>
      <c r="G3531">
        <f t="shared" si="444"/>
        <v>82.584269662921344</v>
      </c>
      <c r="H3531" t="str">
        <f>_xlfn.XLOOKUP(A3531,Fact_Events!$D$2:$D$20,Fact_Events!$A$2:$A$20, "")</f>
        <v/>
      </c>
      <c r="I3531">
        <f t="shared" si="445"/>
        <v>0</v>
      </c>
      <c r="J3531" t="str">
        <f>_xlfn.XLOOKUP(H3531, Fact_Events!$A$2:$A$20, Fact_Events!$F$2:$F$20, "")</f>
        <v/>
      </c>
      <c r="K3531" t="str">
        <f t="shared" si="446"/>
        <v>Low</v>
      </c>
      <c r="L3531">
        <f t="shared" si="447"/>
        <v>0.55000000000000004</v>
      </c>
      <c r="M3531">
        <f>_xlfn.XLOOKUP(B3531, Dim_Hotel!$A$2:$A$11, Dim_Hotel!$I$2:$I$11)
 + (IF(J3531="",0,J3531)
    * _xlfn.XLOOKUP(B3531, Dim_Hotel!$A$2:$A$11, Dim_Hotel!$J$2:$J$11))</f>
        <v>150</v>
      </c>
    </row>
    <row r="3532" spans="1:13" x14ac:dyDescent="0.25">
      <c r="A3532" s="1">
        <f t="shared" si="440"/>
        <v>46376</v>
      </c>
      <c r="B3532" t="str" cm="1">
        <f t="array" ref="B3532">INDEX(HotelList,MOD(ROW()-2,10)+1)</f>
        <v>H001</v>
      </c>
      <c r="C3532">
        <f>_xlfn.XLOOKUP(B3532,Dim_Hotel!$A$2:$A$11,Dim_Hotel!$F$2:$F$11)</f>
        <v>888</v>
      </c>
      <c r="D3532">
        <f t="shared" si="441"/>
        <v>488</v>
      </c>
      <c r="E3532">
        <f t="shared" si="442"/>
        <v>0.5495495495495496</v>
      </c>
      <c r="F3532">
        <f t="shared" si="443"/>
        <v>260</v>
      </c>
      <c r="G3532">
        <f t="shared" si="444"/>
        <v>142.88288288288288</v>
      </c>
      <c r="H3532" t="str">
        <f>_xlfn.XLOOKUP(A3532,Fact_Events!$D$2:$D$20,Fact_Events!$A$2:$A$20, "")</f>
        <v/>
      </c>
      <c r="I3532">
        <f t="shared" si="445"/>
        <v>0</v>
      </c>
      <c r="J3532" t="str">
        <f>_xlfn.XLOOKUP(H3532, Fact_Events!$A$2:$A$20, Fact_Events!$F$2:$F$20, "")</f>
        <v/>
      </c>
      <c r="K3532" t="str">
        <f t="shared" si="446"/>
        <v>Low</v>
      </c>
      <c r="L3532">
        <f t="shared" si="447"/>
        <v>0.55000000000000004</v>
      </c>
      <c r="M3532">
        <f>_xlfn.XLOOKUP(B3532, Dim_Hotel!$A$2:$A$11, Dim_Hotel!$I$2:$I$11)
 + (IF(J3532="",0,J3532)
    * _xlfn.XLOOKUP(B3532, Dim_Hotel!$A$2:$A$11, Dim_Hotel!$J$2:$J$11))</f>
        <v>260</v>
      </c>
    </row>
    <row r="3533" spans="1:13" x14ac:dyDescent="0.25">
      <c r="A3533" s="1">
        <f t="shared" si="440"/>
        <v>46376</v>
      </c>
      <c r="B3533" t="str" cm="1">
        <f t="array" ref="B3533">INDEX(HotelList,MOD(ROW()-2,10)+1)</f>
        <v>H002</v>
      </c>
      <c r="C3533">
        <f>_xlfn.XLOOKUP(B3533,Dim_Hotel!$A$2:$A$11,Dim_Hotel!$F$2:$F$11)</f>
        <v>147</v>
      </c>
      <c r="D3533">
        <f t="shared" si="441"/>
        <v>81</v>
      </c>
      <c r="E3533">
        <f t="shared" si="442"/>
        <v>0.55102040816326525</v>
      </c>
      <c r="F3533">
        <f t="shared" si="443"/>
        <v>175</v>
      </c>
      <c r="G3533">
        <f t="shared" si="444"/>
        <v>96.428571428571416</v>
      </c>
      <c r="H3533" t="str">
        <f>_xlfn.XLOOKUP(A3533,Fact_Events!$D$2:$D$20,Fact_Events!$A$2:$A$20, "")</f>
        <v/>
      </c>
      <c r="I3533">
        <f t="shared" si="445"/>
        <v>0</v>
      </c>
      <c r="J3533" t="str">
        <f>_xlfn.XLOOKUP(H3533, Fact_Events!$A$2:$A$20, Fact_Events!$F$2:$F$20, "")</f>
        <v/>
      </c>
      <c r="K3533" t="str">
        <f t="shared" si="446"/>
        <v>Low</v>
      </c>
      <c r="L3533">
        <f t="shared" si="447"/>
        <v>0.55000000000000004</v>
      </c>
      <c r="M3533">
        <f>_xlfn.XLOOKUP(B3533, Dim_Hotel!$A$2:$A$11, Dim_Hotel!$I$2:$I$11)
 + (IF(J3533="",0,J3533)
    * _xlfn.XLOOKUP(B3533, Dim_Hotel!$A$2:$A$11, Dim_Hotel!$J$2:$J$11))</f>
        <v>175</v>
      </c>
    </row>
    <row r="3534" spans="1:13" x14ac:dyDescent="0.25">
      <c r="A3534" s="1">
        <f t="shared" si="440"/>
        <v>46376</v>
      </c>
      <c r="B3534" t="str" cm="1">
        <f t="array" ref="B3534">INDEX(HotelList,MOD(ROW()-2,10)+1)</f>
        <v>H003</v>
      </c>
      <c r="C3534">
        <f>_xlfn.XLOOKUP(B3534,Dim_Hotel!$A$2:$A$11,Dim_Hotel!$F$2:$F$11)</f>
        <v>121</v>
      </c>
      <c r="D3534">
        <f t="shared" si="441"/>
        <v>67</v>
      </c>
      <c r="E3534">
        <f t="shared" si="442"/>
        <v>0.55371900826446285</v>
      </c>
      <c r="F3534">
        <f t="shared" si="443"/>
        <v>145</v>
      </c>
      <c r="G3534">
        <f t="shared" si="444"/>
        <v>80.289256198347118</v>
      </c>
      <c r="H3534" t="str">
        <f>_xlfn.XLOOKUP(A3534,Fact_Events!$D$2:$D$20,Fact_Events!$A$2:$A$20, "")</f>
        <v/>
      </c>
      <c r="I3534">
        <f t="shared" si="445"/>
        <v>0</v>
      </c>
      <c r="J3534" t="str">
        <f>_xlfn.XLOOKUP(H3534, Fact_Events!$A$2:$A$20, Fact_Events!$F$2:$F$20, "")</f>
        <v/>
      </c>
      <c r="K3534" t="str">
        <f t="shared" si="446"/>
        <v>Low</v>
      </c>
      <c r="L3534">
        <f t="shared" si="447"/>
        <v>0.55000000000000004</v>
      </c>
      <c r="M3534">
        <f>_xlfn.XLOOKUP(B3534, Dim_Hotel!$A$2:$A$11, Dim_Hotel!$I$2:$I$11)
 + (IF(J3534="",0,J3534)
    * _xlfn.XLOOKUP(B3534, Dim_Hotel!$A$2:$A$11, Dim_Hotel!$J$2:$J$11))</f>
        <v>145</v>
      </c>
    </row>
    <row r="3535" spans="1:13" x14ac:dyDescent="0.25">
      <c r="A3535" s="1">
        <f t="shared" si="440"/>
        <v>46376</v>
      </c>
      <c r="B3535" t="str" cm="1">
        <f t="array" ref="B3535">INDEX(HotelList,MOD(ROW()-2,10)+1)</f>
        <v>H004</v>
      </c>
      <c r="C3535">
        <f>_xlfn.XLOOKUP(B3535,Dim_Hotel!$A$2:$A$11,Dim_Hotel!$F$2:$F$11)</f>
        <v>108</v>
      </c>
      <c r="D3535">
        <f t="shared" si="441"/>
        <v>59</v>
      </c>
      <c r="E3535">
        <f t="shared" si="442"/>
        <v>0.54629629629629628</v>
      </c>
      <c r="F3535">
        <f t="shared" si="443"/>
        <v>135</v>
      </c>
      <c r="G3535">
        <f t="shared" si="444"/>
        <v>73.75</v>
      </c>
      <c r="H3535" t="str">
        <f>_xlfn.XLOOKUP(A3535,Fact_Events!$D$2:$D$20,Fact_Events!$A$2:$A$20, "")</f>
        <v/>
      </c>
      <c r="I3535">
        <f t="shared" si="445"/>
        <v>0</v>
      </c>
      <c r="J3535" t="str">
        <f>_xlfn.XLOOKUP(H3535, Fact_Events!$A$2:$A$20, Fact_Events!$F$2:$F$20, "")</f>
        <v/>
      </c>
      <c r="K3535" t="str">
        <f t="shared" si="446"/>
        <v>Low</v>
      </c>
      <c r="L3535">
        <f t="shared" si="447"/>
        <v>0.55000000000000004</v>
      </c>
      <c r="M3535">
        <f>_xlfn.XLOOKUP(B3535, Dim_Hotel!$A$2:$A$11, Dim_Hotel!$I$2:$I$11)
 + (IF(J3535="",0,J3535)
    * _xlfn.XLOOKUP(B3535, Dim_Hotel!$A$2:$A$11, Dim_Hotel!$J$2:$J$11))</f>
        <v>135</v>
      </c>
    </row>
    <row r="3536" spans="1:13" x14ac:dyDescent="0.25">
      <c r="A3536" s="1">
        <f t="shared" si="440"/>
        <v>46376</v>
      </c>
      <c r="B3536" t="str" cm="1">
        <f t="array" ref="B3536">INDEX(HotelList,MOD(ROW()-2,10)+1)</f>
        <v>H005</v>
      </c>
      <c r="C3536">
        <f>_xlfn.XLOOKUP(B3536,Dim_Hotel!$A$2:$A$11,Dim_Hotel!$F$2:$F$11)</f>
        <v>66</v>
      </c>
      <c r="D3536">
        <f t="shared" si="441"/>
        <v>36</v>
      </c>
      <c r="E3536">
        <f t="shared" si="442"/>
        <v>0.54545454545454541</v>
      </c>
      <c r="F3536">
        <f t="shared" si="443"/>
        <v>82</v>
      </c>
      <c r="G3536">
        <f t="shared" si="444"/>
        <v>44.727272727272727</v>
      </c>
      <c r="H3536" t="str">
        <f>_xlfn.XLOOKUP(A3536,Fact_Events!$D$2:$D$20,Fact_Events!$A$2:$A$20, "")</f>
        <v/>
      </c>
      <c r="I3536">
        <f t="shared" si="445"/>
        <v>0</v>
      </c>
      <c r="J3536" t="str">
        <f>_xlfn.XLOOKUP(H3536, Fact_Events!$A$2:$A$20, Fact_Events!$F$2:$F$20, "")</f>
        <v/>
      </c>
      <c r="K3536" t="str">
        <f t="shared" si="446"/>
        <v>Low</v>
      </c>
      <c r="L3536">
        <f t="shared" si="447"/>
        <v>0.55000000000000004</v>
      </c>
      <c r="M3536">
        <f>_xlfn.XLOOKUP(B3536, Dim_Hotel!$A$2:$A$11, Dim_Hotel!$I$2:$I$11)
 + (IF(J3536="",0,J3536)
    * _xlfn.XLOOKUP(B3536, Dim_Hotel!$A$2:$A$11, Dim_Hotel!$J$2:$J$11))</f>
        <v>82</v>
      </c>
    </row>
    <row r="3537" spans="1:13" x14ac:dyDescent="0.25">
      <c r="A3537" s="1">
        <f t="shared" si="440"/>
        <v>46376</v>
      </c>
      <c r="B3537" t="str" cm="1">
        <f t="array" ref="B3537">INDEX(HotelList,MOD(ROW()-2,10)+1)</f>
        <v>H006</v>
      </c>
      <c r="C3537">
        <f>_xlfn.XLOOKUP(B3537,Dim_Hotel!$A$2:$A$11,Dim_Hotel!$F$2:$F$11)</f>
        <v>311</v>
      </c>
      <c r="D3537">
        <f t="shared" si="441"/>
        <v>171</v>
      </c>
      <c r="E3537">
        <f t="shared" si="442"/>
        <v>0.54983922829581988</v>
      </c>
      <c r="F3537">
        <f t="shared" si="443"/>
        <v>190</v>
      </c>
      <c r="G3537">
        <f t="shared" si="444"/>
        <v>104.46945337620578</v>
      </c>
      <c r="H3537" t="str">
        <f>_xlfn.XLOOKUP(A3537,Fact_Events!$D$2:$D$20,Fact_Events!$A$2:$A$20, "")</f>
        <v/>
      </c>
      <c r="I3537">
        <f t="shared" si="445"/>
        <v>0</v>
      </c>
      <c r="J3537" t="str">
        <f>_xlfn.XLOOKUP(H3537, Fact_Events!$A$2:$A$20, Fact_Events!$F$2:$F$20, "")</f>
        <v/>
      </c>
      <c r="K3537" t="str">
        <f t="shared" si="446"/>
        <v>Low</v>
      </c>
      <c r="L3537">
        <f t="shared" si="447"/>
        <v>0.55000000000000004</v>
      </c>
      <c r="M3537">
        <f>_xlfn.XLOOKUP(B3537, Dim_Hotel!$A$2:$A$11, Dim_Hotel!$I$2:$I$11)
 + (IF(J3537="",0,J3537)
    * _xlfn.XLOOKUP(B3537, Dim_Hotel!$A$2:$A$11, Dim_Hotel!$J$2:$J$11))</f>
        <v>190</v>
      </c>
    </row>
    <row r="3538" spans="1:13" x14ac:dyDescent="0.25">
      <c r="A3538" s="1">
        <f t="shared" si="440"/>
        <v>46376</v>
      </c>
      <c r="B3538" t="str" cm="1">
        <f t="array" ref="B3538">INDEX(HotelList,MOD(ROW()-2,10)+1)</f>
        <v>H007</v>
      </c>
      <c r="C3538">
        <f>_xlfn.XLOOKUP(B3538,Dim_Hotel!$A$2:$A$11,Dim_Hotel!$F$2:$F$11)</f>
        <v>132</v>
      </c>
      <c r="D3538">
        <f t="shared" si="441"/>
        <v>73</v>
      </c>
      <c r="E3538">
        <f t="shared" si="442"/>
        <v>0.55303030303030298</v>
      </c>
      <c r="F3538">
        <f t="shared" si="443"/>
        <v>165</v>
      </c>
      <c r="G3538">
        <f t="shared" si="444"/>
        <v>91.249999999999986</v>
      </c>
      <c r="H3538" t="str">
        <f>_xlfn.XLOOKUP(A3538,Fact_Events!$D$2:$D$20,Fact_Events!$A$2:$A$20, "")</f>
        <v/>
      </c>
      <c r="I3538">
        <f t="shared" si="445"/>
        <v>0</v>
      </c>
      <c r="J3538" t="str">
        <f>_xlfn.XLOOKUP(H3538, Fact_Events!$A$2:$A$20, Fact_Events!$F$2:$F$20, "")</f>
        <v/>
      </c>
      <c r="K3538" t="str">
        <f t="shared" si="446"/>
        <v>Low</v>
      </c>
      <c r="L3538">
        <f t="shared" si="447"/>
        <v>0.55000000000000004</v>
      </c>
      <c r="M3538">
        <f>_xlfn.XLOOKUP(B3538, Dim_Hotel!$A$2:$A$11, Dim_Hotel!$I$2:$I$11)
 + (IF(J3538="",0,J3538)
    * _xlfn.XLOOKUP(B3538, Dim_Hotel!$A$2:$A$11, Dim_Hotel!$J$2:$J$11))</f>
        <v>165</v>
      </c>
    </row>
    <row r="3539" spans="1:13" x14ac:dyDescent="0.25">
      <c r="A3539" s="1">
        <f t="shared" si="440"/>
        <v>46376</v>
      </c>
      <c r="B3539" t="str" cm="1">
        <f t="array" ref="B3539">INDEX(HotelList,MOD(ROW()-2,10)+1)</f>
        <v>H008</v>
      </c>
      <c r="C3539">
        <f>_xlfn.XLOOKUP(B3539,Dim_Hotel!$A$2:$A$11,Dim_Hotel!$F$2:$F$11)</f>
        <v>103</v>
      </c>
      <c r="D3539">
        <f t="shared" si="441"/>
        <v>57</v>
      </c>
      <c r="E3539">
        <f t="shared" si="442"/>
        <v>0.55339805825242716</v>
      </c>
      <c r="F3539">
        <f t="shared" si="443"/>
        <v>140</v>
      </c>
      <c r="G3539">
        <f t="shared" si="444"/>
        <v>77.475728155339809</v>
      </c>
      <c r="H3539" t="str">
        <f>_xlfn.XLOOKUP(A3539,Fact_Events!$D$2:$D$20,Fact_Events!$A$2:$A$20, "")</f>
        <v/>
      </c>
      <c r="I3539">
        <f t="shared" si="445"/>
        <v>0</v>
      </c>
      <c r="J3539" t="str">
        <f>_xlfn.XLOOKUP(H3539, Fact_Events!$A$2:$A$20, Fact_Events!$F$2:$F$20, "")</f>
        <v/>
      </c>
      <c r="K3539" t="str">
        <f t="shared" si="446"/>
        <v>Low</v>
      </c>
      <c r="L3539">
        <f t="shared" si="447"/>
        <v>0.55000000000000004</v>
      </c>
      <c r="M3539">
        <f>_xlfn.XLOOKUP(B3539, Dim_Hotel!$A$2:$A$11, Dim_Hotel!$I$2:$I$11)
 + (IF(J3539="",0,J3539)
    * _xlfn.XLOOKUP(B3539, Dim_Hotel!$A$2:$A$11, Dim_Hotel!$J$2:$J$11))</f>
        <v>140</v>
      </c>
    </row>
    <row r="3540" spans="1:13" x14ac:dyDescent="0.25">
      <c r="A3540" s="1">
        <f t="shared" si="440"/>
        <v>46376</v>
      </c>
      <c r="B3540" t="str" cm="1">
        <f t="array" ref="B3540">INDEX(HotelList,MOD(ROW()-2,10)+1)</f>
        <v>H009</v>
      </c>
      <c r="C3540">
        <f>_xlfn.XLOOKUP(B3540,Dim_Hotel!$A$2:$A$11,Dim_Hotel!$F$2:$F$11)</f>
        <v>114</v>
      </c>
      <c r="D3540">
        <f t="shared" si="441"/>
        <v>63</v>
      </c>
      <c r="E3540">
        <f t="shared" si="442"/>
        <v>0.55263157894736847</v>
      </c>
      <c r="F3540">
        <f t="shared" si="443"/>
        <v>185</v>
      </c>
      <c r="G3540">
        <f t="shared" si="444"/>
        <v>102.23684210526316</v>
      </c>
      <c r="H3540" t="str">
        <f>_xlfn.XLOOKUP(A3540,Fact_Events!$D$2:$D$20,Fact_Events!$A$2:$A$20, "")</f>
        <v/>
      </c>
      <c r="I3540">
        <f t="shared" si="445"/>
        <v>0</v>
      </c>
      <c r="J3540" t="str">
        <f>_xlfn.XLOOKUP(H3540, Fact_Events!$A$2:$A$20, Fact_Events!$F$2:$F$20, "")</f>
        <v/>
      </c>
      <c r="K3540" t="str">
        <f t="shared" si="446"/>
        <v>Low</v>
      </c>
      <c r="L3540">
        <f t="shared" si="447"/>
        <v>0.55000000000000004</v>
      </c>
      <c r="M3540">
        <f>_xlfn.XLOOKUP(B3540, Dim_Hotel!$A$2:$A$11, Dim_Hotel!$I$2:$I$11)
 + (IF(J3540="",0,J3540)
    * _xlfn.XLOOKUP(B3540, Dim_Hotel!$A$2:$A$11, Dim_Hotel!$J$2:$J$11))</f>
        <v>185</v>
      </c>
    </row>
    <row r="3541" spans="1:13" x14ac:dyDescent="0.25">
      <c r="A3541" s="1">
        <f t="shared" si="440"/>
        <v>46376</v>
      </c>
      <c r="B3541" t="str" cm="1">
        <f t="array" ref="B3541">INDEX(HotelList,MOD(ROW()-2,10)+1)</f>
        <v>H010</v>
      </c>
      <c r="C3541">
        <f>_xlfn.XLOOKUP(B3541,Dim_Hotel!$A$2:$A$11,Dim_Hotel!$F$2:$F$11)</f>
        <v>89</v>
      </c>
      <c r="D3541">
        <f t="shared" si="441"/>
        <v>49</v>
      </c>
      <c r="E3541">
        <f t="shared" si="442"/>
        <v>0.550561797752809</v>
      </c>
      <c r="F3541">
        <f t="shared" si="443"/>
        <v>150</v>
      </c>
      <c r="G3541">
        <f t="shared" si="444"/>
        <v>82.584269662921344</v>
      </c>
      <c r="H3541" t="str">
        <f>_xlfn.XLOOKUP(A3541,Fact_Events!$D$2:$D$20,Fact_Events!$A$2:$A$20, "")</f>
        <v/>
      </c>
      <c r="I3541">
        <f t="shared" si="445"/>
        <v>0</v>
      </c>
      <c r="J3541" t="str">
        <f>_xlfn.XLOOKUP(H3541, Fact_Events!$A$2:$A$20, Fact_Events!$F$2:$F$20, "")</f>
        <v/>
      </c>
      <c r="K3541" t="str">
        <f t="shared" si="446"/>
        <v>Low</v>
      </c>
      <c r="L3541">
        <f t="shared" si="447"/>
        <v>0.55000000000000004</v>
      </c>
      <c r="M3541">
        <f>_xlfn.XLOOKUP(B3541, Dim_Hotel!$A$2:$A$11, Dim_Hotel!$I$2:$I$11)
 + (IF(J3541="",0,J3541)
    * _xlfn.XLOOKUP(B3541, Dim_Hotel!$A$2:$A$11, Dim_Hotel!$J$2:$J$11))</f>
        <v>150</v>
      </c>
    </row>
    <row r="3542" spans="1:13" x14ac:dyDescent="0.25">
      <c r="A3542" s="1">
        <f t="shared" si="440"/>
        <v>46377</v>
      </c>
      <c r="B3542" t="str" cm="1">
        <f t="array" ref="B3542">INDEX(HotelList,MOD(ROW()-2,10)+1)</f>
        <v>H001</v>
      </c>
      <c r="C3542">
        <f>_xlfn.XLOOKUP(B3542,Dim_Hotel!$A$2:$A$11,Dim_Hotel!$F$2:$F$11)</f>
        <v>888</v>
      </c>
      <c r="D3542">
        <f t="shared" si="441"/>
        <v>488</v>
      </c>
      <c r="E3542">
        <f t="shared" si="442"/>
        <v>0.5495495495495496</v>
      </c>
      <c r="F3542">
        <f t="shared" si="443"/>
        <v>260</v>
      </c>
      <c r="G3542">
        <f t="shared" si="444"/>
        <v>142.88288288288288</v>
      </c>
      <c r="H3542" t="str">
        <f>_xlfn.XLOOKUP(A3542,Fact_Events!$D$2:$D$20,Fact_Events!$A$2:$A$20, "")</f>
        <v/>
      </c>
      <c r="I3542">
        <f t="shared" si="445"/>
        <v>0</v>
      </c>
      <c r="J3542" t="str">
        <f>_xlfn.XLOOKUP(H3542, Fact_Events!$A$2:$A$20, Fact_Events!$F$2:$F$20, "")</f>
        <v/>
      </c>
      <c r="K3542" t="str">
        <f t="shared" si="446"/>
        <v>Low</v>
      </c>
      <c r="L3542">
        <f t="shared" si="447"/>
        <v>0.55000000000000004</v>
      </c>
      <c r="M3542">
        <f>_xlfn.XLOOKUP(B3542, Dim_Hotel!$A$2:$A$11, Dim_Hotel!$I$2:$I$11)
 + (IF(J3542="",0,J3542)
    * _xlfn.XLOOKUP(B3542, Dim_Hotel!$A$2:$A$11, Dim_Hotel!$J$2:$J$11))</f>
        <v>260</v>
      </c>
    </row>
    <row r="3543" spans="1:13" x14ac:dyDescent="0.25">
      <c r="A3543" s="1">
        <f t="shared" si="440"/>
        <v>46377</v>
      </c>
      <c r="B3543" t="str" cm="1">
        <f t="array" ref="B3543">INDEX(HotelList,MOD(ROW()-2,10)+1)</f>
        <v>H002</v>
      </c>
      <c r="C3543">
        <f>_xlfn.XLOOKUP(B3543,Dim_Hotel!$A$2:$A$11,Dim_Hotel!$F$2:$F$11)</f>
        <v>147</v>
      </c>
      <c r="D3543">
        <f t="shared" si="441"/>
        <v>81</v>
      </c>
      <c r="E3543">
        <f t="shared" si="442"/>
        <v>0.55102040816326525</v>
      </c>
      <c r="F3543">
        <f t="shared" si="443"/>
        <v>175</v>
      </c>
      <c r="G3543">
        <f t="shared" si="444"/>
        <v>96.428571428571416</v>
      </c>
      <c r="H3543" t="str">
        <f>_xlfn.XLOOKUP(A3543,Fact_Events!$D$2:$D$20,Fact_Events!$A$2:$A$20, "")</f>
        <v/>
      </c>
      <c r="I3543">
        <f t="shared" si="445"/>
        <v>0</v>
      </c>
      <c r="J3543" t="str">
        <f>_xlfn.XLOOKUP(H3543, Fact_Events!$A$2:$A$20, Fact_Events!$F$2:$F$20, "")</f>
        <v/>
      </c>
      <c r="K3543" t="str">
        <f t="shared" si="446"/>
        <v>Low</v>
      </c>
      <c r="L3543">
        <f t="shared" si="447"/>
        <v>0.55000000000000004</v>
      </c>
      <c r="M3543">
        <f>_xlfn.XLOOKUP(B3543, Dim_Hotel!$A$2:$A$11, Dim_Hotel!$I$2:$I$11)
 + (IF(J3543="",0,J3543)
    * _xlfn.XLOOKUP(B3543, Dim_Hotel!$A$2:$A$11, Dim_Hotel!$J$2:$J$11))</f>
        <v>175</v>
      </c>
    </row>
    <row r="3544" spans="1:13" x14ac:dyDescent="0.25">
      <c r="A3544" s="1">
        <f t="shared" si="440"/>
        <v>46377</v>
      </c>
      <c r="B3544" t="str" cm="1">
        <f t="array" ref="B3544">INDEX(HotelList,MOD(ROW()-2,10)+1)</f>
        <v>H003</v>
      </c>
      <c r="C3544">
        <f>_xlfn.XLOOKUP(B3544,Dim_Hotel!$A$2:$A$11,Dim_Hotel!$F$2:$F$11)</f>
        <v>121</v>
      </c>
      <c r="D3544">
        <f t="shared" si="441"/>
        <v>67</v>
      </c>
      <c r="E3544">
        <f t="shared" si="442"/>
        <v>0.55371900826446285</v>
      </c>
      <c r="F3544">
        <f t="shared" si="443"/>
        <v>145</v>
      </c>
      <c r="G3544">
        <f t="shared" si="444"/>
        <v>80.289256198347118</v>
      </c>
      <c r="H3544" t="str">
        <f>_xlfn.XLOOKUP(A3544,Fact_Events!$D$2:$D$20,Fact_Events!$A$2:$A$20, "")</f>
        <v/>
      </c>
      <c r="I3544">
        <f t="shared" si="445"/>
        <v>0</v>
      </c>
      <c r="J3544" t="str">
        <f>_xlfn.XLOOKUP(H3544, Fact_Events!$A$2:$A$20, Fact_Events!$F$2:$F$20, "")</f>
        <v/>
      </c>
      <c r="K3544" t="str">
        <f t="shared" si="446"/>
        <v>Low</v>
      </c>
      <c r="L3544">
        <f t="shared" si="447"/>
        <v>0.55000000000000004</v>
      </c>
      <c r="M3544">
        <f>_xlfn.XLOOKUP(B3544, Dim_Hotel!$A$2:$A$11, Dim_Hotel!$I$2:$I$11)
 + (IF(J3544="",0,J3544)
    * _xlfn.XLOOKUP(B3544, Dim_Hotel!$A$2:$A$11, Dim_Hotel!$J$2:$J$11))</f>
        <v>145</v>
      </c>
    </row>
    <row r="3545" spans="1:13" x14ac:dyDescent="0.25">
      <c r="A3545" s="1">
        <f t="shared" si="440"/>
        <v>46377</v>
      </c>
      <c r="B3545" t="str" cm="1">
        <f t="array" ref="B3545">INDEX(HotelList,MOD(ROW()-2,10)+1)</f>
        <v>H004</v>
      </c>
      <c r="C3545">
        <f>_xlfn.XLOOKUP(B3545,Dim_Hotel!$A$2:$A$11,Dim_Hotel!$F$2:$F$11)</f>
        <v>108</v>
      </c>
      <c r="D3545">
        <f t="shared" si="441"/>
        <v>59</v>
      </c>
      <c r="E3545">
        <f t="shared" si="442"/>
        <v>0.54629629629629628</v>
      </c>
      <c r="F3545">
        <f t="shared" si="443"/>
        <v>135</v>
      </c>
      <c r="G3545">
        <f t="shared" si="444"/>
        <v>73.75</v>
      </c>
      <c r="H3545" t="str">
        <f>_xlfn.XLOOKUP(A3545,Fact_Events!$D$2:$D$20,Fact_Events!$A$2:$A$20, "")</f>
        <v/>
      </c>
      <c r="I3545">
        <f t="shared" si="445"/>
        <v>0</v>
      </c>
      <c r="J3545" t="str">
        <f>_xlfn.XLOOKUP(H3545, Fact_Events!$A$2:$A$20, Fact_Events!$F$2:$F$20, "")</f>
        <v/>
      </c>
      <c r="K3545" t="str">
        <f t="shared" si="446"/>
        <v>Low</v>
      </c>
      <c r="L3545">
        <f t="shared" si="447"/>
        <v>0.55000000000000004</v>
      </c>
      <c r="M3545">
        <f>_xlfn.XLOOKUP(B3545, Dim_Hotel!$A$2:$A$11, Dim_Hotel!$I$2:$I$11)
 + (IF(J3545="",0,J3545)
    * _xlfn.XLOOKUP(B3545, Dim_Hotel!$A$2:$A$11, Dim_Hotel!$J$2:$J$11))</f>
        <v>135</v>
      </c>
    </row>
    <row r="3546" spans="1:13" x14ac:dyDescent="0.25">
      <c r="A3546" s="1">
        <f t="shared" si="440"/>
        <v>46377</v>
      </c>
      <c r="B3546" t="str" cm="1">
        <f t="array" ref="B3546">INDEX(HotelList,MOD(ROW()-2,10)+1)</f>
        <v>H005</v>
      </c>
      <c r="C3546">
        <f>_xlfn.XLOOKUP(B3546,Dim_Hotel!$A$2:$A$11,Dim_Hotel!$F$2:$F$11)</f>
        <v>66</v>
      </c>
      <c r="D3546">
        <f t="shared" si="441"/>
        <v>36</v>
      </c>
      <c r="E3546">
        <f t="shared" si="442"/>
        <v>0.54545454545454541</v>
      </c>
      <c r="F3546">
        <f t="shared" si="443"/>
        <v>82</v>
      </c>
      <c r="G3546">
        <f t="shared" si="444"/>
        <v>44.727272727272727</v>
      </c>
      <c r="H3546" t="str">
        <f>_xlfn.XLOOKUP(A3546,Fact_Events!$D$2:$D$20,Fact_Events!$A$2:$A$20, "")</f>
        <v/>
      </c>
      <c r="I3546">
        <f t="shared" si="445"/>
        <v>0</v>
      </c>
      <c r="J3546" t="str">
        <f>_xlfn.XLOOKUP(H3546, Fact_Events!$A$2:$A$20, Fact_Events!$F$2:$F$20, "")</f>
        <v/>
      </c>
      <c r="K3546" t="str">
        <f t="shared" si="446"/>
        <v>Low</v>
      </c>
      <c r="L3546">
        <f t="shared" si="447"/>
        <v>0.55000000000000004</v>
      </c>
      <c r="M3546">
        <f>_xlfn.XLOOKUP(B3546, Dim_Hotel!$A$2:$A$11, Dim_Hotel!$I$2:$I$11)
 + (IF(J3546="",0,J3546)
    * _xlfn.XLOOKUP(B3546, Dim_Hotel!$A$2:$A$11, Dim_Hotel!$J$2:$J$11))</f>
        <v>82</v>
      </c>
    </row>
    <row r="3547" spans="1:13" x14ac:dyDescent="0.25">
      <c r="A3547" s="1">
        <f t="shared" si="440"/>
        <v>46377</v>
      </c>
      <c r="B3547" t="str" cm="1">
        <f t="array" ref="B3547">INDEX(HotelList,MOD(ROW()-2,10)+1)</f>
        <v>H006</v>
      </c>
      <c r="C3547">
        <f>_xlfn.XLOOKUP(B3547,Dim_Hotel!$A$2:$A$11,Dim_Hotel!$F$2:$F$11)</f>
        <v>311</v>
      </c>
      <c r="D3547">
        <f t="shared" si="441"/>
        <v>171</v>
      </c>
      <c r="E3547">
        <f t="shared" si="442"/>
        <v>0.54983922829581988</v>
      </c>
      <c r="F3547">
        <f t="shared" si="443"/>
        <v>190</v>
      </c>
      <c r="G3547">
        <f t="shared" si="444"/>
        <v>104.46945337620578</v>
      </c>
      <c r="H3547" t="str">
        <f>_xlfn.XLOOKUP(A3547,Fact_Events!$D$2:$D$20,Fact_Events!$A$2:$A$20, "")</f>
        <v/>
      </c>
      <c r="I3547">
        <f t="shared" si="445"/>
        <v>0</v>
      </c>
      <c r="J3547" t="str">
        <f>_xlfn.XLOOKUP(H3547, Fact_Events!$A$2:$A$20, Fact_Events!$F$2:$F$20, "")</f>
        <v/>
      </c>
      <c r="K3547" t="str">
        <f t="shared" si="446"/>
        <v>Low</v>
      </c>
      <c r="L3547">
        <f t="shared" si="447"/>
        <v>0.55000000000000004</v>
      </c>
      <c r="M3547">
        <f>_xlfn.XLOOKUP(B3547, Dim_Hotel!$A$2:$A$11, Dim_Hotel!$I$2:$I$11)
 + (IF(J3547="",0,J3547)
    * _xlfn.XLOOKUP(B3547, Dim_Hotel!$A$2:$A$11, Dim_Hotel!$J$2:$J$11))</f>
        <v>190</v>
      </c>
    </row>
    <row r="3548" spans="1:13" x14ac:dyDescent="0.25">
      <c r="A3548" s="1">
        <f t="shared" si="440"/>
        <v>46377</v>
      </c>
      <c r="B3548" t="str" cm="1">
        <f t="array" ref="B3548">INDEX(HotelList,MOD(ROW()-2,10)+1)</f>
        <v>H007</v>
      </c>
      <c r="C3548">
        <f>_xlfn.XLOOKUP(B3548,Dim_Hotel!$A$2:$A$11,Dim_Hotel!$F$2:$F$11)</f>
        <v>132</v>
      </c>
      <c r="D3548">
        <f t="shared" si="441"/>
        <v>73</v>
      </c>
      <c r="E3548">
        <f t="shared" si="442"/>
        <v>0.55303030303030298</v>
      </c>
      <c r="F3548">
        <f t="shared" si="443"/>
        <v>165</v>
      </c>
      <c r="G3548">
        <f t="shared" si="444"/>
        <v>91.249999999999986</v>
      </c>
      <c r="H3548" t="str">
        <f>_xlfn.XLOOKUP(A3548,Fact_Events!$D$2:$D$20,Fact_Events!$A$2:$A$20, "")</f>
        <v/>
      </c>
      <c r="I3548">
        <f t="shared" si="445"/>
        <v>0</v>
      </c>
      <c r="J3548" t="str">
        <f>_xlfn.XLOOKUP(H3548, Fact_Events!$A$2:$A$20, Fact_Events!$F$2:$F$20, "")</f>
        <v/>
      </c>
      <c r="K3548" t="str">
        <f t="shared" si="446"/>
        <v>Low</v>
      </c>
      <c r="L3548">
        <f t="shared" si="447"/>
        <v>0.55000000000000004</v>
      </c>
      <c r="M3548">
        <f>_xlfn.XLOOKUP(B3548, Dim_Hotel!$A$2:$A$11, Dim_Hotel!$I$2:$I$11)
 + (IF(J3548="",0,J3548)
    * _xlfn.XLOOKUP(B3548, Dim_Hotel!$A$2:$A$11, Dim_Hotel!$J$2:$J$11))</f>
        <v>165</v>
      </c>
    </row>
    <row r="3549" spans="1:13" x14ac:dyDescent="0.25">
      <c r="A3549" s="1">
        <f t="shared" si="440"/>
        <v>46377</v>
      </c>
      <c r="B3549" t="str" cm="1">
        <f t="array" ref="B3549">INDEX(HotelList,MOD(ROW()-2,10)+1)</f>
        <v>H008</v>
      </c>
      <c r="C3549">
        <f>_xlfn.XLOOKUP(B3549,Dim_Hotel!$A$2:$A$11,Dim_Hotel!$F$2:$F$11)</f>
        <v>103</v>
      </c>
      <c r="D3549">
        <f t="shared" si="441"/>
        <v>57</v>
      </c>
      <c r="E3549">
        <f t="shared" si="442"/>
        <v>0.55339805825242716</v>
      </c>
      <c r="F3549">
        <f t="shared" si="443"/>
        <v>140</v>
      </c>
      <c r="G3549">
        <f t="shared" si="444"/>
        <v>77.475728155339809</v>
      </c>
      <c r="H3549" t="str">
        <f>_xlfn.XLOOKUP(A3549,Fact_Events!$D$2:$D$20,Fact_Events!$A$2:$A$20, "")</f>
        <v/>
      </c>
      <c r="I3549">
        <f t="shared" si="445"/>
        <v>0</v>
      </c>
      <c r="J3549" t="str">
        <f>_xlfn.XLOOKUP(H3549, Fact_Events!$A$2:$A$20, Fact_Events!$F$2:$F$20, "")</f>
        <v/>
      </c>
      <c r="K3549" t="str">
        <f t="shared" si="446"/>
        <v>Low</v>
      </c>
      <c r="L3549">
        <f t="shared" si="447"/>
        <v>0.55000000000000004</v>
      </c>
      <c r="M3549">
        <f>_xlfn.XLOOKUP(B3549, Dim_Hotel!$A$2:$A$11, Dim_Hotel!$I$2:$I$11)
 + (IF(J3549="",0,J3549)
    * _xlfn.XLOOKUP(B3549, Dim_Hotel!$A$2:$A$11, Dim_Hotel!$J$2:$J$11))</f>
        <v>140</v>
      </c>
    </row>
    <row r="3550" spans="1:13" x14ac:dyDescent="0.25">
      <c r="A3550" s="1">
        <f t="shared" si="440"/>
        <v>46377</v>
      </c>
      <c r="B3550" t="str" cm="1">
        <f t="array" ref="B3550">INDEX(HotelList,MOD(ROW()-2,10)+1)</f>
        <v>H009</v>
      </c>
      <c r="C3550">
        <f>_xlfn.XLOOKUP(B3550,Dim_Hotel!$A$2:$A$11,Dim_Hotel!$F$2:$F$11)</f>
        <v>114</v>
      </c>
      <c r="D3550">
        <f t="shared" si="441"/>
        <v>63</v>
      </c>
      <c r="E3550">
        <f t="shared" si="442"/>
        <v>0.55263157894736847</v>
      </c>
      <c r="F3550">
        <f t="shared" si="443"/>
        <v>185</v>
      </c>
      <c r="G3550">
        <f t="shared" si="444"/>
        <v>102.23684210526316</v>
      </c>
      <c r="H3550" t="str">
        <f>_xlfn.XLOOKUP(A3550,Fact_Events!$D$2:$D$20,Fact_Events!$A$2:$A$20, "")</f>
        <v/>
      </c>
      <c r="I3550">
        <f t="shared" si="445"/>
        <v>0</v>
      </c>
      <c r="J3550" t="str">
        <f>_xlfn.XLOOKUP(H3550, Fact_Events!$A$2:$A$20, Fact_Events!$F$2:$F$20, "")</f>
        <v/>
      </c>
      <c r="K3550" t="str">
        <f t="shared" si="446"/>
        <v>Low</v>
      </c>
      <c r="L3550">
        <f t="shared" si="447"/>
        <v>0.55000000000000004</v>
      </c>
      <c r="M3550">
        <f>_xlfn.XLOOKUP(B3550, Dim_Hotel!$A$2:$A$11, Dim_Hotel!$I$2:$I$11)
 + (IF(J3550="",0,J3550)
    * _xlfn.XLOOKUP(B3550, Dim_Hotel!$A$2:$A$11, Dim_Hotel!$J$2:$J$11))</f>
        <v>185</v>
      </c>
    </row>
    <row r="3551" spans="1:13" x14ac:dyDescent="0.25">
      <c r="A3551" s="1">
        <f t="shared" si="440"/>
        <v>46377</v>
      </c>
      <c r="B3551" t="str" cm="1">
        <f t="array" ref="B3551">INDEX(HotelList,MOD(ROW()-2,10)+1)</f>
        <v>H010</v>
      </c>
      <c r="C3551">
        <f>_xlfn.XLOOKUP(B3551,Dim_Hotel!$A$2:$A$11,Dim_Hotel!$F$2:$F$11)</f>
        <v>89</v>
      </c>
      <c r="D3551">
        <f t="shared" si="441"/>
        <v>49</v>
      </c>
      <c r="E3551">
        <f t="shared" si="442"/>
        <v>0.550561797752809</v>
      </c>
      <c r="F3551">
        <f t="shared" si="443"/>
        <v>150</v>
      </c>
      <c r="G3551">
        <f t="shared" si="444"/>
        <v>82.584269662921344</v>
      </c>
      <c r="H3551" t="str">
        <f>_xlfn.XLOOKUP(A3551,Fact_Events!$D$2:$D$20,Fact_Events!$A$2:$A$20, "")</f>
        <v/>
      </c>
      <c r="I3551">
        <f t="shared" si="445"/>
        <v>0</v>
      </c>
      <c r="J3551" t="str">
        <f>_xlfn.XLOOKUP(H3551, Fact_Events!$A$2:$A$20, Fact_Events!$F$2:$F$20, "")</f>
        <v/>
      </c>
      <c r="K3551" t="str">
        <f t="shared" si="446"/>
        <v>Low</v>
      </c>
      <c r="L3551">
        <f t="shared" si="447"/>
        <v>0.55000000000000004</v>
      </c>
      <c r="M3551">
        <f>_xlfn.XLOOKUP(B3551, Dim_Hotel!$A$2:$A$11, Dim_Hotel!$I$2:$I$11)
 + (IF(J3551="",0,J3551)
    * _xlfn.XLOOKUP(B3551, Dim_Hotel!$A$2:$A$11, Dim_Hotel!$J$2:$J$11))</f>
        <v>150</v>
      </c>
    </row>
    <row r="3552" spans="1:13" x14ac:dyDescent="0.25">
      <c r="A3552" s="1">
        <f t="shared" si="440"/>
        <v>46378</v>
      </c>
      <c r="B3552" t="str" cm="1">
        <f t="array" ref="B3552">INDEX(HotelList,MOD(ROW()-2,10)+1)</f>
        <v>H001</v>
      </c>
      <c r="C3552">
        <f>_xlfn.XLOOKUP(B3552,Dim_Hotel!$A$2:$A$11,Dim_Hotel!$F$2:$F$11)</f>
        <v>888</v>
      </c>
      <c r="D3552">
        <f t="shared" si="441"/>
        <v>488</v>
      </c>
      <c r="E3552">
        <f t="shared" si="442"/>
        <v>0.5495495495495496</v>
      </c>
      <c r="F3552">
        <f t="shared" si="443"/>
        <v>260</v>
      </c>
      <c r="G3552">
        <f t="shared" si="444"/>
        <v>142.88288288288288</v>
      </c>
      <c r="H3552" t="str">
        <f>_xlfn.XLOOKUP(A3552,Fact_Events!$D$2:$D$20,Fact_Events!$A$2:$A$20, "")</f>
        <v/>
      </c>
      <c r="I3552">
        <f t="shared" si="445"/>
        <v>0</v>
      </c>
      <c r="J3552" t="str">
        <f>_xlfn.XLOOKUP(H3552, Fact_Events!$A$2:$A$20, Fact_Events!$F$2:$F$20, "")</f>
        <v/>
      </c>
      <c r="K3552" t="str">
        <f t="shared" si="446"/>
        <v>Low</v>
      </c>
      <c r="L3552">
        <f t="shared" si="447"/>
        <v>0.55000000000000004</v>
      </c>
      <c r="M3552">
        <f>_xlfn.XLOOKUP(B3552, Dim_Hotel!$A$2:$A$11, Dim_Hotel!$I$2:$I$11)
 + (IF(J3552="",0,J3552)
    * _xlfn.XLOOKUP(B3552, Dim_Hotel!$A$2:$A$11, Dim_Hotel!$J$2:$J$11))</f>
        <v>260</v>
      </c>
    </row>
    <row r="3553" spans="1:13" x14ac:dyDescent="0.25">
      <c r="A3553" s="1">
        <f t="shared" si="440"/>
        <v>46378</v>
      </c>
      <c r="B3553" t="str" cm="1">
        <f t="array" ref="B3553">INDEX(HotelList,MOD(ROW()-2,10)+1)</f>
        <v>H002</v>
      </c>
      <c r="C3553">
        <f>_xlfn.XLOOKUP(B3553,Dim_Hotel!$A$2:$A$11,Dim_Hotel!$F$2:$F$11)</f>
        <v>147</v>
      </c>
      <c r="D3553">
        <f t="shared" si="441"/>
        <v>81</v>
      </c>
      <c r="E3553">
        <f t="shared" si="442"/>
        <v>0.55102040816326525</v>
      </c>
      <c r="F3553">
        <f t="shared" si="443"/>
        <v>175</v>
      </c>
      <c r="G3553">
        <f t="shared" si="444"/>
        <v>96.428571428571416</v>
      </c>
      <c r="H3553" t="str">
        <f>_xlfn.XLOOKUP(A3553,Fact_Events!$D$2:$D$20,Fact_Events!$A$2:$A$20, "")</f>
        <v/>
      </c>
      <c r="I3553">
        <f t="shared" si="445"/>
        <v>0</v>
      </c>
      <c r="J3553" t="str">
        <f>_xlfn.XLOOKUP(H3553, Fact_Events!$A$2:$A$20, Fact_Events!$F$2:$F$20, "")</f>
        <v/>
      </c>
      <c r="K3553" t="str">
        <f t="shared" si="446"/>
        <v>Low</v>
      </c>
      <c r="L3553">
        <f t="shared" si="447"/>
        <v>0.55000000000000004</v>
      </c>
      <c r="M3553">
        <f>_xlfn.XLOOKUP(B3553, Dim_Hotel!$A$2:$A$11, Dim_Hotel!$I$2:$I$11)
 + (IF(J3553="",0,J3553)
    * _xlfn.XLOOKUP(B3553, Dim_Hotel!$A$2:$A$11, Dim_Hotel!$J$2:$J$11))</f>
        <v>175</v>
      </c>
    </row>
    <row r="3554" spans="1:13" x14ac:dyDescent="0.25">
      <c r="A3554" s="1">
        <f t="shared" si="440"/>
        <v>46378</v>
      </c>
      <c r="B3554" t="str" cm="1">
        <f t="array" ref="B3554">INDEX(HotelList,MOD(ROW()-2,10)+1)</f>
        <v>H003</v>
      </c>
      <c r="C3554">
        <f>_xlfn.XLOOKUP(B3554,Dim_Hotel!$A$2:$A$11,Dim_Hotel!$F$2:$F$11)</f>
        <v>121</v>
      </c>
      <c r="D3554">
        <f t="shared" si="441"/>
        <v>67</v>
      </c>
      <c r="E3554">
        <f t="shared" si="442"/>
        <v>0.55371900826446285</v>
      </c>
      <c r="F3554">
        <f t="shared" si="443"/>
        <v>145</v>
      </c>
      <c r="G3554">
        <f t="shared" si="444"/>
        <v>80.289256198347118</v>
      </c>
      <c r="H3554" t="str">
        <f>_xlfn.XLOOKUP(A3554,Fact_Events!$D$2:$D$20,Fact_Events!$A$2:$A$20, "")</f>
        <v/>
      </c>
      <c r="I3554">
        <f t="shared" si="445"/>
        <v>0</v>
      </c>
      <c r="J3554" t="str">
        <f>_xlfn.XLOOKUP(H3554, Fact_Events!$A$2:$A$20, Fact_Events!$F$2:$F$20, "")</f>
        <v/>
      </c>
      <c r="K3554" t="str">
        <f t="shared" si="446"/>
        <v>Low</v>
      </c>
      <c r="L3554">
        <f t="shared" si="447"/>
        <v>0.55000000000000004</v>
      </c>
      <c r="M3554">
        <f>_xlfn.XLOOKUP(B3554, Dim_Hotel!$A$2:$A$11, Dim_Hotel!$I$2:$I$11)
 + (IF(J3554="",0,J3554)
    * _xlfn.XLOOKUP(B3554, Dim_Hotel!$A$2:$A$11, Dim_Hotel!$J$2:$J$11))</f>
        <v>145</v>
      </c>
    </row>
    <row r="3555" spans="1:13" x14ac:dyDescent="0.25">
      <c r="A3555" s="1">
        <f t="shared" si="440"/>
        <v>46378</v>
      </c>
      <c r="B3555" t="str" cm="1">
        <f t="array" ref="B3555">INDEX(HotelList,MOD(ROW()-2,10)+1)</f>
        <v>H004</v>
      </c>
      <c r="C3555">
        <f>_xlfn.XLOOKUP(B3555,Dim_Hotel!$A$2:$A$11,Dim_Hotel!$F$2:$F$11)</f>
        <v>108</v>
      </c>
      <c r="D3555">
        <f t="shared" si="441"/>
        <v>59</v>
      </c>
      <c r="E3555">
        <f t="shared" si="442"/>
        <v>0.54629629629629628</v>
      </c>
      <c r="F3555">
        <f t="shared" si="443"/>
        <v>135</v>
      </c>
      <c r="G3555">
        <f t="shared" si="444"/>
        <v>73.75</v>
      </c>
      <c r="H3555" t="str">
        <f>_xlfn.XLOOKUP(A3555,Fact_Events!$D$2:$D$20,Fact_Events!$A$2:$A$20, "")</f>
        <v/>
      </c>
      <c r="I3555">
        <f t="shared" si="445"/>
        <v>0</v>
      </c>
      <c r="J3555" t="str">
        <f>_xlfn.XLOOKUP(H3555, Fact_Events!$A$2:$A$20, Fact_Events!$F$2:$F$20, "")</f>
        <v/>
      </c>
      <c r="K3555" t="str">
        <f t="shared" si="446"/>
        <v>Low</v>
      </c>
      <c r="L3555">
        <f t="shared" si="447"/>
        <v>0.55000000000000004</v>
      </c>
      <c r="M3555">
        <f>_xlfn.XLOOKUP(B3555, Dim_Hotel!$A$2:$A$11, Dim_Hotel!$I$2:$I$11)
 + (IF(J3555="",0,J3555)
    * _xlfn.XLOOKUP(B3555, Dim_Hotel!$A$2:$A$11, Dim_Hotel!$J$2:$J$11))</f>
        <v>135</v>
      </c>
    </row>
    <row r="3556" spans="1:13" x14ac:dyDescent="0.25">
      <c r="A3556" s="1">
        <f t="shared" si="440"/>
        <v>46378</v>
      </c>
      <c r="B3556" t="str" cm="1">
        <f t="array" ref="B3556">INDEX(HotelList,MOD(ROW()-2,10)+1)</f>
        <v>H005</v>
      </c>
      <c r="C3556">
        <f>_xlfn.XLOOKUP(B3556,Dim_Hotel!$A$2:$A$11,Dim_Hotel!$F$2:$F$11)</f>
        <v>66</v>
      </c>
      <c r="D3556">
        <f t="shared" si="441"/>
        <v>36</v>
      </c>
      <c r="E3556">
        <f t="shared" si="442"/>
        <v>0.54545454545454541</v>
      </c>
      <c r="F3556">
        <f t="shared" si="443"/>
        <v>82</v>
      </c>
      <c r="G3556">
        <f t="shared" si="444"/>
        <v>44.727272727272727</v>
      </c>
      <c r="H3556" t="str">
        <f>_xlfn.XLOOKUP(A3556,Fact_Events!$D$2:$D$20,Fact_Events!$A$2:$A$20, "")</f>
        <v/>
      </c>
      <c r="I3556">
        <f t="shared" si="445"/>
        <v>0</v>
      </c>
      <c r="J3556" t="str">
        <f>_xlfn.XLOOKUP(H3556, Fact_Events!$A$2:$A$20, Fact_Events!$F$2:$F$20, "")</f>
        <v/>
      </c>
      <c r="K3556" t="str">
        <f t="shared" si="446"/>
        <v>Low</v>
      </c>
      <c r="L3556">
        <f t="shared" si="447"/>
        <v>0.55000000000000004</v>
      </c>
      <c r="M3556">
        <f>_xlfn.XLOOKUP(B3556, Dim_Hotel!$A$2:$A$11, Dim_Hotel!$I$2:$I$11)
 + (IF(J3556="",0,J3556)
    * _xlfn.XLOOKUP(B3556, Dim_Hotel!$A$2:$A$11, Dim_Hotel!$J$2:$J$11))</f>
        <v>82</v>
      </c>
    </row>
    <row r="3557" spans="1:13" x14ac:dyDescent="0.25">
      <c r="A3557" s="1">
        <f t="shared" si="440"/>
        <v>46378</v>
      </c>
      <c r="B3557" t="str" cm="1">
        <f t="array" ref="B3557">INDEX(HotelList,MOD(ROW()-2,10)+1)</f>
        <v>H006</v>
      </c>
      <c r="C3557">
        <f>_xlfn.XLOOKUP(B3557,Dim_Hotel!$A$2:$A$11,Dim_Hotel!$F$2:$F$11)</f>
        <v>311</v>
      </c>
      <c r="D3557">
        <f t="shared" si="441"/>
        <v>171</v>
      </c>
      <c r="E3557">
        <f t="shared" si="442"/>
        <v>0.54983922829581988</v>
      </c>
      <c r="F3557">
        <f t="shared" si="443"/>
        <v>190</v>
      </c>
      <c r="G3557">
        <f t="shared" si="444"/>
        <v>104.46945337620578</v>
      </c>
      <c r="H3557" t="str">
        <f>_xlfn.XLOOKUP(A3557,Fact_Events!$D$2:$D$20,Fact_Events!$A$2:$A$20, "")</f>
        <v/>
      </c>
      <c r="I3557">
        <f t="shared" si="445"/>
        <v>0</v>
      </c>
      <c r="J3557" t="str">
        <f>_xlfn.XLOOKUP(H3557, Fact_Events!$A$2:$A$20, Fact_Events!$F$2:$F$20, "")</f>
        <v/>
      </c>
      <c r="K3557" t="str">
        <f t="shared" si="446"/>
        <v>Low</v>
      </c>
      <c r="L3557">
        <f t="shared" si="447"/>
        <v>0.55000000000000004</v>
      </c>
      <c r="M3557">
        <f>_xlfn.XLOOKUP(B3557, Dim_Hotel!$A$2:$A$11, Dim_Hotel!$I$2:$I$11)
 + (IF(J3557="",0,J3557)
    * _xlfn.XLOOKUP(B3557, Dim_Hotel!$A$2:$A$11, Dim_Hotel!$J$2:$J$11))</f>
        <v>190</v>
      </c>
    </row>
    <row r="3558" spans="1:13" x14ac:dyDescent="0.25">
      <c r="A3558" s="1">
        <f t="shared" si="440"/>
        <v>46378</v>
      </c>
      <c r="B3558" t="str" cm="1">
        <f t="array" ref="B3558">INDEX(HotelList,MOD(ROW()-2,10)+1)</f>
        <v>H007</v>
      </c>
      <c r="C3558">
        <f>_xlfn.XLOOKUP(B3558,Dim_Hotel!$A$2:$A$11,Dim_Hotel!$F$2:$F$11)</f>
        <v>132</v>
      </c>
      <c r="D3558">
        <f t="shared" si="441"/>
        <v>73</v>
      </c>
      <c r="E3558">
        <f t="shared" si="442"/>
        <v>0.55303030303030298</v>
      </c>
      <c r="F3558">
        <f t="shared" si="443"/>
        <v>165</v>
      </c>
      <c r="G3558">
        <f t="shared" si="444"/>
        <v>91.249999999999986</v>
      </c>
      <c r="H3558" t="str">
        <f>_xlfn.XLOOKUP(A3558,Fact_Events!$D$2:$D$20,Fact_Events!$A$2:$A$20, "")</f>
        <v/>
      </c>
      <c r="I3558">
        <f t="shared" si="445"/>
        <v>0</v>
      </c>
      <c r="J3558" t="str">
        <f>_xlfn.XLOOKUP(H3558, Fact_Events!$A$2:$A$20, Fact_Events!$F$2:$F$20, "")</f>
        <v/>
      </c>
      <c r="K3558" t="str">
        <f t="shared" si="446"/>
        <v>Low</v>
      </c>
      <c r="L3558">
        <f t="shared" si="447"/>
        <v>0.55000000000000004</v>
      </c>
      <c r="M3558">
        <f>_xlfn.XLOOKUP(B3558, Dim_Hotel!$A$2:$A$11, Dim_Hotel!$I$2:$I$11)
 + (IF(J3558="",0,J3558)
    * _xlfn.XLOOKUP(B3558, Dim_Hotel!$A$2:$A$11, Dim_Hotel!$J$2:$J$11))</f>
        <v>165</v>
      </c>
    </row>
    <row r="3559" spans="1:13" x14ac:dyDescent="0.25">
      <c r="A3559" s="1">
        <f t="shared" si="440"/>
        <v>46378</v>
      </c>
      <c r="B3559" t="str" cm="1">
        <f t="array" ref="B3559">INDEX(HotelList,MOD(ROW()-2,10)+1)</f>
        <v>H008</v>
      </c>
      <c r="C3559">
        <f>_xlfn.XLOOKUP(B3559,Dim_Hotel!$A$2:$A$11,Dim_Hotel!$F$2:$F$11)</f>
        <v>103</v>
      </c>
      <c r="D3559">
        <f t="shared" si="441"/>
        <v>57</v>
      </c>
      <c r="E3559">
        <f t="shared" si="442"/>
        <v>0.55339805825242716</v>
      </c>
      <c r="F3559">
        <f t="shared" si="443"/>
        <v>140</v>
      </c>
      <c r="G3559">
        <f t="shared" si="444"/>
        <v>77.475728155339809</v>
      </c>
      <c r="H3559" t="str">
        <f>_xlfn.XLOOKUP(A3559,Fact_Events!$D$2:$D$20,Fact_Events!$A$2:$A$20, "")</f>
        <v/>
      </c>
      <c r="I3559">
        <f t="shared" si="445"/>
        <v>0</v>
      </c>
      <c r="J3559" t="str">
        <f>_xlfn.XLOOKUP(H3559, Fact_Events!$A$2:$A$20, Fact_Events!$F$2:$F$20, "")</f>
        <v/>
      </c>
      <c r="K3559" t="str">
        <f t="shared" si="446"/>
        <v>Low</v>
      </c>
      <c r="L3559">
        <f t="shared" si="447"/>
        <v>0.55000000000000004</v>
      </c>
      <c r="M3559">
        <f>_xlfn.XLOOKUP(B3559, Dim_Hotel!$A$2:$A$11, Dim_Hotel!$I$2:$I$11)
 + (IF(J3559="",0,J3559)
    * _xlfn.XLOOKUP(B3559, Dim_Hotel!$A$2:$A$11, Dim_Hotel!$J$2:$J$11))</f>
        <v>140</v>
      </c>
    </row>
    <row r="3560" spans="1:13" x14ac:dyDescent="0.25">
      <c r="A3560" s="1">
        <f t="shared" si="440"/>
        <v>46378</v>
      </c>
      <c r="B3560" t="str" cm="1">
        <f t="array" ref="B3560">INDEX(HotelList,MOD(ROW()-2,10)+1)</f>
        <v>H009</v>
      </c>
      <c r="C3560">
        <f>_xlfn.XLOOKUP(B3560,Dim_Hotel!$A$2:$A$11,Dim_Hotel!$F$2:$F$11)</f>
        <v>114</v>
      </c>
      <c r="D3560">
        <f t="shared" si="441"/>
        <v>63</v>
      </c>
      <c r="E3560">
        <f t="shared" si="442"/>
        <v>0.55263157894736847</v>
      </c>
      <c r="F3560">
        <f t="shared" si="443"/>
        <v>185</v>
      </c>
      <c r="G3560">
        <f t="shared" si="444"/>
        <v>102.23684210526316</v>
      </c>
      <c r="H3560" t="str">
        <f>_xlfn.XLOOKUP(A3560,Fact_Events!$D$2:$D$20,Fact_Events!$A$2:$A$20, "")</f>
        <v/>
      </c>
      <c r="I3560">
        <f t="shared" si="445"/>
        <v>0</v>
      </c>
      <c r="J3560" t="str">
        <f>_xlfn.XLOOKUP(H3560, Fact_Events!$A$2:$A$20, Fact_Events!$F$2:$F$20, "")</f>
        <v/>
      </c>
      <c r="K3560" t="str">
        <f t="shared" si="446"/>
        <v>Low</v>
      </c>
      <c r="L3560">
        <f t="shared" si="447"/>
        <v>0.55000000000000004</v>
      </c>
      <c r="M3560">
        <f>_xlfn.XLOOKUP(B3560, Dim_Hotel!$A$2:$A$11, Dim_Hotel!$I$2:$I$11)
 + (IF(J3560="",0,J3560)
    * _xlfn.XLOOKUP(B3560, Dim_Hotel!$A$2:$A$11, Dim_Hotel!$J$2:$J$11))</f>
        <v>185</v>
      </c>
    </row>
    <row r="3561" spans="1:13" x14ac:dyDescent="0.25">
      <c r="A3561" s="1">
        <f t="shared" si="440"/>
        <v>46378</v>
      </c>
      <c r="B3561" t="str" cm="1">
        <f t="array" ref="B3561">INDEX(HotelList,MOD(ROW()-2,10)+1)</f>
        <v>H010</v>
      </c>
      <c r="C3561">
        <f>_xlfn.XLOOKUP(B3561,Dim_Hotel!$A$2:$A$11,Dim_Hotel!$F$2:$F$11)</f>
        <v>89</v>
      </c>
      <c r="D3561">
        <f t="shared" si="441"/>
        <v>49</v>
      </c>
      <c r="E3561">
        <f t="shared" si="442"/>
        <v>0.550561797752809</v>
      </c>
      <c r="F3561">
        <f t="shared" si="443"/>
        <v>150</v>
      </c>
      <c r="G3561">
        <f t="shared" si="444"/>
        <v>82.584269662921344</v>
      </c>
      <c r="H3561" t="str">
        <f>_xlfn.XLOOKUP(A3561,Fact_Events!$D$2:$D$20,Fact_Events!$A$2:$A$20, "")</f>
        <v/>
      </c>
      <c r="I3561">
        <f t="shared" si="445"/>
        <v>0</v>
      </c>
      <c r="J3561" t="str">
        <f>_xlfn.XLOOKUP(H3561, Fact_Events!$A$2:$A$20, Fact_Events!$F$2:$F$20, "")</f>
        <v/>
      </c>
      <c r="K3561" t="str">
        <f t="shared" si="446"/>
        <v>Low</v>
      </c>
      <c r="L3561">
        <f t="shared" si="447"/>
        <v>0.55000000000000004</v>
      </c>
      <c r="M3561">
        <f>_xlfn.XLOOKUP(B3561, Dim_Hotel!$A$2:$A$11, Dim_Hotel!$I$2:$I$11)
 + (IF(J3561="",0,J3561)
    * _xlfn.XLOOKUP(B3561, Dim_Hotel!$A$2:$A$11, Dim_Hotel!$J$2:$J$11))</f>
        <v>150</v>
      </c>
    </row>
    <row r="3562" spans="1:13" x14ac:dyDescent="0.25">
      <c r="A3562" s="1">
        <f t="shared" si="440"/>
        <v>46379</v>
      </c>
      <c r="B3562" t="str" cm="1">
        <f t="array" ref="B3562">INDEX(HotelList,MOD(ROW()-2,10)+1)</f>
        <v>H001</v>
      </c>
      <c r="C3562">
        <f>_xlfn.XLOOKUP(B3562,Dim_Hotel!$A$2:$A$11,Dim_Hotel!$F$2:$F$11)</f>
        <v>888</v>
      </c>
      <c r="D3562">
        <f t="shared" si="441"/>
        <v>488</v>
      </c>
      <c r="E3562">
        <f t="shared" si="442"/>
        <v>0.5495495495495496</v>
      </c>
      <c r="F3562">
        <f t="shared" si="443"/>
        <v>260</v>
      </c>
      <c r="G3562">
        <f t="shared" si="444"/>
        <v>142.88288288288288</v>
      </c>
      <c r="H3562" t="str">
        <f>_xlfn.XLOOKUP(A3562,Fact_Events!$D$2:$D$20,Fact_Events!$A$2:$A$20, "")</f>
        <v/>
      </c>
      <c r="I3562">
        <f t="shared" si="445"/>
        <v>0</v>
      </c>
      <c r="J3562" t="str">
        <f>_xlfn.XLOOKUP(H3562, Fact_Events!$A$2:$A$20, Fact_Events!$F$2:$F$20, "")</f>
        <v/>
      </c>
      <c r="K3562" t="str">
        <f t="shared" si="446"/>
        <v>Low</v>
      </c>
      <c r="L3562">
        <f t="shared" si="447"/>
        <v>0.55000000000000004</v>
      </c>
      <c r="M3562">
        <f>_xlfn.XLOOKUP(B3562, Dim_Hotel!$A$2:$A$11, Dim_Hotel!$I$2:$I$11)
 + (IF(J3562="",0,J3562)
    * _xlfn.XLOOKUP(B3562, Dim_Hotel!$A$2:$A$11, Dim_Hotel!$J$2:$J$11))</f>
        <v>260</v>
      </c>
    </row>
    <row r="3563" spans="1:13" x14ac:dyDescent="0.25">
      <c r="A3563" s="1">
        <f t="shared" si="440"/>
        <v>46379</v>
      </c>
      <c r="B3563" t="str" cm="1">
        <f t="array" ref="B3563">INDEX(HotelList,MOD(ROW()-2,10)+1)</f>
        <v>H002</v>
      </c>
      <c r="C3563">
        <f>_xlfn.XLOOKUP(B3563,Dim_Hotel!$A$2:$A$11,Dim_Hotel!$F$2:$F$11)</f>
        <v>147</v>
      </c>
      <c r="D3563">
        <f t="shared" si="441"/>
        <v>81</v>
      </c>
      <c r="E3563">
        <f t="shared" si="442"/>
        <v>0.55102040816326525</v>
      </c>
      <c r="F3563">
        <f t="shared" si="443"/>
        <v>175</v>
      </c>
      <c r="G3563">
        <f t="shared" si="444"/>
        <v>96.428571428571416</v>
      </c>
      <c r="H3563" t="str">
        <f>_xlfn.XLOOKUP(A3563,Fact_Events!$D$2:$D$20,Fact_Events!$A$2:$A$20, "")</f>
        <v/>
      </c>
      <c r="I3563">
        <f t="shared" si="445"/>
        <v>0</v>
      </c>
      <c r="J3563" t="str">
        <f>_xlfn.XLOOKUP(H3563, Fact_Events!$A$2:$A$20, Fact_Events!$F$2:$F$20, "")</f>
        <v/>
      </c>
      <c r="K3563" t="str">
        <f t="shared" si="446"/>
        <v>Low</v>
      </c>
      <c r="L3563">
        <f t="shared" si="447"/>
        <v>0.55000000000000004</v>
      </c>
      <c r="M3563">
        <f>_xlfn.XLOOKUP(B3563, Dim_Hotel!$A$2:$A$11, Dim_Hotel!$I$2:$I$11)
 + (IF(J3563="",0,J3563)
    * _xlfn.XLOOKUP(B3563, Dim_Hotel!$A$2:$A$11, Dim_Hotel!$J$2:$J$11))</f>
        <v>175</v>
      </c>
    </row>
    <row r="3564" spans="1:13" x14ac:dyDescent="0.25">
      <c r="A3564" s="1">
        <f t="shared" si="440"/>
        <v>46379</v>
      </c>
      <c r="B3564" t="str" cm="1">
        <f t="array" ref="B3564">INDEX(HotelList,MOD(ROW()-2,10)+1)</f>
        <v>H003</v>
      </c>
      <c r="C3564">
        <f>_xlfn.XLOOKUP(B3564,Dim_Hotel!$A$2:$A$11,Dim_Hotel!$F$2:$F$11)</f>
        <v>121</v>
      </c>
      <c r="D3564">
        <f t="shared" si="441"/>
        <v>67</v>
      </c>
      <c r="E3564">
        <f t="shared" si="442"/>
        <v>0.55371900826446285</v>
      </c>
      <c r="F3564">
        <f t="shared" si="443"/>
        <v>145</v>
      </c>
      <c r="G3564">
        <f t="shared" si="444"/>
        <v>80.289256198347118</v>
      </c>
      <c r="H3564" t="str">
        <f>_xlfn.XLOOKUP(A3564,Fact_Events!$D$2:$D$20,Fact_Events!$A$2:$A$20, "")</f>
        <v/>
      </c>
      <c r="I3564">
        <f t="shared" si="445"/>
        <v>0</v>
      </c>
      <c r="J3564" t="str">
        <f>_xlfn.XLOOKUP(H3564, Fact_Events!$A$2:$A$20, Fact_Events!$F$2:$F$20, "")</f>
        <v/>
      </c>
      <c r="K3564" t="str">
        <f t="shared" si="446"/>
        <v>Low</v>
      </c>
      <c r="L3564">
        <f t="shared" si="447"/>
        <v>0.55000000000000004</v>
      </c>
      <c r="M3564">
        <f>_xlfn.XLOOKUP(B3564, Dim_Hotel!$A$2:$A$11, Dim_Hotel!$I$2:$I$11)
 + (IF(J3564="",0,J3564)
    * _xlfn.XLOOKUP(B3564, Dim_Hotel!$A$2:$A$11, Dim_Hotel!$J$2:$J$11))</f>
        <v>145</v>
      </c>
    </row>
    <row r="3565" spans="1:13" x14ac:dyDescent="0.25">
      <c r="A3565" s="1">
        <f t="shared" si="440"/>
        <v>46379</v>
      </c>
      <c r="B3565" t="str" cm="1">
        <f t="array" ref="B3565">INDEX(HotelList,MOD(ROW()-2,10)+1)</f>
        <v>H004</v>
      </c>
      <c r="C3565">
        <f>_xlfn.XLOOKUP(B3565,Dim_Hotel!$A$2:$A$11,Dim_Hotel!$F$2:$F$11)</f>
        <v>108</v>
      </c>
      <c r="D3565">
        <f t="shared" si="441"/>
        <v>59</v>
      </c>
      <c r="E3565">
        <f t="shared" si="442"/>
        <v>0.54629629629629628</v>
      </c>
      <c r="F3565">
        <f t="shared" si="443"/>
        <v>135</v>
      </c>
      <c r="G3565">
        <f t="shared" si="444"/>
        <v>73.75</v>
      </c>
      <c r="H3565" t="str">
        <f>_xlfn.XLOOKUP(A3565,Fact_Events!$D$2:$D$20,Fact_Events!$A$2:$A$20, "")</f>
        <v/>
      </c>
      <c r="I3565">
        <f t="shared" si="445"/>
        <v>0</v>
      </c>
      <c r="J3565" t="str">
        <f>_xlfn.XLOOKUP(H3565, Fact_Events!$A$2:$A$20, Fact_Events!$F$2:$F$20, "")</f>
        <v/>
      </c>
      <c r="K3565" t="str">
        <f t="shared" si="446"/>
        <v>Low</v>
      </c>
      <c r="L3565">
        <f t="shared" si="447"/>
        <v>0.55000000000000004</v>
      </c>
      <c r="M3565">
        <f>_xlfn.XLOOKUP(B3565, Dim_Hotel!$A$2:$A$11, Dim_Hotel!$I$2:$I$11)
 + (IF(J3565="",0,J3565)
    * _xlfn.XLOOKUP(B3565, Dim_Hotel!$A$2:$A$11, Dim_Hotel!$J$2:$J$11))</f>
        <v>135</v>
      </c>
    </row>
    <row r="3566" spans="1:13" x14ac:dyDescent="0.25">
      <c r="A3566" s="1">
        <f t="shared" si="440"/>
        <v>46379</v>
      </c>
      <c r="B3566" t="str" cm="1">
        <f t="array" ref="B3566">INDEX(HotelList,MOD(ROW()-2,10)+1)</f>
        <v>H005</v>
      </c>
      <c r="C3566">
        <f>_xlfn.XLOOKUP(B3566,Dim_Hotel!$A$2:$A$11,Dim_Hotel!$F$2:$F$11)</f>
        <v>66</v>
      </c>
      <c r="D3566">
        <f t="shared" si="441"/>
        <v>36</v>
      </c>
      <c r="E3566">
        <f t="shared" si="442"/>
        <v>0.54545454545454541</v>
      </c>
      <c r="F3566">
        <f t="shared" si="443"/>
        <v>82</v>
      </c>
      <c r="G3566">
        <f t="shared" si="444"/>
        <v>44.727272727272727</v>
      </c>
      <c r="H3566" t="str">
        <f>_xlfn.XLOOKUP(A3566,Fact_Events!$D$2:$D$20,Fact_Events!$A$2:$A$20, "")</f>
        <v/>
      </c>
      <c r="I3566">
        <f t="shared" si="445"/>
        <v>0</v>
      </c>
      <c r="J3566" t="str">
        <f>_xlfn.XLOOKUP(H3566, Fact_Events!$A$2:$A$20, Fact_Events!$F$2:$F$20, "")</f>
        <v/>
      </c>
      <c r="K3566" t="str">
        <f t="shared" si="446"/>
        <v>Low</v>
      </c>
      <c r="L3566">
        <f t="shared" si="447"/>
        <v>0.55000000000000004</v>
      </c>
      <c r="M3566">
        <f>_xlfn.XLOOKUP(B3566, Dim_Hotel!$A$2:$A$11, Dim_Hotel!$I$2:$I$11)
 + (IF(J3566="",0,J3566)
    * _xlfn.XLOOKUP(B3566, Dim_Hotel!$A$2:$A$11, Dim_Hotel!$J$2:$J$11))</f>
        <v>82</v>
      </c>
    </row>
    <row r="3567" spans="1:13" x14ac:dyDescent="0.25">
      <c r="A3567" s="1">
        <f t="shared" si="440"/>
        <v>46379</v>
      </c>
      <c r="B3567" t="str" cm="1">
        <f t="array" ref="B3567">INDEX(HotelList,MOD(ROW()-2,10)+1)</f>
        <v>H006</v>
      </c>
      <c r="C3567">
        <f>_xlfn.XLOOKUP(B3567,Dim_Hotel!$A$2:$A$11,Dim_Hotel!$F$2:$F$11)</f>
        <v>311</v>
      </c>
      <c r="D3567">
        <f t="shared" si="441"/>
        <v>171</v>
      </c>
      <c r="E3567">
        <f t="shared" si="442"/>
        <v>0.54983922829581988</v>
      </c>
      <c r="F3567">
        <f t="shared" si="443"/>
        <v>190</v>
      </c>
      <c r="G3567">
        <f t="shared" si="444"/>
        <v>104.46945337620578</v>
      </c>
      <c r="H3567" t="str">
        <f>_xlfn.XLOOKUP(A3567,Fact_Events!$D$2:$D$20,Fact_Events!$A$2:$A$20, "")</f>
        <v/>
      </c>
      <c r="I3567">
        <f t="shared" si="445"/>
        <v>0</v>
      </c>
      <c r="J3567" t="str">
        <f>_xlfn.XLOOKUP(H3567, Fact_Events!$A$2:$A$20, Fact_Events!$F$2:$F$20, "")</f>
        <v/>
      </c>
      <c r="K3567" t="str">
        <f t="shared" si="446"/>
        <v>Low</v>
      </c>
      <c r="L3567">
        <f t="shared" si="447"/>
        <v>0.55000000000000004</v>
      </c>
      <c r="M3567">
        <f>_xlfn.XLOOKUP(B3567, Dim_Hotel!$A$2:$A$11, Dim_Hotel!$I$2:$I$11)
 + (IF(J3567="",0,J3567)
    * _xlfn.XLOOKUP(B3567, Dim_Hotel!$A$2:$A$11, Dim_Hotel!$J$2:$J$11))</f>
        <v>190</v>
      </c>
    </row>
    <row r="3568" spans="1:13" x14ac:dyDescent="0.25">
      <c r="A3568" s="1">
        <f t="shared" si="440"/>
        <v>46379</v>
      </c>
      <c r="B3568" t="str" cm="1">
        <f t="array" ref="B3568">INDEX(HotelList,MOD(ROW()-2,10)+1)</f>
        <v>H007</v>
      </c>
      <c r="C3568">
        <f>_xlfn.XLOOKUP(B3568,Dim_Hotel!$A$2:$A$11,Dim_Hotel!$F$2:$F$11)</f>
        <v>132</v>
      </c>
      <c r="D3568">
        <f t="shared" si="441"/>
        <v>73</v>
      </c>
      <c r="E3568">
        <f t="shared" si="442"/>
        <v>0.55303030303030298</v>
      </c>
      <c r="F3568">
        <f t="shared" si="443"/>
        <v>165</v>
      </c>
      <c r="G3568">
        <f t="shared" si="444"/>
        <v>91.249999999999986</v>
      </c>
      <c r="H3568" t="str">
        <f>_xlfn.XLOOKUP(A3568,Fact_Events!$D$2:$D$20,Fact_Events!$A$2:$A$20, "")</f>
        <v/>
      </c>
      <c r="I3568">
        <f t="shared" si="445"/>
        <v>0</v>
      </c>
      <c r="J3568" t="str">
        <f>_xlfn.XLOOKUP(H3568, Fact_Events!$A$2:$A$20, Fact_Events!$F$2:$F$20, "")</f>
        <v/>
      </c>
      <c r="K3568" t="str">
        <f t="shared" si="446"/>
        <v>Low</v>
      </c>
      <c r="L3568">
        <f t="shared" si="447"/>
        <v>0.55000000000000004</v>
      </c>
      <c r="M3568">
        <f>_xlfn.XLOOKUP(B3568, Dim_Hotel!$A$2:$A$11, Dim_Hotel!$I$2:$I$11)
 + (IF(J3568="",0,J3568)
    * _xlfn.XLOOKUP(B3568, Dim_Hotel!$A$2:$A$11, Dim_Hotel!$J$2:$J$11))</f>
        <v>165</v>
      </c>
    </row>
    <row r="3569" spans="1:13" x14ac:dyDescent="0.25">
      <c r="A3569" s="1">
        <f t="shared" si="440"/>
        <v>46379</v>
      </c>
      <c r="B3569" t="str" cm="1">
        <f t="array" ref="B3569">INDEX(HotelList,MOD(ROW()-2,10)+1)</f>
        <v>H008</v>
      </c>
      <c r="C3569">
        <f>_xlfn.XLOOKUP(B3569,Dim_Hotel!$A$2:$A$11,Dim_Hotel!$F$2:$F$11)</f>
        <v>103</v>
      </c>
      <c r="D3569">
        <f t="shared" si="441"/>
        <v>57</v>
      </c>
      <c r="E3569">
        <f t="shared" si="442"/>
        <v>0.55339805825242716</v>
      </c>
      <c r="F3569">
        <f t="shared" si="443"/>
        <v>140</v>
      </c>
      <c r="G3569">
        <f t="shared" si="444"/>
        <v>77.475728155339809</v>
      </c>
      <c r="H3569" t="str">
        <f>_xlfn.XLOOKUP(A3569,Fact_Events!$D$2:$D$20,Fact_Events!$A$2:$A$20, "")</f>
        <v/>
      </c>
      <c r="I3569">
        <f t="shared" si="445"/>
        <v>0</v>
      </c>
      <c r="J3569" t="str">
        <f>_xlfn.XLOOKUP(H3569, Fact_Events!$A$2:$A$20, Fact_Events!$F$2:$F$20, "")</f>
        <v/>
      </c>
      <c r="K3569" t="str">
        <f t="shared" si="446"/>
        <v>Low</v>
      </c>
      <c r="L3569">
        <f t="shared" si="447"/>
        <v>0.55000000000000004</v>
      </c>
      <c r="M3569">
        <f>_xlfn.XLOOKUP(B3569, Dim_Hotel!$A$2:$A$11, Dim_Hotel!$I$2:$I$11)
 + (IF(J3569="",0,J3569)
    * _xlfn.XLOOKUP(B3569, Dim_Hotel!$A$2:$A$11, Dim_Hotel!$J$2:$J$11))</f>
        <v>140</v>
      </c>
    </row>
    <row r="3570" spans="1:13" x14ac:dyDescent="0.25">
      <c r="A3570" s="1">
        <f t="shared" si="440"/>
        <v>46379</v>
      </c>
      <c r="B3570" t="str" cm="1">
        <f t="array" ref="B3570">INDEX(HotelList,MOD(ROW()-2,10)+1)</f>
        <v>H009</v>
      </c>
      <c r="C3570">
        <f>_xlfn.XLOOKUP(B3570,Dim_Hotel!$A$2:$A$11,Dim_Hotel!$F$2:$F$11)</f>
        <v>114</v>
      </c>
      <c r="D3570">
        <f t="shared" si="441"/>
        <v>63</v>
      </c>
      <c r="E3570">
        <f t="shared" si="442"/>
        <v>0.55263157894736847</v>
      </c>
      <c r="F3570">
        <f t="shared" si="443"/>
        <v>185</v>
      </c>
      <c r="G3570">
        <f t="shared" si="444"/>
        <v>102.23684210526316</v>
      </c>
      <c r="H3570" t="str">
        <f>_xlfn.XLOOKUP(A3570,Fact_Events!$D$2:$D$20,Fact_Events!$A$2:$A$20, "")</f>
        <v/>
      </c>
      <c r="I3570">
        <f t="shared" si="445"/>
        <v>0</v>
      </c>
      <c r="J3570" t="str">
        <f>_xlfn.XLOOKUP(H3570, Fact_Events!$A$2:$A$20, Fact_Events!$F$2:$F$20, "")</f>
        <v/>
      </c>
      <c r="K3570" t="str">
        <f t="shared" si="446"/>
        <v>Low</v>
      </c>
      <c r="L3570">
        <f t="shared" si="447"/>
        <v>0.55000000000000004</v>
      </c>
      <c r="M3570">
        <f>_xlfn.XLOOKUP(B3570, Dim_Hotel!$A$2:$A$11, Dim_Hotel!$I$2:$I$11)
 + (IF(J3570="",0,J3570)
    * _xlfn.XLOOKUP(B3570, Dim_Hotel!$A$2:$A$11, Dim_Hotel!$J$2:$J$11))</f>
        <v>185</v>
      </c>
    </row>
    <row r="3571" spans="1:13" x14ac:dyDescent="0.25">
      <c r="A3571" s="1">
        <f t="shared" si="440"/>
        <v>46379</v>
      </c>
      <c r="B3571" t="str" cm="1">
        <f t="array" ref="B3571">INDEX(HotelList,MOD(ROW()-2,10)+1)</f>
        <v>H010</v>
      </c>
      <c r="C3571">
        <f>_xlfn.XLOOKUP(B3571,Dim_Hotel!$A$2:$A$11,Dim_Hotel!$F$2:$F$11)</f>
        <v>89</v>
      </c>
      <c r="D3571">
        <f t="shared" si="441"/>
        <v>49</v>
      </c>
      <c r="E3571">
        <f t="shared" si="442"/>
        <v>0.550561797752809</v>
      </c>
      <c r="F3571">
        <f t="shared" si="443"/>
        <v>150</v>
      </c>
      <c r="G3571">
        <f t="shared" si="444"/>
        <v>82.584269662921344</v>
      </c>
      <c r="H3571" t="str">
        <f>_xlfn.XLOOKUP(A3571,Fact_Events!$D$2:$D$20,Fact_Events!$A$2:$A$20, "")</f>
        <v/>
      </c>
      <c r="I3571">
        <f t="shared" si="445"/>
        <v>0</v>
      </c>
      <c r="J3571" t="str">
        <f>_xlfn.XLOOKUP(H3571, Fact_Events!$A$2:$A$20, Fact_Events!$F$2:$F$20, "")</f>
        <v/>
      </c>
      <c r="K3571" t="str">
        <f t="shared" si="446"/>
        <v>Low</v>
      </c>
      <c r="L3571">
        <f t="shared" si="447"/>
        <v>0.55000000000000004</v>
      </c>
      <c r="M3571">
        <f>_xlfn.XLOOKUP(B3571, Dim_Hotel!$A$2:$A$11, Dim_Hotel!$I$2:$I$11)
 + (IF(J3571="",0,J3571)
    * _xlfn.XLOOKUP(B3571, Dim_Hotel!$A$2:$A$11, Dim_Hotel!$J$2:$J$11))</f>
        <v>150</v>
      </c>
    </row>
    <row r="3572" spans="1:13" x14ac:dyDescent="0.25">
      <c r="A3572" s="1">
        <f t="shared" si="440"/>
        <v>46380</v>
      </c>
      <c r="B3572" t="str" cm="1">
        <f t="array" ref="B3572">INDEX(HotelList,MOD(ROW()-2,10)+1)</f>
        <v>H001</v>
      </c>
      <c r="C3572">
        <f>_xlfn.XLOOKUP(B3572,Dim_Hotel!$A$2:$A$11,Dim_Hotel!$F$2:$F$11)</f>
        <v>888</v>
      </c>
      <c r="D3572">
        <f t="shared" si="441"/>
        <v>488</v>
      </c>
      <c r="E3572">
        <f t="shared" si="442"/>
        <v>0.5495495495495496</v>
      </c>
      <c r="F3572">
        <f t="shared" si="443"/>
        <v>260</v>
      </c>
      <c r="G3572">
        <f t="shared" si="444"/>
        <v>142.88288288288288</v>
      </c>
      <c r="H3572" t="str">
        <f>_xlfn.XLOOKUP(A3572,Fact_Events!$D$2:$D$20,Fact_Events!$A$2:$A$20, "")</f>
        <v/>
      </c>
      <c r="I3572">
        <f t="shared" si="445"/>
        <v>0</v>
      </c>
      <c r="J3572" t="str">
        <f>_xlfn.XLOOKUP(H3572, Fact_Events!$A$2:$A$20, Fact_Events!$F$2:$F$20, "")</f>
        <v/>
      </c>
      <c r="K3572" t="str">
        <f t="shared" si="446"/>
        <v>Low</v>
      </c>
      <c r="L3572">
        <f t="shared" si="447"/>
        <v>0.55000000000000004</v>
      </c>
      <c r="M3572">
        <f>_xlfn.XLOOKUP(B3572, Dim_Hotel!$A$2:$A$11, Dim_Hotel!$I$2:$I$11)
 + (IF(J3572="",0,J3572)
    * _xlfn.XLOOKUP(B3572, Dim_Hotel!$A$2:$A$11, Dim_Hotel!$J$2:$J$11))</f>
        <v>260</v>
      </c>
    </row>
    <row r="3573" spans="1:13" x14ac:dyDescent="0.25">
      <c r="A3573" s="1">
        <f t="shared" si="440"/>
        <v>46380</v>
      </c>
      <c r="B3573" t="str" cm="1">
        <f t="array" ref="B3573">INDEX(HotelList,MOD(ROW()-2,10)+1)</f>
        <v>H002</v>
      </c>
      <c r="C3573">
        <f>_xlfn.XLOOKUP(B3573,Dim_Hotel!$A$2:$A$11,Dim_Hotel!$F$2:$F$11)</f>
        <v>147</v>
      </c>
      <c r="D3573">
        <f t="shared" si="441"/>
        <v>81</v>
      </c>
      <c r="E3573">
        <f t="shared" si="442"/>
        <v>0.55102040816326525</v>
      </c>
      <c r="F3573">
        <f t="shared" si="443"/>
        <v>175</v>
      </c>
      <c r="G3573">
        <f t="shared" si="444"/>
        <v>96.428571428571416</v>
      </c>
      <c r="H3573" t="str">
        <f>_xlfn.XLOOKUP(A3573,Fact_Events!$D$2:$D$20,Fact_Events!$A$2:$A$20, "")</f>
        <v/>
      </c>
      <c r="I3573">
        <f t="shared" si="445"/>
        <v>0</v>
      </c>
      <c r="J3573" t="str">
        <f>_xlfn.XLOOKUP(H3573, Fact_Events!$A$2:$A$20, Fact_Events!$F$2:$F$20, "")</f>
        <v/>
      </c>
      <c r="K3573" t="str">
        <f t="shared" si="446"/>
        <v>Low</v>
      </c>
      <c r="L3573">
        <f t="shared" si="447"/>
        <v>0.55000000000000004</v>
      </c>
      <c r="M3573">
        <f>_xlfn.XLOOKUP(B3573, Dim_Hotel!$A$2:$A$11, Dim_Hotel!$I$2:$I$11)
 + (IF(J3573="",0,J3573)
    * _xlfn.XLOOKUP(B3573, Dim_Hotel!$A$2:$A$11, Dim_Hotel!$J$2:$J$11))</f>
        <v>175</v>
      </c>
    </row>
    <row r="3574" spans="1:13" x14ac:dyDescent="0.25">
      <c r="A3574" s="1">
        <f t="shared" si="440"/>
        <v>46380</v>
      </c>
      <c r="B3574" t="str" cm="1">
        <f t="array" ref="B3574">INDEX(HotelList,MOD(ROW()-2,10)+1)</f>
        <v>H003</v>
      </c>
      <c r="C3574">
        <f>_xlfn.XLOOKUP(B3574,Dim_Hotel!$A$2:$A$11,Dim_Hotel!$F$2:$F$11)</f>
        <v>121</v>
      </c>
      <c r="D3574">
        <f t="shared" si="441"/>
        <v>67</v>
      </c>
      <c r="E3574">
        <f t="shared" si="442"/>
        <v>0.55371900826446285</v>
      </c>
      <c r="F3574">
        <f t="shared" si="443"/>
        <v>145</v>
      </c>
      <c r="G3574">
        <f t="shared" si="444"/>
        <v>80.289256198347118</v>
      </c>
      <c r="H3574" t="str">
        <f>_xlfn.XLOOKUP(A3574,Fact_Events!$D$2:$D$20,Fact_Events!$A$2:$A$20, "")</f>
        <v/>
      </c>
      <c r="I3574">
        <f t="shared" si="445"/>
        <v>0</v>
      </c>
      <c r="J3574" t="str">
        <f>_xlfn.XLOOKUP(H3574, Fact_Events!$A$2:$A$20, Fact_Events!$F$2:$F$20, "")</f>
        <v/>
      </c>
      <c r="K3574" t="str">
        <f t="shared" si="446"/>
        <v>Low</v>
      </c>
      <c r="L3574">
        <f t="shared" si="447"/>
        <v>0.55000000000000004</v>
      </c>
      <c r="M3574">
        <f>_xlfn.XLOOKUP(B3574, Dim_Hotel!$A$2:$A$11, Dim_Hotel!$I$2:$I$11)
 + (IF(J3574="",0,J3574)
    * _xlfn.XLOOKUP(B3574, Dim_Hotel!$A$2:$A$11, Dim_Hotel!$J$2:$J$11))</f>
        <v>145</v>
      </c>
    </row>
    <row r="3575" spans="1:13" x14ac:dyDescent="0.25">
      <c r="A3575" s="1">
        <f t="shared" si="440"/>
        <v>46380</v>
      </c>
      <c r="B3575" t="str" cm="1">
        <f t="array" ref="B3575">INDEX(HotelList,MOD(ROW()-2,10)+1)</f>
        <v>H004</v>
      </c>
      <c r="C3575">
        <f>_xlfn.XLOOKUP(B3575,Dim_Hotel!$A$2:$A$11,Dim_Hotel!$F$2:$F$11)</f>
        <v>108</v>
      </c>
      <c r="D3575">
        <f t="shared" si="441"/>
        <v>59</v>
      </c>
      <c r="E3575">
        <f t="shared" si="442"/>
        <v>0.54629629629629628</v>
      </c>
      <c r="F3575">
        <f t="shared" si="443"/>
        <v>135</v>
      </c>
      <c r="G3575">
        <f t="shared" si="444"/>
        <v>73.75</v>
      </c>
      <c r="H3575" t="str">
        <f>_xlfn.XLOOKUP(A3575,Fact_Events!$D$2:$D$20,Fact_Events!$A$2:$A$20, "")</f>
        <v/>
      </c>
      <c r="I3575">
        <f t="shared" si="445"/>
        <v>0</v>
      </c>
      <c r="J3575" t="str">
        <f>_xlfn.XLOOKUP(H3575, Fact_Events!$A$2:$A$20, Fact_Events!$F$2:$F$20, "")</f>
        <v/>
      </c>
      <c r="K3575" t="str">
        <f t="shared" si="446"/>
        <v>Low</v>
      </c>
      <c r="L3575">
        <f t="shared" si="447"/>
        <v>0.55000000000000004</v>
      </c>
      <c r="M3575">
        <f>_xlfn.XLOOKUP(B3575, Dim_Hotel!$A$2:$A$11, Dim_Hotel!$I$2:$I$11)
 + (IF(J3575="",0,J3575)
    * _xlfn.XLOOKUP(B3575, Dim_Hotel!$A$2:$A$11, Dim_Hotel!$J$2:$J$11))</f>
        <v>135</v>
      </c>
    </row>
    <row r="3576" spans="1:13" x14ac:dyDescent="0.25">
      <c r="A3576" s="1">
        <f t="shared" si="440"/>
        <v>46380</v>
      </c>
      <c r="B3576" t="str" cm="1">
        <f t="array" ref="B3576">INDEX(HotelList,MOD(ROW()-2,10)+1)</f>
        <v>H005</v>
      </c>
      <c r="C3576">
        <f>_xlfn.XLOOKUP(B3576,Dim_Hotel!$A$2:$A$11,Dim_Hotel!$F$2:$F$11)</f>
        <v>66</v>
      </c>
      <c r="D3576">
        <f t="shared" si="441"/>
        <v>36</v>
      </c>
      <c r="E3576">
        <f t="shared" si="442"/>
        <v>0.54545454545454541</v>
      </c>
      <c r="F3576">
        <f t="shared" si="443"/>
        <v>82</v>
      </c>
      <c r="G3576">
        <f t="shared" si="444"/>
        <v>44.727272727272727</v>
      </c>
      <c r="H3576" t="str">
        <f>_xlfn.XLOOKUP(A3576,Fact_Events!$D$2:$D$20,Fact_Events!$A$2:$A$20, "")</f>
        <v/>
      </c>
      <c r="I3576">
        <f t="shared" si="445"/>
        <v>0</v>
      </c>
      <c r="J3576" t="str">
        <f>_xlfn.XLOOKUP(H3576, Fact_Events!$A$2:$A$20, Fact_Events!$F$2:$F$20, "")</f>
        <v/>
      </c>
      <c r="K3576" t="str">
        <f t="shared" si="446"/>
        <v>Low</v>
      </c>
      <c r="L3576">
        <f t="shared" si="447"/>
        <v>0.55000000000000004</v>
      </c>
      <c r="M3576">
        <f>_xlfn.XLOOKUP(B3576, Dim_Hotel!$A$2:$A$11, Dim_Hotel!$I$2:$I$11)
 + (IF(J3576="",0,J3576)
    * _xlfn.XLOOKUP(B3576, Dim_Hotel!$A$2:$A$11, Dim_Hotel!$J$2:$J$11))</f>
        <v>82</v>
      </c>
    </row>
    <row r="3577" spans="1:13" x14ac:dyDescent="0.25">
      <c r="A3577" s="1">
        <f t="shared" si="440"/>
        <v>46380</v>
      </c>
      <c r="B3577" t="str" cm="1">
        <f t="array" ref="B3577">INDEX(HotelList,MOD(ROW()-2,10)+1)</f>
        <v>H006</v>
      </c>
      <c r="C3577">
        <f>_xlfn.XLOOKUP(B3577,Dim_Hotel!$A$2:$A$11,Dim_Hotel!$F$2:$F$11)</f>
        <v>311</v>
      </c>
      <c r="D3577">
        <f t="shared" si="441"/>
        <v>171</v>
      </c>
      <c r="E3577">
        <f t="shared" si="442"/>
        <v>0.54983922829581988</v>
      </c>
      <c r="F3577">
        <f t="shared" si="443"/>
        <v>190</v>
      </c>
      <c r="G3577">
        <f t="shared" si="444"/>
        <v>104.46945337620578</v>
      </c>
      <c r="H3577" t="str">
        <f>_xlfn.XLOOKUP(A3577,Fact_Events!$D$2:$D$20,Fact_Events!$A$2:$A$20, "")</f>
        <v/>
      </c>
      <c r="I3577">
        <f t="shared" si="445"/>
        <v>0</v>
      </c>
      <c r="J3577" t="str">
        <f>_xlfn.XLOOKUP(H3577, Fact_Events!$A$2:$A$20, Fact_Events!$F$2:$F$20, "")</f>
        <v/>
      </c>
      <c r="K3577" t="str">
        <f t="shared" si="446"/>
        <v>Low</v>
      </c>
      <c r="L3577">
        <f t="shared" si="447"/>
        <v>0.55000000000000004</v>
      </c>
      <c r="M3577">
        <f>_xlfn.XLOOKUP(B3577, Dim_Hotel!$A$2:$A$11, Dim_Hotel!$I$2:$I$11)
 + (IF(J3577="",0,J3577)
    * _xlfn.XLOOKUP(B3577, Dim_Hotel!$A$2:$A$11, Dim_Hotel!$J$2:$J$11))</f>
        <v>190</v>
      </c>
    </row>
    <row r="3578" spans="1:13" x14ac:dyDescent="0.25">
      <c r="A3578" s="1">
        <f t="shared" si="440"/>
        <v>46380</v>
      </c>
      <c r="B3578" t="str" cm="1">
        <f t="array" ref="B3578">INDEX(HotelList,MOD(ROW()-2,10)+1)</f>
        <v>H007</v>
      </c>
      <c r="C3578">
        <f>_xlfn.XLOOKUP(B3578,Dim_Hotel!$A$2:$A$11,Dim_Hotel!$F$2:$F$11)</f>
        <v>132</v>
      </c>
      <c r="D3578">
        <f t="shared" si="441"/>
        <v>73</v>
      </c>
      <c r="E3578">
        <f t="shared" si="442"/>
        <v>0.55303030303030298</v>
      </c>
      <c r="F3578">
        <f t="shared" si="443"/>
        <v>165</v>
      </c>
      <c r="G3578">
        <f t="shared" si="444"/>
        <v>91.249999999999986</v>
      </c>
      <c r="H3578" t="str">
        <f>_xlfn.XLOOKUP(A3578,Fact_Events!$D$2:$D$20,Fact_Events!$A$2:$A$20, "")</f>
        <v/>
      </c>
      <c r="I3578">
        <f t="shared" si="445"/>
        <v>0</v>
      </c>
      <c r="J3578" t="str">
        <f>_xlfn.XLOOKUP(H3578, Fact_Events!$A$2:$A$20, Fact_Events!$F$2:$F$20, "")</f>
        <v/>
      </c>
      <c r="K3578" t="str">
        <f t="shared" si="446"/>
        <v>Low</v>
      </c>
      <c r="L3578">
        <f t="shared" si="447"/>
        <v>0.55000000000000004</v>
      </c>
      <c r="M3578">
        <f>_xlfn.XLOOKUP(B3578, Dim_Hotel!$A$2:$A$11, Dim_Hotel!$I$2:$I$11)
 + (IF(J3578="",0,J3578)
    * _xlfn.XLOOKUP(B3578, Dim_Hotel!$A$2:$A$11, Dim_Hotel!$J$2:$J$11))</f>
        <v>165</v>
      </c>
    </row>
    <row r="3579" spans="1:13" x14ac:dyDescent="0.25">
      <c r="A3579" s="1">
        <f t="shared" si="440"/>
        <v>46380</v>
      </c>
      <c r="B3579" t="str" cm="1">
        <f t="array" ref="B3579">INDEX(HotelList,MOD(ROW()-2,10)+1)</f>
        <v>H008</v>
      </c>
      <c r="C3579">
        <f>_xlfn.XLOOKUP(B3579,Dim_Hotel!$A$2:$A$11,Dim_Hotel!$F$2:$F$11)</f>
        <v>103</v>
      </c>
      <c r="D3579">
        <f t="shared" si="441"/>
        <v>57</v>
      </c>
      <c r="E3579">
        <f t="shared" si="442"/>
        <v>0.55339805825242716</v>
      </c>
      <c r="F3579">
        <f t="shared" si="443"/>
        <v>140</v>
      </c>
      <c r="G3579">
        <f t="shared" si="444"/>
        <v>77.475728155339809</v>
      </c>
      <c r="H3579" t="str">
        <f>_xlfn.XLOOKUP(A3579,Fact_Events!$D$2:$D$20,Fact_Events!$A$2:$A$20, "")</f>
        <v/>
      </c>
      <c r="I3579">
        <f t="shared" si="445"/>
        <v>0</v>
      </c>
      <c r="J3579" t="str">
        <f>_xlfn.XLOOKUP(H3579, Fact_Events!$A$2:$A$20, Fact_Events!$F$2:$F$20, "")</f>
        <v/>
      </c>
      <c r="K3579" t="str">
        <f t="shared" si="446"/>
        <v>Low</v>
      </c>
      <c r="L3579">
        <f t="shared" si="447"/>
        <v>0.55000000000000004</v>
      </c>
      <c r="M3579">
        <f>_xlfn.XLOOKUP(B3579, Dim_Hotel!$A$2:$A$11, Dim_Hotel!$I$2:$I$11)
 + (IF(J3579="",0,J3579)
    * _xlfn.XLOOKUP(B3579, Dim_Hotel!$A$2:$A$11, Dim_Hotel!$J$2:$J$11))</f>
        <v>140</v>
      </c>
    </row>
    <row r="3580" spans="1:13" x14ac:dyDescent="0.25">
      <c r="A3580" s="1">
        <f t="shared" si="440"/>
        <v>46380</v>
      </c>
      <c r="B3580" t="str" cm="1">
        <f t="array" ref="B3580">INDEX(HotelList,MOD(ROW()-2,10)+1)</f>
        <v>H009</v>
      </c>
      <c r="C3580">
        <f>_xlfn.XLOOKUP(B3580,Dim_Hotel!$A$2:$A$11,Dim_Hotel!$F$2:$F$11)</f>
        <v>114</v>
      </c>
      <c r="D3580">
        <f t="shared" si="441"/>
        <v>63</v>
      </c>
      <c r="E3580">
        <f t="shared" si="442"/>
        <v>0.55263157894736847</v>
      </c>
      <c r="F3580">
        <f t="shared" si="443"/>
        <v>185</v>
      </c>
      <c r="G3580">
        <f t="shared" si="444"/>
        <v>102.23684210526316</v>
      </c>
      <c r="H3580" t="str">
        <f>_xlfn.XLOOKUP(A3580,Fact_Events!$D$2:$D$20,Fact_Events!$A$2:$A$20, "")</f>
        <v/>
      </c>
      <c r="I3580">
        <f t="shared" si="445"/>
        <v>0</v>
      </c>
      <c r="J3580" t="str">
        <f>_xlfn.XLOOKUP(H3580, Fact_Events!$A$2:$A$20, Fact_Events!$F$2:$F$20, "")</f>
        <v/>
      </c>
      <c r="K3580" t="str">
        <f t="shared" si="446"/>
        <v>Low</v>
      </c>
      <c r="L3580">
        <f t="shared" si="447"/>
        <v>0.55000000000000004</v>
      </c>
      <c r="M3580">
        <f>_xlfn.XLOOKUP(B3580, Dim_Hotel!$A$2:$A$11, Dim_Hotel!$I$2:$I$11)
 + (IF(J3580="",0,J3580)
    * _xlfn.XLOOKUP(B3580, Dim_Hotel!$A$2:$A$11, Dim_Hotel!$J$2:$J$11))</f>
        <v>185</v>
      </c>
    </row>
    <row r="3581" spans="1:13" x14ac:dyDescent="0.25">
      <c r="A3581" s="1">
        <f t="shared" si="440"/>
        <v>46380</v>
      </c>
      <c r="B3581" t="str" cm="1">
        <f t="array" ref="B3581">INDEX(HotelList,MOD(ROW()-2,10)+1)</f>
        <v>H010</v>
      </c>
      <c r="C3581">
        <f>_xlfn.XLOOKUP(B3581,Dim_Hotel!$A$2:$A$11,Dim_Hotel!$F$2:$F$11)</f>
        <v>89</v>
      </c>
      <c r="D3581">
        <f t="shared" si="441"/>
        <v>49</v>
      </c>
      <c r="E3581">
        <f t="shared" si="442"/>
        <v>0.550561797752809</v>
      </c>
      <c r="F3581">
        <f t="shared" si="443"/>
        <v>150</v>
      </c>
      <c r="G3581">
        <f t="shared" si="444"/>
        <v>82.584269662921344</v>
      </c>
      <c r="H3581" t="str">
        <f>_xlfn.XLOOKUP(A3581,Fact_Events!$D$2:$D$20,Fact_Events!$A$2:$A$20, "")</f>
        <v/>
      </c>
      <c r="I3581">
        <f t="shared" si="445"/>
        <v>0</v>
      </c>
      <c r="J3581" t="str">
        <f>_xlfn.XLOOKUP(H3581, Fact_Events!$A$2:$A$20, Fact_Events!$F$2:$F$20, "")</f>
        <v/>
      </c>
      <c r="K3581" t="str">
        <f t="shared" si="446"/>
        <v>Low</v>
      </c>
      <c r="L3581">
        <f t="shared" si="447"/>
        <v>0.55000000000000004</v>
      </c>
      <c r="M3581">
        <f>_xlfn.XLOOKUP(B3581, Dim_Hotel!$A$2:$A$11, Dim_Hotel!$I$2:$I$11)
 + (IF(J3581="",0,J3581)
    * _xlfn.XLOOKUP(B3581, Dim_Hotel!$A$2:$A$11, Dim_Hotel!$J$2:$J$11))</f>
        <v>150</v>
      </c>
    </row>
    <row r="3582" spans="1:13" x14ac:dyDescent="0.25">
      <c r="A3582" s="1">
        <f t="shared" si="440"/>
        <v>46381</v>
      </c>
      <c r="B3582" t="str" cm="1">
        <f t="array" ref="B3582">INDEX(HotelList,MOD(ROW()-2,10)+1)</f>
        <v>H001</v>
      </c>
      <c r="C3582">
        <f>_xlfn.XLOOKUP(B3582,Dim_Hotel!$A$2:$A$11,Dim_Hotel!$F$2:$F$11)</f>
        <v>888</v>
      </c>
      <c r="D3582">
        <f t="shared" si="441"/>
        <v>488</v>
      </c>
      <c r="E3582">
        <f t="shared" si="442"/>
        <v>0.5495495495495496</v>
      </c>
      <c r="F3582">
        <f t="shared" si="443"/>
        <v>260</v>
      </c>
      <c r="G3582">
        <f t="shared" si="444"/>
        <v>142.88288288288288</v>
      </c>
      <c r="H3582" t="str">
        <f>_xlfn.XLOOKUP(A3582,Fact_Events!$D$2:$D$20,Fact_Events!$A$2:$A$20, "")</f>
        <v/>
      </c>
      <c r="I3582">
        <f t="shared" si="445"/>
        <v>0</v>
      </c>
      <c r="J3582" t="str">
        <f>_xlfn.XLOOKUP(H3582, Fact_Events!$A$2:$A$20, Fact_Events!$F$2:$F$20, "")</f>
        <v/>
      </c>
      <c r="K3582" t="str">
        <f t="shared" si="446"/>
        <v>Low</v>
      </c>
      <c r="L3582">
        <f t="shared" si="447"/>
        <v>0.55000000000000004</v>
      </c>
      <c r="M3582">
        <f>_xlfn.XLOOKUP(B3582, Dim_Hotel!$A$2:$A$11, Dim_Hotel!$I$2:$I$11)
 + (IF(J3582="",0,J3582)
    * _xlfn.XLOOKUP(B3582, Dim_Hotel!$A$2:$A$11, Dim_Hotel!$J$2:$J$11))</f>
        <v>260</v>
      </c>
    </row>
    <row r="3583" spans="1:13" x14ac:dyDescent="0.25">
      <c r="A3583" s="1">
        <f t="shared" si="440"/>
        <v>46381</v>
      </c>
      <c r="B3583" t="str" cm="1">
        <f t="array" ref="B3583">INDEX(HotelList,MOD(ROW()-2,10)+1)</f>
        <v>H002</v>
      </c>
      <c r="C3583">
        <f>_xlfn.XLOOKUP(B3583,Dim_Hotel!$A$2:$A$11,Dim_Hotel!$F$2:$F$11)</f>
        <v>147</v>
      </c>
      <c r="D3583">
        <f t="shared" si="441"/>
        <v>81</v>
      </c>
      <c r="E3583">
        <f t="shared" si="442"/>
        <v>0.55102040816326525</v>
      </c>
      <c r="F3583">
        <f t="shared" si="443"/>
        <v>175</v>
      </c>
      <c r="G3583">
        <f t="shared" si="444"/>
        <v>96.428571428571416</v>
      </c>
      <c r="H3583" t="str">
        <f>_xlfn.XLOOKUP(A3583,Fact_Events!$D$2:$D$20,Fact_Events!$A$2:$A$20, "")</f>
        <v/>
      </c>
      <c r="I3583">
        <f t="shared" si="445"/>
        <v>0</v>
      </c>
      <c r="J3583" t="str">
        <f>_xlfn.XLOOKUP(H3583, Fact_Events!$A$2:$A$20, Fact_Events!$F$2:$F$20, "")</f>
        <v/>
      </c>
      <c r="K3583" t="str">
        <f t="shared" si="446"/>
        <v>Low</v>
      </c>
      <c r="L3583">
        <f t="shared" si="447"/>
        <v>0.55000000000000004</v>
      </c>
      <c r="M3583">
        <f>_xlfn.XLOOKUP(B3583, Dim_Hotel!$A$2:$A$11, Dim_Hotel!$I$2:$I$11)
 + (IF(J3583="",0,J3583)
    * _xlfn.XLOOKUP(B3583, Dim_Hotel!$A$2:$A$11, Dim_Hotel!$J$2:$J$11))</f>
        <v>175</v>
      </c>
    </row>
    <row r="3584" spans="1:13" x14ac:dyDescent="0.25">
      <c r="A3584" s="1">
        <f t="shared" si="440"/>
        <v>46381</v>
      </c>
      <c r="B3584" t="str" cm="1">
        <f t="array" ref="B3584">INDEX(HotelList,MOD(ROW()-2,10)+1)</f>
        <v>H003</v>
      </c>
      <c r="C3584">
        <f>_xlfn.XLOOKUP(B3584,Dim_Hotel!$A$2:$A$11,Dim_Hotel!$F$2:$F$11)</f>
        <v>121</v>
      </c>
      <c r="D3584">
        <f t="shared" si="441"/>
        <v>67</v>
      </c>
      <c r="E3584">
        <f t="shared" si="442"/>
        <v>0.55371900826446285</v>
      </c>
      <c r="F3584">
        <f t="shared" si="443"/>
        <v>145</v>
      </c>
      <c r="G3584">
        <f t="shared" si="444"/>
        <v>80.289256198347118</v>
      </c>
      <c r="H3584" t="str">
        <f>_xlfn.XLOOKUP(A3584,Fact_Events!$D$2:$D$20,Fact_Events!$A$2:$A$20, "")</f>
        <v/>
      </c>
      <c r="I3584">
        <f t="shared" si="445"/>
        <v>0</v>
      </c>
      <c r="J3584" t="str">
        <f>_xlfn.XLOOKUP(H3584, Fact_Events!$A$2:$A$20, Fact_Events!$F$2:$F$20, "")</f>
        <v/>
      </c>
      <c r="K3584" t="str">
        <f t="shared" si="446"/>
        <v>Low</v>
      </c>
      <c r="L3584">
        <f t="shared" si="447"/>
        <v>0.55000000000000004</v>
      </c>
      <c r="M3584">
        <f>_xlfn.XLOOKUP(B3584, Dim_Hotel!$A$2:$A$11, Dim_Hotel!$I$2:$I$11)
 + (IF(J3584="",0,J3584)
    * _xlfn.XLOOKUP(B3584, Dim_Hotel!$A$2:$A$11, Dim_Hotel!$J$2:$J$11))</f>
        <v>145</v>
      </c>
    </row>
    <row r="3585" spans="1:13" x14ac:dyDescent="0.25">
      <c r="A3585" s="1">
        <f t="shared" si="440"/>
        <v>46381</v>
      </c>
      <c r="B3585" t="str" cm="1">
        <f t="array" ref="B3585">INDEX(HotelList,MOD(ROW()-2,10)+1)</f>
        <v>H004</v>
      </c>
      <c r="C3585">
        <f>_xlfn.XLOOKUP(B3585,Dim_Hotel!$A$2:$A$11,Dim_Hotel!$F$2:$F$11)</f>
        <v>108</v>
      </c>
      <c r="D3585">
        <f t="shared" si="441"/>
        <v>59</v>
      </c>
      <c r="E3585">
        <f t="shared" si="442"/>
        <v>0.54629629629629628</v>
      </c>
      <c r="F3585">
        <f t="shared" si="443"/>
        <v>135</v>
      </c>
      <c r="G3585">
        <f t="shared" si="444"/>
        <v>73.75</v>
      </c>
      <c r="H3585" t="str">
        <f>_xlfn.XLOOKUP(A3585,Fact_Events!$D$2:$D$20,Fact_Events!$A$2:$A$20, "")</f>
        <v/>
      </c>
      <c r="I3585">
        <f t="shared" si="445"/>
        <v>0</v>
      </c>
      <c r="J3585" t="str">
        <f>_xlfn.XLOOKUP(H3585, Fact_Events!$A$2:$A$20, Fact_Events!$F$2:$F$20, "")</f>
        <v/>
      </c>
      <c r="K3585" t="str">
        <f t="shared" si="446"/>
        <v>Low</v>
      </c>
      <c r="L3585">
        <f t="shared" si="447"/>
        <v>0.55000000000000004</v>
      </c>
      <c r="M3585">
        <f>_xlfn.XLOOKUP(B3585, Dim_Hotel!$A$2:$A$11, Dim_Hotel!$I$2:$I$11)
 + (IF(J3585="",0,J3585)
    * _xlfn.XLOOKUP(B3585, Dim_Hotel!$A$2:$A$11, Dim_Hotel!$J$2:$J$11))</f>
        <v>135</v>
      </c>
    </row>
    <row r="3586" spans="1:13" x14ac:dyDescent="0.25">
      <c r="A3586" s="1">
        <f t="shared" si="440"/>
        <v>46381</v>
      </c>
      <c r="B3586" t="str" cm="1">
        <f t="array" ref="B3586">INDEX(HotelList,MOD(ROW()-2,10)+1)</f>
        <v>H005</v>
      </c>
      <c r="C3586">
        <f>_xlfn.XLOOKUP(B3586,Dim_Hotel!$A$2:$A$11,Dim_Hotel!$F$2:$F$11)</f>
        <v>66</v>
      </c>
      <c r="D3586">
        <f t="shared" si="441"/>
        <v>36</v>
      </c>
      <c r="E3586">
        <f t="shared" si="442"/>
        <v>0.54545454545454541</v>
      </c>
      <c r="F3586">
        <f t="shared" si="443"/>
        <v>82</v>
      </c>
      <c r="G3586">
        <f t="shared" si="444"/>
        <v>44.727272727272727</v>
      </c>
      <c r="H3586" t="str">
        <f>_xlfn.XLOOKUP(A3586,Fact_Events!$D$2:$D$20,Fact_Events!$A$2:$A$20, "")</f>
        <v/>
      </c>
      <c r="I3586">
        <f t="shared" si="445"/>
        <v>0</v>
      </c>
      <c r="J3586" t="str">
        <f>_xlfn.XLOOKUP(H3586, Fact_Events!$A$2:$A$20, Fact_Events!$F$2:$F$20, "")</f>
        <v/>
      </c>
      <c r="K3586" t="str">
        <f t="shared" si="446"/>
        <v>Low</v>
      </c>
      <c r="L3586">
        <f t="shared" si="447"/>
        <v>0.55000000000000004</v>
      </c>
      <c r="M3586">
        <f>_xlfn.XLOOKUP(B3586, Dim_Hotel!$A$2:$A$11, Dim_Hotel!$I$2:$I$11)
 + (IF(J3586="",0,J3586)
    * _xlfn.XLOOKUP(B3586, Dim_Hotel!$A$2:$A$11, Dim_Hotel!$J$2:$J$11))</f>
        <v>82</v>
      </c>
    </row>
    <row r="3587" spans="1:13" x14ac:dyDescent="0.25">
      <c r="A3587" s="1">
        <f t="shared" ref="A3587:A3650" si="448">DATE(2026,1,1) + INT((ROW()-2)/10)</f>
        <v>46381</v>
      </c>
      <c r="B3587" t="str" cm="1">
        <f t="array" ref="B3587">INDEX(HotelList,MOD(ROW()-2,10)+1)</f>
        <v>H006</v>
      </c>
      <c r="C3587">
        <f>_xlfn.XLOOKUP(B3587,Dim_Hotel!$A$2:$A$11,Dim_Hotel!$F$2:$F$11)</f>
        <v>311</v>
      </c>
      <c r="D3587">
        <f t="shared" ref="D3587:D3650" si="449">ROUND(L3587 * C3587, 0)</f>
        <v>171</v>
      </c>
      <c r="E3587">
        <f t="shared" ref="E3587:E3650" si="450">D3587/C3587</f>
        <v>0.54983922829581988</v>
      </c>
      <c r="F3587">
        <f t="shared" ref="F3587:F3650" si="451">M3587</f>
        <v>190</v>
      </c>
      <c r="G3587">
        <f t="shared" ref="G3587:G3650" si="452">E3587*F3587</f>
        <v>104.46945337620578</v>
      </c>
      <c r="H3587" t="str">
        <f>_xlfn.XLOOKUP(A3587,Fact_Events!$D$2:$D$20,Fact_Events!$A$2:$A$20, "")</f>
        <v/>
      </c>
      <c r="I3587">
        <f t="shared" ref="I3587:I3650" si="453">IF(H3587="",0,1)</f>
        <v>0</v>
      </c>
      <c r="J3587" t="str">
        <f>_xlfn.XLOOKUP(H3587, Fact_Events!$A$2:$A$20, Fact_Events!$F$2:$F$20, "")</f>
        <v/>
      </c>
      <c r="K3587" t="str">
        <f t="shared" ref="K3587:K3650" si="454">IF(I3587=0,"Low",
   IF(J3587&gt;=9,"High","Medium"))</f>
        <v>Low</v>
      </c>
      <c r="L3587">
        <f t="shared" ref="L3587:L3650" si="455">MIN(1,
  0.55
  + (I3587 * 0.25)
  + (IF(J3587="",0,J3587) / 100)
)</f>
        <v>0.55000000000000004</v>
      </c>
      <c r="M3587">
        <f>_xlfn.XLOOKUP(B3587, Dim_Hotel!$A$2:$A$11, Dim_Hotel!$I$2:$I$11)
 + (IF(J3587="",0,J3587)
    * _xlfn.XLOOKUP(B3587, Dim_Hotel!$A$2:$A$11, Dim_Hotel!$J$2:$J$11))</f>
        <v>190</v>
      </c>
    </row>
    <row r="3588" spans="1:13" x14ac:dyDescent="0.25">
      <c r="A3588" s="1">
        <f t="shared" si="448"/>
        <v>46381</v>
      </c>
      <c r="B3588" t="str" cm="1">
        <f t="array" ref="B3588">INDEX(HotelList,MOD(ROW()-2,10)+1)</f>
        <v>H007</v>
      </c>
      <c r="C3588">
        <f>_xlfn.XLOOKUP(B3588,Dim_Hotel!$A$2:$A$11,Dim_Hotel!$F$2:$F$11)</f>
        <v>132</v>
      </c>
      <c r="D3588">
        <f t="shared" si="449"/>
        <v>73</v>
      </c>
      <c r="E3588">
        <f t="shared" si="450"/>
        <v>0.55303030303030298</v>
      </c>
      <c r="F3588">
        <f t="shared" si="451"/>
        <v>165</v>
      </c>
      <c r="G3588">
        <f t="shared" si="452"/>
        <v>91.249999999999986</v>
      </c>
      <c r="H3588" t="str">
        <f>_xlfn.XLOOKUP(A3588,Fact_Events!$D$2:$D$20,Fact_Events!$A$2:$A$20, "")</f>
        <v/>
      </c>
      <c r="I3588">
        <f t="shared" si="453"/>
        <v>0</v>
      </c>
      <c r="J3588" t="str">
        <f>_xlfn.XLOOKUP(H3588, Fact_Events!$A$2:$A$20, Fact_Events!$F$2:$F$20, "")</f>
        <v/>
      </c>
      <c r="K3588" t="str">
        <f t="shared" si="454"/>
        <v>Low</v>
      </c>
      <c r="L3588">
        <f t="shared" si="455"/>
        <v>0.55000000000000004</v>
      </c>
      <c r="M3588">
        <f>_xlfn.XLOOKUP(B3588, Dim_Hotel!$A$2:$A$11, Dim_Hotel!$I$2:$I$11)
 + (IF(J3588="",0,J3588)
    * _xlfn.XLOOKUP(B3588, Dim_Hotel!$A$2:$A$11, Dim_Hotel!$J$2:$J$11))</f>
        <v>165</v>
      </c>
    </row>
    <row r="3589" spans="1:13" x14ac:dyDescent="0.25">
      <c r="A3589" s="1">
        <f t="shared" si="448"/>
        <v>46381</v>
      </c>
      <c r="B3589" t="str" cm="1">
        <f t="array" ref="B3589">INDEX(HotelList,MOD(ROW()-2,10)+1)</f>
        <v>H008</v>
      </c>
      <c r="C3589">
        <f>_xlfn.XLOOKUP(B3589,Dim_Hotel!$A$2:$A$11,Dim_Hotel!$F$2:$F$11)</f>
        <v>103</v>
      </c>
      <c r="D3589">
        <f t="shared" si="449"/>
        <v>57</v>
      </c>
      <c r="E3589">
        <f t="shared" si="450"/>
        <v>0.55339805825242716</v>
      </c>
      <c r="F3589">
        <f t="shared" si="451"/>
        <v>140</v>
      </c>
      <c r="G3589">
        <f t="shared" si="452"/>
        <v>77.475728155339809</v>
      </c>
      <c r="H3589" t="str">
        <f>_xlfn.XLOOKUP(A3589,Fact_Events!$D$2:$D$20,Fact_Events!$A$2:$A$20, "")</f>
        <v/>
      </c>
      <c r="I3589">
        <f t="shared" si="453"/>
        <v>0</v>
      </c>
      <c r="J3589" t="str">
        <f>_xlfn.XLOOKUP(H3589, Fact_Events!$A$2:$A$20, Fact_Events!$F$2:$F$20, "")</f>
        <v/>
      </c>
      <c r="K3589" t="str">
        <f t="shared" si="454"/>
        <v>Low</v>
      </c>
      <c r="L3589">
        <f t="shared" si="455"/>
        <v>0.55000000000000004</v>
      </c>
      <c r="M3589">
        <f>_xlfn.XLOOKUP(B3589, Dim_Hotel!$A$2:$A$11, Dim_Hotel!$I$2:$I$11)
 + (IF(J3589="",0,J3589)
    * _xlfn.XLOOKUP(B3589, Dim_Hotel!$A$2:$A$11, Dim_Hotel!$J$2:$J$11))</f>
        <v>140</v>
      </c>
    </row>
    <row r="3590" spans="1:13" x14ac:dyDescent="0.25">
      <c r="A3590" s="1">
        <f t="shared" si="448"/>
        <v>46381</v>
      </c>
      <c r="B3590" t="str" cm="1">
        <f t="array" ref="B3590">INDEX(HotelList,MOD(ROW()-2,10)+1)</f>
        <v>H009</v>
      </c>
      <c r="C3590">
        <f>_xlfn.XLOOKUP(B3590,Dim_Hotel!$A$2:$A$11,Dim_Hotel!$F$2:$F$11)</f>
        <v>114</v>
      </c>
      <c r="D3590">
        <f t="shared" si="449"/>
        <v>63</v>
      </c>
      <c r="E3590">
        <f t="shared" si="450"/>
        <v>0.55263157894736847</v>
      </c>
      <c r="F3590">
        <f t="shared" si="451"/>
        <v>185</v>
      </c>
      <c r="G3590">
        <f t="shared" si="452"/>
        <v>102.23684210526316</v>
      </c>
      <c r="H3590" t="str">
        <f>_xlfn.XLOOKUP(A3590,Fact_Events!$D$2:$D$20,Fact_Events!$A$2:$A$20, "")</f>
        <v/>
      </c>
      <c r="I3590">
        <f t="shared" si="453"/>
        <v>0</v>
      </c>
      <c r="J3590" t="str">
        <f>_xlfn.XLOOKUP(H3590, Fact_Events!$A$2:$A$20, Fact_Events!$F$2:$F$20, "")</f>
        <v/>
      </c>
      <c r="K3590" t="str">
        <f t="shared" si="454"/>
        <v>Low</v>
      </c>
      <c r="L3590">
        <f t="shared" si="455"/>
        <v>0.55000000000000004</v>
      </c>
      <c r="M3590">
        <f>_xlfn.XLOOKUP(B3590, Dim_Hotel!$A$2:$A$11, Dim_Hotel!$I$2:$I$11)
 + (IF(J3590="",0,J3590)
    * _xlfn.XLOOKUP(B3590, Dim_Hotel!$A$2:$A$11, Dim_Hotel!$J$2:$J$11))</f>
        <v>185</v>
      </c>
    </row>
    <row r="3591" spans="1:13" x14ac:dyDescent="0.25">
      <c r="A3591" s="1">
        <f t="shared" si="448"/>
        <v>46381</v>
      </c>
      <c r="B3591" t="str" cm="1">
        <f t="array" ref="B3591">INDEX(HotelList,MOD(ROW()-2,10)+1)</f>
        <v>H010</v>
      </c>
      <c r="C3591">
        <f>_xlfn.XLOOKUP(B3591,Dim_Hotel!$A$2:$A$11,Dim_Hotel!$F$2:$F$11)</f>
        <v>89</v>
      </c>
      <c r="D3591">
        <f t="shared" si="449"/>
        <v>49</v>
      </c>
      <c r="E3591">
        <f t="shared" si="450"/>
        <v>0.550561797752809</v>
      </c>
      <c r="F3591">
        <f t="shared" si="451"/>
        <v>150</v>
      </c>
      <c r="G3591">
        <f t="shared" si="452"/>
        <v>82.584269662921344</v>
      </c>
      <c r="H3591" t="str">
        <f>_xlfn.XLOOKUP(A3591,Fact_Events!$D$2:$D$20,Fact_Events!$A$2:$A$20, "")</f>
        <v/>
      </c>
      <c r="I3591">
        <f t="shared" si="453"/>
        <v>0</v>
      </c>
      <c r="J3591" t="str">
        <f>_xlfn.XLOOKUP(H3591, Fact_Events!$A$2:$A$20, Fact_Events!$F$2:$F$20, "")</f>
        <v/>
      </c>
      <c r="K3591" t="str">
        <f t="shared" si="454"/>
        <v>Low</v>
      </c>
      <c r="L3591">
        <f t="shared" si="455"/>
        <v>0.55000000000000004</v>
      </c>
      <c r="M3591">
        <f>_xlfn.XLOOKUP(B3591, Dim_Hotel!$A$2:$A$11, Dim_Hotel!$I$2:$I$11)
 + (IF(J3591="",0,J3591)
    * _xlfn.XLOOKUP(B3591, Dim_Hotel!$A$2:$A$11, Dim_Hotel!$J$2:$J$11))</f>
        <v>150</v>
      </c>
    </row>
    <row r="3592" spans="1:13" x14ac:dyDescent="0.25">
      <c r="A3592" s="1">
        <f t="shared" si="448"/>
        <v>46382</v>
      </c>
      <c r="B3592" t="str" cm="1">
        <f t="array" ref="B3592">INDEX(HotelList,MOD(ROW()-2,10)+1)</f>
        <v>H001</v>
      </c>
      <c r="C3592">
        <f>_xlfn.XLOOKUP(B3592,Dim_Hotel!$A$2:$A$11,Dim_Hotel!$F$2:$F$11)</f>
        <v>888</v>
      </c>
      <c r="D3592">
        <f t="shared" si="449"/>
        <v>488</v>
      </c>
      <c r="E3592">
        <f t="shared" si="450"/>
        <v>0.5495495495495496</v>
      </c>
      <c r="F3592">
        <f t="shared" si="451"/>
        <v>260</v>
      </c>
      <c r="G3592">
        <f t="shared" si="452"/>
        <v>142.88288288288288</v>
      </c>
      <c r="H3592" t="str">
        <f>_xlfn.XLOOKUP(A3592,Fact_Events!$D$2:$D$20,Fact_Events!$A$2:$A$20, "")</f>
        <v/>
      </c>
      <c r="I3592">
        <f t="shared" si="453"/>
        <v>0</v>
      </c>
      <c r="J3592" t="str">
        <f>_xlfn.XLOOKUP(H3592, Fact_Events!$A$2:$A$20, Fact_Events!$F$2:$F$20, "")</f>
        <v/>
      </c>
      <c r="K3592" t="str">
        <f t="shared" si="454"/>
        <v>Low</v>
      </c>
      <c r="L3592">
        <f t="shared" si="455"/>
        <v>0.55000000000000004</v>
      </c>
      <c r="M3592">
        <f>_xlfn.XLOOKUP(B3592, Dim_Hotel!$A$2:$A$11, Dim_Hotel!$I$2:$I$11)
 + (IF(J3592="",0,J3592)
    * _xlfn.XLOOKUP(B3592, Dim_Hotel!$A$2:$A$11, Dim_Hotel!$J$2:$J$11))</f>
        <v>260</v>
      </c>
    </row>
    <row r="3593" spans="1:13" x14ac:dyDescent="0.25">
      <c r="A3593" s="1">
        <f t="shared" si="448"/>
        <v>46382</v>
      </c>
      <c r="B3593" t="str" cm="1">
        <f t="array" ref="B3593">INDEX(HotelList,MOD(ROW()-2,10)+1)</f>
        <v>H002</v>
      </c>
      <c r="C3593">
        <f>_xlfn.XLOOKUP(B3593,Dim_Hotel!$A$2:$A$11,Dim_Hotel!$F$2:$F$11)</f>
        <v>147</v>
      </c>
      <c r="D3593">
        <f t="shared" si="449"/>
        <v>81</v>
      </c>
      <c r="E3593">
        <f t="shared" si="450"/>
        <v>0.55102040816326525</v>
      </c>
      <c r="F3593">
        <f t="shared" si="451"/>
        <v>175</v>
      </c>
      <c r="G3593">
        <f t="shared" si="452"/>
        <v>96.428571428571416</v>
      </c>
      <c r="H3593" t="str">
        <f>_xlfn.XLOOKUP(A3593,Fact_Events!$D$2:$D$20,Fact_Events!$A$2:$A$20, "")</f>
        <v/>
      </c>
      <c r="I3593">
        <f t="shared" si="453"/>
        <v>0</v>
      </c>
      <c r="J3593" t="str">
        <f>_xlfn.XLOOKUP(H3593, Fact_Events!$A$2:$A$20, Fact_Events!$F$2:$F$20, "")</f>
        <v/>
      </c>
      <c r="K3593" t="str">
        <f t="shared" si="454"/>
        <v>Low</v>
      </c>
      <c r="L3593">
        <f t="shared" si="455"/>
        <v>0.55000000000000004</v>
      </c>
      <c r="M3593">
        <f>_xlfn.XLOOKUP(B3593, Dim_Hotel!$A$2:$A$11, Dim_Hotel!$I$2:$I$11)
 + (IF(J3593="",0,J3593)
    * _xlfn.XLOOKUP(B3593, Dim_Hotel!$A$2:$A$11, Dim_Hotel!$J$2:$J$11))</f>
        <v>175</v>
      </c>
    </row>
    <row r="3594" spans="1:13" x14ac:dyDescent="0.25">
      <c r="A3594" s="1">
        <f t="shared" si="448"/>
        <v>46382</v>
      </c>
      <c r="B3594" t="str" cm="1">
        <f t="array" ref="B3594">INDEX(HotelList,MOD(ROW()-2,10)+1)</f>
        <v>H003</v>
      </c>
      <c r="C3594">
        <f>_xlfn.XLOOKUP(B3594,Dim_Hotel!$A$2:$A$11,Dim_Hotel!$F$2:$F$11)</f>
        <v>121</v>
      </c>
      <c r="D3594">
        <f t="shared" si="449"/>
        <v>67</v>
      </c>
      <c r="E3594">
        <f t="shared" si="450"/>
        <v>0.55371900826446285</v>
      </c>
      <c r="F3594">
        <f t="shared" si="451"/>
        <v>145</v>
      </c>
      <c r="G3594">
        <f t="shared" si="452"/>
        <v>80.289256198347118</v>
      </c>
      <c r="H3594" t="str">
        <f>_xlfn.XLOOKUP(A3594,Fact_Events!$D$2:$D$20,Fact_Events!$A$2:$A$20, "")</f>
        <v/>
      </c>
      <c r="I3594">
        <f t="shared" si="453"/>
        <v>0</v>
      </c>
      <c r="J3594" t="str">
        <f>_xlfn.XLOOKUP(H3594, Fact_Events!$A$2:$A$20, Fact_Events!$F$2:$F$20, "")</f>
        <v/>
      </c>
      <c r="K3594" t="str">
        <f t="shared" si="454"/>
        <v>Low</v>
      </c>
      <c r="L3594">
        <f t="shared" si="455"/>
        <v>0.55000000000000004</v>
      </c>
      <c r="M3594">
        <f>_xlfn.XLOOKUP(B3594, Dim_Hotel!$A$2:$A$11, Dim_Hotel!$I$2:$I$11)
 + (IF(J3594="",0,J3594)
    * _xlfn.XLOOKUP(B3594, Dim_Hotel!$A$2:$A$11, Dim_Hotel!$J$2:$J$11))</f>
        <v>145</v>
      </c>
    </row>
    <row r="3595" spans="1:13" x14ac:dyDescent="0.25">
      <c r="A3595" s="1">
        <f t="shared" si="448"/>
        <v>46382</v>
      </c>
      <c r="B3595" t="str" cm="1">
        <f t="array" ref="B3595">INDEX(HotelList,MOD(ROW()-2,10)+1)</f>
        <v>H004</v>
      </c>
      <c r="C3595">
        <f>_xlfn.XLOOKUP(B3595,Dim_Hotel!$A$2:$A$11,Dim_Hotel!$F$2:$F$11)</f>
        <v>108</v>
      </c>
      <c r="D3595">
        <f t="shared" si="449"/>
        <v>59</v>
      </c>
      <c r="E3595">
        <f t="shared" si="450"/>
        <v>0.54629629629629628</v>
      </c>
      <c r="F3595">
        <f t="shared" si="451"/>
        <v>135</v>
      </c>
      <c r="G3595">
        <f t="shared" si="452"/>
        <v>73.75</v>
      </c>
      <c r="H3595" t="str">
        <f>_xlfn.XLOOKUP(A3595,Fact_Events!$D$2:$D$20,Fact_Events!$A$2:$A$20, "")</f>
        <v/>
      </c>
      <c r="I3595">
        <f t="shared" si="453"/>
        <v>0</v>
      </c>
      <c r="J3595" t="str">
        <f>_xlfn.XLOOKUP(H3595, Fact_Events!$A$2:$A$20, Fact_Events!$F$2:$F$20, "")</f>
        <v/>
      </c>
      <c r="K3595" t="str">
        <f t="shared" si="454"/>
        <v>Low</v>
      </c>
      <c r="L3595">
        <f t="shared" si="455"/>
        <v>0.55000000000000004</v>
      </c>
      <c r="M3595">
        <f>_xlfn.XLOOKUP(B3595, Dim_Hotel!$A$2:$A$11, Dim_Hotel!$I$2:$I$11)
 + (IF(J3595="",0,J3595)
    * _xlfn.XLOOKUP(B3595, Dim_Hotel!$A$2:$A$11, Dim_Hotel!$J$2:$J$11))</f>
        <v>135</v>
      </c>
    </row>
    <row r="3596" spans="1:13" x14ac:dyDescent="0.25">
      <c r="A3596" s="1">
        <f t="shared" si="448"/>
        <v>46382</v>
      </c>
      <c r="B3596" t="str" cm="1">
        <f t="array" ref="B3596">INDEX(HotelList,MOD(ROW()-2,10)+1)</f>
        <v>H005</v>
      </c>
      <c r="C3596">
        <f>_xlfn.XLOOKUP(B3596,Dim_Hotel!$A$2:$A$11,Dim_Hotel!$F$2:$F$11)</f>
        <v>66</v>
      </c>
      <c r="D3596">
        <f t="shared" si="449"/>
        <v>36</v>
      </c>
      <c r="E3596">
        <f t="shared" si="450"/>
        <v>0.54545454545454541</v>
      </c>
      <c r="F3596">
        <f t="shared" si="451"/>
        <v>82</v>
      </c>
      <c r="G3596">
        <f t="shared" si="452"/>
        <v>44.727272727272727</v>
      </c>
      <c r="H3596" t="str">
        <f>_xlfn.XLOOKUP(A3596,Fact_Events!$D$2:$D$20,Fact_Events!$A$2:$A$20, "")</f>
        <v/>
      </c>
      <c r="I3596">
        <f t="shared" si="453"/>
        <v>0</v>
      </c>
      <c r="J3596" t="str">
        <f>_xlfn.XLOOKUP(H3596, Fact_Events!$A$2:$A$20, Fact_Events!$F$2:$F$20, "")</f>
        <v/>
      </c>
      <c r="K3596" t="str">
        <f t="shared" si="454"/>
        <v>Low</v>
      </c>
      <c r="L3596">
        <f t="shared" si="455"/>
        <v>0.55000000000000004</v>
      </c>
      <c r="M3596">
        <f>_xlfn.XLOOKUP(B3596, Dim_Hotel!$A$2:$A$11, Dim_Hotel!$I$2:$I$11)
 + (IF(J3596="",0,J3596)
    * _xlfn.XLOOKUP(B3596, Dim_Hotel!$A$2:$A$11, Dim_Hotel!$J$2:$J$11))</f>
        <v>82</v>
      </c>
    </row>
    <row r="3597" spans="1:13" x14ac:dyDescent="0.25">
      <c r="A3597" s="1">
        <f t="shared" si="448"/>
        <v>46382</v>
      </c>
      <c r="B3597" t="str" cm="1">
        <f t="array" ref="B3597">INDEX(HotelList,MOD(ROW()-2,10)+1)</f>
        <v>H006</v>
      </c>
      <c r="C3597">
        <f>_xlfn.XLOOKUP(B3597,Dim_Hotel!$A$2:$A$11,Dim_Hotel!$F$2:$F$11)</f>
        <v>311</v>
      </c>
      <c r="D3597">
        <f t="shared" si="449"/>
        <v>171</v>
      </c>
      <c r="E3597">
        <f t="shared" si="450"/>
        <v>0.54983922829581988</v>
      </c>
      <c r="F3597">
        <f t="shared" si="451"/>
        <v>190</v>
      </c>
      <c r="G3597">
        <f t="shared" si="452"/>
        <v>104.46945337620578</v>
      </c>
      <c r="H3597" t="str">
        <f>_xlfn.XLOOKUP(A3597,Fact_Events!$D$2:$D$20,Fact_Events!$A$2:$A$20, "")</f>
        <v/>
      </c>
      <c r="I3597">
        <f t="shared" si="453"/>
        <v>0</v>
      </c>
      <c r="J3597" t="str">
        <f>_xlfn.XLOOKUP(H3597, Fact_Events!$A$2:$A$20, Fact_Events!$F$2:$F$20, "")</f>
        <v/>
      </c>
      <c r="K3597" t="str">
        <f t="shared" si="454"/>
        <v>Low</v>
      </c>
      <c r="L3597">
        <f t="shared" si="455"/>
        <v>0.55000000000000004</v>
      </c>
      <c r="M3597">
        <f>_xlfn.XLOOKUP(B3597, Dim_Hotel!$A$2:$A$11, Dim_Hotel!$I$2:$I$11)
 + (IF(J3597="",0,J3597)
    * _xlfn.XLOOKUP(B3597, Dim_Hotel!$A$2:$A$11, Dim_Hotel!$J$2:$J$11))</f>
        <v>190</v>
      </c>
    </row>
    <row r="3598" spans="1:13" x14ac:dyDescent="0.25">
      <c r="A3598" s="1">
        <f t="shared" si="448"/>
        <v>46382</v>
      </c>
      <c r="B3598" t="str" cm="1">
        <f t="array" ref="B3598">INDEX(HotelList,MOD(ROW()-2,10)+1)</f>
        <v>H007</v>
      </c>
      <c r="C3598">
        <f>_xlfn.XLOOKUP(B3598,Dim_Hotel!$A$2:$A$11,Dim_Hotel!$F$2:$F$11)</f>
        <v>132</v>
      </c>
      <c r="D3598">
        <f t="shared" si="449"/>
        <v>73</v>
      </c>
      <c r="E3598">
        <f t="shared" si="450"/>
        <v>0.55303030303030298</v>
      </c>
      <c r="F3598">
        <f t="shared" si="451"/>
        <v>165</v>
      </c>
      <c r="G3598">
        <f t="shared" si="452"/>
        <v>91.249999999999986</v>
      </c>
      <c r="H3598" t="str">
        <f>_xlfn.XLOOKUP(A3598,Fact_Events!$D$2:$D$20,Fact_Events!$A$2:$A$20, "")</f>
        <v/>
      </c>
      <c r="I3598">
        <f t="shared" si="453"/>
        <v>0</v>
      </c>
      <c r="J3598" t="str">
        <f>_xlfn.XLOOKUP(H3598, Fact_Events!$A$2:$A$20, Fact_Events!$F$2:$F$20, "")</f>
        <v/>
      </c>
      <c r="K3598" t="str">
        <f t="shared" si="454"/>
        <v>Low</v>
      </c>
      <c r="L3598">
        <f t="shared" si="455"/>
        <v>0.55000000000000004</v>
      </c>
      <c r="M3598">
        <f>_xlfn.XLOOKUP(B3598, Dim_Hotel!$A$2:$A$11, Dim_Hotel!$I$2:$I$11)
 + (IF(J3598="",0,J3598)
    * _xlfn.XLOOKUP(B3598, Dim_Hotel!$A$2:$A$11, Dim_Hotel!$J$2:$J$11))</f>
        <v>165</v>
      </c>
    </row>
    <row r="3599" spans="1:13" x14ac:dyDescent="0.25">
      <c r="A3599" s="1">
        <f t="shared" si="448"/>
        <v>46382</v>
      </c>
      <c r="B3599" t="str" cm="1">
        <f t="array" ref="B3599">INDEX(HotelList,MOD(ROW()-2,10)+1)</f>
        <v>H008</v>
      </c>
      <c r="C3599">
        <f>_xlfn.XLOOKUP(B3599,Dim_Hotel!$A$2:$A$11,Dim_Hotel!$F$2:$F$11)</f>
        <v>103</v>
      </c>
      <c r="D3599">
        <f t="shared" si="449"/>
        <v>57</v>
      </c>
      <c r="E3599">
        <f t="shared" si="450"/>
        <v>0.55339805825242716</v>
      </c>
      <c r="F3599">
        <f t="shared" si="451"/>
        <v>140</v>
      </c>
      <c r="G3599">
        <f t="shared" si="452"/>
        <v>77.475728155339809</v>
      </c>
      <c r="H3599" t="str">
        <f>_xlfn.XLOOKUP(A3599,Fact_Events!$D$2:$D$20,Fact_Events!$A$2:$A$20, "")</f>
        <v/>
      </c>
      <c r="I3599">
        <f t="shared" si="453"/>
        <v>0</v>
      </c>
      <c r="J3599" t="str">
        <f>_xlfn.XLOOKUP(H3599, Fact_Events!$A$2:$A$20, Fact_Events!$F$2:$F$20, "")</f>
        <v/>
      </c>
      <c r="K3599" t="str">
        <f t="shared" si="454"/>
        <v>Low</v>
      </c>
      <c r="L3599">
        <f t="shared" si="455"/>
        <v>0.55000000000000004</v>
      </c>
      <c r="M3599">
        <f>_xlfn.XLOOKUP(B3599, Dim_Hotel!$A$2:$A$11, Dim_Hotel!$I$2:$I$11)
 + (IF(J3599="",0,J3599)
    * _xlfn.XLOOKUP(B3599, Dim_Hotel!$A$2:$A$11, Dim_Hotel!$J$2:$J$11))</f>
        <v>140</v>
      </c>
    </row>
    <row r="3600" spans="1:13" x14ac:dyDescent="0.25">
      <c r="A3600" s="1">
        <f t="shared" si="448"/>
        <v>46382</v>
      </c>
      <c r="B3600" t="str" cm="1">
        <f t="array" ref="B3600">INDEX(HotelList,MOD(ROW()-2,10)+1)</f>
        <v>H009</v>
      </c>
      <c r="C3600">
        <f>_xlfn.XLOOKUP(B3600,Dim_Hotel!$A$2:$A$11,Dim_Hotel!$F$2:$F$11)</f>
        <v>114</v>
      </c>
      <c r="D3600">
        <f t="shared" si="449"/>
        <v>63</v>
      </c>
      <c r="E3600">
        <f t="shared" si="450"/>
        <v>0.55263157894736847</v>
      </c>
      <c r="F3600">
        <f t="shared" si="451"/>
        <v>185</v>
      </c>
      <c r="G3600">
        <f t="shared" si="452"/>
        <v>102.23684210526316</v>
      </c>
      <c r="H3600" t="str">
        <f>_xlfn.XLOOKUP(A3600,Fact_Events!$D$2:$D$20,Fact_Events!$A$2:$A$20, "")</f>
        <v/>
      </c>
      <c r="I3600">
        <f t="shared" si="453"/>
        <v>0</v>
      </c>
      <c r="J3600" t="str">
        <f>_xlfn.XLOOKUP(H3600, Fact_Events!$A$2:$A$20, Fact_Events!$F$2:$F$20, "")</f>
        <v/>
      </c>
      <c r="K3600" t="str">
        <f t="shared" si="454"/>
        <v>Low</v>
      </c>
      <c r="L3600">
        <f t="shared" si="455"/>
        <v>0.55000000000000004</v>
      </c>
      <c r="M3600">
        <f>_xlfn.XLOOKUP(B3600, Dim_Hotel!$A$2:$A$11, Dim_Hotel!$I$2:$I$11)
 + (IF(J3600="",0,J3600)
    * _xlfn.XLOOKUP(B3600, Dim_Hotel!$A$2:$A$11, Dim_Hotel!$J$2:$J$11))</f>
        <v>185</v>
      </c>
    </row>
    <row r="3601" spans="1:13" x14ac:dyDescent="0.25">
      <c r="A3601" s="1">
        <f t="shared" si="448"/>
        <v>46382</v>
      </c>
      <c r="B3601" t="str" cm="1">
        <f t="array" ref="B3601">INDEX(HotelList,MOD(ROW()-2,10)+1)</f>
        <v>H010</v>
      </c>
      <c r="C3601">
        <f>_xlfn.XLOOKUP(B3601,Dim_Hotel!$A$2:$A$11,Dim_Hotel!$F$2:$F$11)</f>
        <v>89</v>
      </c>
      <c r="D3601">
        <f t="shared" si="449"/>
        <v>49</v>
      </c>
      <c r="E3601">
        <f t="shared" si="450"/>
        <v>0.550561797752809</v>
      </c>
      <c r="F3601">
        <f t="shared" si="451"/>
        <v>150</v>
      </c>
      <c r="G3601">
        <f t="shared" si="452"/>
        <v>82.584269662921344</v>
      </c>
      <c r="H3601" t="str">
        <f>_xlfn.XLOOKUP(A3601,Fact_Events!$D$2:$D$20,Fact_Events!$A$2:$A$20, "")</f>
        <v/>
      </c>
      <c r="I3601">
        <f t="shared" si="453"/>
        <v>0</v>
      </c>
      <c r="J3601" t="str">
        <f>_xlfn.XLOOKUP(H3601, Fact_Events!$A$2:$A$20, Fact_Events!$F$2:$F$20, "")</f>
        <v/>
      </c>
      <c r="K3601" t="str">
        <f t="shared" si="454"/>
        <v>Low</v>
      </c>
      <c r="L3601">
        <f t="shared" si="455"/>
        <v>0.55000000000000004</v>
      </c>
      <c r="M3601">
        <f>_xlfn.XLOOKUP(B3601, Dim_Hotel!$A$2:$A$11, Dim_Hotel!$I$2:$I$11)
 + (IF(J3601="",0,J3601)
    * _xlfn.XLOOKUP(B3601, Dim_Hotel!$A$2:$A$11, Dim_Hotel!$J$2:$J$11))</f>
        <v>150</v>
      </c>
    </row>
    <row r="3602" spans="1:13" x14ac:dyDescent="0.25">
      <c r="A3602" s="1">
        <f t="shared" si="448"/>
        <v>46383</v>
      </c>
      <c r="B3602" t="str" cm="1">
        <f t="array" ref="B3602">INDEX(HotelList,MOD(ROW()-2,10)+1)</f>
        <v>H001</v>
      </c>
      <c r="C3602">
        <f>_xlfn.XLOOKUP(B3602,Dim_Hotel!$A$2:$A$11,Dim_Hotel!$F$2:$F$11)</f>
        <v>888</v>
      </c>
      <c r="D3602">
        <f t="shared" si="449"/>
        <v>488</v>
      </c>
      <c r="E3602">
        <f t="shared" si="450"/>
        <v>0.5495495495495496</v>
      </c>
      <c r="F3602">
        <f t="shared" si="451"/>
        <v>260</v>
      </c>
      <c r="G3602">
        <f t="shared" si="452"/>
        <v>142.88288288288288</v>
      </c>
      <c r="H3602" t="str">
        <f>_xlfn.XLOOKUP(A3602,Fact_Events!$D$2:$D$20,Fact_Events!$A$2:$A$20, "")</f>
        <v/>
      </c>
      <c r="I3602">
        <f t="shared" si="453"/>
        <v>0</v>
      </c>
      <c r="J3602" t="str">
        <f>_xlfn.XLOOKUP(H3602, Fact_Events!$A$2:$A$20, Fact_Events!$F$2:$F$20, "")</f>
        <v/>
      </c>
      <c r="K3602" t="str">
        <f t="shared" si="454"/>
        <v>Low</v>
      </c>
      <c r="L3602">
        <f t="shared" si="455"/>
        <v>0.55000000000000004</v>
      </c>
      <c r="M3602">
        <f>_xlfn.XLOOKUP(B3602, Dim_Hotel!$A$2:$A$11, Dim_Hotel!$I$2:$I$11)
 + (IF(J3602="",0,J3602)
    * _xlfn.XLOOKUP(B3602, Dim_Hotel!$A$2:$A$11, Dim_Hotel!$J$2:$J$11))</f>
        <v>260</v>
      </c>
    </row>
    <row r="3603" spans="1:13" x14ac:dyDescent="0.25">
      <c r="A3603" s="1">
        <f t="shared" si="448"/>
        <v>46383</v>
      </c>
      <c r="B3603" t="str" cm="1">
        <f t="array" ref="B3603">INDEX(HotelList,MOD(ROW()-2,10)+1)</f>
        <v>H002</v>
      </c>
      <c r="C3603">
        <f>_xlfn.XLOOKUP(B3603,Dim_Hotel!$A$2:$A$11,Dim_Hotel!$F$2:$F$11)</f>
        <v>147</v>
      </c>
      <c r="D3603">
        <f t="shared" si="449"/>
        <v>81</v>
      </c>
      <c r="E3603">
        <f t="shared" si="450"/>
        <v>0.55102040816326525</v>
      </c>
      <c r="F3603">
        <f t="shared" si="451"/>
        <v>175</v>
      </c>
      <c r="G3603">
        <f t="shared" si="452"/>
        <v>96.428571428571416</v>
      </c>
      <c r="H3603" t="str">
        <f>_xlfn.XLOOKUP(A3603,Fact_Events!$D$2:$D$20,Fact_Events!$A$2:$A$20, "")</f>
        <v/>
      </c>
      <c r="I3603">
        <f t="shared" si="453"/>
        <v>0</v>
      </c>
      <c r="J3603" t="str">
        <f>_xlfn.XLOOKUP(H3603, Fact_Events!$A$2:$A$20, Fact_Events!$F$2:$F$20, "")</f>
        <v/>
      </c>
      <c r="K3603" t="str">
        <f t="shared" si="454"/>
        <v>Low</v>
      </c>
      <c r="L3603">
        <f t="shared" si="455"/>
        <v>0.55000000000000004</v>
      </c>
      <c r="M3603">
        <f>_xlfn.XLOOKUP(B3603, Dim_Hotel!$A$2:$A$11, Dim_Hotel!$I$2:$I$11)
 + (IF(J3603="",0,J3603)
    * _xlfn.XLOOKUP(B3603, Dim_Hotel!$A$2:$A$11, Dim_Hotel!$J$2:$J$11))</f>
        <v>175</v>
      </c>
    </row>
    <row r="3604" spans="1:13" x14ac:dyDescent="0.25">
      <c r="A3604" s="1">
        <f t="shared" si="448"/>
        <v>46383</v>
      </c>
      <c r="B3604" t="str" cm="1">
        <f t="array" ref="B3604">INDEX(HotelList,MOD(ROW()-2,10)+1)</f>
        <v>H003</v>
      </c>
      <c r="C3604">
        <f>_xlfn.XLOOKUP(B3604,Dim_Hotel!$A$2:$A$11,Dim_Hotel!$F$2:$F$11)</f>
        <v>121</v>
      </c>
      <c r="D3604">
        <f t="shared" si="449"/>
        <v>67</v>
      </c>
      <c r="E3604">
        <f t="shared" si="450"/>
        <v>0.55371900826446285</v>
      </c>
      <c r="F3604">
        <f t="shared" si="451"/>
        <v>145</v>
      </c>
      <c r="G3604">
        <f t="shared" si="452"/>
        <v>80.289256198347118</v>
      </c>
      <c r="H3604" t="str">
        <f>_xlfn.XLOOKUP(A3604,Fact_Events!$D$2:$D$20,Fact_Events!$A$2:$A$20, "")</f>
        <v/>
      </c>
      <c r="I3604">
        <f t="shared" si="453"/>
        <v>0</v>
      </c>
      <c r="J3604" t="str">
        <f>_xlfn.XLOOKUP(H3604, Fact_Events!$A$2:$A$20, Fact_Events!$F$2:$F$20, "")</f>
        <v/>
      </c>
      <c r="K3604" t="str">
        <f t="shared" si="454"/>
        <v>Low</v>
      </c>
      <c r="L3604">
        <f t="shared" si="455"/>
        <v>0.55000000000000004</v>
      </c>
      <c r="M3604">
        <f>_xlfn.XLOOKUP(B3604, Dim_Hotel!$A$2:$A$11, Dim_Hotel!$I$2:$I$11)
 + (IF(J3604="",0,J3604)
    * _xlfn.XLOOKUP(B3604, Dim_Hotel!$A$2:$A$11, Dim_Hotel!$J$2:$J$11))</f>
        <v>145</v>
      </c>
    </row>
    <row r="3605" spans="1:13" x14ac:dyDescent="0.25">
      <c r="A3605" s="1">
        <f t="shared" si="448"/>
        <v>46383</v>
      </c>
      <c r="B3605" t="str" cm="1">
        <f t="array" ref="B3605">INDEX(HotelList,MOD(ROW()-2,10)+1)</f>
        <v>H004</v>
      </c>
      <c r="C3605">
        <f>_xlfn.XLOOKUP(B3605,Dim_Hotel!$A$2:$A$11,Dim_Hotel!$F$2:$F$11)</f>
        <v>108</v>
      </c>
      <c r="D3605">
        <f t="shared" si="449"/>
        <v>59</v>
      </c>
      <c r="E3605">
        <f t="shared" si="450"/>
        <v>0.54629629629629628</v>
      </c>
      <c r="F3605">
        <f t="shared" si="451"/>
        <v>135</v>
      </c>
      <c r="G3605">
        <f t="shared" si="452"/>
        <v>73.75</v>
      </c>
      <c r="H3605" t="str">
        <f>_xlfn.XLOOKUP(A3605,Fact_Events!$D$2:$D$20,Fact_Events!$A$2:$A$20, "")</f>
        <v/>
      </c>
      <c r="I3605">
        <f t="shared" si="453"/>
        <v>0</v>
      </c>
      <c r="J3605" t="str">
        <f>_xlfn.XLOOKUP(H3605, Fact_Events!$A$2:$A$20, Fact_Events!$F$2:$F$20, "")</f>
        <v/>
      </c>
      <c r="K3605" t="str">
        <f t="shared" si="454"/>
        <v>Low</v>
      </c>
      <c r="L3605">
        <f t="shared" si="455"/>
        <v>0.55000000000000004</v>
      </c>
      <c r="M3605">
        <f>_xlfn.XLOOKUP(B3605, Dim_Hotel!$A$2:$A$11, Dim_Hotel!$I$2:$I$11)
 + (IF(J3605="",0,J3605)
    * _xlfn.XLOOKUP(B3605, Dim_Hotel!$A$2:$A$11, Dim_Hotel!$J$2:$J$11))</f>
        <v>135</v>
      </c>
    </row>
    <row r="3606" spans="1:13" x14ac:dyDescent="0.25">
      <c r="A3606" s="1">
        <f t="shared" si="448"/>
        <v>46383</v>
      </c>
      <c r="B3606" t="str" cm="1">
        <f t="array" ref="B3606">INDEX(HotelList,MOD(ROW()-2,10)+1)</f>
        <v>H005</v>
      </c>
      <c r="C3606">
        <f>_xlfn.XLOOKUP(B3606,Dim_Hotel!$A$2:$A$11,Dim_Hotel!$F$2:$F$11)</f>
        <v>66</v>
      </c>
      <c r="D3606">
        <f t="shared" si="449"/>
        <v>36</v>
      </c>
      <c r="E3606">
        <f t="shared" si="450"/>
        <v>0.54545454545454541</v>
      </c>
      <c r="F3606">
        <f t="shared" si="451"/>
        <v>82</v>
      </c>
      <c r="G3606">
        <f t="shared" si="452"/>
        <v>44.727272727272727</v>
      </c>
      <c r="H3606" t="str">
        <f>_xlfn.XLOOKUP(A3606,Fact_Events!$D$2:$D$20,Fact_Events!$A$2:$A$20, "")</f>
        <v/>
      </c>
      <c r="I3606">
        <f t="shared" si="453"/>
        <v>0</v>
      </c>
      <c r="J3606" t="str">
        <f>_xlfn.XLOOKUP(H3606, Fact_Events!$A$2:$A$20, Fact_Events!$F$2:$F$20, "")</f>
        <v/>
      </c>
      <c r="K3606" t="str">
        <f t="shared" si="454"/>
        <v>Low</v>
      </c>
      <c r="L3606">
        <f t="shared" si="455"/>
        <v>0.55000000000000004</v>
      </c>
      <c r="M3606">
        <f>_xlfn.XLOOKUP(B3606, Dim_Hotel!$A$2:$A$11, Dim_Hotel!$I$2:$I$11)
 + (IF(J3606="",0,J3606)
    * _xlfn.XLOOKUP(B3606, Dim_Hotel!$A$2:$A$11, Dim_Hotel!$J$2:$J$11))</f>
        <v>82</v>
      </c>
    </row>
    <row r="3607" spans="1:13" x14ac:dyDescent="0.25">
      <c r="A3607" s="1">
        <f t="shared" si="448"/>
        <v>46383</v>
      </c>
      <c r="B3607" t="str" cm="1">
        <f t="array" ref="B3607">INDEX(HotelList,MOD(ROW()-2,10)+1)</f>
        <v>H006</v>
      </c>
      <c r="C3607">
        <f>_xlfn.XLOOKUP(B3607,Dim_Hotel!$A$2:$A$11,Dim_Hotel!$F$2:$F$11)</f>
        <v>311</v>
      </c>
      <c r="D3607">
        <f t="shared" si="449"/>
        <v>171</v>
      </c>
      <c r="E3607">
        <f t="shared" si="450"/>
        <v>0.54983922829581988</v>
      </c>
      <c r="F3607">
        <f t="shared" si="451"/>
        <v>190</v>
      </c>
      <c r="G3607">
        <f t="shared" si="452"/>
        <v>104.46945337620578</v>
      </c>
      <c r="H3607" t="str">
        <f>_xlfn.XLOOKUP(A3607,Fact_Events!$D$2:$D$20,Fact_Events!$A$2:$A$20, "")</f>
        <v/>
      </c>
      <c r="I3607">
        <f t="shared" si="453"/>
        <v>0</v>
      </c>
      <c r="J3607" t="str">
        <f>_xlfn.XLOOKUP(H3607, Fact_Events!$A$2:$A$20, Fact_Events!$F$2:$F$20, "")</f>
        <v/>
      </c>
      <c r="K3607" t="str">
        <f t="shared" si="454"/>
        <v>Low</v>
      </c>
      <c r="L3607">
        <f t="shared" si="455"/>
        <v>0.55000000000000004</v>
      </c>
      <c r="M3607">
        <f>_xlfn.XLOOKUP(B3607, Dim_Hotel!$A$2:$A$11, Dim_Hotel!$I$2:$I$11)
 + (IF(J3607="",0,J3607)
    * _xlfn.XLOOKUP(B3607, Dim_Hotel!$A$2:$A$11, Dim_Hotel!$J$2:$J$11))</f>
        <v>190</v>
      </c>
    </row>
    <row r="3608" spans="1:13" x14ac:dyDescent="0.25">
      <c r="A3608" s="1">
        <f t="shared" si="448"/>
        <v>46383</v>
      </c>
      <c r="B3608" t="str" cm="1">
        <f t="array" ref="B3608">INDEX(HotelList,MOD(ROW()-2,10)+1)</f>
        <v>H007</v>
      </c>
      <c r="C3608">
        <f>_xlfn.XLOOKUP(B3608,Dim_Hotel!$A$2:$A$11,Dim_Hotel!$F$2:$F$11)</f>
        <v>132</v>
      </c>
      <c r="D3608">
        <f t="shared" si="449"/>
        <v>73</v>
      </c>
      <c r="E3608">
        <f t="shared" si="450"/>
        <v>0.55303030303030298</v>
      </c>
      <c r="F3608">
        <f t="shared" si="451"/>
        <v>165</v>
      </c>
      <c r="G3608">
        <f t="shared" si="452"/>
        <v>91.249999999999986</v>
      </c>
      <c r="H3608" t="str">
        <f>_xlfn.XLOOKUP(A3608,Fact_Events!$D$2:$D$20,Fact_Events!$A$2:$A$20, "")</f>
        <v/>
      </c>
      <c r="I3608">
        <f t="shared" si="453"/>
        <v>0</v>
      </c>
      <c r="J3608" t="str">
        <f>_xlfn.XLOOKUP(H3608, Fact_Events!$A$2:$A$20, Fact_Events!$F$2:$F$20, "")</f>
        <v/>
      </c>
      <c r="K3608" t="str">
        <f t="shared" si="454"/>
        <v>Low</v>
      </c>
      <c r="L3608">
        <f t="shared" si="455"/>
        <v>0.55000000000000004</v>
      </c>
      <c r="M3608">
        <f>_xlfn.XLOOKUP(B3608, Dim_Hotel!$A$2:$A$11, Dim_Hotel!$I$2:$I$11)
 + (IF(J3608="",0,J3608)
    * _xlfn.XLOOKUP(B3608, Dim_Hotel!$A$2:$A$11, Dim_Hotel!$J$2:$J$11))</f>
        <v>165</v>
      </c>
    </row>
    <row r="3609" spans="1:13" x14ac:dyDescent="0.25">
      <c r="A3609" s="1">
        <f t="shared" si="448"/>
        <v>46383</v>
      </c>
      <c r="B3609" t="str" cm="1">
        <f t="array" ref="B3609">INDEX(HotelList,MOD(ROW()-2,10)+1)</f>
        <v>H008</v>
      </c>
      <c r="C3609">
        <f>_xlfn.XLOOKUP(B3609,Dim_Hotel!$A$2:$A$11,Dim_Hotel!$F$2:$F$11)</f>
        <v>103</v>
      </c>
      <c r="D3609">
        <f t="shared" si="449"/>
        <v>57</v>
      </c>
      <c r="E3609">
        <f t="shared" si="450"/>
        <v>0.55339805825242716</v>
      </c>
      <c r="F3609">
        <f t="shared" si="451"/>
        <v>140</v>
      </c>
      <c r="G3609">
        <f t="shared" si="452"/>
        <v>77.475728155339809</v>
      </c>
      <c r="H3609" t="str">
        <f>_xlfn.XLOOKUP(A3609,Fact_Events!$D$2:$D$20,Fact_Events!$A$2:$A$20, "")</f>
        <v/>
      </c>
      <c r="I3609">
        <f t="shared" si="453"/>
        <v>0</v>
      </c>
      <c r="J3609" t="str">
        <f>_xlfn.XLOOKUP(H3609, Fact_Events!$A$2:$A$20, Fact_Events!$F$2:$F$20, "")</f>
        <v/>
      </c>
      <c r="K3609" t="str">
        <f t="shared" si="454"/>
        <v>Low</v>
      </c>
      <c r="L3609">
        <f t="shared" si="455"/>
        <v>0.55000000000000004</v>
      </c>
      <c r="M3609">
        <f>_xlfn.XLOOKUP(B3609, Dim_Hotel!$A$2:$A$11, Dim_Hotel!$I$2:$I$11)
 + (IF(J3609="",0,J3609)
    * _xlfn.XLOOKUP(B3609, Dim_Hotel!$A$2:$A$11, Dim_Hotel!$J$2:$J$11))</f>
        <v>140</v>
      </c>
    </row>
    <row r="3610" spans="1:13" x14ac:dyDescent="0.25">
      <c r="A3610" s="1">
        <f t="shared" si="448"/>
        <v>46383</v>
      </c>
      <c r="B3610" t="str" cm="1">
        <f t="array" ref="B3610">INDEX(HotelList,MOD(ROW()-2,10)+1)</f>
        <v>H009</v>
      </c>
      <c r="C3610">
        <f>_xlfn.XLOOKUP(B3610,Dim_Hotel!$A$2:$A$11,Dim_Hotel!$F$2:$F$11)</f>
        <v>114</v>
      </c>
      <c r="D3610">
        <f t="shared" si="449"/>
        <v>63</v>
      </c>
      <c r="E3610">
        <f t="shared" si="450"/>
        <v>0.55263157894736847</v>
      </c>
      <c r="F3610">
        <f t="shared" si="451"/>
        <v>185</v>
      </c>
      <c r="G3610">
        <f t="shared" si="452"/>
        <v>102.23684210526316</v>
      </c>
      <c r="H3610" t="str">
        <f>_xlfn.XLOOKUP(A3610,Fact_Events!$D$2:$D$20,Fact_Events!$A$2:$A$20, "")</f>
        <v/>
      </c>
      <c r="I3610">
        <f t="shared" si="453"/>
        <v>0</v>
      </c>
      <c r="J3610" t="str">
        <f>_xlfn.XLOOKUP(H3610, Fact_Events!$A$2:$A$20, Fact_Events!$F$2:$F$20, "")</f>
        <v/>
      </c>
      <c r="K3610" t="str">
        <f t="shared" si="454"/>
        <v>Low</v>
      </c>
      <c r="L3610">
        <f t="shared" si="455"/>
        <v>0.55000000000000004</v>
      </c>
      <c r="M3610">
        <f>_xlfn.XLOOKUP(B3610, Dim_Hotel!$A$2:$A$11, Dim_Hotel!$I$2:$I$11)
 + (IF(J3610="",0,J3610)
    * _xlfn.XLOOKUP(B3610, Dim_Hotel!$A$2:$A$11, Dim_Hotel!$J$2:$J$11))</f>
        <v>185</v>
      </c>
    </row>
    <row r="3611" spans="1:13" x14ac:dyDescent="0.25">
      <c r="A3611" s="1">
        <f t="shared" si="448"/>
        <v>46383</v>
      </c>
      <c r="B3611" t="str" cm="1">
        <f t="array" ref="B3611">INDEX(HotelList,MOD(ROW()-2,10)+1)</f>
        <v>H010</v>
      </c>
      <c r="C3611">
        <f>_xlfn.XLOOKUP(B3611,Dim_Hotel!$A$2:$A$11,Dim_Hotel!$F$2:$F$11)</f>
        <v>89</v>
      </c>
      <c r="D3611">
        <f t="shared" si="449"/>
        <v>49</v>
      </c>
      <c r="E3611">
        <f t="shared" si="450"/>
        <v>0.550561797752809</v>
      </c>
      <c r="F3611">
        <f t="shared" si="451"/>
        <v>150</v>
      </c>
      <c r="G3611">
        <f t="shared" si="452"/>
        <v>82.584269662921344</v>
      </c>
      <c r="H3611" t="str">
        <f>_xlfn.XLOOKUP(A3611,Fact_Events!$D$2:$D$20,Fact_Events!$A$2:$A$20, "")</f>
        <v/>
      </c>
      <c r="I3611">
        <f t="shared" si="453"/>
        <v>0</v>
      </c>
      <c r="J3611" t="str">
        <f>_xlfn.XLOOKUP(H3611, Fact_Events!$A$2:$A$20, Fact_Events!$F$2:$F$20, "")</f>
        <v/>
      </c>
      <c r="K3611" t="str">
        <f t="shared" si="454"/>
        <v>Low</v>
      </c>
      <c r="L3611">
        <f t="shared" si="455"/>
        <v>0.55000000000000004</v>
      </c>
      <c r="M3611">
        <f>_xlfn.XLOOKUP(B3611, Dim_Hotel!$A$2:$A$11, Dim_Hotel!$I$2:$I$11)
 + (IF(J3611="",0,J3611)
    * _xlfn.XLOOKUP(B3611, Dim_Hotel!$A$2:$A$11, Dim_Hotel!$J$2:$J$11))</f>
        <v>150</v>
      </c>
    </row>
    <row r="3612" spans="1:13" x14ac:dyDescent="0.25">
      <c r="A3612" s="1">
        <f t="shared" si="448"/>
        <v>46384</v>
      </c>
      <c r="B3612" t="str" cm="1">
        <f t="array" ref="B3612">INDEX(HotelList,MOD(ROW()-2,10)+1)</f>
        <v>H001</v>
      </c>
      <c r="C3612">
        <f>_xlfn.XLOOKUP(B3612,Dim_Hotel!$A$2:$A$11,Dim_Hotel!$F$2:$F$11)</f>
        <v>888</v>
      </c>
      <c r="D3612">
        <f t="shared" si="449"/>
        <v>488</v>
      </c>
      <c r="E3612">
        <f t="shared" si="450"/>
        <v>0.5495495495495496</v>
      </c>
      <c r="F3612">
        <f t="shared" si="451"/>
        <v>260</v>
      </c>
      <c r="G3612">
        <f t="shared" si="452"/>
        <v>142.88288288288288</v>
      </c>
      <c r="H3612" t="str">
        <f>_xlfn.XLOOKUP(A3612,Fact_Events!$D$2:$D$20,Fact_Events!$A$2:$A$20, "")</f>
        <v/>
      </c>
      <c r="I3612">
        <f t="shared" si="453"/>
        <v>0</v>
      </c>
      <c r="J3612" t="str">
        <f>_xlfn.XLOOKUP(H3612, Fact_Events!$A$2:$A$20, Fact_Events!$F$2:$F$20, "")</f>
        <v/>
      </c>
      <c r="K3612" t="str">
        <f t="shared" si="454"/>
        <v>Low</v>
      </c>
      <c r="L3612">
        <f t="shared" si="455"/>
        <v>0.55000000000000004</v>
      </c>
      <c r="M3612">
        <f>_xlfn.XLOOKUP(B3612, Dim_Hotel!$A$2:$A$11, Dim_Hotel!$I$2:$I$11)
 + (IF(J3612="",0,J3612)
    * _xlfn.XLOOKUP(B3612, Dim_Hotel!$A$2:$A$11, Dim_Hotel!$J$2:$J$11))</f>
        <v>260</v>
      </c>
    </row>
    <row r="3613" spans="1:13" x14ac:dyDescent="0.25">
      <c r="A3613" s="1">
        <f t="shared" si="448"/>
        <v>46384</v>
      </c>
      <c r="B3613" t="str" cm="1">
        <f t="array" ref="B3613">INDEX(HotelList,MOD(ROW()-2,10)+1)</f>
        <v>H002</v>
      </c>
      <c r="C3613">
        <f>_xlfn.XLOOKUP(B3613,Dim_Hotel!$A$2:$A$11,Dim_Hotel!$F$2:$F$11)</f>
        <v>147</v>
      </c>
      <c r="D3613">
        <f t="shared" si="449"/>
        <v>81</v>
      </c>
      <c r="E3613">
        <f t="shared" si="450"/>
        <v>0.55102040816326525</v>
      </c>
      <c r="F3613">
        <f t="shared" si="451"/>
        <v>175</v>
      </c>
      <c r="G3613">
        <f t="shared" si="452"/>
        <v>96.428571428571416</v>
      </c>
      <c r="H3613" t="str">
        <f>_xlfn.XLOOKUP(A3613,Fact_Events!$D$2:$D$20,Fact_Events!$A$2:$A$20, "")</f>
        <v/>
      </c>
      <c r="I3613">
        <f t="shared" si="453"/>
        <v>0</v>
      </c>
      <c r="J3613" t="str">
        <f>_xlfn.XLOOKUP(H3613, Fact_Events!$A$2:$A$20, Fact_Events!$F$2:$F$20, "")</f>
        <v/>
      </c>
      <c r="K3613" t="str">
        <f t="shared" si="454"/>
        <v>Low</v>
      </c>
      <c r="L3613">
        <f t="shared" si="455"/>
        <v>0.55000000000000004</v>
      </c>
      <c r="M3613">
        <f>_xlfn.XLOOKUP(B3613, Dim_Hotel!$A$2:$A$11, Dim_Hotel!$I$2:$I$11)
 + (IF(J3613="",0,J3613)
    * _xlfn.XLOOKUP(B3613, Dim_Hotel!$A$2:$A$11, Dim_Hotel!$J$2:$J$11))</f>
        <v>175</v>
      </c>
    </row>
    <row r="3614" spans="1:13" x14ac:dyDescent="0.25">
      <c r="A3614" s="1">
        <f t="shared" si="448"/>
        <v>46384</v>
      </c>
      <c r="B3614" t="str" cm="1">
        <f t="array" ref="B3614">INDEX(HotelList,MOD(ROW()-2,10)+1)</f>
        <v>H003</v>
      </c>
      <c r="C3614">
        <f>_xlfn.XLOOKUP(B3614,Dim_Hotel!$A$2:$A$11,Dim_Hotel!$F$2:$F$11)</f>
        <v>121</v>
      </c>
      <c r="D3614">
        <f t="shared" si="449"/>
        <v>67</v>
      </c>
      <c r="E3614">
        <f t="shared" si="450"/>
        <v>0.55371900826446285</v>
      </c>
      <c r="F3614">
        <f t="shared" si="451"/>
        <v>145</v>
      </c>
      <c r="G3614">
        <f t="shared" si="452"/>
        <v>80.289256198347118</v>
      </c>
      <c r="H3614" t="str">
        <f>_xlfn.XLOOKUP(A3614,Fact_Events!$D$2:$D$20,Fact_Events!$A$2:$A$20, "")</f>
        <v/>
      </c>
      <c r="I3614">
        <f t="shared" si="453"/>
        <v>0</v>
      </c>
      <c r="J3614" t="str">
        <f>_xlfn.XLOOKUP(H3614, Fact_Events!$A$2:$A$20, Fact_Events!$F$2:$F$20, "")</f>
        <v/>
      </c>
      <c r="K3614" t="str">
        <f t="shared" si="454"/>
        <v>Low</v>
      </c>
      <c r="L3614">
        <f t="shared" si="455"/>
        <v>0.55000000000000004</v>
      </c>
      <c r="M3614">
        <f>_xlfn.XLOOKUP(B3614, Dim_Hotel!$A$2:$A$11, Dim_Hotel!$I$2:$I$11)
 + (IF(J3614="",0,J3614)
    * _xlfn.XLOOKUP(B3614, Dim_Hotel!$A$2:$A$11, Dim_Hotel!$J$2:$J$11))</f>
        <v>145</v>
      </c>
    </row>
    <row r="3615" spans="1:13" x14ac:dyDescent="0.25">
      <c r="A3615" s="1">
        <f t="shared" si="448"/>
        <v>46384</v>
      </c>
      <c r="B3615" t="str" cm="1">
        <f t="array" ref="B3615">INDEX(HotelList,MOD(ROW()-2,10)+1)</f>
        <v>H004</v>
      </c>
      <c r="C3615">
        <f>_xlfn.XLOOKUP(B3615,Dim_Hotel!$A$2:$A$11,Dim_Hotel!$F$2:$F$11)</f>
        <v>108</v>
      </c>
      <c r="D3615">
        <f t="shared" si="449"/>
        <v>59</v>
      </c>
      <c r="E3615">
        <f t="shared" si="450"/>
        <v>0.54629629629629628</v>
      </c>
      <c r="F3615">
        <f t="shared" si="451"/>
        <v>135</v>
      </c>
      <c r="G3615">
        <f t="shared" si="452"/>
        <v>73.75</v>
      </c>
      <c r="H3615" t="str">
        <f>_xlfn.XLOOKUP(A3615,Fact_Events!$D$2:$D$20,Fact_Events!$A$2:$A$20, "")</f>
        <v/>
      </c>
      <c r="I3615">
        <f t="shared" si="453"/>
        <v>0</v>
      </c>
      <c r="J3615" t="str">
        <f>_xlfn.XLOOKUP(H3615, Fact_Events!$A$2:$A$20, Fact_Events!$F$2:$F$20, "")</f>
        <v/>
      </c>
      <c r="K3615" t="str">
        <f t="shared" si="454"/>
        <v>Low</v>
      </c>
      <c r="L3615">
        <f t="shared" si="455"/>
        <v>0.55000000000000004</v>
      </c>
      <c r="M3615">
        <f>_xlfn.XLOOKUP(B3615, Dim_Hotel!$A$2:$A$11, Dim_Hotel!$I$2:$I$11)
 + (IF(J3615="",0,J3615)
    * _xlfn.XLOOKUP(B3615, Dim_Hotel!$A$2:$A$11, Dim_Hotel!$J$2:$J$11))</f>
        <v>135</v>
      </c>
    </row>
    <row r="3616" spans="1:13" x14ac:dyDescent="0.25">
      <c r="A3616" s="1">
        <f t="shared" si="448"/>
        <v>46384</v>
      </c>
      <c r="B3616" t="str" cm="1">
        <f t="array" ref="B3616">INDEX(HotelList,MOD(ROW()-2,10)+1)</f>
        <v>H005</v>
      </c>
      <c r="C3616">
        <f>_xlfn.XLOOKUP(B3616,Dim_Hotel!$A$2:$A$11,Dim_Hotel!$F$2:$F$11)</f>
        <v>66</v>
      </c>
      <c r="D3616">
        <f t="shared" si="449"/>
        <v>36</v>
      </c>
      <c r="E3616">
        <f t="shared" si="450"/>
        <v>0.54545454545454541</v>
      </c>
      <c r="F3616">
        <f t="shared" si="451"/>
        <v>82</v>
      </c>
      <c r="G3616">
        <f t="shared" si="452"/>
        <v>44.727272727272727</v>
      </c>
      <c r="H3616" t="str">
        <f>_xlfn.XLOOKUP(A3616,Fact_Events!$D$2:$D$20,Fact_Events!$A$2:$A$20, "")</f>
        <v/>
      </c>
      <c r="I3616">
        <f t="shared" si="453"/>
        <v>0</v>
      </c>
      <c r="J3616" t="str">
        <f>_xlfn.XLOOKUP(H3616, Fact_Events!$A$2:$A$20, Fact_Events!$F$2:$F$20, "")</f>
        <v/>
      </c>
      <c r="K3616" t="str">
        <f t="shared" si="454"/>
        <v>Low</v>
      </c>
      <c r="L3616">
        <f t="shared" si="455"/>
        <v>0.55000000000000004</v>
      </c>
      <c r="M3616">
        <f>_xlfn.XLOOKUP(B3616, Dim_Hotel!$A$2:$A$11, Dim_Hotel!$I$2:$I$11)
 + (IF(J3616="",0,J3616)
    * _xlfn.XLOOKUP(B3616, Dim_Hotel!$A$2:$A$11, Dim_Hotel!$J$2:$J$11))</f>
        <v>82</v>
      </c>
    </row>
    <row r="3617" spans="1:13" x14ac:dyDescent="0.25">
      <c r="A3617" s="1">
        <f t="shared" si="448"/>
        <v>46384</v>
      </c>
      <c r="B3617" t="str" cm="1">
        <f t="array" ref="B3617">INDEX(HotelList,MOD(ROW()-2,10)+1)</f>
        <v>H006</v>
      </c>
      <c r="C3617">
        <f>_xlfn.XLOOKUP(B3617,Dim_Hotel!$A$2:$A$11,Dim_Hotel!$F$2:$F$11)</f>
        <v>311</v>
      </c>
      <c r="D3617">
        <f t="shared" si="449"/>
        <v>171</v>
      </c>
      <c r="E3617">
        <f t="shared" si="450"/>
        <v>0.54983922829581988</v>
      </c>
      <c r="F3617">
        <f t="shared" si="451"/>
        <v>190</v>
      </c>
      <c r="G3617">
        <f t="shared" si="452"/>
        <v>104.46945337620578</v>
      </c>
      <c r="H3617" t="str">
        <f>_xlfn.XLOOKUP(A3617,Fact_Events!$D$2:$D$20,Fact_Events!$A$2:$A$20, "")</f>
        <v/>
      </c>
      <c r="I3617">
        <f t="shared" si="453"/>
        <v>0</v>
      </c>
      <c r="J3617" t="str">
        <f>_xlfn.XLOOKUP(H3617, Fact_Events!$A$2:$A$20, Fact_Events!$F$2:$F$20, "")</f>
        <v/>
      </c>
      <c r="K3617" t="str">
        <f t="shared" si="454"/>
        <v>Low</v>
      </c>
      <c r="L3617">
        <f t="shared" si="455"/>
        <v>0.55000000000000004</v>
      </c>
      <c r="M3617">
        <f>_xlfn.XLOOKUP(B3617, Dim_Hotel!$A$2:$A$11, Dim_Hotel!$I$2:$I$11)
 + (IF(J3617="",0,J3617)
    * _xlfn.XLOOKUP(B3617, Dim_Hotel!$A$2:$A$11, Dim_Hotel!$J$2:$J$11))</f>
        <v>190</v>
      </c>
    </row>
    <row r="3618" spans="1:13" x14ac:dyDescent="0.25">
      <c r="A3618" s="1">
        <f t="shared" si="448"/>
        <v>46384</v>
      </c>
      <c r="B3618" t="str" cm="1">
        <f t="array" ref="B3618">INDEX(HotelList,MOD(ROW()-2,10)+1)</f>
        <v>H007</v>
      </c>
      <c r="C3618">
        <f>_xlfn.XLOOKUP(B3618,Dim_Hotel!$A$2:$A$11,Dim_Hotel!$F$2:$F$11)</f>
        <v>132</v>
      </c>
      <c r="D3618">
        <f t="shared" si="449"/>
        <v>73</v>
      </c>
      <c r="E3618">
        <f t="shared" si="450"/>
        <v>0.55303030303030298</v>
      </c>
      <c r="F3618">
        <f t="shared" si="451"/>
        <v>165</v>
      </c>
      <c r="G3618">
        <f t="shared" si="452"/>
        <v>91.249999999999986</v>
      </c>
      <c r="H3618" t="str">
        <f>_xlfn.XLOOKUP(A3618,Fact_Events!$D$2:$D$20,Fact_Events!$A$2:$A$20, "")</f>
        <v/>
      </c>
      <c r="I3618">
        <f t="shared" si="453"/>
        <v>0</v>
      </c>
      <c r="J3618" t="str">
        <f>_xlfn.XLOOKUP(H3618, Fact_Events!$A$2:$A$20, Fact_Events!$F$2:$F$20, "")</f>
        <v/>
      </c>
      <c r="K3618" t="str">
        <f t="shared" si="454"/>
        <v>Low</v>
      </c>
      <c r="L3618">
        <f t="shared" si="455"/>
        <v>0.55000000000000004</v>
      </c>
      <c r="M3618">
        <f>_xlfn.XLOOKUP(B3618, Dim_Hotel!$A$2:$A$11, Dim_Hotel!$I$2:$I$11)
 + (IF(J3618="",0,J3618)
    * _xlfn.XLOOKUP(B3618, Dim_Hotel!$A$2:$A$11, Dim_Hotel!$J$2:$J$11))</f>
        <v>165</v>
      </c>
    </row>
    <row r="3619" spans="1:13" x14ac:dyDescent="0.25">
      <c r="A3619" s="1">
        <f t="shared" si="448"/>
        <v>46384</v>
      </c>
      <c r="B3619" t="str" cm="1">
        <f t="array" ref="B3619">INDEX(HotelList,MOD(ROW()-2,10)+1)</f>
        <v>H008</v>
      </c>
      <c r="C3619">
        <f>_xlfn.XLOOKUP(B3619,Dim_Hotel!$A$2:$A$11,Dim_Hotel!$F$2:$F$11)</f>
        <v>103</v>
      </c>
      <c r="D3619">
        <f t="shared" si="449"/>
        <v>57</v>
      </c>
      <c r="E3619">
        <f t="shared" si="450"/>
        <v>0.55339805825242716</v>
      </c>
      <c r="F3619">
        <f t="shared" si="451"/>
        <v>140</v>
      </c>
      <c r="G3619">
        <f t="shared" si="452"/>
        <v>77.475728155339809</v>
      </c>
      <c r="H3619" t="str">
        <f>_xlfn.XLOOKUP(A3619,Fact_Events!$D$2:$D$20,Fact_Events!$A$2:$A$20, "")</f>
        <v/>
      </c>
      <c r="I3619">
        <f t="shared" si="453"/>
        <v>0</v>
      </c>
      <c r="J3619" t="str">
        <f>_xlfn.XLOOKUP(H3619, Fact_Events!$A$2:$A$20, Fact_Events!$F$2:$F$20, "")</f>
        <v/>
      </c>
      <c r="K3619" t="str">
        <f t="shared" si="454"/>
        <v>Low</v>
      </c>
      <c r="L3619">
        <f t="shared" si="455"/>
        <v>0.55000000000000004</v>
      </c>
      <c r="M3619">
        <f>_xlfn.XLOOKUP(B3619, Dim_Hotel!$A$2:$A$11, Dim_Hotel!$I$2:$I$11)
 + (IF(J3619="",0,J3619)
    * _xlfn.XLOOKUP(B3619, Dim_Hotel!$A$2:$A$11, Dim_Hotel!$J$2:$J$11))</f>
        <v>140</v>
      </c>
    </row>
    <row r="3620" spans="1:13" x14ac:dyDescent="0.25">
      <c r="A3620" s="1">
        <f t="shared" si="448"/>
        <v>46384</v>
      </c>
      <c r="B3620" t="str" cm="1">
        <f t="array" ref="B3620">INDEX(HotelList,MOD(ROW()-2,10)+1)</f>
        <v>H009</v>
      </c>
      <c r="C3620">
        <f>_xlfn.XLOOKUP(B3620,Dim_Hotel!$A$2:$A$11,Dim_Hotel!$F$2:$F$11)</f>
        <v>114</v>
      </c>
      <c r="D3620">
        <f t="shared" si="449"/>
        <v>63</v>
      </c>
      <c r="E3620">
        <f t="shared" si="450"/>
        <v>0.55263157894736847</v>
      </c>
      <c r="F3620">
        <f t="shared" si="451"/>
        <v>185</v>
      </c>
      <c r="G3620">
        <f t="shared" si="452"/>
        <v>102.23684210526316</v>
      </c>
      <c r="H3620" t="str">
        <f>_xlfn.XLOOKUP(A3620,Fact_Events!$D$2:$D$20,Fact_Events!$A$2:$A$20, "")</f>
        <v/>
      </c>
      <c r="I3620">
        <f t="shared" si="453"/>
        <v>0</v>
      </c>
      <c r="J3620" t="str">
        <f>_xlfn.XLOOKUP(H3620, Fact_Events!$A$2:$A$20, Fact_Events!$F$2:$F$20, "")</f>
        <v/>
      </c>
      <c r="K3620" t="str">
        <f t="shared" si="454"/>
        <v>Low</v>
      </c>
      <c r="L3620">
        <f t="shared" si="455"/>
        <v>0.55000000000000004</v>
      </c>
      <c r="M3620">
        <f>_xlfn.XLOOKUP(B3620, Dim_Hotel!$A$2:$A$11, Dim_Hotel!$I$2:$I$11)
 + (IF(J3620="",0,J3620)
    * _xlfn.XLOOKUP(B3620, Dim_Hotel!$A$2:$A$11, Dim_Hotel!$J$2:$J$11))</f>
        <v>185</v>
      </c>
    </row>
    <row r="3621" spans="1:13" x14ac:dyDescent="0.25">
      <c r="A3621" s="1">
        <f t="shared" si="448"/>
        <v>46384</v>
      </c>
      <c r="B3621" t="str" cm="1">
        <f t="array" ref="B3621">INDEX(HotelList,MOD(ROW()-2,10)+1)</f>
        <v>H010</v>
      </c>
      <c r="C3621">
        <f>_xlfn.XLOOKUP(B3621,Dim_Hotel!$A$2:$A$11,Dim_Hotel!$F$2:$F$11)</f>
        <v>89</v>
      </c>
      <c r="D3621">
        <f t="shared" si="449"/>
        <v>49</v>
      </c>
      <c r="E3621">
        <f t="shared" si="450"/>
        <v>0.550561797752809</v>
      </c>
      <c r="F3621">
        <f t="shared" si="451"/>
        <v>150</v>
      </c>
      <c r="G3621">
        <f t="shared" si="452"/>
        <v>82.584269662921344</v>
      </c>
      <c r="H3621" t="str">
        <f>_xlfn.XLOOKUP(A3621,Fact_Events!$D$2:$D$20,Fact_Events!$A$2:$A$20, "")</f>
        <v/>
      </c>
      <c r="I3621">
        <f t="shared" si="453"/>
        <v>0</v>
      </c>
      <c r="J3621" t="str">
        <f>_xlfn.XLOOKUP(H3621, Fact_Events!$A$2:$A$20, Fact_Events!$F$2:$F$20, "")</f>
        <v/>
      </c>
      <c r="K3621" t="str">
        <f t="shared" si="454"/>
        <v>Low</v>
      </c>
      <c r="L3621">
        <f t="shared" si="455"/>
        <v>0.55000000000000004</v>
      </c>
      <c r="M3621">
        <f>_xlfn.XLOOKUP(B3621, Dim_Hotel!$A$2:$A$11, Dim_Hotel!$I$2:$I$11)
 + (IF(J3621="",0,J3621)
    * _xlfn.XLOOKUP(B3621, Dim_Hotel!$A$2:$A$11, Dim_Hotel!$J$2:$J$11))</f>
        <v>150</v>
      </c>
    </row>
    <row r="3622" spans="1:13" x14ac:dyDescent="0.25">
      <c r="A3622" s="1">
        <f t="shared" si="448"/>
        <v>46385</v>
      </c>
      <c r="B3622" t="str" cm="1">
        <f t="array" ref="B3622">INDEX(HotelList,MOD(ROW()-2,10)+1)</f>
        <v>H001</v>
      </c>
      <c r="C3622">
        <f>_xlfn.XLOOKUP(B3622,Dim_Hotel!$A$2:$A$11,Dim_Hotel!$F$2:$F$11)</f>
        <v>888</v>
      </c>
      <c r="D3622">
        <f t="shared" si="449"/>
        <v>488</v>
      </c>
      <c r="E3622">
        <f t="shared" si="450"/>
        <v>0.5495495495495496</v>
      </c>
      <c r="F3622">
        <f t="shared" si="451"/>
        <v>260</v>
      </c>
      <c r="G3622">
        <f t="shared" si="452"/>
        <v>142.88288288288288</v>
      </c>
      <c r="H3622" t="str">
        <f>_xlfn.XLOOKUP(A3622,Fact_Events!$D$2:$D$20,Fact_Events!$A$2:$A$20, "")</f>
        <v/>
      </c>
      <c r="I3622">
        <f t="shared" si="453"/>
        <v>0</v>
      </c>
      <c r="J3622" t="str">
        <f>_xlfn.XLOOKUP(H3622, Fact_Events!$A$2:$A$20, Fact_Events!$F$2:$F$20, "")</f>
        <v/>
      </c>
      <c r="K3622" t="str">
        <f t="shared" si="454"/>
        <v>Low</v>
      </c>
      <c r="L3622">
        <f t="shared" si="455"/>
        <v>0.55000000000000004</v>
      </c>
      <c r="M3622">
        <f>_xlfn.XLOOKUP(B3622, Dim_Hotel!$A$2:$A$11, Dim_Hotel!$I$2:$I$11)
 + (IF(J3622="",0,J3622)
    * _xlfn.XLOOKUP(B3622, Dim_Hotel!$A$2:$A$11, Dim_Hotel!$J$2:$J$11))</f>
        <v>260</v>
      </c>
    </row>
    <row r="3623" spans="1:13" x14ac:dyDescent="0.25">
      <c r="A3623" s="1">
        <f t="shared" si="448"/>
        <v>46385</v>
      </c>
      <c r="B3623" t="str" cm="1">
        <f t="array" ref="B3623">INDEX(HotelList,MOD(ROW()-2,10)+1)</f>
        <v>H002</v>
      </c>
      <c r="C3623">
        <f>_xlfn.XLOOKUP(B3623,Dim_Hotel!$A$2:$A$11,Dim_Hotel!$F$2:$F$11)</f>
        <v>147</v>
      </c>
      <c r="D3623">
        <f t="shared" si="449"/>
        <v>81</v>
      </c>
      <c r="E3623">
        <f t="shared" si="450"/>
        <v>0.55102040816326525</v>
      </c>
      <c r="F3623">
        <f t="shared" si="451"/>
        <v>175</v>
      </c>
      <c r="G3623">
        <f t="shared" si="452"/>
        <v>96.428571428571416</v>
      </c>
      <c r="H3623" t="str">
        <f>_xlfn.XLOOKUP(A3623,Fact_Events!$D$2:$D$20,Fact_Events!$A$2:$A$20, "")</f>
        <v/>
      </c>
      <c r="I3623">
        <f t="shared" si="453"/>
        <v>0</v>
      </c>
      <c r="J3623" t="str">
        <f>_xlfn.XLOOKUP(H3623, Fact_Events!$A$2:$A$20, Fact_Events!$F$2:$F$20, "")</f>
        <v/>
      </c>
      <c r="K3623" t="str">
        <f t="shared" si="454"/>
        <v>Low</v>
      </c>
      <c r="L3623">
        <f t="shared" si="455"/>
        <v>0.55000000000000004</v>
      </c>
      <c r="M3623">
        <f>_xlfn.XLOOKUP(B3623, Dim_Hotel!$A$2:$A$11, Dim_Hotel!$I$2:$I$11)
 + (IF(J3623="",0,J3623)
    * _xlfn.XLOOKUP(B3623, Dim_Hotel!$A$2:$A$11, Dim_Hotel!$J$2:$J$11))</f>
        <v>175</v>
      </c>
    </row>
    <row r="3624" spans="1:13" x14ac:dyDescent="0.25">
      <c r="A3624" s="1">
        <f t="shared" si="448"/>
        <v>46385</v>
      </c>
      <c r="B3624" t="str" cm="1">
        <f t="array" ref="B3624">INDEX(HotelList,MOD(ROW()-2,10)+1)</f>
        <v>H003</v>
      </c>
      <c r="C3624">
        <f>_xlfn.XLOOKUP(B3624,Dim_Hotel!$A$2:$A$11,Dim_Hotel!$F$2:$F$11)</f>
        <v>121</v>
      </c>
      <c r="D3624">
        <f t="shared" si="449"/>
        <v>67</v>
      </c>
      <c r="E3624">
        <f t="shared" si="450"/>
        <v>0.55371900826446285</v>
      </c>
      <c r="F3624">
        <f t="shared" si="451"/>
        <v>145</v>
      </c>
      <c r="G3624">
        <f t="shared" si="452"/>
        <v>80.289256198347118</v>
      </c>
      <c r="H3624" t="str">
        <f>_xlfn.XLOOKUP(A3624,Fact_Events!$D$2:$D$20,Fact_Events!$A$2:$A$20, "")</f>
        <v/>
      </c>
      <c r="I3624">
        <f t="shared" si="453"/>
        <v>0</v>
      </c>
      <c r="J3624" t="str">
        <f>_xlfn.XLOOKUP(H3624, Fact_Events!$A$2:$A$20, Fact_Events!$F$2:$F$20, "")</f>
        <v/>
      </c>
      <c r="K3624" t="str">
        <f t="shared" si="454"/>
        <v>Low</v>
      </c>
      <c r="L3624">
        <f t="shared" si="455"/>
        <v>0.55000000000000004</v>
      </c>
      <c r="M3624">
        <f>_xlfn.XLOOKUP(B3624, Dim_Hotel!$A$2:$A$11, Dim_Hotel!$I$2:$I$11)
 + (IF(J3624="",0,J3624)
    * _xlfn.XLOOKUP(B3624, Dim_Hotel!$A$2:$A$11, Dim_Hotel!$J$2:$J$11))</f>
        <v>145</v>
      </c>
    </row>
    <row r="3625" spans="1:13" x14ac:dyDescent="0.25">
      <c r="A3625" s="1">
        <f t="shared" si="448"/>
        <v>46385</v>
      </c>
      <c r="B3625" t="str" cm="1">
        <f t="array" ref="B3625">INDEX(HotelList,MOD(ROW()-2,10)+1)</f>
        <v>H004</v>
      </c>
      <c r="C3625">
        <f>_xlfn.XLOOKUP(B3625,Dim_Hotel!$A$2:$A$11,Dim_Hotel!$F$2:$F$11)</f>
        <v>108</v>
      </c>
      <c r="D3625">
        <f t="shared" si="449"/>
        <v>59</v>
      </c>
      <c r="E3625">
        <f t="shared" si="450"/>
        <v>0.54629629629629628</v>
      </c>
      <c r="F3625">
        <f t="shared" si="451"/>
        <v>135</v>
      </c>
      <c r="G3625">
        <f t="shared" si="452"/>
        <v>73.75</v>
      </c>
      <c r="H3625" t="str">
        <f>_xlfn.XLOOKUP(A3625,Fact_Events!$D$2:$D$20,Fact_Events!$A$2:$A$20, "")</f>
        <v/>
      </c>
      <c r="I3625">
        <f t="shared" si="453"/>
        <v>0</v>
      </c>
      <c r="J3625" t="str">
        <f>_xlfn.XLOOKUP(H3625, Fact_Events!$A$2:$A$20, Fact_Events!$F$2:$F$20, "")</f>
        <v/>
      </c>
      <c r="K3625" t="str">
        <f t="shared" si="454"/>
        <v>Low</v>
      </c>
      <c r="L3625">
        <f t="shared" si="455"/>
        <v>0.55000000000000004</v>
      </c>
      <c r="M3625">
        <f>_xlfn.XLOOKUP(B3625, Dim_Hotel!$A$2:$A$11, Dim_Hotel!$I$2:$I$11)
 + (IF(J3625="",0,J3625)
    * _xlfn.XLOOKUP(B3625, Dim_Hotel!$A$2:$A$11, Dim_Hotel!$J$2:$J$11))</f>
        <v>135</v>
      </c>
    </row>
    <row r="3626" spans="1:13" x14ac:dyDescent="0.25">
      <c r="A3626" s="1">
        <f t="shared" si="448"/>
        <v>46385</v>
      </c>
      <c r="B3626" t="str" cm="1">
        <f t="array" ref="B3626">INDEX(HotelList,MOD(ROW()-2,10)+1)</f>
        <v>H005</v>
      </c>
      <c r="C3626">
        <f>_xlfn.XLOOKUP(B3626,Dim_Hotel!$A$2:$A$11,Dim_Hotel!$F$2:$F$11)</f>
        <v>66</v>
      </c>
      <c r="D3626">
        <f t="shared" si="449"/>
        <v>36</v>
      </c>
      <c r="E3626">
        <f t="shared" si="450"/>
        <v>0.54545454545454541</v>
      </c>
      <c r="F3626">
        <f t="shared" si="451"/>
        <v>82</v>
      </c>
      <c r="G3626">
        <f t="shared" si="452"/>
        <v>44.727272727272727</v>
      </c>
      <c r="H3626" t="str">
        <f>_xlfn.XLOOKUP(A3626,Fact_Events!$D$2:$D$20,Fact_Events!$A$2:$A$20, "")</f>
        <v/>
      </c>
      <c r="I3626">
        <f t="shared" si="453"/>
        <v>0</v>
      </c>
      <c r="J3626" t="str">
        <f>_xlfn.XLOOKUP(H3626, Fact_Events!$A$2:$A$20, Fact_Events!$F$2:$F$20, "")</f>
        <v/>
      </c>
      <c r="K3626" t="str">
        <f t="shared" si="454"/>
        <v>Low</v>
      </c>
      <c r="L3626">
        <f t="shared" si="455"/>
        <v>0.55000000000000004</v>
      </c>
      <c r="M3626">
        <f>_xlfn.XLOOKUP(B3626, Dim_Hotel!$A$2:$A$11, Dim_Hotel!$I$2:$I$11)
 + (IF(J3626="",0,J3626)
    * _xlfn.XLOOKUP(B3626, Dim_Hotel!$A$2:$A$11, Dim_Hotel!$J$2:$J$11))</f>
        <v>82</v>
      </c>
    </row>
    <row r="3627" spans="1:13" x14ac:dyDescent="0.25">
      <c r="A3627" s="1">
        <f t="shared" si="448"/>
        <v>46385</v>
      </c>
      <c r="B3627" t="str" cm="1">
        <f t="array" ref="B3627">INDEX(HotelList,MOD(ROW()-2,10)+1)</f>
        <v>H006</v>
      </c>
      <c r="C3627">
        <f>_xlfn.XLOOKUP(B3627,Dim_Hotel!$A$2:$A$11,Dim_Hotel!$F$2:$F$11)</f>
        <v>311</v>
      </c>
      <c r="D3627">
        <f t="shared" si="449"/>
        <v>171</v>
      </c>
      <c r="E3627">
        <f t="shared" si="450"/>
        <v>0.54983922829581988</v>
      </c>
      <c r="F3627">
        <f t="shared" si="451"/>
        <v>190</v>
      </c>
      <c r="G3627">
        <f t="shared" si="452"/>
        <v>104.46945337620578</v>
      </c>
      <c r="H3627" t="str">
        <f>_xlfn.XLOOKUP(A3627,Fact_Events!$D$2:$D$20,Fact_Events!$A$2:$A$20, "")</f>
        <v/>
      </c>
      <c r="I3627">
        <f t="shared" si="453"/>
        <v>0</v>
      </c>
      <c r="J3627" t="str">
        <f>_xlfn.XLOOKUP(H3627, Fact_Events!$A$2:$A$20, Fact_Events!$F$2:$F$20, "")</f>
        <v/>
      </c>
      <c r="K3627" t="str">
        <f t="shared" si="454"/>
        <v>Low</v>
      </c>
      <c r="L3627">
        <f t="shared" si="455"/>
        <v>0.55000000000000004</v>
      </c>
      <c r="M3627">
        <f>_xlfn.XLOOKUP(B3627, Dim_Hotel!$A$2:$A$11, Dim_Hotel!$I$2:$I$11)
 + (IF(J3627="",0,J3627)
    * _xlfn.XLOOKUP(B3627, Dim_Hotel!$A$2:$A$11, Dim_Hotel!$J$2:$J$11))</f>
        <v>190</v>
      </c>
    </row>
    <row r="3628" spans="1:13" x14ac:dyDescent="0.25">
      <c r="A3628" s="1">
        <f t="shared" si="448"/>
        <v>46385</v>
      </c>
      <c r="B3628" t="str" cm="1">
        <f t="array" ref="B3628">INDEX(HotelList,MOD(ROW()-2,10)+1)</f>
        <v>H007</v>
      </c>
      <c r="C3628">
        <f>_xlfn.XLOOKUP(B3628,Dim_Hotel!$A$2:$A$11,Dim_Hotel!$F$2:$F$11)</f>
        <v>132</v>
      </c>
      <c r="D3628">
        <f t="shared" si="449"/>
        <v>73</v>
      </c>
      <c r="E3628">
        <f t="shared" si="450"/>
        <v>0.55303030303030298</v>
      </c>
      <c r="F3628">
        <f t="shared" si="451"/>
        <v>165</v>
      </c>
      <c r="G3628">
        <f t="shared" si="452"/>
        <v>91.249999999999986</v>
      </c>
      <c r="H3628" t="str">
        <f>_xlfn.XLOOKUP(A3628,Fact_Events!$D$2:$D$20,Fact_Events!$A$2:$A$20, "")</f>
        <v/>
      </c>
      <c r="I3628">
        <f t="shared" si="453"/>
        <v>0</v>
      </c>
      <c r="J3628" t="str">
        <f>_xlfn.XLOOKUP(H3628, Fact_Events!$A$2:$A$20, Fact_Events!$F$2:$F$20, "")</f>
        <v/>
      </c>
      <c r="K3628" t="str">
        <f t="shared" si="454"/>
        <v>Low</v>
      </c>
      <c r="L3628">
        <f t="shared" si="455"/>
        <v>0.55000000000000004</v>
      </c>
      <c r="M3628">
        <f>_xlfn.XLOOKUP(B3628, Dim_Hotel!$A$2:$A$11, Dim_Hotel!$I$2:$I$11)
 + (IF(J3628="",0,J3628)
    * _xlfn.XLOOKUP(B3628, Dim_Hotel!$A$2:$A$11, Dim_Hotel!$J$2:$J$11))</f>
        <v>165</v>
      </c>
    </row>
    <row r="3629" spans="1:13" x14ac:dyDescent="0.25">
      <c r="A3629" s="1">
        <f t="shared" si="448"/>
        <v>46385</v>
      </c>
      <c r="B3629" t="str" cm="1">
        <f t="array" ref="B3629">INDEX(HotelList,MOD(ROW()-2,10)+1)</f>
        <v>H008</v>
      </c>
      <c r="C3629">
        <f>_xlfn.XLOOKUP(B3629,Dim_Hotel!$A$2:$A$11,Dim_Hotel!$F$2:$F$11)</f>
        <v>103</v>
      </c>
      <c r="D3629">
        <f t="shared" si="449"/>
        <v>57</v>
      </c>
      <c r="E3629">
        <f t="shared" si="450"/>
        <v>0.55339805825242716</v>
      </c>
      <c r="F3629">
        <f t="shared" si="451"/>
        <v>140</v>
      </c>
      <c r="G3629">
        <f t="shared" si="452"/>
        <v>77.475728155339809</v>
      </c>
      <c r="H3629" t="str">
        <f>_xlfn.XLOOKUP(A3629,Fact_Events!$D$2:$D$20,Fact_Events!$A$2:$A$20, "")</f>
        <v/>
      </c>
      <c r="I3629">
        <f t="shared" si="453"/>
        <v>0</v>
      </c>
      <c r="J3629" t="str">
        <f>_xlfn.XLOOKUP(H3629, Fact_Events!$A$2:$A$20, Fact_Events!$F$2:$F$20, "")</f>
        <v/>
      </c>
      <c r="K3629" t="str">
        <f t="shared" si="454"/>
        <v>Low</v>
      </c>
      <c r="L3629">
        <f t="shared" si="455"/>
        <v>0.55000000000000004</v>
      </c>
      <c r="M3629">
        <f>_xlfn.XLOOKUP(B3629, Dim_Hotel!$A$2:$A$11, Dim_Hotel!$I$2:$I$11)
 + (IF(J3629="",0,J3629)
    * _xlfn.XLOOKUP(B3629, Dim_Hotel!$A$2:$A$11, Dim_Hotel!$J$2:$J$11))</f>
        <v>140</v>
      </c>
    </row>
    <row r="3630" spans="1:13" x14ac:dyDescent="0.25">
      <c r="A3630" s="1">
        <f t="shared" si="448"/>
        <v>46385</v>
      </c>
      <c r="B3630" t="str" cm="1">
        <f t="array" ref="B3630">INDEX(HotelList,MOD(ROW()-2,10)+1)</f>
        <v>H009</v>
      </c>
      <c r="C3630">
        <f>_xlfn.XLOOKUP(B3630,Dim_Hotel!$A$2:$A$11,Dim_Hotel!$F$2:$F$11)</f>
        <v>114</v>
      </c>
      <c r="D3630">
        <f t="shared" si="449"/>
        <v>63</v>
      </c>
      <c r="E3630">
        <f t="shared" si="450"/>
        <v>0.55263157894736847</v>
      </c>
      <c r="F3630">
        <f t="shared" si="451"/>
        <v>185</v>
      </c>
      <c r="G3630">
        <f t="shared" si="452"/>
        <v>102.23684210526316</v>
      </c>
      <c r="H3630" t="str">
        <f>_xlfn.XLOOKUP(A3630,Fact_Events!$D$2:$D$20,Fact_Events!$A$2:$A$20, "")</f>
        <v/>
      </c>
      <c r="I3630">
        <f t="shared" si="453"/>
        <v>0</v>
      </c>
      <c r="J3630" t="str">
        <f>_xlfn.XLOOKUP(H3630, Fact_Events!$A$2:$A$20, Fact_Events!$F$2:$F$20, "")</f>
        <v/>
      </c>
      <c r="K3630" t="str">
        <f t="shared" si="454"/>
        <v>Low</v>
      </c>
      <c r="L3630">
        <f t="shared" si="455"/>
        <v>0.55000000000000004</v>
      </c>
      <c r="M3630">
        <f>_xlfn.XLOOKUP(B3630, Dim_Hotel!$A$2:$A$11, Dim_Hotel!$I$2:$I$11)
 + (IF(J3630="",0,J3630)
    * _xlfn.XLOOKUP(B3630, Dim_Hotel!$A$2:$A$11, Dim_Hotel!$J$2:$J$11))</f>
        <v>185</v>
      </c>
    </row>
    <row r="3631" spans="1:13" x14ac:dyDescent="0.25">
      <c r="A3631" s="1">
        <f t="shared" si="448"/>
        <v>46385</v>
      </c>
      <c r="B3631" t="str" cm="1">
        <f t="array" ref="B3631">INDEX(HotelList,MOD(ROW()-2,10)+1)</f>
        <v>H010</v>
      </c>
      <c r="C3631">
        <f>_xlfn.XLOOKUP(B3631,Dim_Hotel!$A$2:$A$11,Dim_Hotel!$F$2:$F$11)</f>
        <v>89</v>
      </c>
      <c r="D3631">
        <f t="shared" si="449"/>
        <v>49</v>
      </c>
      <c r="E3631">
        <f t="shared" si="450"/>
        <v>0.550561797752809</v>
      </c>
      <c r="F3631">
        <f t="shared" si="451"/>
        <v>150</v>
      </c>
      <c r="G3631">
        <f t="shared" si="452"/>
        <v>82.584269662921344</v>
      </c>
      <c r="H3631" t="str">
        <f>_xlfn.XLOOKUP(A3631,Fact_Events!$D$2:$D$20,Fact_Events!$A$2:$A$20, "")</f>
        <v/>
      </c>
      <c r="I3631">
        <f t="shared" si="453"/>
        <v>0</v>
      </c>
      <c r="J3631" t="str">
        <f>_xlfn.XLOOKUP(H3631, Fact_Events!$A$2:$A$20, Fact_Events!$F$2:$F$20, "")</f>
        <v/>
      </c>
      <c r="K3631" t="str">
        <f t="shared" si="454"/>
        <v>Low</v>
      </c>
      <c r="L3631">
        <f t="shared" si="455"/>
        <v>0.55000000000000004</v>
      </c>
      <c r="M3631">
        <f>_xlfn.XLOOKUP(B3631, Dim_Hotel!$A$2:$A$11, Dim_Hotel!$I$2:$I$11)
 + (IF(J3631="",0,J3631)
    * _xlfn.XLOOKUP(B3631, Dim_Hotel!$A$2:$A$11, Dim_Hotel!$J$2:$J$11))</f>
        <v>150</v>
      </c>
    </row>
    <row r="3632" spans="1:13" x14ac:dyDescent="0.25">
      <c r="A3632" s="1">
        <f t="shared" si="448"/>
        <v>46386</v>
      </c>
      <c r="B3632" t="str" cm="1">
        <f t="array" ref="B3632">INDEX(HotelList,MOD(ROW()-2,10)+1)</f>
        <v>H001</v>
      </c>
      <c r="C3632">
        <f>_xlfn.XLOOKUP(B3632,Dim_Hotel!$A$2:$A$11,Dim_Hotel!$F$2:$F$11)</f>
        <v>888</v>
      </c>
      <c r="D3632">
        <f t="shared" si="449"/>
        <v>488</v>
      </c>
      <c r="E3632">
        <f t="shared" si="450"/>
        <v>0.5495495495495496</v>
      </c>
      <c r="F3632">
        <f t="shared" si="451"/>
        <v>260</v>
      </c>
      <c r="G3632">
        <f t="shared" si="452"/>
        <v>142.88288288288288</v>
      </c>
      <c r="H3632" t="str">
        <f>_xlfn.XLOOKUP(A3632,Fact_Events!$D$2:$D$20,Fact_Events!$A$2:$A$20, "")</f>
        <v/>
      </c>
      <c r="I3632">
        <f t="shared" si="453"/>
        <v>0</v>
      </c>
      <c r="J3632" t="str">
        <f>_xlfn.XLOOKUP(H3632, Fact_Events!$A$2:$A$20, Fact_Events!$F$2:$F$20, "")</f>
        <v/>
      </c>
      <c r="K3632" t="str">
        <f t="shared" si="454"/>
        <v>Low</v>
      </c>
      <c r="L3632">
        <f t="shared" si="455"/>
        <v>0.55000000000000004</v>
      </c>
      <c r="M3632">
        <f>_xlfn.XLOOKUP(B3632, Dim_Hotel!$A$2:$A$11, Dim_Hotel!$I$2:$I$11)
 + (IF(J3632="",0,J3632)
    * _xlfn.XLOOKUP(B3632, Dim_Hotel!$A$2:$A$11, Dim_Hotel!$J$2:$J$11))</f>
        <v>260</v>
      </c>
    </row>
    <row r="3633" spans="1:13" x14ac:dyDescent="0.25">
      <c r="A3633" s="1">
        <f t="shared" si="448"/>
        <v>46386</v>
      </c>
      <c r="B3633" t="str" cm="1">
        <f t="array" ref="B3633">INDEX(HotelList,MOD(ROW()-2,10)+1)</f>
        <v>H002</v>
      </c>
      <c r="C3633">
        <f>_xlfn.XLOOKUP(B3633,Dim_Hotel!$A$2:$A$11,Dim_Hotel!$F$2:$F$11)</f>
        <v>147</v>
      </c>
      <c r="D3633">
        <f t="shared" si="449"/>
        <v>81</v>
      </c>
      <c r="E3633">
        <f t="shared" si="450"/>
        <v>0.55102040816326525</v>
      </c>
      <c r="F3633">
        <f t="shared" si="451"/>
        <v>175</v>
      </c>
      <c r="G3633">
        <f t="shared" si="452"/>
        <v>96.428571428571416</v>
      </c>
      <c r="H3633" t="str">
        <f>_xlfn.XLOOKUP(A3633,Fact_Events!$D$2:$D$20,Fact_Events!$A$2:$A$20, "")</f>
        <v/>
      </c>
      <c r="I3633">
        <f t="shared" si="453"/>
        <v>0</v>
      </c>
      <c r="J3633" t="str">
        <f>_xlfn.XLOOKUP(H3633, Fact_Events!$A$2:$A$20, Fact_Events!$F$2:$F$20, "")</f>
        <v/>
      </c>
      <c r="K3633" t="str">
        <f t="shared" si="454"/>
        <v>Low</v>
      </c>
      <c r="L3633">
        <f t="shared" si="455"/>
        <v>0.55000000000000004</v>
      </c>
      <c r="M3633">
        <f>_xlfn.XLOOKUP(B3633, Dim_Hotel!$A$2:$A$11, Dim_Hotel!$I$2:$I$11)
 + (IF(J3633="",0,J3633)
    * _xlfn.XLOOKUP(B3633, Dim_Hotel!$A$2:$A$11, Dim_Hotel!$J$2:$J$11))</f>
        <v>175</v>
      </c>
    </row>
    <row r="3634" spans="1:13" x14ac:dyDescent="0.25">
      <c r="A3634" s="1">
        <f t="shared" si="448"/>
        <v>46386</v>
      </c>
      <c r="B3634" t="str" cm="1">
        <f t="array" ref="B3634">INDEX(HotelList,MOD(ROW()-2,10)+1)</f>
        <v>H003</v>
      </c>
      <c r="C3634">
        <f>_xlfn.XLOOKUP(B3634,Dim_Hotel!$A$2:$A$11,Dim_Hotel!$F$2:$F$11)</f>
        <v>121</v>
      </c>
      <c r="D3634">
        <f t="shared" si="449"/>
        <v>67</v>
      </c>
      <c r="E3634">
        <f t="shared" si="450"/>
        <v>0.55371900826446285</v>
      </c>
      <c r="F3634">
        <f t="shared" si="451"/>
        <v>145</v>
      </c>
      <c r="G3634">
        <f t="shared" si="452"/>
        <v>80.289256198347118</v>
      </c>
      <c r="H3634" t="str">
        <f>_xlfn.XLOOKUP(A3634,Fact_Events!$D$2:$D$20,Fact_Events!$A$2:$A$20, "")</f>
        <v/>
      </c>
      <c r="I3634">
        <f t="shared" si="453"/>
        <v>0</v>
      </c>
      <c r="J3634" t="str">
        <f>_xlfn.XLOOKUP(H3634, Fact_Events!$A$2:$A$20, Fact_Events!$F$2:$F$20, "")</f>
        <v/>
      </c>
      <c r="K3634" t="str">
        <f t="shared" si="454"/>
        <v>Low</v>
      </c>
      <c r="L3634">
        <f t="shared" si="455"/>
        <v>0.55000000000000004</v>
      </c>
      <c r="M3634">
        <f>_xlfn.XLOOKUP(B3634, Dim_Hotel!$A$2:$A$11, Dim_Hotel!$I$2:$I$11)
 + (IF(J3634="",0,J3634)
    * _xlfn.XLOOKUP(B3634, Dim_Hotel!$A$2:$A$11, Dim_Hotel!$J$2:$J$11))</f>
        <v>145</v>
      </c>
    </row>
    <row r="3635" spans="1:13" x14ac:dyDescent="0.25">
      <c r="A3635" s="1">
        <f t="shared" si="448"/>
        <v>46386</v>
      </c>
      <c r="B3635" t="str" cm="1">
        <f t="array" ref="B3635">INDEX(HotelList,MOD(ROW()-2,10)+1)</f>
        <v>H004</v>
      </c>
      <c r="C3635">
        <f>_xlfn.XLOOKUP(B3635,Dim_Hotel!$A$2:$A$11,Dim_Hotel!$F$2:$F$11)</f>
        <v>108</v>
      </c>
      <c r="D3635">
        <f t="shared" si="449"/>
        <v>59</v>
      </c>
      <c r="E3635">
        <f t="shared" si="450"/>
        <v>0.54629629629629628</v>
      </c>
      <c r="F3635">
        <f t="shared" si="451"/>
        <v>135</v>
      </c>
      <c r="G3635">
        <f t="shared" si="452"/>
        <v>73.75</v>
      </c>
      <c r="H3635" t="str">
        <f>_xlfn.XLOOKUP(A3635,Fact_Events!$D$2:$D$20,Fact_Events!$A$2:$A$20, "")</f>
        <v/>
      </c>
      <c r="I3635">
        <f t="shared" si="453"/>
        <v>0</v>
      </c>
      <c r="J3635" t="str">
        <f>_xlfn.XLOOKUP(H3635, Fact_Events!$A$2:$A$20, Fact_Events!$F$2:$F$20, "")</f>
        <v/>
      </c>
      <c r="K3635" t="str">
        <f t="shared" si="454"/>
        <v>Low</v>
      </c>
      <c r="L3635">
        <f t="shared" si="455"/>
        <v>0.55000000000000004</v>
      </c>
      <c r="M3635">
        <f>_xlfn.XLOOKUP(B3635, Dim_Hotel!$A$2:$A$11, Dim_Hotel!$I$2:$I$11)
 + (IF(J3635="",0,J3635)
    * _xlfn.XLOOKUP(B3635, Dim_Hotel!$A$2:$A$11, Dim_Hotel!$J$2:$J$11))</f>
        <v>135</v>
      </c>
    </row>
    <row r="3636" spans="1:13" x14ac:dyDescent="0.25">
      <c r="A3636" s="1">
        <f t="shared" si="448"/>
        <v>46386</v>
      </c>
      <c r="B3636" t="str" cm="1">
        <f t="array" ref="B3636">INDEX(HotelList,MOD(ROW()-2,10)+1)</f>
        <v>H005</v>
      </c>
      <c r="C3636">
        <f>_xlfn.XLOOKUP(B3636,Dim_Hotel!$A$2:$A$11,Dim_Hotel!$F$2:$F$11)</f>
        <v>66</v>
      </c>
      <c r="D3636">
        <f t="shared" si="449"/>
        <v>36</v>
      </c>
      <c r="E3636">
        <f t="shared" si="450"/>
        <v>0.54545454545454541</v>
      </c>
      <c r="F3636">
        <f t="shared" si="451"/>
        <v>82</v>
      </c>
      <c r="G3636">
        <f t="shared" si="452"/>
        <v>44.727272727272727</v>
      </c>
      <c r="H3636" t="str">
        <f>_xlfn.XLOOKUP(A3636,Fact_Events!$D$2:$D$20,Fact_Events!$A$2:$A$20, "")</f>
        <v/>
      </c>
      <c r="I3636">
        <f t="shared" si="453"/>
        <v>0</v>
      </c>
      <c r="J3636" t="str">
        <f>_xlfn.XLOOKUP(H3636, Fact_Events!$A$2:$A$20, Fact_Events!$F$2:$F$20, "")</f>
        <v/>
      </c>
      <c r="K3636" t="str">
        <f t="shared" si="454"/>
        <v>Low</v>
      </c>
      <c r="L3636">
        <f t="shared" si="455"/>
        <v>0.55000000000000004</v>
      </c>
      <c r="M3636">
        <f>_xlfn.XLOOKUP(B3636, Dim_Hotel!$A$2:$A$11, Dim_Hotel!$I$2:$I$11)
 + (IF(J3636="",0,J3636)
    * _xlfn.XLOOKUP(B3636, Dim_Hotel!$A$2:$A$11, Dim_Hotel!$J$2:$J$11))</f>
        <v>82</v>
      </c>
    </row>
    <row r="3637" spans="1:13" x14ac:dyDescent="0.25">
      <c r="A3637" s="1">
        <f t="shared" si="448"/>
        <v>46386</v>
      </c>
      <c r="B3637" t="str" cm="1">
        <f t="array" ref="B3637">INDEX(HotelList,MOD(ROW()-2,10)+1)</f>
        <v>H006</v>
      </c>
      <c r="C3637">
        <f>_xlfn.XLOOKUP(B3637,Dim_Hotel!$A$2:$A$11,Dim_Hotel!$F$2:$F$11)</f>
        <v>311</v>
      </c>
      <c r="D3637">
        <f t="shared" si="449"/>
        <v>171</v>
      </c>
      <c r="E3637">
        <f t="shared" si="450"/>
        <v>0.54983922829581988</v>
      </c>
      <c r="F3637">
        <f t="shared" si="451"/>
        <v>190</v>
      </c>
      <c r="G3637">
        <f t="shared" si="452"/>
        <v>104.46945337620578</v>
      </c>
      <c r="H3637" t="str">
        <f>_xlfn.XLOOKUP(A3637,Fact_Events!$D$2:$D$20,Fact_Events!$A$2:$A$20, "")</f>
        <v/>
      </c>
      <c r="I3637">
        <f t="shared" si="453"/>
        <v>0</v>
      </c>
      <c r="J3637" t="str">
        <f>_xlfn.XLOOKUP(H3637, Fact_Events!$A$2:$A$20, Fact_Events!$F$2:$F$20, "")</f>
        <v/>
      </c>
      <c r="K3637" t="str">
        <f t="shared" si="454"/>
        <v>Low</v>
      </c>
      <c r="L3637">
        <f t="shared" si="455"/>
        <v>0.55000000000000004</v>
      </c>
      <c r="M3637">
        <f>_xlfn.XLOOKUP(B3637, Dim_Hotel!$A$2:$A$11, Dim_Hotel!$I$2:$I$11)
 + (IF(J3637="",0,J3637)
    * _xlfn.XLOOKUP(B3637, Dim_Hotel!$A$2:$A$11, Dim_Hotel!$J$2:$J$11))</f>
        <v>190</v>
      </c>
    </row>
    <row r="3638" spans="1:13" x14ac:dyDescent="0.25">
      <c r="A3638" s="1">
        <f t="shared" si="448"/>
        <v>46386</v>
      </c>
      <c r="B3638" t="str" cm="1">
        <f t="array" ref="B3638">INDEX(HotelList,MOD(ROW()-2,10)+1)</f>
        <v>H007</v>
      </c>
      <c r="C3638">
        <f>_xlfn.XLOOKUP(B3638,Dim_Hotel!$A$2:$A$11,Dim_Hotel!$F$2:$F$11)</f>
        <v>132</v>
      </c>
      <c r="D3638">
        <f t="shared" si="449"/>
        <v>73</v>
      </c>
      <c r="E3638">
        <f t="shared" si="450"/>
        <v>0.55303030303030298</v>
      </c>
      <c r="F3638">
        <f t="shared" si="451"/>
        <v>165</v>
      </c>
      <c r="G3638">
        <f t="shared" si="452"/>
        <v>91.249999999999986</v>
      </c>
      <c r="H3638" t="str">
        <f>_xlfn.XLOOKUP(A3638,Fact_Events!$D$2:$D$20,Fact_Events!$A$2:$A$20, "")</f>
        <v/>
      </c>
      <c r="I3638">
        <f t="shared" si="453"/>
        <v>0</v>
      </c>
      <c r="J3638" t="str">
        <f>_xlfn.XLOOKUP(H3638, Fact_Events!$A$2:$A$20, Fact_Events!$F$2:$F$20, "")</f>
        <v/>
      </c>
      <c r="K3638" t="str">
        <f t="shared" si="454"/>
        <v>Low</v>
      </c>
      <c r="L3638">
        <f t="shared" si="455"/>
        <v>0.55000000000000004</v>
      </c>
      <c r="M3638">
        <f>_xlfn.XLOOKUP(B3638, Dim_Hotel!$A$2:$A$11, Dim_Hotel!$I$2:$I$11)
 + (IF(J3638="",0,J3638)
    * _xlfn.XLOOKUP(B3638, Dim_Hotel!$A$2:$A$11, Dim_Hotel!$J$2:$J$11))</f>
        <v>165</v>
      </c>
    </row>
    <row r="3639" spans="1:13" x14ac:dyDescent="0.25">
      <c r="A3639" s="1">
        <f t="shared" si="448"/>
        <v>46386</v>
      </c>
      <c r="B3639" t="str" cm="1">
        <f t="array" ref="B3639">INDEX(HotelList,MOD(ROW()-2,10)+1)</f>
        <v>H008</v>
      </c>
      <c r="C3639">
        <f>_xlfn.XLOOKUP(B3639,Dim_Hotel!$A$2:$A$11,Dim_Hotel!$F$2:$F$11)</f>
        <v>103</v>
      </c>
      <c r="D3639">
        <f t="shared" si="449"/>
        <v>57</v>
      </c>
      <c r="E3639">
        <f t="shared" si="450"/>
        <v>0.55339805825242716</v>
      </c>
      <c r="F3639">
        <f t="shared" si="451"/>
        <v>140</v>
      </c>
      <c r="G3639">
        <f t="shared" si="452"/>
        <v>77.475728155339809</v>
      </c>
      <c r="H3639" t="str">
        <f>_xlfn.XLOOKUP(A3639,Fact_Events!$D$2:$D$20,Fact_Events!$A$2:$A$20, "")</f>
        <v/>
      </c>
      <c r="I3639">
        <f t="shared" si="453"/>
        <v>0</v>
      </c>
      <c r="J3639" t="str">
        <f>_xlfn.XLOOKUP(H3639, Fact_Events!$A$2:$A$20, Fact_Events!$F$2:$F$20, "")</f>
        <v/>
      </c>
      <c r="K3639" t="str">
        <f t="shared" si="454"/>
        <v>Low</v>
      </c>
      <c r="L3639">
        <f t="shared" si="455"/>
        <v>0.55000000000000004</v>
      </c>
      <c r="M3639">
        <f>_xlfn.XLOOKUP(B3639, Dim_Hotel!$A$2:$A$11, Dim_Hotel!$I$2:$I$11)
 + (IF(J3639="",0,J3639)
    * _xlfn.XLOOKUP(B3639, Dim_Hotel!$A$2:$A$11, Dim_Hotel!$J$2:$J$11))</f>
        <v>140</v>
      </c>
    </row>
    <row r="3640" spans="1:13" x14ac:dyDescent="0.25">
      <c r="A3640" s="1">
        <f t="shared" si="448"/>
        <v>46386</v>
      </c>
      <c r="B3640" t="str" cm="1">
        <f t="array" ref="B3640">INDEX(HotelList,MOD(ROW()-2,10)+1)</f>
        <v>H009</v>
      </c>
      <c r="C3640">
        <f>_xlfn.XLOOKUP(B3640,Dim_Hotel!$A$2:$A$11,Dim_Hotel!$F$2:$F$11)</f>
        <v>114</v>
      </c>
      <c r="D3640">
        <f t="shared" si="449"/>
        <v>63</v>
      </c>
      <c r="E3640">
        <f t="shared" si="450"/>
        <v>0.55263157894736847</v>
      </c>
      <c r="F3640">
        <f t="shared" si="451"/>
        <v>185</v>
      </c>
      <c r="G3640">
        <f t="shared" si="452"/>
        <v>102.23684210526316</v>
      </c>
      <c r="H3640" t="str">
        <f>_xlfn.XLOOKUP(A3640,Fact_Events!$D$2:$D$20,Fact_Events!$A$2:$A$20, "")</f>
        <v/>
      </c>
      <c r="I3640">
        <f t="shared" si="453"/>
        <v>0</v>
      </c>
      <c r="J3640" t="str">
        <f>_xlfn.XLOOKUP(H3640, Fact_Events!$A$2:$A$20, Fact_Events!$F$2:$F$20, "")</f>
        <v/>
      </c>
      <c r="K3640" t="str">
        <f t="shared" si="454"/>
        <v>Low</v>
      </c>
      <c r="L3640">
        <f t="shared" si="455"/>
        <v>0.55000000000000004</v>
      </c>
      <c r="M3640">
        <f>_xlfn.XLOOKUP(B3640, Dim_Hotel!$A$2:$A$11, Dim_Hotel!$I$2:$I$11)
 + (IF(J3640="",0,J3640)
    * _xlfn.XLOOKUP(B3640, Dim_Hotel!$A$2:$A$11, Dim_Hotel!$J$2:$J$11))</f>
        <v>185</v>
      </c>
    </row>
    <row r="3641" spans="1:13" x14ac:dyDescent="0.25">
      <c r="A3641" s="1">
        <f t="shared" si="448"/>
        <v>46386</v>
      </c>
      <c r="B3641" t="str" cm="1">
        <f t="array" ref="B3641">INDEX(HotelList,MOD(ROW()-2,10)+1)</f>
        <v>H010</v>
      </c>
      <c r="C3641">
        <f>_xlfn.XLOOKUP(B3641,Dim_Hotel!$A$2:$A$11,Dim_Hotel!$F$2:$F$11)</f>
        <v>89</v>
      </c>
      <c r="D3641">
        <f t="shared" si="449"/>
        <v>49</v>
      </c>
      <c r="E3641">
        <f t="shared" si="450"/>
        <v>0.550561797752809</v>
      </c>
      <c r="F3641">
        <f t="shared" si="451"/>
        <v>150</v>
      </c>
      <c r="G3641">
        <f t="shared" si="452"/>
        <v>82.584269662921344</v>
      </c>
      <c r="H3641" t="str">
        <f>_xlfn.XLOOKUP(A3641,Fact_Events!$D$2:$D$20,Fact_Events!$A$2:$A$20, "")</f>
        <v/>
      </c>
      <c r="I3641">
        <f t="shared" si="453"/>
        <v>0</v>
      </c>
      <c r="J3641" t="str">
        <f>_xlfn.XLOOKUP(H3641, Fact_Events!$A$2:$A$20, Fact_Events!$F$2:$F$20, "")</f>
        <v/>
      </c>
      <c r="K3641" t="str">
        <f t="shared" si="454"/>
        <v>Low</v>
      </c>
      <c r="L3641">
        <f t="shared" si="455"/>
        <v>0.55000000000000004</v>
      </c>
      <c r="M3641">
        <f>_xlfn.XLOOKUP(B3641, Dim_Hotel!$A$2:$A$11, Dim_Hotel!$I$2:$I$11)
 + (IF(J3641="",0,J3641)
    * _xlfn.XLOOKUP(B3641, Dim_Hotel!$A$2:$A$11, Dim_Hotel!$J$2:$J$11))</f>
        <v>150</v>
      </c>
    </row>
    <row r="3642" spans="1:13" x14ac:dyDescent="0.25">
      <c r="A3642" s="1">
        <f t="shared" si="448"/>
        <v>46387</v>
      </c>
      <c r="B3642" t="str" cm="1">
        <f t="array" ref="B3642">INDEX(HotelList,MOD(ROW()-2,10)+1)</f>
        <v>H001</v>
      </c>
      <c r="C3642">
        <f>_xlfn.XLOOKUP(B3642,Dim_Hotel!$A$2:$A$11,Dim_Hotel!$F$2:$F$11)</f>
        <v>888</v>
      </c>
      <c r="D3642">
        <f t="shared" si="449"/>
        <v>488</v>
      </c>
      <c r="E3642">
        <f t="shared" si="450"/>
        <v>0.5495495495495496</v>
      </c>
      <c r="F3642">
        <f t="shared" si="451"/>
        <v>260</v>
      </c>
      <c r="G3642">
        <f t="shared" si="452"/>
        <v>142.88288288288288</v>
      </c>
      <c r="H3642" t="str">
        <f>_xlfn.XLOOKUP(A3642,Fact_Events!$D$2:$D$20,Fact_Events!$A$2:$A$20, "")</f>
        <v/>
      </c>
      <c r="I3642">
        <f t="shared" si="453"/>
        <v>0</v>
      </c>
      <c r="J3642" t="str">
        <f>_xlfn.XLOOKUP(H3642, Fact_Events!$A$2:$A$20, Fact_Events!$F$2:$F$20, "")</f>
        <v/>
      </c>
      <c r="K3642" t="str">
        <f t="shared" si="454"/>
        <v>Low</v>
      </c>
      <c r="L3642">
        <f t="shared" si="455"/>
        <v>0.55000000000000004</v>
      </c>
      <c r="M3642">
        <f>_xlfn.XLOOKUP(B3642, Dim_Hotel!$A$2:$A$11, Dim_Hotel!$I$2:$I$11)
 + (IF(J3642="",0,J3642)
    * _xlfn.XLOOKUP(B3642, Dim_Hotel!$A$2:$A$11, Dim_Hotel!$J$2:$J$11))</f>
        <v>260</v>
      </c>
    </row>
    <row r="3643" spans="1:13" x14ac:dyDescent="0.25">
      <c r="A3643" s="1">
        <f t="shared" si="448"/>
        <v>46387</v>
      </c>
      <c r="B3643" t="str" cm="1">
        <f t="array" ref="B3643">INDEX(HotelList,MOD(ROW()-2,10)+1)</f>
        <v>H002</v>
      </c>
      <c r="C3643">
        <f>_xlfn.XLOOKUP(B3643,Dim_Hotel!$A$2:$A$11,Dim_Hotel!$F$2:$F$11)</f>
        <v>147</v>
      </c>
      <c r="D3643">
        <f t="shared" si="449"/>
        <v>81</v>
      </c>
      <c r="E3643">
        <f t="shared" si="450"/>
        <v>0.55102040816326525</v>
      </c>
      <c r="F3643">
        <f t="shared" si="451"/>
        <v>175</v>
      </c>
      <c r="G3643">
        <f t="shared" si="452"/>
        <v>96.428571428571416</v>
      </c>
      <c r="H3643" t="str">
        <f>_xlfn.XLOOKUP(A3643,Fact_Events!$D$2:$D$20,Fact_Events!$A$2:$A$20, "")</f>
        <v/>
      </c>
      <c r="I3643">
        <f t="shared" si="453"/>
        <v>0</v>
      </c>
      <c r="J3643" t="str">
        <f>_xlfn.XLOOKUP(H3643, Fact_Events!$A$2:$A$20, Fact_Events!$F$2:$F$20, "")</f>
        <v/>
      </c>
      <c r="K3643" t="str">
        <f t="shared" si="454"/>
        <v>Low</v>
      </c>
      <c r="L3643">
        <f t="shared" si="455"/>
        <v>0.55000000000000004</v>
      </c>
      <c r="M3643">
        <f>_xlfn.XLOOKUP(B3643, Dim_Hotel!$A$2:$A$11, Dim_Hotel!$I$2:$I$11)
 + (IF(J3643="",0,J3643)
    * _xlfn.XLOOKUP(B3643, Dim_Hotel!$A$2:$A$11, Dim_Hotel!$J$2:$J$11))</f>
        <v>175</v>
      </c>
    </row>
    <row r="3644" spans="1:13" x14ac:dyDescent="0.25">
      <c r="A3644" s="1">
        <f t="shared" si="448"/>
        <v>46387</v>
      </c>
      <c r="B3644" t="str" cm="1">
        <f t="array" ref="B3644">INDEX(HotelList,MOD(ROW()-2,10)+1)</f>
        <v>H003</v>
      </c>
      <c r="C3644">
        <f>_xlfn.XLOOKUP(B3644,Dim_Hotel!$A$2:$A$11,Dim_Hotel!$F$2:$F$11)</f>
        <v>121</v>
      </c>
      <c r="D3644">
        <f t="shared" si="449"/>
        <v>67</v>
      </c>
      <c r="E3644">
        <f t="shared" si="450"/>
        <v>0.55371900826446285</v>
      </c>
      <c r="F3644">
        <f t="shared" si="451"/>
        <v>145</v>
      </c>
      <c r="G3644">
        <f t="shared" si="452"/>
        <v>80.289256198347118</v>
      </c>
      <c r="H3644" t="str">
        <f>_xlfn.XLOOKUP(A3644,Fact_Events!$D$2:$D$20,Fact_Events!$A$2:$A$20, "")</f>
        <v/>
      </c>
      <c r="I3644">
        <f t="shared" si="453"/>
        <v>0</v>
      </c>
      <c r="J3644" t="str">
        <f>_xlfn.XLOOKUP(H3644, Fact_Events!$A$2:$A$20, Fact_Events!$F$2:$F$20, "")</f>
        <v/>
      </c>
      <c r="K3644" t="str">
        <f t="shared" si="454"/>
        <v>Low</v>
      </c>
      <c r="L3644">
        <f t="shared" si="455"/>
        <v>0.55000000000000004</v>
      </c>
      <c r="M3644">
        <f>_xlfn.XLOOKUP(B3644, Dim_Hotel!$A$2:$A$11, Dim_Hotel!$I$2:$I$11)
 + (IF(J3644="",0,J3644)
    * _xlfn.XLOOKUP(B3644, Dim_Hotel!$A$2:$A$11, Dim_Hotel!$J$2:$J$11))</f>
        <v>145</v>
      </c>
    </row>
    <row r="3645" spans="1:13" x14ac:dyDescent="0.25">
      <c r="A3645" s="1">
        <f t="shared" si="448"/>
        <v>46387</v>
      </c>
      <c r="B3645" t="str" cm="1">
        <f t="array" ref="B3645">INDEX(HotelList,MOD(ROW()-2,10)+1)</f>
        <v>H004</v>
      </c>
      <c r="C3645">
        <f>_xlfn.XLOOKUP(B3645,Dim_Hotel!$A$2:$A$11,Dim_Hotel!$F$2:$F$11)</f>
        <v>108</v>
      </c>
      <c r="D3645">
        <f t="shared" si="449"/>
        <v>59</v>
      </c>
      <c r="E3645">
        <f t="shared" si="450"/>
        <v>0.54629629629629628</v>
      </c>
      <c r="F3645">
        <f t="shared" si="451"/>
        <v>135</v>
      </c>
      <c r="G3645">
        <f t="shared" si="452"/>
        <v>73.75</v>
      </c>
      <c r="H3645" t="str">
        <f>_xlfn.XLOOKUP(A3645,Fact_Events!$D$2:$D$20,Fact_Events!$A$2:$A$20, "")</f>
        <v/>
      </c>
      <c r="I3645">
        <f t="shared" si="453"/>
        <v>0</v>
      </c>
      <c r="J3645" t="str">
        <f>_xlfn.XLOOKUP(H3645, Fact_Events!$A$2:$A$20, Fact_Events!$F$2:$F$20, "")</f>
        <v/>
      </c>
      <c r="K3645" t="str">
        <f t="shared" si="454"/>
        <v>Low</v>
      </c>
      <c r="L3645">
        <f t="shared" si="455"/>
        <v>0.55000000000000004</v>
      </c>
      <c r="M3645">
        <f>_xlfn.XLOOKUP(B3645, Dim_Hotel!$A$2:$A$11, Dim_Hotel!$I$2:$I$11)
 + (IF(J3645="",0,J3645)
    * _xlfn.XLOOKUP(B3645, Dim_Hotel!$A$2:$A$11, Dim_Hotel!$J$2:$J$11))</f>
        <v>135</v>
      </c>
    </row>
    <row r="3646" spans="1:13" x14ac:dyDescent="0.25">
      <c r="A3646" s="1">
        <f t="shared" si="448"/>
        <v>46387</v>
      </c>
      <c r="B3646" t="str" cm="1">
        <f t="array" ref="B3646">INDEX(HotelList,MOD(ROW()-2,10)+1)</f>
        <v>H005</v>
      </c>
      <c r="C3646">
        <f>_xlfn.XLOOKUP(B3646,Dim_Hotel!$A$2:$A$11,Dim_Hotel!$F$2:$F$11)</f>
        <v>66</v>
      </c>
      <c r="D3646">
        <f t="shared" si="449"/>
        <v>36</v>
      </c>
      <c r="E3646">
        <f t="shared" si="450"/>
        <v>0.54545454545454541</v>
      </c>
      <c r="F3646">
        <f t="shared" si="451"/>
        <v>82</v>
      </c>
      <c r="G3646">
        <f t="shared" si="452"/>
        <v>44.727272727272727</v>
      </c>
      <c r="H3646" t="str">
        <f>_xlfn.XLOOKUP(A3646,Fact_Events!$D$2:$D$20,Fact_Events!$A$2:$A$20, "")</f>
        <v/>
      </c>
      <c r="I3646">
        <f t="shared" si="453"/>
        <v>0</v>
      </c>
      <c r="J3646" t="str">
        <f>_xlfn.XLOOKUP(H3646, Fact_Events!$A$2:$A$20, Fact_Events!$F$2:$F$20, "")</f>
        <v/>
      </c>
      <c r="K3646" t="str">
        <f t="shared" si="454"/>
        <v>Low</v>
      </c>
      <c r="L3646">
        <f t="shared" si="455"/>
        <v>0.55000000000000004</v>
      </c>
      <c r="M3646">
        <f>_xlfn.XLOOKUP(B3646, Dim_Hotel!$A$2:$A$11, Dim_Hotel!$I$2:$I$11)
 + (IF(J3646="",0,J3646)
    * _xlfn.XLOOKUP(B3646, Dim_Hotel!$A$2:$A$11, Dim_Hotel!$J$2:$J$11))</f>
        <v>82</v>
      </c>
    </row>
    <row r="3647" spans="1:13" x14ac:dyDescent="0.25">
      <c r="A3647" s="1">
        <f t="shared" si="448"/>
        <v>46387</v>
      </c>
      <c r="B3647" t="str" cm="1">
        <f t="array" ref="B3647">INDEX(HotelList,MOD(ROW()-2,10)+1)</f>
        <v>H006</v>
      </c>
      <c r="C3647">
        <f>_xlfn.XLOOKUP(B3647,Dim_Hotel!$A$2:$A$11,Dim_Hotel!$F$2:$F$11)</f>
        <v>311</v>
      </c>
      <c r="D3647">
        <f t="shared" si="449"/>
        <v>171</v>
      </c>
      <c r="E3647">
        <f t="shared" si="450"/>
        <v>0.54983922829581988</v>
      </c>
      <c r="F3647">
        <f t="shared" si="451"/>
        <v>190</v>
      </c>
      <c r="G3647">
        <f t="shared" si="452"/>
        <v>104.46945337620578</v>
      </c>
      <c r="H3647" t="str">
        <f>_xlfn.XLOOKUP(A3647,Fact_Events!$D$2:$D$20,Fact_Events!$A$2:$A$20, "")</f>
        <v/>
      </c>
      <c r="I3647">
        <f t="shared" si="453"/>
        <v>0</v>
      </c>
      <c r="J3647" t="str">
        <f>_xlfn.XLOOKUP(H3647, Fact_Events!$A$2:$A$20, Fact_Events!$F$2:$F$20, "")</f>
        <v/>
      </c>
      <c r="K3647" t="str">
        <f t="shared" si="454"/>
        <v>Low</v>
      </c>
      <c r="L3647">
        <f t="shared" si="455"/>
        <v>0.55000000000000004</v>
      </c>
      <c r="M3647">
        <f>_xlfn.XLOOKUP(B3647, Dim_Hotel!$A$2:$A$11, Dim_Hotel!$I$2:$I$11)
 + (IF(J3647="",0,J3647)
    * _xlfn.XLOOKUP(B3647, Dim_Hotel!$A$2:$A$11, Dim_Hotel!$J$2:$J$11))</f>
        <v>190</v>
      </c>
    </row>
    <row r="3648" spans="1:13" x14ac:dyDescent="0.25">
      <c r="A3648" s="1">
        <f t="shared" si="448"/>
        <v>46387</v>
      </c>
      <c r="B3648" t="str" cm="1">
        <f t="array" ref="B3648">INDEX(HotelList,MOD(ROW()-2,10)+1)</f>
        <v>H007</v>
      </c>
      <c r="C3648">
        <f>_xlfn.XLOOKUP(B3648,Dim_Hotel!$A$2:$A$11,Dim_Hotel!$F$2:$F$11)</f>
        <v>132</v>
      </c>
      <c r="D3648">
        <f t="shared" si="449"/>
        <v>73</v>
      </c>
      <c r="E3648">
        <f t="shared" si="450"/>
        <v>0.55303030303030298</v>
      </c>
      <c r="F3648">
        <f t="shared" si="451"/>
        <v>165</v>
      </c>
      <c r="G3648">
        <f t="shared" si="452"/>
        <v>91.249999999999986</v>
      </c>
      <c r="H3648" t="str">
        <f>_xlfn.XLOOKUP(A3648,Fact_Events!$D$2:$D$20,Fact_Events!$A$2:$A$20, "")</f>
        <v/>
      </c>
      <c r="I3648">
        <f t="shared" si="453"/>
        <v>0</v>
      </c>
      <c r="J3648" t="str">
        <f>_xlfn.XLOOKUP(H3648, Fact_Events!$A$2:$A$20, Fact_Events!$F$2:$F$20, "")</f>
        <v/>
      </c>
      <c r="K3648" t="str">
        <f t="shared" si="454"/>
        <v>Low</v>
      </c>
      <c r="L3648">
        <f t="shared" si="455"/>
        <v>0.55000000000000004</v>
      </c>
      <c r="M3648">
        <f>_xlfn.XLOOKUP(B3648, Dim_Hotel!$A$2:$A$11, Dim_Hotel!$I$2:$I$11)
 + (IF(J3648="",0,J3648)
    * _xlfn.XLOOKUP(B3648, Dim_Hotel!$A$2:$A$11, Dim_Hotel!$J$2:$J$11))</f>
        <v>165</v>
      </c>
    </row>
    <row r="3649" spans="1:13" x14ac:dyDescent="0.25">
      <c r="A3649" s="1">
        <f t="shared" si="448"/>
        <v>46387</v>
      </c>
      <c r="B3649" t="str" cm="1">
        <f t="array" ref="B3649">INDEX(HotelList,MOD(ROW()-2,10)+1)</f>
        <v>H008</v>
      </c>
      <c r="C3649">
        <f>_xlfn.XLOOKUP(B3649,Dim_Hotel!$A$2:$A$11,Dim_Hotel!$F$2:$F$11)</f>
        <v>103</v>
      </c>
      <c r="D3649">
        <f t="shared" si="449"/>
        <v>57</v>
      </c>
      <c r="E3649">
        <f t="shared" si="450"/>
        <v>0.55339805825242716</v>
      </c>
      <c r="F3649">
        <f t="shared" si="451"/>
        <v>140</v>
      </c>
      <c r="G3649">
        <f t="shared" si="452"/>
        <v>77.475728155339809</v>
      </c>
      <c r="H3649" t="str">
        <f>_xlfn.XLOOKUP(A3649,Fact_Events!$D$2:$D$20,Fact_Events!$A$2:$A$20, "")</f>
        <v/>
      </c>
      <c r="I3649">
        <f t="shared" si="453"/>
        <v>0</v>
      </c>
      <c r="J3649" t="str">
        <f>_xlfn.XLOOKUP(H3649, Fact_Events!$A$2:$A$20, Fact_Events!$F$2:$F$20, "")</f>
        <v/>
      </c>
      <c r="K3649" t="str">
        <f t="shared" si="454"/>
        <v>Low</v>
      </c>
      <c r="L3649">
        <f t="shared" si="455"/>
        <v>0.55000000000000004</v>
      </c>
      <c r="M3649">
        <f>_xlfn.XLOOKUP(B3649, Dim_Hotel!$A$2:$A$11, Dim_Hotel!$I$2:$I$11)
 + (IF(J3649="",0,J3649)
    * _xlfn.XLOOKUP(B3649, Dim_Hotel!$A$2:$A$11, Dim_Hotel!$J$2:$J$11))</f>
        <v>140</v>
      </c>
    </row>
    <row r="3650" spans="1:13" x14ac:dyDescent="0.25">
      <c r="A3650" s="1">
        <f t="shared" si="448"/>
        <v>46387</v>
      </c>
      <c r="B3650" t="str" cm="1">
        <f t="array" ref="B3650">INDEX(HotelList,MOD(ROW()-2,10)+1)</f>
        <v>H009</v>
      </c>
      <c r="C3650">
        <f>_xlfn.XLOOKUP(B3650,Dim_Hotel!$A$2:$A$11,Dim_Hotel!$F$2:$F$11)</f>
        <v>114</v>
      </c>
      <c r="D3650">
        <f t="shared" si="449"/>
        <v>63</v>
      </c>
      <c r="E3650">
        <f t="shared" si="450"/>
        <v>0.55263157894736847</v>
      </c>
      <c r="F3650">
        <f t="shared" si="451"/>
        <v>185</v>
      </c>
      <c r="G3650">
        <f t="shared" si="452"/>
        <v>102.23684210526316</v>
      </c>
      <c r="H3650" t="str">
        <f>_xlfn.XLOOKUP(A3650,Fact_Events!$D$2:$D$20,Fact_Events!$A$2:$A$20, "")</f>
        <v/>
      </c>
      <c r="I3650">
        <f t="shared" si="453"/>
        <v>0</v>
      </c>
      <c r="J3650" t="str">
        <f>_xlfn.XLOOKUP(H3650, Fact_Events!$A$2:$A$20, Fact_Events!$F$2:$F$20, "")</f>
        <v/>
      </c>
      <c r="K3650" t="str">
        <f t="shared" si="454"/>
        <v>Low</v>
      </c>
      <c r="L3650">
        <f t="shared" si="455"/>
        <v>0.55000000000000004</v>
      </c>
      <c r="M3650">
        <f>_xlfn.XLOOKUP(B3650, Dim_Hotel!$A$2:$A$11, Dim_Hotel!$I$2:$I$11)
 + (IF(J3650="",0,J3650)
    * _xlfn.XLOOKUP(B3650, Dim_Hotel!$A$2:$A$11, Dim_Hotel!$J$2:$J$11))</f>
        <v>185</v>
      </c>
    </row>
    <row r="3651" spans="1:13" x14ac:dyDescent="0.25">
      <c r="A3651" s="1">
        <f t="shared" ref="A3651" si="456">DATE(2026,1,1) + INT((ROW()-2)/10)</f>
        <v>46387</v>
      </c>
      <c r="B3651" t="str" cm="1">
        <f t="array" ref="B3651">INDEX(HotelList,MOD(ROW()-2,10)+1)</f>
        <v>H010</v>
      </c>
      <c r="C3651">
        <f>_xlfn.XLOOKUP(B3651,Dim_Hotel!$A$2:$A$11,Dim_Hotel!$F$2:$F$11)</f>
        <v>89</v>
      </c>
      <c r="D3651">
        <f t="shared" ref="D3651" si="457">ROUND(L3651 * C3651, 0)</f>
        <v>49</v>
      </c>
      <c r="E3651">
        <f t="shared" ref="E3651" si="458">D3651/C3651</f>
        <v>0.550561797752809</v>
      </c>
      <c r="F3651">
        <f t="shared" ref="F3651" si="459">M3651</f>
        <v>150</v>
      </c>
      <c r="G3651">
        <f t="shared" ref="G3651" si="460">E3651*F3651</f>
        <v>82.584269662921344</v>
      </c>
      <c r="H3651" t="str">
        <f>_xlfn.XLOOKUP(A3651,Fact_Events!$D$2:$D$20,Fact_Events!$A$2:$A$20, "")</f>
        <v/>
      </c>
      <c r="I3651">
        <f t="shared" ref="I3651" si="461">IF(H3651="",0,1)</f>
        <v>0</v>
      </c>
      <c r="J3651" t="str">
        <f>_xlfn.XLOOKUP(H3651, Fact_Events!$A$2:$A$20, Fact_Events!$F$2:$F$20, "")</f>
        <v/>
      </c>
      <c r="K3651" t="str">
        <f t="shared" ref="K3651" si="462">IF(I3651=0,"Low",
   IF(J3651&gt;=9,"High","Medium"))</f>
        <v>Low</v>
      </c>
      <c r="L3651">
        <f t="shared" ref="L3651" si="463">MIN(1,
  0.55
  + (I3651 * 0.25)
  + (IF(J3651="",0,J3651) / 100)
)</f>
        <v>0.55000000000000004</v>
      </c>
      <c r="M3651">
        <f>_xlfn.XLOOKUP(B3651, Dim_Hotel!$A$2:$A$11, Dim_Hotel!$I$2:$I$11)
 + (IF(J3651="",0,J3651)
    * _xlfn.XLOOKUP(B3651, Dim_Hotel!$A$2:$A$11, Dim_Hotel!$J$2:$J$11))</f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Dim_Hotel</vt:lpstr>
      <vt:lpstr>Fact_Events</vt:lpstr>
      <vt:lpstr>Fact_Daily_Performance</vt:lpstr>
      <vt:lpstr>HotelList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Pokhrel</dc:creator>
  <cp:lastModifiedBy>Sanjay Pokhrel</cp:lastModifiedBy>
  <dcterms:created xsi:type="dcterms:W3CDTF">2026-02-11T18:58:17Z</dcterms:created>
  <dcterms:modified xsi:type="dcterms:W3CDTF">2026-02-11T20:46:57Z</dcterms:modified>
</cp:coreProperties>
</file>